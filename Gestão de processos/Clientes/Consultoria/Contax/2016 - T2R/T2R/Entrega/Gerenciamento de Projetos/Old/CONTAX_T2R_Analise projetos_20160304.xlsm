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Contax\T2R Contax\"/>
    </mc:Choice>
  </mc:AlternateContent>
  <bookViews>
    <workbookView xWindow="0" yWindow="0" windowWidth="19200" windowHeight="7755" activeTab="1"/>
  </bookViews>
  <sheets>
    <sheet name="general_report" sheetId="2" r:id="rId1"/>
    <sheet name="Plan1" sheetId="3" r:id="rId2"/>
    <sheet name="Plan2" sheetId="4" r:id="rId3"/>
  </sheets>
  <externalReferences>
    <externalReference r:id="rId4"/>
  </externalReferences>
  <calcPr calcId="171027"/>
  <pivotCaches>
    <pivotCache cacheId="0" r:id="rId5"/>
    <pivotCache cacheId="1" r:id="rId6"/>
  </pivotCaches>
</workbook>
</file>

<file path=xl/calcChain.xml><?xml version="1.0" encoding="utf-8"?>
<calcChain xmlns="http://schemas.openxmlformats.org/spreadsheetml/2006/main">
  <c r="C32" i="4" l="1"/>
  <c r="I9" i="4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2" i="2"/>
  <c r="C37" i="3"/>
  <c r="C40" i="3"/>
  <c r="C39" i="3"/>
  <c r="C35" i="3"/>
  <c r="C36" i="3"/>
  <c r="C38" i="3"/>
  <c r="C34" i="3"/>
  <c r="E105" i="2" l="1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2" i="2"/>
  <c r="L5" i="2" l="1"/>
  <c r="O5" i="2" s="1"/>
  <c r="L6" i="2"/>
  <c r="O6" i="2" s="1"/>
  <c r="L7" i="2"/>
  <c r="O7" i="2" s="1"/>
  <c r="L8" i="2"/>
  <c r="O8" i="2" s="1"/>
  <c r="L9" i="2"/>
  <c r="O9" i="2" s="1"/>
  <c r="L10" i="2"/>
  <c r="O10" i="2" s="1"/>
  <c r="L11" i="2"/>
  <c r="O11" i="2" s="1"/>
  <c r="L12" i="2"/>
  <c r="O12" i="2" s="1"/>
  <c r="L13" i="2"/>
  <c r="O13" i="2" s="1"/>
  <c r="L14" i="2"/>
  <c r="O14" i="2" s="1"/>
  <c r="L15" i="2"/>
  <c r="O15" i="2" s="1"/>
  <c r="L16" i="2"/>
  <c r="O16" i="2" s="1"/>
  <c r="L17" i="2"/>
  <c r="O17" i="2" s="1"/>
  <c r="L18" i="2"/>
  <c r="O18" i="2" s="1"/>
  <c r="L19" i="2"/>
  <c r="O19" i="2" s="1"/>
  <c r="L20" i="2"/>
  <c r="O20" i="2" s="1"/>
  <c r="L21" i="2"/>
  <c r="O21" i="2" s="1"/>
  <c r="L22" i="2"/>
  <c r="O22" i="2" s="1"/>
  <c r="L23" i="2"/>
  <c r="O23" i="2" s="1"/>
  <c r="L24" i="2"/>
  <c r="O24" i="2" s="1"/>
  <c r="L25" i="2"/>
  <c r="O25" i="2" s="1"/>
  <c r="L26" i="2"/>
  <c r="O26" i="2" s="1"/>
  <c r="L27" i="2"/>
  <c r="O27" i="2" s="1"/>
  <c r="L28" i="2"/>
  <c r="O28" i="2" s="1"/>
  <c r="L29" i="2"/>
  <c r="O29" i="2" s="1"/>
  <c r="L30" i="2"/>
  <c r="O30" i="2" s="1"/>
  <c r="L31" i="2"/>
  <c r="O31" i="2" s="1"/>
  <c r="L32" i="2"/>
  <c r="O32" i="2" s="1"/>
  <c r="L33" i="2"/>
  <c r="O33" i="2" s="1"/>
  <c r="L34" i="2"/>
  <c r="O34" i="2" s="1"/>
  <c r="L35" i="2"/>
  <c r="O35" i="2" s="1"/>
  <c r="L36" i="2"/>
  <c r="O36" i="2" s="1"/>
  <c r="L37" i="2"/>
  <c r="O37" i="2" s="1"/>
  <c r="L38" i="2"/>
  <c r="O38" i="2" s="1"/>
  <c r="L39" i="2"/>
  <c r="O39" i="2" s="1"/>
  <c r="L40" i="2"/>
  <c r="O40" i="2" s="1"/>
  <c r="L41" i="2"/>
  <c r="O41" i="2" s="1"/>
  <c r="L42" i="2"/>
  <c r="O42" i="2" s="1"/>
  <c r="L43" i="2"/>
  <c r="O43" i="2" s="1"/>
  <c r="L44" i="2"/>
  <c r="O44" i="2" s="1"/>
  <c r="L45" i="2"/>
  <c r="O45" i="2" s="1"/>
  <c r="L46" i="2"/>
  <c r="O46" i="2" s="1"/>
  <c r="L47" i="2"/>
  <c r="O47" i="2" s="1"/>
  <c r="L48" i="2"/>
  <c r="O48" i="2" s="1"/>
  <c r="L49" i="2"/>
  <c r="O49" i="2" s="1"/>
  <c r="L50" i="2"/>
  <c r="O50" i="2" s="1"/>
  <c r="L51" i="2"/>
  <c r="O51" i="2" s="1"/>
  <c r="L52" i="2"/>
  <c r="O52" i="2" s="1"/>
  <c r="L53" i="2"/>
  <c r="O53" i="2" s="1"/>
  <c r="L54" i="2"/>
  <c r="O54" i="2" s="1"/>
  <c r="L55" i="2"/>
  <c r="O55" i="2" s="1"/>
  <c r="L56" i="2"/>
  <c r="O56" i="2" s="1"/>
  <c r="L57" i="2"/>
  <c r="O57" i="2" s="1"/>
  <c r="L58" i="2"/>
  <c r="O58" i="2" s="1"/>
  <c r="L59" i="2"/>
  <c r="O59" i="2" s="1"/>
  <c r="L60" i="2"/>
  <c r="O60" i="2" s="1"/>
  <c r="L61" i="2"/>
  <c r="O61" i="2" s="1"/>
  <c r="L62" i="2"/>
  <c r="O62" i="2" s="1"/>
  <c r="L63" i="2"/>
  <c r="O63" i="2" s="1"/>
  <c r="L64" i="2"/>
  <c r="O64" i="2" s="1"/>
  <c r="L65" i="2"/>
  <c r="O65" i="2" s="1"/>
  <c r="L66" i="2"/>
  <c r="O66" i="2" s="1"/>
  <c r="L67" i="2"/>
  <c r="O67" i="2" s="1"/>
  <c r="L68" i="2"/>
  <c r="O68" i="2" s="1"/>
  <c r="L69" i="2"/>
  <c r="O69" i="2" s="1"/>
  <c r="L70" i="2"/>
  <c r="O70" i="2" s="1"/>
  <c r="L71" i="2"/>
  <c r="O71" i="2" s="1"/>
  <c r="L72" i="2"/>
  <c r="O72" i="2" s="1"/>
  <c r="L73" i="2"/>
  <c r="O73" i="2" s="1"/>
  <c r="L74" i="2"/>
  <c r="O74" i="2" s="1"/>
  <c r="L75" i="2"/>
  <c r="O75" i="2" s="1"/>
  <c r="L76" i="2"/>
  <c r="O76" i="2" s="1"/>
  <c r="L77" i="2"/>
  <c r="O77" i="2" s="1"/>
  <c r="L78" i="2"/>
  <c r="O78" i="2" s="1"/>
  <c r="L79" i="2"/>
  <c r="O79" i="2" s="1"/>
  <c r="L80" i="2"/>
  <c r="O80" i="2" s="1"/>
  <c r="L81" i="2"/>
  <c r="O81" i="2" s="1"/>
  <c r="L82" i="2"/>
  <c r="O82" i="2" s="1"/>
  <c r="L83" i="2"/>
  <c r="O83" i="2" s="1"/>
  <c r="L84" i="2"/>
  <c r="O84" i="2" s="1"/>
  <c r="L85" i="2"/>
  <c r="O85" i="2" s="1"/>
  <c r="L86" i="2"/>
  <c r="O86" i="2" s="1"/>
  <c r="L87" i="2"/>
  <c r="O87" i="2" s="1"/>
  <c r="L88" i="2"/>
  <c r="O88" i="2" s="1"/>
  <c r="L89" i="2"/>
  <c r="O89" i="2" s="1"/>
  <c r="L90" i="2"/>
  <c r="O90" i="2" s="1"/>
  <c r="L91" i="2"/>
  <c r="O91" i="2" s="1"/>
  <c r="L92" i="2"/>
  <c r="O92" i="2" s="1"/>
  <c r="L93" i="2"/>
  <c r="O93" i="2" s="1"/>
  <c r="L94" i="2"/>
  <c r="O94" i="2" s="1"/>
  <c r="L95" i="2"/>
  <c r="O95" i="2" s="1"/>
  <c r="L96" i="2"/>
  <c r="O96" i="2" s="1"/>
  <c r="L97" i="2"/>
  <c r="O97" i="2" s="1"/>
  <c r="L98" i="2"/>
  <c r="O98" i="2" s="1"/>
  <c r="L99" i="2"/>
  <c r="O99" i="2" s="1"/>
  <c r="L100" i="2"/>
  <c r="O100" i="2" s="1"/>
  <c r="L101" i="2"/>
  <c r="O101" i="2" s="1"/>
  <c r="L102" i="2"/>
  <c r="O102" i="2" s="1"/>
  <c r="L103" i="2"/>
  <c r="O103" i="2" s="1"/>
  <c r="L104" i="2"/>
  <c r="O104" i="2" s="1"/>
  <c r="L105" i="2"/>
  <c r="O105" i="2" s="1"/>
  <c r="L106" i="2"/>
  <c r="O106" i="2" s="1"/>
  <c r="L107" i="2"/>
  <c r="O107" i="2" s="1"/>
  <c r="L108" i="2"/>
  <c r="O108" i="2" s="1"/>
  <c r="L109" i="2"/>
  <c r="O109" i="2" s="1"/>
  <c r="L110" i="2"/>
  <c r="O110" i="2" s="1"/>
  <c r="L111" i="2"/>
  <c r="O111" i="2" s="1"/>
  <c r="L112" i="2"/>
  <c r="O112" i="2" s="1"/>
  <c r="L113" i="2"/>
  <c r="O113" i="2" s="1"/>
  <c r="L114" i="2"/>
  <c r="O114" i="2" s="1"/>
  <c r="L115" i="2"/>
  <c r="O115" i="2" s="1"/>
  <c r="L116" i="2"/>
  <c r="O116" i="2" s="1"/>
  <c r="L117" i="2"/>
  <c r="O117" i="2" s="1"/>
  <c r="L118" i="2"/>
  <c r="O118" i="2" s="1"/>
  <c r="L119" i="2"/>
  <c r="O119" i="2" s="1"/>
  <c r="L120" i="2"/>
  <c r="O120" i="2" s="1"/>
  <c r="L121" i="2"/>
  <c r="O121" i="2" s="1"/>
  <c r="L122" i="2"/>
  <c r="O122" i="2" s="1"/>
  <c r="L123" i="2"/>
  <c r="O123" i="2" s="1"/>
  <c r="L124" i="2"/>
  <c r="O124" i="2" s="1"/>
  <c r="L125" i="2"/>
  <c r="O125" i="2" s="1"/>
  <c r="L126" i="2"/>
  <c r="O126" i="2" s="1"/>
  <c r="L127" i="2"/>
  <c r="O127" i="2" s="1"/>
  <c r="L128" i="2"/>
  <c r="O128" i="2" s="1"/>
  <c r="L129" i="2"/>
  <c r="O129" i="2" s="1"/>
  <c r="L130" i="2"/>
  <c r="O130" i="2" s="1"/>
  <c r="L131" i="2"/>
  <c r="O131" i="2" s="1"/>
  <c r="L132" i="2"/>
  <c r="O132" i="2" s="1"/>
  <c r="L133" i="2"/>
  <c r="O133" i="2" s="1"/>
  <c r="L134" i="2"/>
  <c r="O134" i="2" s="1"/>
  <c r="L135" i="2"/>
  <c r="O135" i="2" s="1"/>
  <c r="L136" i="2"/>
  <c r="O136" i="2" s="1"/>
  <c r="L137" i="2"/>
  <c r="O137" i="2" s="1"/>
  <c r="L138" i="2"/>
  <c r="O138" i="2" s="1"/>
  <c r="L139" i="2"/>
  <c r="O139" i="2" s="1"/>
  <c r="L140" i="2"/>
  <c r="O140" i="2" s="1"/>
  <c r="L141" i="2"/>
  <c r="O141" i="2" s="1"/>
  <c r="L142" i="2"/>
  <c r="O142" i="2" s="1"/>
  <c r="L143" i="2"/>
  <c r="O143" i="2" s="1"/>
  <c r="L144" i="2"/>
  <c r="O144" i="2" s="1"/>
  <c r="L145" i="2"/>
  <c r="O145" i="2" s="1"/>
  <c r="L146" i="2"/>
  <c r="O146" i="2" s="1"/>
  <c r="L147" i="2"/>
  <c r="O147" i="2" s="1"/>
  <c r="L148" i="2"/>
  <c r="O148" i="2" s="1"/>
  <c r="L149" i="2"/>
  <c r="O149" i="2" s="1"/>
  <c r="L150" i="2"/>
  <c r="O150" i="2" s="1"/>
  <c r="L151" i="2"/>
  <c r="O151" i="2" s="1"/>
  <c r="L152" i="2"/>
  <c r="O152" i="2" s="1"/>
  <c r="L153" i="2"/>
  <c r="O153" i="2" s="1"/>
  <c r="L154" i="2"/>
  <c r="O154" i="2" s="1"/>
  <c r="L155" i="2"/>
  <c r="O155" i="2" s="1"/>
  <c r="L156" i="2"/>
  <c r="O156" i="2" s="1"/>
  <c r="L157" i="2"/>
  <c r="O157" i="2" s="1"/>
  <c r="L158" i="2"/>
  <c r="O158" i="2" s="1"/>
  <c r="L159" i="2"/>
  <c r="O159" i="2" s="1"/>
  <c r="L160" i="2"/>
  <c r="O160" i="2" s="1"/>
  <c r="L161" i="2"/>
  <c r="O161" i="2" s="1"/>
  <c r="L162" i="2"/>
  <c r="O162" i="2" s="1"/>
  <c r="L163" i="2"/>
  <c r="O163" i="2" s="1"/>
  <c r="L164" i="2"/>
  <c r="O164" i="2" s="1"/>
  <c r="L165" i="2"/>
  <c r="O165" i="2" s="1"/>
  <c r="L166" i="2"/>
  <c r="O166" i="2" s="1"/>
  <c r="L167" i="2"/>
  <c r="O167" i="2" s="1"/>
  <c r="L168" i="2"/>
  <c r="O168" i="2" s="1"/>
  <c r="L169" i="2"/>
  <c r="O169" i="2" s="1"/>
  <c r="L170" i="2"/>
  <c r="O170" i="2" s="1"/>
  <c r="L171" i="2"/>
  <c r="O171" i="2" s="1"/>
  <c r="L172" i="2"/>
  <c r="O172" i="2" s="1"/>
  <c r="L173" i="2"/>
  <c r="O173" i="2" s="1"/>
  <c r="L174" i="2"/>
  <c r="O174" i="2" s="1"/>
  <c r="L175" i="2"/>
  <c r="O175" i="2" s="1"/>
  <c r="L176" i="2"/>
  <c r="O176" i="2" s="1"/>
  <c r="L177" i="2"/>
  <c r="O177" i="2" s="1"/>
  <c r="L178" i="2"/>
  <c r="O178" i="2" s="1"/>
  <c r="L179" i="2"/>
  <c r="O179" i="2" s="1"/>
  <c r="L180" i="2"/>
  <c r="O180" i="2" s="1"/>
  <c r="L181" i="2"/>
  <c r="O181" i="2" s="1"/>
  <c r="L182" i="2"/>
  <c r="O182" i="2" s="1"/>
  <c r="L183" i="2"/>
  <c r="O183" i="2" s="1"/>
  <c r="L184" i="2"/>
  <c r="O184" i="2" s="1"/>
  <c r="L185" i="2"/>
  <c r="O185" i="2" s="1"/>
  <c r="L186" i="2"/>
  <c r="O186" i="2" s="1"/>
  <c r="L187" i="2"/>
  <c r="O187" i="2" s="1"/>
  <c r="L188" i="2"/>
  <c r="O188" i="2" s="1"/>
  <c r="L189" i="2"/>
  <c r="O189" i="2" s="1"/>
  <c r="L190" i="2"/>
  <c r="O190" i="2" s="1"/>
  <c r="L191" i="2"/>
  <c r="O191" i="2" s="1"/>
  <c r="L192" i="2"/>
  <c r="O192" i="2" s="1"/>
  <c r="L193" i="2"/>
  <c r="O193" i="2" s="1"/>
  <c r="L194" i="2"/>
  <c r="O194" i="2" s="1"/>
  <c r="L195" i="2"/>
  <c r="O195" i="2" s="1"/>
  <c r="L196" i="2"/>
  <c r="O196" i="2" s="1"/>
  <c r="L197" i="2"/>
  <c r="O197" i="2" s="1"/>
  <c r="L198" i="2"/>
  <c r="O198" i="2" s="1"/>
  <c r="L199" i="2"/>
  <c r="O199" i="2" s="1"/>
  <c r="L200" i="2"/>
  <c r="O200" i="2" s="1"/>
  <c r="L201" i="2"/>
  <c r="O201" i="2" s="1"/>
  <c r="L202" i="2"/>
  <c r="O202" i="2" s="1"/>
  <c r="L203" i="2"/>
  <c r="O203" i="2" s="1"/>
  <c r="L204" i="2"/>
  <c r="O204" i="2" s="1"/>
  <c r="L205" i="2"/>
  <c r="O205" i="2" s="1"/>
  <c r="L206" i="2"/>
  <c r="O206" i="2" s="1"/>
  <c r="L207" i="2"/>
  <c r="O207" i="2" s="1"/>
  <c r="L208" i="2"/>
  <c r="O208" i="2" s="1"/>
  <c r="L209" i="2"/>
  <c r="O209" i="2" s="1"/>
  <c r="L210" i="2"/>
  <c r="O210" i="2" s="1"/>
  <c r="L211" i="2"/>
  <c r="O211" i="2" s="1"/>
  <c r="L212" i="2"/>
  <c r="O212" i="2" s="1"/>
  <c r="L213" i="2"/>
  <c r="O213" i="2" s="1"/>
  <c r="L214" i="2"/>
  <c r="O214" i="2" s="1"/>
  <c r="L215" i="2"/>
  <c r="O215" i="2" s="1"/>
  <c r="L216" i="2"/>
  <c r="O216" i="2" s="1"/>
  <c r="L217" i="2"/>
  <c r="O217" i="2" s="1"/>
  <c r="L218" i="2"/>
  <c r="O218" i="2" s="1"/>
  <c r="L219" i="2"/>
  <c r="O219" i="2" s="1"/>
  <c r="L220" i="2"/>
  <c r="O220" i="2" s="1"/>
  <c r="L221" i="2"/>
  <c r="O221" i="2" s="1"/>
  <c r="L222" i="2"/>
  <c r="O222" i="2" s="1"/>
  <c r="L223" i="2"/>
  <c r="O223" i="2" s="1"/>
  <c r="L224" i="2"/>
  <c r="O224" i="2" s="1"/>
  <c r="L225" i="2"/>
  <c r="O225" i="2" s="1"/>
  <c r="L226" i="2"/>
  <c r="O226" i="2" s="1"/>
  <c r="L227" i="2"/>
  <c r="O227" i="2" s="1"/>
  <c r="L228" i="2"/>
  <c r="O228" i="2" s="1"/>
  <c r="L229" i="2"/>
  <c r="O229" i="2" s="1"/>
  <c r="L230" i="2"/>
  <c r="O230" i="2" s="1"/>
  <c r="L231" i="2"/>
  <c r="O231" i="2" s="1"/>
  <c r="L232" i="2"/>
  <c r="O232" i="2" s="1"/>
  <c r="L233" i="2"/>
  <c r="O233" i="2" s="1"/>
  <c r="L234" i="2"/>
  <c r="O234" i="2" s="1"/>
  <c r="L235" i="2"/>
  <c r="O235" i="2" s="1"/>
  <c r="L236" i="2"/>
  <c r="O236" i="2" s="1"/>
  <c r="L237" i="2"/>
  <c r="O237" i="2" s="1"/>
  <c r="L238" i="2"/>
  <c r="O238" i="2" s="1"/>
  <c r="L239" i="2"/>
  <c r="O239" i="2" s="1"/>
  <c r="L240" i="2"/>
  <c r="O240" i="2" s="1"/>
  <c r="L241" i="2"/>
  <c r="O241" i="2" s="1"/>
  <c r="L242" i="2"/>
  <c r="O242" i="2" s="1"/>
  <c r="L243" i="2"/>
  <c r="O243" i="2" s="1"/>
  <c r="L244" i="2"/>
  <c r="O244" i="2" s="1"/>
  <c r="L245" i="2"/>
  <c r="O245" i="2" s="1"/>
  <c r="L246" i="2"/>
  <c r="O246" i="2" s="1"/>
  <c r="L247" i="2"/>
  <c r="O247" i="2" s="1"/>
  <c r="L248" i="2"/>
  <c r="O248" i="2" s="1"/>
  <c r="L249" i="2"/>
  <c r="O249" i="2" s="1"/>
  <c r="L250" i="2"/>
  <c r="O250" i="2" s="1"/>
  <c r="L251" i="2"/>
  <c r="O251" i="2" s="1"/>
  <c r="L252" i="2"/>
  <c r="O252" i="2" s="1"/>
  <c r="L253" i="2"/>
  <c r="O253" i="2" s="1"/>
  <c r="L254" i="2"/>
  <c r="O254" i="2" s="1"/>
  <c r="L255" i="2"/>
  <c r="O255" i="2" s="1"/>
  <c r="L256" i="2"/>
  <c r="O256" i="2" s="1"/>
  <c r="L257" i="2"/>
  <c r="O257" i="2" s="1"/>
  <c r="L258" i="2"/>
  <c r="O258" i="2" s="1"/>
  <c r="L259" i="2"/>
  <c r="O259" i="2" s="1"/>
  <c r="L260" i="2"/>
  <c r="O260" i="2" s="1"/>
  <c r="L261" i="2"/>
  <c r="O261" i="2" s="1"/>
  <c r="L262" i="2"/>
  <c r="O262" i="2" s="1"/>
  <c r="L263" i="2"/>
  <c r="O263" i="2" s="1"/>
  <c r="L264" i="2"/>
  <c r="O264" i="2" s="1"/>
  <c r="L265" i="2"/>
  <c r="O265" i="2" s="1"/>
  <c r="L266" i="2"/>
  <c r="O266" i="2" s="1"/>
  <c r="L267" i="2"/>
  <c r="O267" i="2" s="1"/>
  <c r="L268" i="2"/>
  <c r="O268" i="2" s="1"/>
  <c r="L269" i="2"/>
  <c r="O269" i="2" s="1"/>
  <c r="L270" i="2"/>
  <c r="O270" i="2" s="1"/>
  <c r="L271" i="2"/>
  <c r="O271" i="2" s="1"/>
  <c r="L272" i="2"/>
  <c r="O272" i="2" s="1"/>
  <c r="L273" i="2"/>
  <c r="O273" i="2" s="1"/>
  <c r="L274" i="2"/>
  <c r="O274" i="2" s="1"/>
  <c r="L275" i="2"/>
  <c r="O275" i="2" s="1"/>
  <c r="L276" i="2"/>
  <c r="O276" i="2" s="1"/>
  <c r="L277" i="2"/>
  <c r="O277" i="2" s="1"/>
  <c r="L278" i="2"/>
  <c r="O278" i="2" s="1"/>
  <c r="L279" i="2"/>
  <c r="O279" i="2" s="1"/>
  <c r="L280" i="2"/>
  <c r="O280" i="2" s="1"/>
  <c r="L281" i="2"/>
  <c r="O281" i="2" s="1"/>
  <c r="L282" i="2"/>
  <c r="O282" i="2" s="1"/>
  <c r="L283" i="2"/>
  <c r="O283" i="2" s="1"/>
  <c r="L284" i="2"/>
  <c r="O284" i="2" s="1"/>
  <c r="L285" i="2"/>
  <c r="O285" i="2" s="1"/>
  <c r="L286" i="2"/>
  <c r="O286" i="2" s="1"/>
  <c r="L287" i="2"/>
  <c r="O287" i="2" s="1"/>
  <c r="L288" i="2"/>
  <c r="O288" i="2" s="1"/>
  <c r="L289" i="2"/>
  <c r="O289" i="2" s="1"/>
  <c r="L290" i="2"/>
  <c r="O290" i="2" s="1"/>
  <c r="L291" i="2"/>
  <c r="O291" i="2" s="1"/>
  <c r="L292" i="2"/>
  <c r="O292" i="2" s="1"/>
  <c r="L293" i="2"/>
  <c r="O293" i="2" s="1"/>
  <c r="L294" i="2"/>
  <c r="O294" i="2" s="1"/>
  <c r="L295" i="2"/>
  <c r="O295" i="2" s="1"/>
  <c r="L296" i="2"/>
  <c r="O296" i="2" s="1"/>
  <c r="L297" i="2"/>
  <c r="O297" i="2" s="1"/>
  <c r="L298" i="2"/>
  <c r="O298" i="2" s="1"/>
  <c r="L299" i="2"/>
  <c r="O299" i="2" s="1"/>
  <c r="L300" i="2"/>
  <c r="O300" i="2" s="1"/>
  <c r="L301" i="2"/>
  <c r="O301" i="2" s="1"/>
  <c r="L302" i="2"/>
  <c r="O302" i="2" s="1"/>
  <c r="L303" i="2"/>
  <c r="O303" i="2" s="1"/>
  <c r="L304" i="2"/>
  <c r="O304" i="2" s="1"/>
  <c r="L305" i="2"/>
  <c r="O305" i="2" s="1"/>
  <c r="L306" i="2"/>
  <c r="O306" i="2" s="1"/>
  <c r="L307" i="2"/>
  <c r="O307" i="2" s="1"/>
  <c r="L308" i="2"/>
  <c r="O308" i="2" s="1"/>
  <c r="L309" i="2"/>
  <c r="O309" i="2" s="1"/>
  <c r="L310" i="2"/>
  <c r="O310" i="2" s="1"/>
  <c r="L311" i="2"/>
  <c r="O311" i="2" s="1"/>
  <c r="L312" i="2"/>
  <c r="O312" i="2" s="1"/>
  <c r="L313" i="2"/>
  <c r="O313" i="2" s="1"/>
  <c r="L314" i="2"/>
  <c r="O314" i="2" s="1"/>
  <c r="L315" i="2"/>
  <c r="O315" i="2" s="1"/>
  <c r="L316" i="2"/>
  <c r="O316" i="2" s="1"/>
  <c r="L317" i="2"/>
  <c r="O317" i="2" s="1"/>
  <c r="L318" i="2"/>
  <c r="O318" i="2" s="1"/>
  <c r="L319" i="2"/>
  <c r="O319" i="2" s="1"/>
  <c r="L320" i="2"/>
  <c r="O320" i="2" s="1"/>
  <c r="L321" i="2"/>
  <c r="O321" i="2" s="1"/>
  <c r="L322" i="2"/>
  <c r="O322" i="2" s="1"/>
  <c r="L323" i="2"/>
  <c r="O323" i="2" s="1"/>
  <c r="L324" i="2"/>
  <c r="O324" i="2" s="1"/>
  <c r="L325" i="2"/>
  <c r="O325" i="2" s="1"/>
  <c r="L326" i="2"/>
  <c r="O326" i="2" s="1"/>
  <c r="L327" i="2"/>
  <c r="O327" i="2" s="1"/>
  <c r="L328" i="2"/>
  <c r="O328" i="2" s="1"/>
  <c r="L329" i="2"/>
  <c r="O329" i="2" s="1"/>
  <c r="L330" i="2"/>
  <c r="O330" i="2" s="1"/>
  <c r="L331" i="2"/>
  <c r="O331" i="2" s="1"/>
  <c r="L332" i="2"/>
  <c r="O332" i="2" s="1"/>
  <c r="L333" i="2"/>
  <c r="O333" i="2" s="1"/>
  <c r="L334" i="2"/>
  <c r="O334" i="2" s="1"/>
  <c r="L335" i="2"/>
  <c r="O335" i="2" s="1"/>
  <c r="L336" i="2"/>
  <c r="O336" i="2" s="1"/>
  <c r="L337" i="2"/>
  <c r="O337" i="2" s="1"/>
  <c r="L338" i="2"/>
  <c r="O338" i="2" s="1"/>
  <c r="L339" i="2"/>
  <c r="O339" i="2" s="1"/>
  <c r="L340" i="2"/>
  <c r="O340" i="2" s="1"/>
  <c r="L341" i="2"/>
  <c r="O341" i="2" s="1"/>
  <c r="L342" i="2"/>
  <c r="O342" i="2" s="1"/>
  <c r="L343" i="2"/>
  <c r="O343" i="2" s="1"/>
  <c r="L344" i="2"/>
  <c r="O344" i="2" s="1"/>
  <c r="L345" i="2"/>
  <c r="O345" i="2" s="1"/>
  <c r="L346" i="2"/>
  <c r="O346" i="2" s="1"/>
  <c r="L347" i="2"/>
  <c r="O347" i="2" s="1"/>
  <c r="L348" i="2"/>
  <c r="O348" i="2" s="1"/>
  <c r="L349" i="2"/>
  <c r="O349" i="2" s="1"/>
  <c r="L350" i="2"/>
  <c r="O350" i="2" s="1"/>
  <c r="L351" i="2"/>
  <c r="O351" i="2" s="1"/>
  <c r="L352" i="2"/>
  <c r="O352" i="2" s="1"/>
  <c r="L353" i="2"/>
  <c r="O353" i="2" s="1"/>
  <c r="L354" i="2"/>
  <c r="O354" i="2" s="1"/>
  <c r="L355" i="2"/>
  <c r="O355" i="2" s="1"/>
  <c r="L356" i="2"/>
  <c r="O356" i="2" s="1"/>
  <c r="L357" i="2"/>
  <c r="O357" i="2" s="1"/>
  <c r="L358" i="2"/>
  <c r="O358" i="2" s="1"/>
  <c r="L359" i="2"/>
  <c r="O359" i="2" s="1"/>
  <c r="L360" i="2"/>
  <c r="O360" i="2" s="1"/>
  <c r="L361" i="2"/>
  <c r="O361" i="2" s="1"/>
  <c r="L362" i="2"/>
  <c r="O362" i="2" s="1"/>
  <c r="L363" i="2"/>
  <c r="O363" i="2" s="1"/>
  <c r="L364" i="2"/>
  <c r="O364" i="2" s="1"/>
  <c r="L365" i="2"/>
  <c r="O365" i="2" s="1"/>
  <c r="L366" i="2"/>
  <c r="O366" i="2" s="1"/>
  <c r="L367" i="2"/>
  <c r="O367" i="2" s="1"/>
  <c r="L368" i="2"/>
  <c r="O368" i="2" s="1"/>
  <c r="L369" i="2"/>
  <c r="O369" i="2" s="1"/>
  <c r="L370" i="2"/>
  <c r="O370" i="2" s="1"/>
  <c r="L371" i="2"/>
  <c r="O371" i="2" s="1"/>
  <c r="L372" i="2"/>
  <c r="O372" i="2" s="1"/>
  <c r="L373" i="2"/>
  <c r="O373" i="2" s="1"/>
  <c r="L374" i="2"/>
  <c r="O374" i="2" s="1"/>
  <c r="L375" i="2"/>
  <c r="O375" i="2" s="1"/>
  <c r="L376" i="2"/>
  <c r="O376" i="2" s="1"/>
  <c r="L377" i="2"/>
  <c r="O377" i="2" s="1"/>
  <c r="L378" i="2"/>
  <c r="O378" i="2" s="1"/>
  <c r="L379" i="2"/>
  <c r="O379" i="2" s="1"/>
  <c r="L380" i="2"/>
  <c r="O380" i="2" s="1"/>
  <c r="L381" i="2"/>
  <c r="O381" i="2" s="1"/>
  <c r="L382" i="2"/>
  <c r="O382" i="2" s="1"/>
  <c r="L383" i="2"/>
  <c r="O383" i="2" s="1"/>
  <c r="L384" i="2"/>
  <c r="O384" i="2" s="1"/>
  <c r="L385" i="2"/>
  <c r="O385" i="2" s="1"/>
  <c r="L386" i="2"/>
  <c r="O386" i="2" s="1"/>
  <c r="L387" i="2"/>
  <c r="O387" i="2" s="1"/>
  <c r="L388" i="2"/>
  <c r="O388" i="2" s="1"/>
  <c r="L389" i="2"/>
  <c r="O389" i="2" s="1"/>
  <c r="L390" i="2"/>
  <c r="O390" i="2" s="1"/>
  <c r="L391" i="2"/>
  <c r="O391" i="2" s="1"/>
  <c r="L392" i="2"/>
  <c r="O392" i="2" s="1"/>
  <c r="L393" i="2"/>
  <c r="O393" i="2" s="1"/>
  <c r="L394" i="2"/>
  <c r="O394" i="2" s="1"/>
  <c r="L395" i="2"/>
  <c r="O395" i="2" s="1"/>
  <c r="L396" i="2"/>
  <c r="O396" i="2" s="1"/>
  <c r="L397" i="2"/>
  <c r="O397" i="2" s="1"/>
  <c r="L398" i="2"/>
  <c r="O398" i="2" s="1"/>
  <c r="L399" i="2"/>
  <c r="O399" i="2" s="1"/>
  <c r="L400" i="2"/>
  <c r="O400" i="2" s="1"/>
  <c r="L401" i="2"/>
  <c r="O401" i="2" s="1"/>
  <c r="L402" i="2"/>
  <c r="O402" i="2" s="1"/>
  <c r="L403" i="2"/>
  <c r="O403" i="2" s="1"/>
  <c r="L404" i="2"/>
  <c r="O404" i="2" s="1"/>
  <c r="L405" i="2"/>
  <c r="O405" i="2" s="1"/>
  <c r="L406" i="2"/>
  <c r="O406" i="2" s="1"/>
  <c r="L407" i="2"/>
  <c r="O407" i="2" s="1"/>
  <c r="L408" i="2"/>
  <c r="O408" i="2" s="1"/>
  <c r="L409" i="2"/>
  <c r="O409" i="2" s="1"/>
  <c r="L410" i="2"/>
  <c r="O410" i="2" s="1"/>
  <c r="L411" i="2"/>
  <c r="O411" i="2" s="1"/>
  <c r="L412" i="2"/>
  <c r="O412" i="2" s="1"/>
  <c r="L413" i="2"/>
  <c r="O413" i="2" s="1"/>
  <c r="L414" i="2"/>
  <c r="O414" i="2" s="1"/>
  <c r="L415" i="2"/>
  <c r="O415" i="2" s="1"/>
  <c r="L416" i="2"/>
  <c r="O416" i="2" s="1"/>
  <c r="L417" i="2"/>
  <c r="O417" i="2" s="1"/>
  <c r="L418" i="2"/>
  <c r="O418" i="2" s="1"/>
  <c r="L419" i="2"/>
  <c r="O419" i="2" s="1"/>
  <c r="L420" i="2"/>
  <c r="O420" i="2" s="1"/>
  <c r="L421" i="2"/>
  <c r="O421" i="2" s="1"/>
  <c r="L422" i="2"/>
  <c r="O422" i="2" s="1"/>
  <c r="L423" i="2"/>
  <c r="O423" i="2" s="1"/>
  <c r="L424" i="2"/>
  <c r="O424" i="2" s="1"/>
  <c r="L425" i="2"/>
  <c r="O425" i="2" s="1"/>
  <c r="L426" i="2"/>
  <c r="O426" i="2" s="1"/>
  <c r="L427" i="2"/>
  <c r="O427" i="2" s="1"/>
  <c r="L428" i="2"/>
  <c r="O428" i="2" s="1"/>
  <c r="L429" i="2"/>
  <c r="O429" i="2" s="1"/>
  <c r="L430" i="2"/>
  <c r="O430" i="2" s="1"/>
  <c r="L431" i="2"/>
  <c r="O431" i="2" s="1"/>
  <c r="L432" i="2"/>
  <c r="O432" i="2" s="1"/>
  <c r="L433" i="2"/>
  <c r="O433" i="2" s="1"/>
  <c r="L434" i="2"/>
  <c r="O434" i="2" s="1"/>
  <c r="L435" i="2"/>
  <c r="O435" i="2" s="1"/>
  <c r="L436" i="2"/>
  <c r="O436" i="2" s="1"/>
  <c r="L437" i="2"/>
  <c r="O437" i="2" s="1"/>
  <c r="L438" i="2"/>
  <c r="O438" i="2" s="1"/>
  <c r="L439" i="2"/>
  <c r="O439" i="2" s="1"/>
  <c r="L440" i="2"/>
  <c r="O440" i="2" s="1"/>
  <c r="L441" i="2"/>
  <c r="O441" i="2" s="1"/>
  <c r="L442" i="2"/>
  <c r="O442" i="2" s="1"/>
  <c r="L443" i="2"/>
  <c r="O443" i="2" s="1"/>
  <c r="L444" i="2"/>
  <c r="O444" i="2" s="1"/>
  <c r="L445" i="2"/>
  <c r="O445" i="2" s="1"/>
  <c r="L446" i="2"/>
  <c r="O446" i="2" s="1"/>
  <c r="L447" i="2"/>
  <c r="O447" i="2" s="1"/>
  <c r="L448" i="2"/>
  <c r="O448" i="2" s="1"/>
  <c r="L449" i="2"/>
  <c r="O449" i="2" s="1"/>
  <c r="L450" i="2"/>
  <c r="O450" i="2" s="1"/>
  <c r="L451" i="2"/>
  <c r="O451" i="2" s="1"/>
  <c r="L452" i="2"/>
  <c r="O452" i="2" s="1"/>
  <c r="L453" i="2"/>
  <c r="O453" i="2" s="1"/>
  <c r="L454" i="2"/>
  <c r="O454" i="2" s="1"/>
  <c r="L455" i="2"/>
  <c r="O455" i="2" s="1"/>
  <c r="L456" i="2"/>
  <c r="O456" i="2" s="1"/>
  <c r="L457" i="2"/>
  <c r="O457" i="2" s="1"/>
  <c r="L458" i="2"/>
  <c r="O458" i="2" s="1"/>
  <c r="L459" i="2"/>
  <c r="O459" i="2" s="1"/>
  <c r="L460" i="2"/>
  <c r="O460" i="2" s="1"/>
  <c r="L461" i="2"/>
  <c r="O461" i="2" s="1"/>
  <c r="L462" i="2"/>
  <c r="O462" i="2" s="1"/>
  <c r="L463" i="2"/>
  <c r="O463" i="2" s="1"/>
  <c r="L464" i="2"/>
  <c r="O464" i="2" s="1"/>
  <c r="L465" i="2"/>
  <c r="O465" i="2" s="1"/>
  <c r="L466" i="2"/>
  <c r="O466" i="2" s="1"/>
  <c r="L467" i="2"/>
  <c r="O467" i="2" s="1"/>
  <c r="L468" i="2"/>
  <c r="O468" i="2" s="1"/>
  <c r="L469" i="2"/>
  <c r="O469" i="2" s="1"/>
  <c r="L470" i="2"/>
  <c r="O470" i="2" s="1"/>
  <c r="L471" i="2"/>
  <c r="O471" i="2" s="1"/>
  <c r="L472" i="2"/>
  <c r="O472" i="2" s="1"/>
  <c r="L473" i="2"/>
  <c r="O473" i="2" s="1"/>
  <c r="L474" i="2"/>
  <c r="O474" i="2" s="1"/>
  <c r="L475" i="2"/>
  <c r="O475" i="2" s="1"/>
  <c r="L476" i="2"/>
  <c r="O476" i="2" s="1"/>
  <c r="L477" i="2"/>
  <c r="O477" i="2" s="1"/>
  <c r="L478" i="2"/>
  <c r="O478" i="2" s="1"/>
  <c r="L479" i="2"/>
  <c r="O479" i="2" s="1"/>
  <c r="L480" i="2"/>
  <c r="O480" i="2" s="1"/>
  <c r="L481" i="2"/>
  <c r="O481" i="2" s="1"/>
  <c r="L482" i="2"/>
  <c r="O482" i="2" s="1"/>
  <c r="L483" i="2"/>
  <c r="O483" i="2" s="1"/>
  <c r="L484" i="2"/>
  <c r="O484" i="2" s="1"/>
  <c r="L485" i="2"/>
  <c r="O485" i="2" s="1"/>
  <c r="L486" i="2"/>
  <c r="O486" i="2" s="1"/>
  <c r="L487" i="2"/>
  <c r="O487" i="2" s="1"/>
  <c r="L488" i="2"/>
  <c r="O488" i="2" s="1"/>
  <c r="L489" i="2"/>
  <c r="O489" i="2" s="1"/>
  <c r="L490" i="2"/>
  <c r="O490" i="2" s="1"/>
  <c r="L491" i="2"/>
  <c r="O491" i="2" s="1"/>
  <c r="L492" i="2"/>
  <c r="O492" i="2" s="1"/>
  <c r="L493" i="2"/>
  <c r="O493" i="2" s="1"/>
  <c r="L494" i="2"/>
  <c r="O494" i="2" s="1"/>
  <c r="L495" i="2"/>
  <c r="O495" i="2" s="1"/>
  <c r="L496" i="2"/>
  <c r="O496" i="2" s="1"/>
  <c r="L497" i="2"/>
  <c r="O497" i="2" s="1"/>
  <c r="L498" i="2"/>
  <c r="O498" i="2" s="1"/>
  <c r="L499" i="2"/>
  <c r="O499" i="2" s="1"/>
  <c r="L500" i="2"/>
  <c r="O500" i="2" s="1"/>
  <c r="L501" i="2"/>
  <c r="O501" i="2" s="1"/>
  <c r="L502" i="2"/>
  <c r="O502" i="2" s="1"/>
  <c r="L503" i="2"/>
  <c r="O503" i="2" s="1"/>
  <c r="L504" i="2"/>
  <c r="O504" i="2" s="1"/>
  <c r="L505" i="2"/>
  <c r="O505" i="2" s="1"/>
  <c r="L506" i="2"/>
  <c r="O506" i="2" s="1"/>
  <c r="L507" i="2"/>
  <c r="O507" i="2" s="1"/>
  <c r="L508" i="2"/>
  <c r="O508" i="2" s="1"/>
  <c r="L509" i="2"/>
  <c r="O509" i="2" s="1"/>
  <c r="L510" i="2"/>
  <c r="O510" i="2" s="1"/>
  <c r="L511" i="2"/>
  <c r="O511" i="2" s="1"/>
  <c r="L512" i="2"/>
  <c r="O512" i="2" s="1"/>
  <c r="L513" i="2"/>
  <c r="O513" i="2" s="1"/>
  <c r="L514" i="2"/>
  <c r="O514" i="2" s="1"/>
  <c r="L515" i="2"/>
  <c r="O515" i="2" s="1"/>
  <c r="L516" i="2"/>
  <c r="O516" i="2" s="1"/>
  <c r="L517" i="2"/>
  <c r="O517" i="2" s="1"/>
  <c r="L518" i="2"/>
  <c r="O518" i="2" s="1"/>
  <c r="L519" i="2"/>
  <c r="O519" i="2" s="1"/>
  <c r="L520" i="2"/>
  <c r="O520" i="2" s="1"/>
  <c r="L521" i="2"/>
  <c r="O521" i="2" s="1"/>
  <c r="L522" i="2"/>
  <c r="O522" i="2" s="1"/>
  <c r="L523" i="2"/>
  <c r="O523" i="2" s="1"/>
  <c r="L524" i="2"/>
  <c r="O524" i="2" s="1"/>
  <c r="L525" i="2"/>
  <c r="O525" i="2" s="1"/>
  <c r="L526" i="2"/>
  <c r="O526" i="2" s="1"/>
  <c r="L527" i="2"/>
  <c r="O527" i="2" s="1"/>
  <c r="L528" i="2"/>
  <c r="O528" i="2" s="1"/>
  <c r="L529" i="2"/>
  <c r="O529" i="2" s="1"/>
  <c r="L530" i="2"/>
  <c r="O530" i="2" s="1"/>
  <c r="L531" i="2"/>
  <c r="O531" i="2" s="1"/>
  <c r="L532" i="2"/>
  <c r="O532" i="2" s="1"/>
  <c r="L533" i="2"/>
  <c r="O533" i="2" s="1"/>
  <c r="L534" i="2"/>
  <c r="O534" i="2" s="1"/>
  <c r="L535" i="2"/>
  <c r="O535" i="2" s="1"/>
  <c r="L536" i="2"/>
  <c r="O536" i="2" s="1"/>
  <c r="L537" i="2"/>
  <c r="O537" i="2" s="1"/>
  <c r="L538" i="2"/>
  <c r="O538" i="2" s="1"/>
  <c r="L539" i="2"/>
  <c r="O539" i="2" s="1"/>
  <c r="L540" i="2"/>
  <c r="O540" i="2" s="1"/>
  <c r="L541" i="2"/>
  <c r="O541" i="2" s="1"/>
  <c r="L542" i="2"/>
  <c r="O542" i="2" s="1"/>
  <c r="L543" i="2"/>
  <c r="O543" i="2" s="1"/>
  <c r="L544" i="2"/>
  <c r="O544" i="2" s="1"/>
  <c r="L545" i="2"/>
  <c r="O545" i="2" s="1"/>
  <c r="L546" i="2"/>
  <c r="O546" i="2" s="1"/>
  <c r="L547" i="2"/>
  <c r="O547" i="2" s="1"/>
  <c r="L548" i="2"/>
  <c r="O548" i="2" s="1"/>
  <c r="L549" i="2"/>
  <c r="O549" i="2" s="1"/>
  <c r="L550" i="2"/>
  <c r="O550" i="2" s="1"/>
  <c r="L551" i="2"/>
  <c r="O551" i="2" s="1"/>
  <c r="L552" i="2"/>
  <c r="O552" i="2" s="1"/>
  <c r="L553" i="2"/>
  <c r="O553" i="2" s="1"/>
  <c r="L554" i="2"/>
  <c r="O554" i="2" s="1"/>
  <c r="L555" i="2"/>
  <c r="O555" i="2" s="1"/>
  <c r="L556" i="2"/>
  <c r="O556" i="2" s="1"/>
  <c r="L557" i="2"/>
  <c r="O557" i="2" s="1"/>
  <c r="L558" i="2"/>
  <c r="O558" i="2" s="1"/>
  <c r="L559" i="2"/>
  <c r="O559" i="2" s="1"/>
  <c r="L560" i="2"/>
  <c r="O560" i="2" s="1"/>
  <c r="L561" i="2"/>
  <c r="O561" i="2" s="1"/>
  <c r="L562" i="2"/>
  <c r="O562" i="2" s="1"/>
  <c r="L563" i="2"/>
  <c r="O563" i="2" s="1"/>
  <c r="L564" i="2"/>
  <c r="O564" i="2" s="1"/>
  <c r="L565" i="2"/>
  <c r="O565" i="2" s="1"/>
  <c r="L566" i="2"/>
  <c r="O566" i="2" s="1"/>
  <c r="L567" i="2"/>
  <c r="O567" i="2" s="1"/>
  <c r="L568" i="2"/>
  <c r="O568" i="2" s="1"/>
  <c r="L569" i="2"/>
  <c r="O569" i="2" s="1"/>
  <c r="L570" i="2"/>
  <c r="O570" i="2" s="1"/>
  <c r="L571" i="2"/>
  <c r="O571" i="2" s="1"/>
  <c r="L572" i="2"/>
  <c r="O572" i="2" s="1"/>
  <c r="L573" i="2"/>
  <c r="O573" i="2" s="1"/>
  <c r="L574" i="2"/>
  <c r="O574" i="2" s="1"/>
  <c r="L575" i="2"/>
  <c r="O575" i="2" s="1"/>
  <c r="L576" i="2"/>
  <c r="O576" i="2" s="1"/>
  <c r="L577" i="2"/>
  <c r="O577" i="2" s="1"/>
  <c r="L578" i="2"/>
  <c r="O578" i="2" s="1"/>
  <c r="L579" i="2"/>
  <c r="O579" i="2" s="1"/>
  <c r="L580" i="2"/>
  <c r="O580" i="2" s="1"/>
  <c r="L581" i="2"/>
  <c r="O581" i="2" s="1"/>
  <c r="L582" i="2"/>
  <c r="O582" i="2" s="1"/>
  <c r="L583" i="2"/>
  <c r="O583" i="2" s="1"/>
  <c r="L584" i="2"/>
  <c r="O584" i="2" s="1"/>
  <c r="L585" i="2"/>
  <c r="O585" i="2" s="1"/>
  <c r="L586" i="2"/>
  <c r="O586" i="2" s="1"/>
  <c r="L587" i="2"/>
  <c r="O587" i="2" s="1"/>
  <c r="L588" i="2"/>
  <c r="O588" i="2" s="1"/>
  <c r="L589" i="2"/>
  <c r="O589" i="2" s="1"/>
  <c r="L590" i="2"/>
  <c r="O590" i="2" s="1"/>
  <c r="L591" i="2"/>
  <c r="O591" i="2" s="1"/>
  <c r="L592" i="2"/>
  <c r="O592" i="2" s="1"/>
  <c r="L593" i="2"/>
  <c r="O593" i="2" s="1"/>
  <c r="L594" i="2"/>
  <c r="O594" i="2" s="1"/>
  <c r="L595" i="2"/>
  <c r="O595" i="2" s="1"/>
  <c r="L596" i="2"/>
  <c r="O596" i="2" s="1"/>
  <c r="L597" i="2"/>
  <c r="O597" i="2" s="1"/>
  <c r="L598" i="2"/>
  <c r="O598" i="2" s="1"/>
  <c r="L599" i="2"/>
  <c r="O599" i="2" s="1"/>
  <c r="L600" i="2"/>
  <c r="O600" i="2" s="1"/>
  <c r="L601" i="2"/>
  <c r="O601" i="2" s="1"/>
  <c r="L602" i="2"/>
  <c r="O602" i="2" s="1"/>
  <c r="L603" i="2"/>
  <c r="O603" i="2" s="1"/>
  <c r="L604" i="2"/>
  <c r="O604" i="2" s="1"/>
  <c r="L605" i="2"/>
  <c r="O605" i="2" s="1"/>
  <c r="L606" i="2"/>
  <c r="O606" i="2" s="1"/>
  <c r="L607" i="2"/>
  <c r="O607" i="2" s="1"/>
  <c r="L608" i="2"/>
  <c r="O608" i="2" s="1"/>
  <c r="L609" i="2"/>
  <c r="O609" i="2" s="1"/>
  <c r="L610" i="2"/>
  <c r="O610" i="2" s="1"/>
  <c r="L611" i="2"/>
  <c r="O611" i="2" s="1"/>
  <c r="L612" i="2"/>
  <c r="O612" i="2" s="1"/>
  <c r="L613" i="2"/>
  <c r="O613" i="2" s="1"/>
  <c r="L614" i="2"/>
  <c r="O614" i="2" s="1"/>
  <c r="L615" i="2"/>
  <c r="O615" i="2" s="1"/>
  <c r="L616" i="2"/>
  <c r="O616" i="2" s="1"/>
  <c r="L617" i="2"/>
  <c r="O617" i="2" s="1"/>
  <c r="L618" i="2"/>
  <c r="O618" i="2" s="1"/>
  <c r="L619" i="2"/>
  <c r="O619" i="2" s="1"/>
  <c r="L620" i="2"/>
  <c r="O620" i="2" s="1"/>
  <c r="L621" i="2"/>
  <c r="O621" i="2" s="1"/>
  <c r="L622" i="2"/>
  <c r="O622" i="2" s="1"/>
  <c r="L623" i="2"/>
  <c r="O623" i="2" s="1"/>
  <c r="L624" i="2"/>
  <c r="O624" i="2" s="1"/>
  <c r="L625" i="2"/>
  <c r="O625" i="2" s="1"/>
  <c r="L626" i="2"/>
  <c r="O626" i="2" s="1"/>
  <c r="L627" i="2"/>
  <c r="O627" i="2" s="1"/>
  <c r="L628" i="2"/>
  <c r="O628" i="2" s="1"/>
  <c r="L629" i="2"/>
  <c r="O629" i="2" s="1"/>
  <c r="L630" i="2"/>
  <c r="O630" i="2" s="1"/>
  <c r="L631" i="2"/>
  <c r="O631" i="2" s="1"/>
  <c r="L632" i="2"/>
  <c r="O632" i="2" s="1"/>
  <c r="L633" i="2"/>
  <c r="O633" i="2" s="1"/>
  <c r="L634" i="2"/>
  <c r="O634" i="2" s="1"/>
  <c r="L635" i="2"/>
  <c r="O635" i="2" s="1"/>
  <c r="L636" i="2"/>
  <c r="O636" i="2" s="1"/>
  <c r="L637" i="2"/>
  <c r="O637" i="2" s="1"/>
  <c r="L638" i="2"/>
  <c r="O638" i="2" s="1"/>
  <c r="L639" i="2"/>
  <c r="O639" i="2" s="1"/>
  <c r="L640" i="2"/>
  <c r="O640" i="2" s="1"/>
  <c r="L641" i="2"/>
  <c r="O641" i="2" s="1"/>
  <c r="L642" i="2"/>
  <c r="O642" i="2" s="1"/>
  <c r="L643" i="2"/>
  <c r="O643" i="2" s="1"/>
  <c r="L644" i="2"/>
  <c r="O644" i="2" s="1"/>
  <c r="L645" i="2"/>
  <c r="O645" i="2" s="1"/>
  <c r="L646" i="2"/>
  <c r="O646" i="2" s="1"/>
  <c r="L647" i="2"/>
  <c r="O647" i="2" s="1"/>
  <c r="L648" i="2"/>
  <c r="O648" i="2" s="1"/>
  <c r="L649" i="2"/>
  <c r="O649" i="2" s="1"/>
  <c r="L650" i="2"/>
  <c r="O650" i="2" s="1"/>
  <c r="L651" i="2"/>
  <c r="O651" i="2" s="1"/>
  <c r="L652" i="2"/>
  <c r="O652" i="2" s="1"/>
  <c r="L653" i="2"/>
  <c r="O653" i="2" s="1"/>
  <c r="L654" i="2"/>
  <c r="O654" i="2" s="1"/>
  <c r="L655" i="2"/>
  <c r="O655" i="2" s="1"/>
  <c r="L656" i="2"/>
  <c r="O656" i="2" s="1"/>
  <c r="L657" i="2"/>
  <c r="O657" i="2" s="1"/>
  <c r="L658" i="2"/>
  <c r="O658" i="2" s="1"/>
  <c r="L659" i="2"/>
  <c r="O659" i="2" s="1"/>
  <c r="L660" i="2"/>
  <c r="O660" i="2" s="1"/>
  <c r="L661" i="2"/>
  <c r="O661" i="2" s="1"/>
  <c r="L662" i="2"/>
  <c r="O662" i="2" s="1"/>
  <c r="L663" i="2"/>
  <c r="O663" i="2" s="1"/>
  <c r="L664" i="2"/>
  <c r="O664" i="2" s="1"/>
  <c r="L665" i="2"/>
  <c r="O665" i="2" s="1"/>
  <c r="L666" i="2"/>
  <c r="O666" i="2" s="1"/>
  <c r="L667" i="2"/>
  <c r="O667" i="2" s="1"/>
  <c r="L668" i="2"/>
  <c r="O668" i="2" s="1"/>
  <c r="L669" i="2"/>
  <c r="O669" i="2" s="1"/>
  <c r="L670" i="2"/>
  <c r="O670" i="2" s="1"/>
  <c r="L671" i="2"/>
  <c r="O671" i="2" s="1"/>
  <c r="L672" i="2"/>
  <c r="O672" i="2" s="1"/>
  <c r="L673" i="2"/>
  <c r="O673" i="2" s="1"/>
  <c r="L674" i="2"/>
  <c r="O674" i="2" s="1"/>
  <c r="L675" i="2"/>
  <c r="O675" i="2" s="1"/>
  <c r="L676" i="2"/>
  <c r="O676" i="2" s="1"/>
  <c r="L677" i="2"/>
  <c r="O677" i="2" s="1"/>
  <c r="L678" i="2"/>
  <c r="O678" i="2" s="1"/>
  <c r="L679" i="2"/>
  <c r="O679" i="2" s="1"/>
  <c r="L680" i="2"/>
  <c r="O680" i="2" s="1"/>
  <c r="L3" i="2"/>
  <c r="O3" i="2" s="1"/>
  <c r="L4" i="2"/>
  <c r="O4" i="2" s="1"/>
  <c r="L2" i="2"/>
  <c r="O2" i="2" s="1"/>
  <c r="M3" i="2"/>
  <c r="N3" i="2"/>
  <c r="M4" i="2"/>
  <c r="N4" i="2"/>
  <c r="M5" i="2"/>
  <c r="N5" i="2"/>
  <c r="M6" i="2"/>
  <c r="N6" i="2"/>
  <c r="M7" i="2"/>
  <c r="N7" i="2"/>
  <c r="M8" i="2"/>
  <c r="N8" i="2"/>
  <c r="M9" i="2"/>
  <c r="N9" i="2"/>
  <c r="M10" i="2"/>
  <c r="N10" i="2"/>
  <c r="M11" i="2"/>
  <c r="N11" i="2"/>
  <c r="M12" i="2"/>
  <c r="N12" i="2"/>
  <c r="M13" i="2"/>
  <c r="N13" i="2"/>
  <c r="M14" i="2"/>
  <c r="N14" i="2"/>
  <c r="M15" i="2"/>
  <c r="N15" i="2"/>
  <c r="M16" i="2"/>
  <c r="N16" i="2"/>
  <c r="M17" i="2"/>
  <c r="N17" i="2"/>
  <c r="M18" i="2"/>
  <c r="N18" i="2"/>
  <c r="M19" i="2"/>
  <c r="N19" i="2"/>
  <c r="M20" i="2"/>
  <c r="N20" i="2"/>
  <c r="M21" i="2"/>
  <c r="N21" i="2"/>
  <c r="M22" i="2"/>
  <c r="N22" i="2"/>
  <c r="M23" i="2"/>
  <c r="N23" i="2"/>
  <c r="M24" i="2"/>
  <c r="N24" i="2"/>
  <c r="M25" i="2"/>
  <c r="N25" i="2"/>
  <c r="M26" i="2"/>
  <c r="N26" i="2"/>
  <c r="M27" i="2"/>
  <c r="N27" i="2"/>
  <c r="M28" i="2"/>
  <c r="N28" i="2"/>
  <c r="M29" i="2"/>
  <c r="N29" i="2"/>
  <c r="M30" i="2"/>
  <c r="N30" i="2"/>
  <c r="M31" i="2"/>
  <c r="N31" i="2"/>
  <c r="M32" i="2"/>
  <c r="N32" i="2"/>
  <c r="M33" i="2"/>
  <c r="N33" i="2"/>
  <c r="M34" i="2"/>
  <c r="N34" i="2"/>
  <c r="M35" i="2"/>
  <c r="N35" i="2"/>
  <c r="M36" i="2"/>
  <c r="N36" i="2"/>
  <c r="M37" i="2"/>
  <c r="N37" i="2"/>
  <c r="M38" i="2"/>
  <c r="N38" i="2"/>
  <c r="M39" i="2"/>
  <c r="N39" i="2"/>
  <c r="M40" i="2"/>
  <c r="N40" i="2"/>
  <c r="M41" i="2"/>
  <c r="N41" i="2"/>
  <c r="M42" i="2"/>
  <c r="N42" i="2"/>
  <c r="M43" i="2"/>
  <c r="N43" i="2"/>
  <c r="M44" i="2"/>
  <c r="N44" i="2"/>
  <c r="M45" i="2"/>
  <c r="N45" i="2"/>
  <c r="M46" i="2"/>
  <c r="N46" i="2"/>
  <c r="M47" i="2"/>
  <c r="N47" i="2"/>
  <c r="M48" i="2"/>
  <c r="N48" i="2"/>
  <c r="M49" i="2"/>
  <c r="N49" i="2"/>
  <c r="M50" i="2"/>
  <c r="N50" i="2"/>
  <c r="M51" i="2"/>
  <c r="N51" i="2"/>
  <c r="M52" i="2"/>
  <c r="N52" i="2"/>
  <c r="M53" i="2"/>
  <c r="N53" i="2"/>
  <c r="M54" i="2"/>
  <c r="N54" i="2"/>
  <c r="M55" i="2"/>
  <c r="N55" i="2"/>
  <c r="M56" i="2"/>
  <c r="N56" i="2"/>
  <c r="M57" i="2"/>
  <c r="N57" i="2"/>
  <c r="M58" i="2"/>
  <c r="N58" i="2"/>
  <c r="M59" i="2"/>
  <c r="N59" i="2"/>
  <c r="M60" i="2"/>
  <c r="N60" i="2"/>
  <c r="M61" i="2"/>
  <c r="N61" i="2"/>
  <c r="M62" i="2"/>
  <c r="N62" i="2"/>
  <c r="M63" i="2"/>
  <c r="N63" i="2"/>
  <c r="M64" i="2"/>
  <c r="N64" i="2"/>
  <c r="M65" i="2"/>
  <c r="N65" i="2"/>
  <c r="M66" i="2"/>
  <c r="N66" i="2"/>
  <c r="M67" i="2"/>
  <c r="N67" i="2"/>
  <c r="M68" i="2"/>
  <c r="N68" i="2"/>
  <c r="M69" i="2"/>
  <c r="N69" i="2"/>
  <c r="M70" i="2"/>
  <c r="N70" i="2"/>
  <c r="M71" i="2"/>
  <c r="N71" i="2"/>
  <c r="M72" i="2"/>
  <c r="N72" i="2"/>
  <c r="M73" i="2"/>
  <c r="N73" i="2"/>
  <c r="M74" i="2"/>
  <c r="N74" i="2"/>
  <c r="M75" i="2"/>
  <c r="N75" i="2"/>
  <c r="M76" i="2"/>
  <c r="N76" i="2"/>
  <c r="M77" i="2"/>
  <c r="N77" i="2"/>
  <c r="M78" i="2"/>
  <c r="N78" i="2"/>
  <c r="M79" i="2"/>
  <c r="N79" i="2"/>
  <c r="M80" i="2"/>
  <c r="N80" i="2"/>
  <c r="M81" i="2"/>
  <c r="N81" i="2"/>
  <c r="M82" i="2"/>
  <c r="N82" i="2"/>
  <c r="M83" i="2"/>
  <c r="N83" i="2"/>
  <c r="M84" i="2"/>
  <c r="N84" i="2"/>
  <c r="M85" i="2"/>
  <c r="N85" i="2"/>
  <c r="M86" i="2"/>
  <c r="N86" i="2"/>
  <c r="M87" i="2"/>
  <c r="N87" i="2"/>
  <c r="M88" i="2"/>
  <c r="N88" i="2"/>
  <c r="M89" i="2"/>
  <c r="N89" i="2"/>
  <c r="M90" i="2"/>
  <c r="N90" i="2"/>
  <c r="M91" i="2"/>
  <c r="N91" i="2"/>
  <c r="M92" i="2"/>
  <c r="N92" i="2"/>
  <c r="M93" i="2"/>
  <c r="N93" i="2"/>
  <c r="M94" i="2"/>
  <c r="N94" i="2"/>
  <c r="M95" i="2"/>
  <c r="N95" i="2"/>
  <c r="M96" i="2"/>
  <c r="N96" i="2"/>
  <c r="M97" i="2"/>
  <c r="N97" i="2"/>
  <c r="M98" i="2"/>
  <c r="N98" i="2"/>
  <c r="M99" i="2"/>
  <c r="N99" i="2"/>
  <c r="M100" i="2"/>
  <c r="N100" i="2"/>
  <c r="M101" i="2"/>
  <c r="N101" i="2"/>
  <c r="M102" i="2"/>
  <c r="N102" i="2"/>
  <c r="M103" i="2"/>
  <c r="N103" i="2"/>
  <c r="M104" i="2"/>
  <c r="N104" i="2"/>
  <c r="M105" i="2"/>
  <c r="N105" i="2"/>
  <c r="M106" i="2"/>
  <c r="N106" i="2"/>
  <c r="M107" i="2"/>
  <c r="N107" i="2"/>
  <c r="M108" i="2"/>
  <c r="N108" i="2"/>
  <c r="M109" i="2"/>
  <c r="N109" i="2"/>
  <c r="M110" i="2"/>
  <c r="N110" i="2"/>
  <c r="M111" i="2"/>
  <c r="N111" i="2"/>
  <c r="M112" i="2"/>
  <c r="N112" i="2"/>
  <c r="M113" i="2"/>
  <c r="N113" i="2"/>
  <c r="M114" i="2"/>
  <c r="N114" i="2"/>
  <c r="M115" i="2"/>
  <c r="N115" i="2"/>
  <c r="M116" i="2"/>
  <c r="N116" i="2"/>
  <c r="M117" i="2"/>
  <c r="N117" i="2"/>
  <c r="M118" i="2"/>
  <c r="N118" i="2"/>
  <c r="M119" i="2"/>
  <c r="N119" i="2"/>
  <c r="M120" i="2"/>
  <c r="N120" i="2"/>
  <c r="M121" i="2"/>
  <c r="N121" i="2"/>
  <c r="M122" i="2"/>
  <c r="N122" i="2"/>
  <c r="M123" i="2"/>
  <c r="N123" i="2"/>
  <c r="M124" i="2"/>
  <c r="N124" i="2"/>
  <c r="M125" i="2"/>
  <c r="N125" i="2"/>
  <c r="M126" i="2"/>
  <c r="N126" i="2"/>
  <c r="M127" i="2"/>
  <c r="N127" i="2"/>
  <c r="M128" i="2"/>
  <c r="N128" i="2"/>
  <c r="M129" i="2"/>
  <c r="N129" i="2"/>
  <c r="M130" i="2"/>
  <c r="N130" i="2"/>
  <c r="M131" i="2"/>
  <c r="N131" i="2"/>
  <c r="M132" i="2"/>
  <c r="N132" i="2"/>
  <c r="M133" i="2"/>
  <c r="N133" i="2"/>
  <c r="M134" i="2"/>
  <c r="N134" i="2"/>
  <c r="M135" i="2"/>
  <c r="N135" i="2"/>
  <c r="M136" i="2"/>
  <c r="N136" i="2"/>
  <c r="M137" i="2"/>
  <c r="N137" i="2"/>
  <c r="M138" i="2"/>
  <c r="N138" i="2"/>
  <c r="M139" i="2"/>
  <c r="N139" i="2"/>
  <c r="M140" i="2"/>
  <c r="N140" i="2"/>
  <c r="M141" i="2"/>
  <c r="N141" i="2"/>
  <c r="M142" i="2"/>
  <c r="N142" i="2"/>
  <c r="M143" i="2"/>
  <c r="N143" i="2"/>
  <c r="M144" i="2"/>
  <c r="N144" i="2"/>
  <c r="M145" i="2"/>
  <c r="N145" i="2"/>
  <c r="M146" i="2"/>
  <c r="N146" i="2"/>
  <c r="M147" i="2"/>
  <c r="N147" i="2"/>
  <c r="M148" i="2"/>
  <c r="N148" i="2"/>
  <c r="M149" i="2"/>
  <c r="N149" i="2"/>
  <c r="M150" i="2"/>
  <c r="N150" i="2"/>
  <c r="M151" i="2"/>
  <c r="N151" i="2"/>
  <c r="M152" i="2"/>
  <c r="N152" i="2"/>
  <c r="M153" i="2"/>
  <c r="N153" i="2"/>
  <c r="M154" i="2"/>
  <c r="N154" i="2"/>
  <c r="M155" i="2"/>
  <c r="N155" i="2"/>
  <c r="M156" i="2"/>
  <c r="N156" i="2"/>
  <c r="M157" i="2"/>
  <c r="N157" i="2"/>
  <c r="M158" i="2"/>
  <c r="N158" i="2"/>
  <c r="M159" i="2"/>
  <c r="N159" i="2"/>
  <c r="M160" i="2"/>
  <c r="N160" i="2"/>
  <c r="M161" i="2"/>
  <c r="N161" i="2"/>
  <c r="M162" i="2"/>
  <c r="N162" i="2"/>
  <c r="M163" i="2"/>
  <c r="N163" i="2"/>
  <c r="M164" i="2"/>
  <c r="N164" i="2"/>
  <c r="M165" i="2"/>
  <c r="N165" i="2"/>
  <c r="M166" i="2"/>
  <c r="N166" i="2"/>
  <c r="M167" i="2"/>
  <c r="N167" i="2"/>
  <c r="M168" i="2"/>
  <c r="N168" i="2"/>
  <c r="M169" i="2"/>
  <c r="N169" i="2"/>
  <c r="M170" i="2"/>
  <c r="N170" i="2"/>
  <c r="M171" i="2"/>
  <c r="N171" i="2"/>
  <c r="M172" i="2"/>
  <c r="N172" i="2"/>
  <c r="M173" i="2"/>
  <c r="N173" i="2"/>
  <c r="M174" i="2"/>
  <c r="N174" i="2"/>
  <c r="M175" i="2"/>
  <c r="N175" i="2"/>
  <c r="M176" i="2"/>
  <c r="N176" i="2"/>
  <c r="M177" i="2"/>
  <c r="N177" i="2"/>
  <c r="M178" i="2"/>
  <c r="N178" i="2"/>
  <c r="M179" i="2"/>
  <c r="N179" i="2"/>
  <c r="M180" i="2"/>
  <c r="N180" i="2"/>
  <c r="M181" i="2"/>
  <c r="N181" i="2"/>
  <c r="M182" i="2"/>
  <c r="N182" i="2"/>
  <c r="M183" i="2"/>
  <c r="N183" i="2"/>
  <c r="M184" i="2"/>
  <c r="N184" i="2"/>
  <c r="M185" i="2"/>
  <c r="N185" i="2"/>
  <c r="M186" i="2"/>
  <c r="N186" i="2"/>
  <c r="M187" i="2"/>
  <c r="N187" i="2"/>
  <c r="M188" i="2"/>
  <c r="N188" i="2"/>
  <c r="M189" i="2"/>
  <c r="N189" i="2"/>
  <c r="M190" i="2"/>
  <c r="N190" i="2"/>
  <c r="M191" i="2"/>
  <c r="N191" i="2"/>
  <c r="M192" i="2"/>
  <c r="N192" i="2"/>
  <c r="M193" i="2"/>
  <c r="N193" i="2"/>
  <c r="M194" i="2"/>
  <c r="N194" i="2"/>
  <c r="M195" i="2"/>
  <c r="N195" i="2"/>
  <c r="M196" i="2"/>
  <c r="N196" i="2"/>
  <c r="M197" i="2"/>
  <c r="N197" i="2"/>
  <c r="M198" i="2"/>
  <c r="N198" i="2"/>
  <c r="M199" i="2"/>
  <c r="N199" i="2"/>
  <c r="M200" i="2"/>
  <c r="N200" i="2"/>
  <c r="M201" i="2"/>
  <c r="N201" i="2"/>
  <c r="M202" i="2"/>
  <c r="N202" i="2"/>
  <c r="M203" i="2"/>
  <c r="N203" i="2"/>
  <c r="M204" i="2"/>
  <c r="N204" i="2"/>
  <c r="M205" i="2"/>
  <c r="N205" i="2"/>
  <c r="M206" i="2"/>
  <c r="N206" i="2"/>
  <c r="M207" i="2"/>
  <c r="N207" i="2"/>
  <c r="M208" i="2"/>
  <c r="N208" i="2"/>
  <c r="M209" i="2"/>
  <c r="N209" i="2"/>
  <c r="M210" i="2"/>
  <c r="N210" i="2"/>
  <c r="M211" i="2"/>
  <c r="N211" i="2"/>
  <c r="M212" i="2"/>
  <c r="N212" i="2"/>
  <c r="M213" i="2"/>
  <c r="N213" i="2"/>
  <c r="M214" i="2"/>
  <c r="N214" i="2"/>
  <c r="M215" i="2"/>
  <c r="N215" i="2"/>
  <c r="M216" i="2"/>
  <c r="N216" i="2"/>
  <c r="M217" i="2"/>
  <c r="N217" i="2"/>
  <c r="M218" i="2"/>
  <c r="N218" i="2"/>
  <c r="M219" i="2"/>
  <c r="N219" i="2"/>
  <c r="M220" i="2"/>
  <c r="N220" i="2"/>
  <c r="M221" i="2"/>
  <c r="N221" i="2"/>
  <c r="M222" i="2"/>
  <c r="N222" i="2"/>
  <c r="M223" i="2"/>
  <c r="N223" i="2"/>
  <c r="M224" i="2"/>
  <c r="N224" i="2"/>
  <c r="M225" i="2"/>
  <c r="N225" i="2"/>
  <c r="M226" i="2"/>
  <c r="N226" i="2"/>
  <c r="M227" i="2"/>
  <c r="N227" i="2"/>
  <c r="M228" i="2"/>
  <c r="N228" i="2"/>
  <c r="M229" i="2"/>
  <c r="N229" i="2"/>
  <c r="M230" i="2"/>
  <c r="N230" i="2"/>
  <c r="M231" i="2"/>
  <c r="N231" i="2"/>
  <c r="M232" i="2"/>
  <c r="N232" i="2"/>
  <c r="M233" i="2"/>
  <c r="N233" i="2"/>
  <c r="M234" i="2"/>
  <c r="N234" i="2"/>
  <c r="M235" i="2"/>
  <c r="N235" i="2"/>
  <c r="M236" i="2"/>
  <c r="N236" i="2"/>
  <c r="M237" i="2"/>
  <c r="N237" i="2"/>
  <c r="M238" i="2"/>
  <c r="N238" i="2"/>
  <c r="M239" i="2"/>
  <c r="N239" i="2"/>
  <c r="M240" i="2"/>
  <c r="N240" i="2"/>
  <c r="M241" i="2"/>
  <c r="N241" i="2"/>
  <c r="M242" i="2"/>
  <c r="N242" i="2"/>
  <c r="M243" i="2"/>
  <c r="N243" i="2"/>
  <c r="M244" i="2"/>
  <c r="N244" i="2"/>
  <c r="M245" i="2"/>
  <c r="N245" i="2"/>
  <c r="M246" i="2"/>
  <c r="N246" i="2"/>
  <c r="M247" i="2"/>
  <c r="N247" i="2"/>
  <c r="M248" i="2"/>
  <c r="N248" i="2"/>
  <c r="M249" i="2"/>
  <c r="N249" i="2"/>
  <c r="M250" i="2"/>
  <c r="N250" i="2"/>
  <c r="M251" i="2"/>
  <c r="N251" i="2"/>
  <c r="M252" i="2"/>
  <c r="N252" i="2"/>
  <c r="M253" i="2"/>
  <c r="N253" i="2"/>
  <c r="M254" i="2"/>
  <c r="N254" i="2"/>
  <c r="M255" i="2"/>
  <c r="N255" i="2"/>
  <c r="M256" i="2"/>
  <c r="N256" i="2"/>
  <c r="M257" i="2"/>
  <c r="N257" i="2"/>
  <c r="M258" i="2"/>
  <c r="N258" i="2"/>
  <c r="M259" i="2"/>
  <c r="N259" i="2"/>
  <c r="M260" i="2"/>
  <c r="N260" i="2"/>
  <c r="M261" i="2"/>
  <c r="N261" i="2"/>
  <c r="M262" i="2"/>
  <c r="N262" i="2"/>
  <c r="M263" i="2"/>
  <c r="N263" i="2"/>
  <c r="M264" i="2"/>
  <c r="N264" i="2"/>
  <c r="M265" i="2"/>
  <c r="N265" i="2"/>
  <c r="M266" i="2"/>
  <c r="N266" i="2"/>
  <c r="M267" i="2"/>
  <c r="N267" i="2"/>
  <c r="M268" i="2"/>
  <c r="N268" i="2"/>
  <c r="M269" i="2"/>
  <c r="N269" i="2"/>
  <c r="M270" i="2"/>
  <c r="N270" i="2"/>
  <c r="M271" i="2"/>
  <c r="N271" i="2"/>
  <c r="M272" i="2"/>
  <c r="N272" i="2"/>
  <c r="M273" i="2"/>
  <c r="N273" i="2"/>
  <c r="M274" i="2"/>
  <c r="N274" i="2"/>
  <c r="M275" i="2"/>
  <c r="N275" i="2"/>
  <c r="M276" i="2"/>
  <c r="N276" i="2"/>
  <c r="M277" i="2"/>
  <c r="N277" i="2"/>
  <c r="M278" i="2"/>
  <c r="N278" i="2"/>
  <c r="M279" i="2"/>
  <c r="N279" i="2"/>
  <c r="M280" i="2"/>
  <c r="N280" i="2"/>
  <c r="M281" i="2"/>
  <c r="N281" i="2"/>
  <c r="M282" i="2"/>
  <c r="N282" i="2"/>
  <c r="M283" i="2"/>
  <c r="N283" i="2"/>
  <c r="M284" i="2"/>
  <c r="N284" i="2"/>
  <c r="M285" i="2"/>
  <c r="N285" i="2"/>
  <c r="M286" i="2"/>
  <c r="N286" i="2"/>
  <c r="M287" i="2"/>
  <c r="N287" i="2"/>
  <c r="M288" i="2"/>
  <c r="N288" i="2"/>
  <c r="M289" i="2"/>
  <c r="N289" i="2"/>
  <c r="M290" i="2"/>
  <c r="N290" i="2"/>
  <c r="M291" i="2"/>
  <c r="N291" i="2"/>
  <c r="M292" i="2"/>
  <c r="N292" i="2"/>
  <c r="M293" i="2"/>
  <c r="N293" i="2"/>
  <c r="M294" i="2"/>
  <c r="N294" i="2"/>
  <c r="M295" i="2"/>
  <c r="N295" i="2"/>
  <c r="M296" i="2"/>
  <c r="N296" i="2"/>
  <c r="M297" i="2"/>
  <c r="N297" i="2"/>
  <c r="M298" i="2"/>
  <c r="N298" i="2"/>
  <c r="M299" i="2"/>
  <c r="N299" i="2"/>
  <c r="M300" i="2"/>
  <c r="N300" i="2"/>
  <c r="M301" i="2"/>
  <c r="N301" i="2"/>
  <c r="M302" i="2"/>
  <c r="N302" i="2"/>
  <c r="M303" i="2"/>
  <c r="N303" i="2"/>
  <c r="M304" i="2"/>
  <c r="N304" i="2"/>
  <c r="M305" i="2"/>
  <c r="N305" i="2"/>
  <c r="M306" i="2"/>
  <c r="N306" i="2"/>
  <c r="M307" i="2"/>
  <c r="N307" i="2"/>
  <c r="M308" i="2"/>
  <c r="N308" i="2"/>
  <c r="M309" i="2"/>
  <c r="N309" i="2"/>
  <c r="M310" i="2"/>
  <c r="N310" i="2"/>
  <c r="M311" i="2"/>
  <c r="N311" i="2"/>
  <c r="M312" i="2"/>
  <c r="N312" i="2"/>
  <c r="M313" i="2"/>
  <c r="N313" i="2"/>
  <c r="M314" i="2"/>
  <c r="N314" i="2"/>
  <c r="M315" i="2"/>
  <c r="N315" i="2"/>
  <c r="M316" i="2"/>
  <c r="N316" i="2"/>
  <c r="M317" i="2"/>
  <c r="N317" i="2"/>
  <c r="M318" i="2"/>
  <c r="N318" i="2"/>
  <c r="M319" i="2"/>
  <c r="N319" i="2"/>
  <c r="M320" i="2"/>
  <c r="N320" i="2"/>
  <c r="M321" i="2"/>
  <c r="N321" i="2"/>
  <c r="M322" i="2"/>
  <c r="N322" i="2"/>
  <c r="M323" i="2"/>
  <c r="N323" i="2"/>
  <c r="M324" i="2"/>
  <c r="N324" i="2"/>
  <c r="M325" i="2"/>
  <c r="N325" i="2"/>
  <c r="M326" i="2"/>
  <c r="N326" i="2"/>
  <c r="M327" i="2"/>
  <c r="N327" i="2"/>
  <c r="M328" i="2"/>
  <c r="N328" i="2"/>
  <c r="M329" i="2"/>
  <c r="N329" i="2"/>
  <c r="M330" i="2"/>
  <c r="N330" i="2"/>
  <c r="M331" i="2"/>
  <c r="N331" i="2"/>
  <c r="M332" i="2"/>
  <c r="N332" i="2"/>
  <c r="M333" i="2"/>
  <c r="N333" i="2"/>
  <c r="M334" i="2"/>
  <c r="N334" i="2"/>
  <c r="M335" i="2"/>
  <c r="N335" i="2"/>
  <c r="M336" i="2"/>
  <c r="N336" i="2"/>
  <c r="M337" i="2"/>
  <c r="N337" i="2"/>
  <c r="M338" i="2"/>
  <c r="N338" i="2"/>
  <c r="M339" i="2"/>
  <c r="N339" i="2"/>
  <c r="M340" i="2"/>
  <c r="N340" i="2"/>
  <c r="M341" i="2"/>
  <c r="N341" i="2"/>
  <c r="M342" i="2"/>
  <c r="N342" i="2"/>
  <c r="M343" i="2"/>
  <c r="N343" i="2"/>
  <c r="M344" i="2"/>
  <c r="N344" i="2"/>
  <c r="M345" i="2"/>
  <c r="N345" i="2"/>
  <c r="M346" i="2"/>
  <c r="N346" i="2"/>
  <c r="M347" i="2"/>
  <c r="N347" i="2"/>
  <c r="M348" i="2"/>
  <c r="N348" i="2"/>
  <c r="M349" i="2"/>
  <c r="N349" i="2"/>
  <c r="M350" i="2"/>
  <c r="N350" i="2"/>
  <c r="M351" i="2"/>
  <c r="N351" i="2"/>
  <c r="M352" i="2"/>
  <c r="N352" i="2"/>
  <c r="M353" i="2"/>
  <c r="N353" i="2"/>
  <c r="M354" i="2"/>
  <c r="N354" i="2"/>
  <c r="M355" i="2"/>
  <c r="N355" i="2"/>
  <c r="M356" i="2"/>
  <c r="N356" i="2"/>
  <c r="M357" i="2"/>
  <c r="N357" i="2"/>
  <c r="M358" i="2"/>
  <c r="N358" i="2"/>
  <c r="M359" i="2"/>
  <c r="N359" i="2"/>
  <c r="M360" i="2"/>
  <c r="N360" i="2"/>
  <c r="M361" i="2"/>
  <c r="N361" i="2"/>
  <c r="M362" i="2"/>
  <c r="N362" i="2"/>
  <c r="M363" i="2"/>
  <c r="N363" i="2"/>
  <c r="M364" i="2"/>
  <c r="N364" i="2"/>
  <c r="M365" i="2"/>
  <c r="N365" i="2"/>
  <c r="M366" i="2"/>
  <c r="N366" i="2"/>
  <c r="M367" i="2"/>
  <c r="N367" i="2"/>
  <c r="M368" i="2"/>
  <c r="N368" i="2"/>
  <c r="M369" i="2"/>
  <c r="N369" i="2"/>
  <c r="M370" i="2"/>
  <c r="N370" i="2"/>
  <c r="M371" i="2"/>
  <c r="N371" i="2"/>
  <c r="M372" i="2"/>
  <c r="N372" i="2"/>
  <c r="M373" i="2"/>
  <c r="N373" i="2"/>
  <c r="M374" i="2"/>
  <c r="N374" i="2"/>
  <c r="M375" i="2"/>
  <c r="N375" i="2"/>
  <c r="M376" i="2"/>
  <c r="N376" i="2"/>
  <c r="M377" i="2"/>
  <c r="N377" i="2"/>
  <c r="M378" i="2"/>
  <c r="N378" i="2"/>
  <c r="M379" i="2"/>
  <c r="N379" i="2"/>
  <c r="M380" i="2"/>
  <c r="N380" i="2"/>
  <c r="M381" i="2"/>
  <c r="N381" i="2"/>
  <c r="M382" i="2"/>
  <c r="N382" i="2"/>
  <c r="M383" i="2"/>
  <c r="N383" i="2"/>
  <c r="M384" i="2"/>
  <c r="N384" i="2"/>
  <c r="M385" i="2"/>
  <c r="N385" i="2"/>
  <c r="M386" i="2"/>
  <c r="N386" i="2"/>
  <c r="M387" i="2"/>
  <c r="N387" i="2"/>
  <c r="M388" i="2"/>
  <c r="N388" i="2"/>
  <c r="M389" i="2"/>
  <c r="N389" i="2"/>
  <c r="M390" i="2"/>
  <c r="N390" i="2"/>
  <c r="M391" i="2"/>
  <c r="N391" i="2"/>
  <c r="M392" i="2"/>
  <c r="N392" i="2"/>
  <c r="M393" i="2"/>
  <c r="N393" i="2"/>
  <c r="M394" i="2"/>
  <c r="N394" i="2"/>
  <c r="M395" i="2"/>
  <c r="N395" i="2"/>
  <c r="M396" i="2"/>
  <c r="N396" i="2"/>
  <c r="M397" i="2"/>
  <c r="N397" i="2"/>
  <c r="M398" i="2"/>
  <c r="N398" i="2"/>
  <c r="M399" i="2"/>
  <c r="N399" i="2"/>
  <c r="M400" i="2"/>
  <c r="N400" i="2"/>
  <c r="M401" i="2"/>
  <c r="N401" i="2"/>
  <c r="M402" i="2"/>
  <c r="N402" i="2"/>
  <c r="M403" i="2"/>
  <c r="N403" i="2"/>
  <c r="M404" i="2"/>
  <c r="N404" i="2"/>
  <c r="M405" i="2"/>
  <c r="N405" i="2"/>
  <c r="M406" i="2"/>
  <c r="N406" i="2"/>
  <c r="M407" i="2"/>
  <c r="N407" i="2"/>
  <c r="M408" i="2"/>
  <c r="N408" i="2"/>
  <c r="M409" i="2"/>
  <c r="N409" i="2"/>
  <c r="M410" i="2"/>
  <c r="N410" i="2"/>
  <c r="M411" i="2"/>
  <c r="N411" i="2"/>
  <c r="M412" i="2"/>
  <c r="N412" i="2"/>
  <c r="M413" i="2"/>
  <c r="N413" i="2"/>
  <c r="M414" i="2"/>
  <c r="N414" i="2"/>
  <c r="M415" i="2"/>
  <c r="N415" i="2"/>
  <c r="M416" i="2"/>
  <c r="N416" i="2"/>
  <c r="M417" i="2"/>
  <c r="N417" i="2"/>
  <c r="M418" i="2"/>
  <c r="N418" i="2"/>
  <c r="M419" i="2"/>
  <c r="N419" i="2"/>
  <c r="M420" i="2"/>
  <c r="N420" i="2"/>
  <c r="M421" i="2"/>
  <c r="N421" i="2"/>
  <c r="M422" i="2"/>
  <c r="N422" i="2"/>
  <c r="M423" i="2"/>
  <c r="N423" i="2"/>
  <c r="M424" i="2"/>
  <c r="N424" i="2"/>
  <c r="M425" i="2"/>
  <c r="N425" i="2"/>
  <c r="M426" i="2"/>
  <c r="N426" i="2"/>
  <c r="M427" i="2"/>
  <c r="N427" i="2"/>
  <c r="M428" i="2"/>
  <c r="N428" i="2"/>
  <c r="M429" i="2"/>
  <c r="N429" i="2"/>
  <c r="M430" i="2"/>
  <c r="N430" i="2"/>
  <c r="M431" i="2"/>
  <c r="N431" i="2"/>
  <c r="M432" i="2"/>
  <c r="N432" i="2"/>
  <c r="M433" i="2"/>
  <c r="N433" i="2"/>
  <c r="M434" i="2"/>
  <c r="N434" i="2"/>
  <c r="M435" i="2"/>
  <c r="N435" i="2"/>
  <c r="M436" i="2"/>
  <c r="N436" i="2"/>
  <c r="M437" i="2"/>
  <c r="N437" i="2"/>
  <c r="M438" i="2"/>
  <c r="N438" i="2"/>
  <c r="M439" i="2"/>
  <c r="N439" i="2"/>
  <c r="M440" i="2"/>
  <c r="N440" i="2"/>
  <c r="M441" i="2"/>
  <c r="N441" i="2"/>
  <c r="M442" i="2"/>
  <c r="N442" i="2"/>
  <c r="M443" i="2"/>
  <c r="N443" i="2"/>
  <c r="M444" i="2"/>
  <c r="N444" i="2"/>
  <c r="M445" i="2"/>
  <c r="N445" i="2"/>
  <c r="M446" i="2"/>
  <c r="N446" i="2"/>
  <c r="M447" i="2"/>
  <c r="N447" i="2"/>
  <c r="M448" i="2"/>
  <c r="N448" i="2"/>
  <c r="M449" i="2"/>
  <c r="N449" i="2"/>
  <c r="M450" i="2"/>
  <c r="N450" i="2"/>
  <c r="M451" i="2"/>
  <c r="N451" i="2"/>
  <c r="M452" i="2"/>
  <c r="N452" i="2"/>
  <c r="M453" i="2"/>
  <c r="N453" i="2"/>
  <c r="M454" i="2"/>
  <c r="N454" i="2"/>
  <c r="M455" i="2"/>
  <c r="N455" i="2"/>
  <c r="M456" i="2"/>
  <c r="N456" i="2"/>
  <c r="M457" i="2"/>
  <c r="N457" i="2"/>
  <c r="M458" i="2"/>
  <c r="N458" i="2"/>
  <c r="M459" i="2"/>
  <c r="N459" i="2"/>
  <c r="M460" i="2"/>
  <c r="N460" i="2"/>
  <c r="M461" i="2"/>
  <c r="N461" i="2"/>
  <c r="M462" i="2"/>
  <c r="N462" i="2"/>
  <c r="M463" i="2"/>
  <c r="N463" i="2"/>
  <c r="M464" i="2"/>
  <c r="N464" i="2"/>
  <c r="M465" i="2"/>
  <c r="N465" i="2"/>
  <c r="M466" i="2"/>
  <c r="N466" i="2"/>
  <c r="M467" i="2"/>
  <c r="N467" i="2"/>
  <c r="M468" i="2"/>
  <c r="N468" i="2"/>
  <c r="M469" i="2"/>
  <c r="N469" i="2"/>
  <c r="M470" i="2"/>
  <c r="N470" i="2"/>
  <c r="M471" i="2"/>
  <c r="N471" i="2"/>
  <c r="M472" i="2"/>
  <c r="N472" i="2"/>
  <c r="M473" i="2"/>
  <c r="N473" i="2"/>
  <c r="M474" i="2"/>
  <c r="N474" i="2"/>
  <c r="M475" i="2"/>
  <c r="N475" i="2"/>
  <c r="M476" i="2"/>
  <c r="N476" i="2"/>
  <c r="M477" i="2"/>
  <c r="N477" i="2"/>
  <c r="M478" i="2"/>
  <c r="N478" i="2"/>
  <c r="M479" i="2"/>
  <c r="N479" i="2"/>
  <c r="M480" i="2"/>
  <c r="N480" i="2"/>
  <c r="M481" i="2"/>
  <c r="N481" i="2"/>
  <c r="M482" i="2"/>
  <c r="N482" i="2"/>
  <c r="M483" i="2"/>
  <c r="N483" i="2"/>
  <c r="M484" i="2"/>
  <c r="N484" i="2"/>
  <c r="M485" i="2"/>
  <c r="N485" i="2"/>
  <c r="M486" i="2"/>
  <c r="N486" i="2"/>
  <c r="M487" i="2"/>
  <c r="N487" i="2"/>
  <c r="M488" i="2"/>
  <c r="N488" i="2"/>
  <c r="M489" i="2"/>
  <c r="N489" i="2"/>
  <c r="M490" i="2"/>
  <c r="N490" i="2"/>
  <c r="M491" i="2"/>
  <c r="N491" i="2"/>
  <c r="M492" i="2"/>
  <c r="N492" i="2"/>
  <c r="M493" i="2"/>
  <c r="N493" i="2"/>
  <c r="M494" i="2"/>
  <c r="N494" i="2"/>
  <c r="M495" i="2"/>
  <c r="N495" i="2"/>
  <c r="M496" i="2"/>
  <c r="N496" i="2"/>
  <c r="M497" i="2"/>
  <c r="N497" i="2"/>
  <c r="M498" i="2"/>
  <c r="N498" i="2"/>
  <c r="M499" i="2"/>
  <c r="N499" i="2"/>
  <c r="M500" i="2"/>
  <c r="N500" i="2"/>
  <c r="M501" i="2"/>
  <c r="N501" i="2"/>
  <c r="M502" i="2"/>
  <c r="N502" i="2"/>
  <c r="M503" i="2"/>
  <c r="N503" i="2"/>
  <c r="M504" i="2"/>
  <c r="N504" i="2"/>
  <c r="M505" i="2"/>
  <c r="N505" i="2"/>
  <c r="M506" i="2"/>
  <c r="N506" i="2"/>
  <c r="M507" i="2"/>
  <c r="N507" i="2"/>
  <c r="M508" i="2"/>
  <c r="N508" i="2"/>
  <c r="M509" i="2"/>
  <c r="N509" i="2"/>
  <c r="M510" i="2"/>
  <c r="N510" i="2"/>
  <c r="M511" i="2"/>
  <c r="N511" i="2"/>
  <c r="M512" i="2"/>
  <c r="N512" i="2"/>
  <c r="M513" i="2"/>
  <c r="N513" i="2"/>
  <c r="M514" i="2"/>
  <c r="N514" i="2"/>
  <c r="M515" i="2"/>
  <c r="N515" i="2"/>
  <c r="M516" i="2"/>
  <c r="N516" i="2"/>
  <c r="M517" i="2"/>
  <c r="N517" i="2"/>
  <c r="M518" i="2"/>
  <c r="N518" i="2"/>
  <c r="M519" i="2"/>
  <c r="N519" i="2"/>
  <c r="M520" i="2"/>
  <c r="N520" i="2"/>
  <c r="M521" i="2"/>
  <c r="N521" i="2"/>
  <c r="M522" i="2"/>
  <c r="N522" i="2"/>
  <c r="M523" i="2"/>
  <c r="N523" i="2"/>
  <c r="M524" i="2"/>
  <c r="N524" i="2"/>
  <c r="M525" i="2"/>
  <c r="N525" i="2"/>
  <c r="M526" i="2"/>
  <c r="N526" i="2"/>
  <c r="M527" i="2"/>
  <c r="N527" i="2"/>
  <c r="M528" i="2"/>
  <c r="N528" i="2"/>
  <c r="M529" i="2"/>
  <c r="N529" i="2"/>
  <c r="M530" i="2"/>
  <c r="N530" i="2"/>
  <c r="M531" i="2"/>
  <c r="N531" i="2"/>
  <c r="M532" i="2"/>
  <c r="N532" i="2"/>
  <c r="M533" i="2"/>
  <c r="N533" i="2"/>
  <c r="M534" i="2"/>
  <c r="N534" i="2"/>
  <c r="M535" i="2"/>
  <c r="N535" i="2"/>
  <c r="M536" i="2"/>
  <c r="N536" i="2"/>
  <c r="M537" i="2"/>
  <c r="N537" i="2"/>
  <c r="M538" i="2"/>
  <c r="N538" i="2"/>
  <c r="M539" i="2"/>
  <c r="N539" i="2"/>
  <c r="M540" i="2"/>
  <c r="N540" i="2"/>
  <c r="M541" i="2"/>
  <c r="N541" i="2"/>
  <c r="M542" i="2"/>
  <c r="N542" i="2"/>
  <c r="M543" i="2"/>
  <c r="N543" i="2"/>
  <c r="M544" i="2"/>
  <c r="N544" i="2"/>
  <c r="M545" i="2"/>
  <c r="N545" i="2"/>
  <c r="M546" i="2"/>
  <c r="N546" i="2"/>
  <c r="M547" i="2"/>
  <c r="N547" i="2"/>
  <c r="M548" i="2"/>
  <c r="N548" i="2"/>
  <c r="M549" i="2"/>
  <c r="N549" i="2"/>
  <c r="M550" i="2"/>
  <c r="N550" i="2"/>
  <c r="M551" i="2"/>
  <c r="N551" i="2"/>
  <c r="M552" i="2"/>
  <c r="N552" i="2"/>
  <c r="M553" i="2"/>
  <c r="N553" i="2"/>
  <c r="M554" i="2"/>
  <c r="N554" i="2"/>
  <c r="M555" i="2"/>
  <c r="N555" i="2"/>
  <c r="M556" i="2"/>
  <c r="N556" i="2"/>
  <c r="M557" i="2"/>
  <c r="N557" i="2"/>
  <c r="M558" i="2"/>
  <c r="N558" i="2"/>
  <c r="M559" i="2"/>
  <c r="N559" i="2"/>
  <c r="M560" i="2"/>
  <c r="N560" i="2"/>
  <c r="M561" i="2"/>
  <c r="N561" i="2"/>
  <c r="M562" i="2"/>
  <c r="N562" i="2"/>
  <c r="M563" i="2"/>
  <c r="N563" i="2"/>
  <c r="M564" i="2"/>
  <c r="N564" i="2"/>
  <c r="M565" i="2"/>
  <c r="N565" i="2"/>
  <c r="M566" i="2"/>
  <c r="N566" i="2"/>
  <c r="M567" i="2"/>
  <c r="N567" i="2"/>
  <c r="M568" i="2"/>
  <c r="N568" i="2"/>
  <c r="M569" i="2"/>
  <c r="N569" i="2"/>
  <c r="M570" i="2"/>
  <c r="N570" i="2"/>
  <c r="M571" i="2"/>
  <c r="N571" i="2"/>
  <c r="M572" i="2"/>
  <c r="N572" i="2"/>
  <c r="M573" i="2"/>
  <c r="N573" i="2"/>
  <c r="M574" i="2"/>
  <c r="N574" i="2"/>
  <c r="M575" i="2"/>
  <c r="N575" i="2"/>
  <c r="M576" i="2"/>
  <c r="N576" i="2"/>
  <c r="M577" i="2"/>
  <c r="N577" i="2"/>
  <c r="M578" i="2"/>
  <c r="N578" i="2"/>
  <c r="M579" i="2"/>
  <c r="N579" i="2"/>
  <c r="M580" i="2"/>
  <c r="N580" i="2"/>
  <c r="M581" i="2"/>
  <c r="N581" i="2"/>
  <c r="M582" i="2"/>
  <c r="N582" i="2"/>
  <c r="M583" i="2"/>
  <c r="N583" i="2"/>
  <c r="M584" i="2"/>
  <c r="N584" i="2"/>
  <c r="M585" i="2"/>
  <c r="N585" i="2"/>
  <c r="M586" i="2"/>
  <c r="N586" i="2"/>
  <c r="M587" i="2"/>
  <c r="N587" i="2"/>
  <c r="M588" i="2"/>
  <c r="N588" i="2"/>
  <c r="M589" i="2"/>
  <c r="N589" i="2"/>
  <c r="M590" i="2"/>
  <c r="N590" i="2"/>
  <c r="M591" i="2"/>
  <c r="N591" i="2"/>
  <c r="M592" i="2"/>
  <c r="N592" i="2"/>
  <c r="M593" i="2"/>
  <c r="N593" i="2"/>
  <c r="M594" i="2"/>
  <c r="N594" i="2"/>
  <c r="M595" i="2"/>
  <c r="N595" i="2"/>
  <c r="M596" i="2"/>
  <c r="N596" i="2"/>
  <c r="M597" i="2"/>
  <c r="N597" i="2"/>
  <c r="M598" i="2"/>
  <c r="N598" i="2"/>
  <c r="M599" i="2"/>
  <c r="N599" i="2"/>
  <c r="M600" i="2"/>
  <c r="N600" i="2"/>
  <c r="M601" i="2"/>
  <c r="N601" i="2"/>
  <c r="M602" i="2"/>
  <c r="N602" i="2"/>
  <c r="M603" i="2"/>
  <c r="N603" i="2"/>
  <c r="M604" i="2"/>
  <c r="N604" i="2"/>
  <c r="M605" i="2"/>
  <c r="N605" i="2"/>
  <c r="M606" i="2"/>
  <c r="N606" i="2"/>
  <c r="M607" i="2"/>
  <c r="N607" i="2"/>
  <c r="M608" i="2"/>
  <c r="N608" i="2"/>
  <c r="M609" i="2"/>
  <c r="N609" i="2"/>
  <c r="M610" i="2"/>
  <c r="N610" i="2"/>
  <c r="M611" i="2"/>
  <c r="N611" i="2"/>
  <c r="M612" i="2"/>
  <c r="N612" i="2"/>
  <c r="M613" i="2"/>
  <c r="N613" i="2"/>
  <c r="M614" i="2"/>
  <c r="N614" i="2"/>
  <c r="M615" i="2"/>
  <c r="N615" i="2"/>
  <c r="M616" i="2"/>
  <c r="N616" i="2"/>
  <c r="M617" i="2"/>
  <c r="N617" i="2"/>
  <c r="M618" i="2"/>
  <c r="N618" i="2"/>
  <c r="M619" i="2"/>
  <c r="N619" i="2"/>
  <c r="M620" i="2"/>
  <c r="N620" i="2"/>
  <c r="M621" i="2"/>
  <c r="N621" i="2"/>
  <c r="M622" i="2"/>
  <c r="N622" i="2"/>
  <c r="M623" i="2"/>
  <c r="N623" i="2"/>
  <c r="M624" i="2"/>
  <c r="N624" i="2"/>
  <c r="M625" i="2"/>
  <c r="N625" i="2"/>
  <c r="M626" i="2"/>
  <c r="N626" i="2"/>
  <c r="M627" i="2"/>
  <c r="N627" i="2"/>
  <c r="M628" i="2"/>
  <c r="N628" i="2"/>
  <c r="M629" i="2"/>
  <c r="N629" i="2"/>
  <c r="M630" i="2"/>
  <c r="N630" i="2"/>
  <c r="M631" i="2"/>
  <c r="N631" i="2"/>
  <c r="M632" i="2"/>
  <c r="N632" i="2"/>
  <c r="M633" i="2"/>
  <c r="N633" i="2"/>
  <c r="M634" i="2"/>
  <c r="N634" i="2"/>
  <c r="M635" i="2"/>
  <c r="N635" i="2"/>
  <c r="M636" i="2"/>
  <c r="N636" i="2"/>
  <c r="M637" i="2"/>
  <c r="N637" i="2"/>
  <c r="M638" i="2"/>
  <c r="N638" i="2"/>
  <c r="M639" i="2"/>
  <c r="N639" i="2"/>
  <c r="M640" i="2"/>
  <c r="N640" i="2"/>
  <c r="M641" i="2"/>
  <c r="N641" i="2"/>
  <c r="M642" i="2"/>
  <c r="N642" i="2"/>
  <c r="M643" i="2"/>
  <c r="N643" i="2"/>
  <c r="M644" i="2"/>
  <c r="N644" i="2"/>
  <c r="M645" i="2"/>
  <c r="N645" i="2"/>
  <c r="M646" i="2"/>
  <c r="N646" i="2"/>
  <c r="M647" i="2"/>
  <c r="N647" i="2"/>
  <c r="M648" i="2"/>
  <c r="N648" i="2"/>
  <c r="M649" i="2"/>
  <c r="N649" i="2"/>
  <c r="M650" i="2"/>
  <c r="N650" i="2"/>
  <c r="M651" i="2"/>
  <c r="N651" i="2"/>
  <c r="M652" i="2"/>
  <c r="N652" i="2"/>
  <c r="M653" i="2"/>
  <c r="N653" i="2"/>
  <c r="M654" i="2"/>
  <c r="N654" i="2"/>
  <c r="M655" i="2"/>
  <c r="N655" i="2"/>
  <c r="M656" i="2"/>
  <c r="N656" i="2"/>
  <c r="M657" i="2"/>
  <c r="N657" i="2"/>
  <c r="M658" i="2"/>
  <c r="N658" i="2"/>
  <c r="M659" i="2"/>
  <c r="N659" i="2"/>
  <c r="M660" i="2"/>
  <c r="N660" i="2"/>
  <c r="M661" i="2"/>
  <c r="N661" i="2"/>
  <c r="M662" i="2"/>
  <c r="N662" i="2"/>
  <c r="M663" i="2"/>
  <c r="N663" i="2"/>
  <c r="M664" i="2"/>
  <c r="N664" i="2"/>
  <c r="M665" i="2"/>
  <c r="N665" i="2"/>
  <c r="M666" i="2"/>
  <c r="N666" i="2"/>
  <c r="M667" i="2"/>
  <c r="N667" i="2"/>
  <c r="M668" i="2"/>
  <c r="N668" i="2"/>
  <c r="M669" i="2"/>
  <c r="N669" i="2"/>
  <c r="M670" i="2"/>
  <c r="N670" i="2"/>
  <c r="M671" i="2"/>
  <c r="N671" i="2"/>
  <c r="M672" i="2"/>
  <c r="N672" i="2"/>
  <c r="M673" i="2"/>
  <c r="N673" i="2"/>
  <c r="M674" i="2"/>
  <c r="N674" i="2"/>
  <c r="M675" i="2"/>
  <c r="N675" i="2"/>
  <c r="M676" i="2"/>
  <c r="N676" i="2"/>
  <c r="M677" i="2"/>
  <c r="N677" i="2"/>
  <c r="M678" i="2"/>
  <c r="N678" i="2"/>
  <c r="M679" i="2"/>
  <c r="N679" i="2"/>
  <c r="M680" i="2"/>
  <c r="N680" i="2"/>
  <c r="N2" i="2"/>
  <c r="M2" i="2"/>
</calcChain>
</file>

<file path=xl/sharedStrings.xml><?xml version="1.0" encoding="utf-8"?>
<sst xmlns="http://schemas.openxmlformats.org/spreadsheetml/2006/main" count="4299" uniqueCount="1453">
  <si>
    <t>Tipo de Solicitação</t>
  </si>
  <si>
    <t>Chave</t>
  </si>
  <si>
    <t>Resumo</t>
  </si>
  <si>
    <t>Responsável</t>
  </si>
  <si>
    <t>Criador</t>
  </si>
  <si>
    <t>Status</t>
  </si>
  <si>
    <t>Criado</t>
  </si>
  <si>
    <t>Resolvido</t>
  </si>
  <si>
    <t>Requisição de Serviços</t>
  </si>
  <si>
    <t>CTXSPOLP-116961</t>
  </si>
  <si>
    <t>Criar as OUs/GPOs para as operações Cielo na estrutura do site Alegria</t>
  </si>
  <si>
    <t>Sem responsável</t>
  </si>
  <si>
    <t>Luciana da Silva Cardoso</t>
  </si>
  <si>
    <t>Registrado</t>
  </si>
  <si>
    <t>CTXSPOLP-116960</t>
  </si>
  <si>
    <t>Criar OUs/GPOs para as operações BV que será migrada Lapa x Alegria</t>
  </si>
  <si>
    <t>CTXSPOLP-116016</t>
  </si>
  <si>
    <t>Projeto: Migração POP 3 - Lapa vs Alegria: PA's Contingência Banco Toyota</t>
  </si>
  <si>
    <t>Bruno Guerra Ferreira</t>
  </si>
  <si>
    <t>Priscila Roberta dos S. Freitas</t>
  </si>
  <si>
    <t>CTXSPOLP-115869</t>
  </si>
  <si>
    <t>Migração POP 3 - Cielo Site Lapa X Site Alegria</t>
  </si>
  <si>
    <t>Leonardo Roberto de Medeiros Marques</t>
  </si>
  <si>
    <t>Giovana Ferreira de Souza</t>
  </si>
  <si>
    <t>CTXSPOLP-115727</t>
  </si>
  <si>
    <t>Tabulador GT Portabilidade e Rural Cel</t>
  </si>
  <si>
    <t>Wagner Mattos Ribeiro Pinto</t>
  </si>
  <si>
    <t>Fechado</t>
  </si>
  <si>
    <t>CTXSPOLP-115444</t>
  </si>
  <si>
    <t>Projeto - Alterar a plataforma de atendimento da operação Alelo de Altitude para Aspect</t>
  </si>
  <si>
    <t>George Silva Dimitrov</t>
  </si>
  <si>
    <t>CTXSPOLP-115119</t>
  </si>
  <si>
    <t>Projeto - URANET - Ticket</t>
  </si>
  <si>
    <t>Erica Fernandes Cotrim</t>
  </si>
  <si>
    <t>Flavio Reto</t>
  </si>
  <si>
    <t>CTXSPOLP-115117</t>
  </si>
  <si>
    <t>Projeto - URA Bacen - Ticket</t>
  </si>
  <si>
    <t>CTXSPOLP-115114</t>
  </si>
  <si>
    <t>Projeto - Renovação de Servidores - Ticket</t>
  </si>
  <si>
    <t>CTXSPOLP-113720</t>
  </si>
  <si>
    <t>Migração Grupo Comunicação - Lapa</t>
  </si>
  <si>
    <t>Paloma de Azevedo Almeida</t>
  </si>
  <si>
    <t>CTXSPOLP-112537</t>
  </si>
  <si>
    <t>Projeto: Implantar tGuidance na Operação BV Financeira</t>
  </si>
  <si>
    <t>CTXSPOLP-111956</t>
  </si>
  <si>
    <t>Projeto - Monitoria da Qualidade</t>
  </si>
  <si>
    <t>Leandro Tosto Cabral</t>
  </si>
  <si>
    <t>Robson da Costa</t>
  </si>
  <si>
    <t>Aberto</t>
  </si>
  <si>
    <t>CTXSPOLP-111381</t>
  </si>
  <si>
    <t>Projeto - Contratação de 3 E1's, do fornecedor Option para Alelo</t>
  </si>
  <si>
    <t>Rogerio Luiz da Silva</t>
  </si>
  <si>
    <t>CTXSPOLP-111246</t>
  </si>
  <si>
    <t>Projeto - Desenvolvimento do t!guidance da célula Fidelidade - FASE 2</t>
  </si>
  <si>
    <t>CTXSPOLP-111079</t>
  </si>
  <si>
    <t>Projeto - Criar Plano Documento de Draft PCN para BV Financeira</t>
  </si>
  <si>
    <t>Carlos Batista Alves</t>
  </si>
  <si>
    <t>CTXSPOLP-110901</t>
  </si>
  <si>
    <t>Melhorias relatório GT - Vivo</t>
  </si>
  <si>
    <t>CTXSPOLP-110890</t>
  </si>
  <si>
    <t>Novas árvores de perfilamento - Tabulador e Relatórios p/ os GT's (Móvel)</t>
  </si>
  <si>
    <t>CTXSPOLP-110808</t>
  </si>
  <si>
    <t>Projeto - Disponibilização WiFi para cliente Cielo</t>
  </si>
  <si>
    <t>CTXSPOLP-108931</t>
  </si>
  <si>
    <t>Projeto - Inserção de Frase Temporária da URA Cielo Fidelidade</t>
  </si>
  <si>
    <t>CTXSPOLP-108376</t>
  </si>
  <si>
    <t>Projeto - Projeto - Instalação de aparelhos Avaya | Cielo</t>
  </si>
  <si>
    <t>Fabiane Evangelista Cavalcante</t>
  </si>
  <si>
    <t>CTXSPOLP-108012</t>
  </si>
  <si>
    <t>Implantar URA de pesquisa de qualidade - Ilha de Contas</t>
  </si>
  <si>
    <t>CTXSPOLP-106246</t>
  </si>
  <si>
    <t>Projeto - Desenvolvimento de Front End para a célula Small</t>
  </si>
  <si>
    <t>CTXSPOLP-105680</t>
  </si>
  <si>
    <t>Projeto - Continuidade no desenvolvimento do t!guidance da célula Fidelidade</t>
  </si>
  <si>
    <t>CTXSPOLP-104419</t>
  </si>
  <si>
    <t>Projeto: Implantação t-Supervisor - BV Financeira</t>
  </si>
  <si>
    <t>CTXSPOLP-102656</t>
  </si>
  <si>
    <t>Projeto - Preparação Ambiente Homologação Aspect 7.1</t>
  </si>
  <si>
    <t>CTXSPOLP-97254</t>
  </si>
  <si>
    <t>Projeto - Implantação de Front End Ayty na célula Alelo</t>
  </si>
  <si>
    <t>CTXSPODP-11512</t>
  </si>
  <si>
    <t>Projeto - Projeto</t>
  </si>
  <si>
    <t>BRUNO PIMENTEL DOS SANTOS</t>
  </si>
  <si>
    <t>Reaberto</t>
  </si>
  <si>
    <t>CTXSPOBF-135197</t>
  </si>
  <si>
    <t>Projeto - Colocar as frases que foram gravadas para as URAS RCI Cliente 4004-9898 e URA Parceiro 4004-2348</t>
  </si>
  <si>
    <t>CTXSPOBF-135040</t>
  </si>
  <si>
    <t>Implantar Ferramenta Whisbi - Ticket B2B Infra</t>
  </si>
  <si>
    <t>CTXSPOBF-134523</t>
  </si>
  <si>
    <t>Problema página Interatividade no portal Vivo - Operação Anatel</t>
  </si>
  <si>
    <t>CTXSPOBF-134042</t>
  </si>
  <si>
    <t>RTI - Integração Vivo 360 x Tclock - Móvel</t>
  </si>
  <si>
    <t>CTXSPOBF-133846</t>
  </si>
  <si>
    <t>MIGRAÇÃO CONTAS PJ</t>
  </si>
  <si>
    <t>Vania de Moraes Colella</t>
  </si>
  <si>
    <t>CTXSPOBF-133023</t>
  </si>
  <si>
    <t>Projeto - Mudança de máquinas da operação Santander CR - Site Antártica para o Site Alegria</t>
  </si>
  <si>
    <t>CTXSPOBF-132464</t>
  </si>
  <si>
    <t>CRESCIMENTO SUPORTE A PARCEIROS - SITE ANTARTICA</t>
  </si>
  <si>
    <t>CTXSPOBF-132100</t>
  </si>
  <si>
    <t>Projeto - Ura Parceiro RCI 4004-2348</t>
  </si>
  <si>
    <t>CTXSPOBF-131094</t>
  </si>
  <si>
    <t>Implantar 12 posições Retenção PF</t>
  </si>
  <si>
    <t>CTXSPOBF-130612</t>
  </si>
  <si>
    <t>Inclusão de Liberação em GPO</t>
  </si>
  <si>
    <t>CTXSPOBF-130532</t>
  </si>
  <si>
    <t>TETRIS ANTARTICA - BASICO COMERCIAL</t>
  </si>
  <si>
    <t>CTXSPOBF-130531</t>
  </si>
  <si>
    <t>TETRIS ANTARTICA - RETENÇÃO PF</t>
  </si>
  <si>
    <t>CTXSPOBF-130529</t>
  </si>
  <si>
    <t>TETRIS ANTARTICA - FWT</t>
  </si>
  <si>
    <t>CTXSPOBF-130503</t>
  </si>
  <si>
    <t>TETRIS ANTARTICA - SUPORTES</t>
  </si>
  <si>
    <t>CTXSPOBF-130502</t>
  </si>
  <si>
    <t>TETRIS ANTARTICA - TECNICO MOVEL</t>
  </si>
  <si>
    <t>CTXSPOBF-130466</t>
  </si>
  <si>
    <t>TETRIS ANTARTICA - TECNICO BASICO</t>
  </si>
  <si>
    <t>CTXSPOBF-130334</t>
  </si>
  <si>
    <t>Projeto - Fraseologia Renault/ Nissan RCI 2016</t>
  </si>
  <si>
    <t>CTXSPOBF-130142</t>
  </si>
  <si>
    <t>Projeto - MIGRAÇÃO para NOVA PLATAFORMA de SMS - Santander</t>
  </si>
  <si>
    <t>CTXSPOBF-129499</t>
  </si>
  <si>
    <t>Projeto - Transbordo de Ligações de RCI para Paschoalotto (Bauru)</t>
  </si>
  <si>
    <t>CTXSPOBF-128996</t>
  </si>
  <si>
    <t>Migração POP 3 - REINCIDENTES PJ - LAPA Vs. ANTÁRTICA</t>
  </si>
  <si>
    <t>CTXSPOBF-128995</t>
  </si>
  <si>
    <t>Migração POP 3 - SUPORTE APODC - LAPA Vs. ANTÁRTICA</t>
  </si>
  <si>
    <t>CTXSPOBF-128994</t>
  </si>
  <si>
    <t>Migração POP 3 - IMPRENSA - LAPA Vs. ANTÁRTICA</t>
  </si>
  <si>
    <t>CTXSPOBF-128993</t>
  </si>
  <si>
    <t>Migração POP 3 - ATIVIDADE - LAPA Vs. ANTÁRTICA</t>
  </si>
  <si>
    <t>CTXSPOBF-128992</t>
  </si>
  <si>
    <t>Migração POP 3 - GRE ANATEL - LAPA Vs. ANTÁRTICA</t>
  </si>
  <si>
    <t>CTXSPOBF-128884</t>
  </si>
  <si>
    <t>Inclusão de link em Favoritos - Siga Online</t>
  </si>
  <si>
    <t>CTXSPOBF-128878</t>
  </si>
  <si>
    <t>Migração POP 3 - GESTOR CARTEIRA - LAPA vs. ANTÁRTICA</t>
  </si>
  <si>
    <t>CTXSPOBF-128875</t>
  </si>
  <si>
    <t>Migração POP 3 - SUPORTE_CARTEIRA2 - LAPA Vs. ANTÁRTICA</t>
  </si>
  <si>
    <t>CTXSPOBF-128873</t>
  </si>
  <si>
    <t>Migração POP 3 - SUPORTE_CARTEIRA1 - LAPA Vs. ANTÁRTICA</t>
  </si>
  <si>
    <t>CTXSPOBF-128870</t>
  </si>
  <si>
    <t>Migração POP 3 - GESTOR_CARTEIRA_PJ - LAPA Vs. ANTÁRTICA</t>
  </si>
  <si>
    <t>CTXSPOBF-128869</t>
  </si>
  <si>
    <t>Migração POP 3 - CONSUL_CONSOLIDADO - LAPA Vs. ANTÁRTICA</t>
  </si>
  <si>
    <t>CTXSPOBF-128868</t>
  </si>
  <si>
    <t>Migração POP 3 - CONSUL_CARTEIRA2_GR2 - LAPA Vs. ANTÁRTICA</t>
  </si>
  <si>
    <t>CTXSPOBF-128865</t>
  </si>
  <si>
    <t>Migração POP 3 - CONSUL_CARTEIRA2_GR1 - LAPA Vs. ANTÁRTICA</t>
  </si>
  <si>
    <t>CTXSPOBF-128864</t>
  </si>
  <si>
    <t>Migração POP 3 - CONSUL_CARTEIRA1_GR2 - LAPA Vs. ANTÁRTICA</t>
  </si>
  <si>
    <t>CTXSPOBF-128861</t>
  </si>
  <si>
    <t>Migração POP 3 - CONSUL_CARTEIRA1_GR1 - LAPA Vs. ANTÁRTICA</t>
  </si>
  <si>
    <t>CTXSPOBF-128853</t>
  </si>
  <si>
    <t>Migração POP 3 - APOIOS VPR - LAPA vs. ANTÁRTICA</t>
  </si>
  <si>
    <t>CTXSPOBF-128725</t>
  </si>
  <si>
    <t>Migração POP 3 - RENEGOCIAÇÃO - LAPA vs. ANTÁRTICA</t>
  </si>
  <si>
    <t>CTXSPOBF-128722</t>
  </si>
  <si>
    <t>Migração POP 3 - PROCESSO_CARTEIRA 1 - LAPA vs. ANTÁRTICA</t>
  </si>
  <si>
    <t>CTXSPOBF-128720</t>
  </si>
  <si>
    <t>Migração POP 3 - PROCESSO_CARTEIRA 0 - LAPA vs. ANTÁRTICA</t>
  </si>
  <si>
    <t>CTXSPOBF-128719</t>
  </si>
  <si>
    <t>Migração POP 3 - GOVERNO_VPG - LAPA vs. ANTÁRTICA</t>
  </si>
  <si>
    <t>CTXSPOBF-128718</t>
  </si>
  <si>
    <t>Migração POP 3 - M2M_VPG - LAPA vs. ANTÁRTICA</t>
  </si>
  <si>
    <t>CTXSPOBF-128717</t>
  </si>
  <si>
    <t>Migração POP 3 - GT_FILTRO - LAPA vs. ANTÁRTICA</t>
  </si>
  <si>
    <t>CTXSPOBF-128715</t>
  </si>
  <si>
    <t>Migração POP 3 - AUDITORIA (QUALITY ASSURANCE) - LAPA vs. ANTÁRTICA</t>
  </si>
  <si>
    <t>CTXSPOBF-128714</t>
  </si>
  <si>
    <t>CTXSPOBF-128713</t>
  </si>
  <si>
    <t>Migração POP 3 - CONSULT MANAGER - LAPA vs. ANTÁRTICA</t>
  </si>
  <si>
    <t>CTXSPOBF-128712</t>
  </si>
  <si>
    <t>Migração POP 3 - CORREÇÃO_CADASTRAL_ESPECIALISTA - LAPA vs. ANTÁRTICA</t>
  </si>
  <si>
    <t>CTXSPOBF-128711</t>
  </si>
  <si>
    <t>Migração POP 3 - CORREÇÃO_CADASTRAL_EXECUTORES - LAPA vs. ANTÁRTICA</t>
  </si>
  <si>
    <t>CTXSPOBF-128702</t>
  </si>
  <si>
    <t>Migração POP 3 - GRE_FATURAMENTO - LAPA vs. ANTÁRTICA</t>
  </si>
  <si>
    <t>CTXSPOBF-128701</t>
  </si>
  <si>
    <t>Migração POP 3 - ILHA_DIAGNOSTICO - LAPA vs. ANTÁRTICA</t>
  </si>
  <si>
    <t>CTXSPOBF-128692</t>
  </si>
  <si>
    <t>Migração POP 3 - COMUNICACAO_TREINAMENTO - LAPA vs. ANTÁRTICA</t>
  </si>
  <si>
    <t>CTXSPOBF-128691</t>
  </si>
  <si>
    <t>Migração POP 3 - ROTEIRO_DINÂMICO - LAPA vs. ANTÁRTICA</t>
  </si>
  <si>
    <t>CTXSPOBF-128690</t>
  </si>
  <si>
    <t>Migração POP 3 - GT_RURAL_CEL - LAPA vs. ANTÁRTICA</t>
  </si>
  <si>
    <t>CTXSPOBF-128688</t>
  </si>
  <si>
    <t>Migração POP 3 - VPR - LAPA vs. ANTÁRTICA</t>
  </si>
  <si>
    <t>CTXSPOBF-128686</t>
  </si>
  <si>
    <t>Migração POP 3 - GT_REGISTRO_APARELHOS - LAPA vs. ANTÁRTICA</t>
  </si>
  <si>
    <t>CTXSPOBF-128685</t>
  </si>
  <si>
    <t>Migração POP 3 - RETENCAO_PJ - LAPA vs. ANTÁRTICA</t>
  </si>
  <si>
    <t>CTXSPOBF-128684</t>
  </si>
  <si>
    <t>Migração POP 3 - GRE_FALE_CONOSCO - LAPA vs. ANTÁRTICA</t>
  </si>
  <si>
    <t>CTXSPOBF-128396</t>
  </si>
  <si>
    <t>Projeto - Geração de boletagem massiva pela front end da SKY.</t>
  </si>
  <si>
    <t>Expedito Sousa de Almeida</t>
  </si>
  <si>
    <t>CTXSPOBF-128300</t>
  </si>
  <si>
    <t>DESMOBILIZAÇÃO DE PARTE DA OPERAÇÃO CITIBANK NO SITE ANTÁRTICA</t>
  </si>
  <si>
    <t>Marco Aurelio Brandao Duarte</t>
  </si>
  <si>
    <t>CTXSPOBF-126597</t>
  </si>
  <si>
    <t>Implantação Basico Comercial Antartica - TETRIS VIVO</t>
  </si>
  <si>
    <t>CTXSPOBF-126487</t>
  </si>
  <si>
    <t>Projeto: Alteração do Arquivo RAW - Operação Serasa Cobrança</t>
  </si>
  <si>
    <t>CTXSPOBF-126235</t>
  </si>
  <si>
    <t>Migração equipe de Suporte Vivo - De Pta para Antartica</t>
  </si>
  <si>
    <t>BRUNO DIEGO ANTUNES RIBEIRO</t>
  </si>
  <si>
    <t>Em Andamento</t>
  </si>
  <si>
    <t>CTXSPOBF-126223</t>
  </si>
  <si>
    <t>Projeto - Implantar Total View na Operação Interodonto</t>
  </si>
  <si>
    <t>CTXSPOBF-126151</t>
  </si>
  <si>
    <t>Projeto: Implantar Ferramenta RTI - Ticket B2C Usuários</t>
  </si>
  <si>
    <t>CTXSPOBF-125992</t>
  </si>
  <si>
    <t>TETRIS VIVO - GRE ANATEL MOVEL</t>
  </si>
  <si>
    <t>CTXSPOBF-125991</t>
  </si>
  <si>
    <t>TETRIS VIVO - COMERCIAL GRE ANATEL FIXA</t>
  </si>
  <si>
    <t>CTXSPOBF-125990</t>
  </si>
  <si>
    <t>TETRIS VIVO - PORTABILIDADE ILHA DE EMAIL</t>
  </si>
  <si>
    <t>CTXSPOBF-125985</t>
  </si>
  <si>
    <t>TETRIS VIVO - ILHA PORTABILIDADE DE EMAIL BKO</t>
  </si>
  <si>
    <t>CTXSPOBF-125983</t>
  </si>
  <si>
    <t>TETRIS VIVO - FALE CONOSCO FIXA</t>
  </si>
  <si>
    <t>CTXSPOBF-125980</t>
  </si>
  <si>
    <t>VIVO TETRIS - PROCON OFF LINE FIXA</t>
  </si>
  <si>
    <t>CTXSPOBF-125979</t>
  </si>
  <si>
    <t>VIVO TETRIS - PROCON OFF LINE (FIXA )</t>
  </si>
  <si>
    <t>CTXSPOBF-125974</t>
  </si>
  <si>
    <t>TETRIS VIVO - PROCON 0800 - FIXA</t>
  </si>
  <si>
    <t>CTXSPOBF-125971</t>
  </si>
  <si>
    <t>TETRIS VIVO - RETENÇÃO PJ</t>
  </si>
  <si>
    <t>CTXSPOBF-125921</t>
  </si>
  <si>
    <t>Projeto - Instalação do Tsupervisor na Operação Santander nos Sites Antártica e Mackenzie</t>
  </si>
  <si>
    <t>CTXSPOBF-125608</t>
  </si>
  <si>
    <t>Projeto Proposta Chat Online RCI</t>
  </si>
  <si>
    <t>Pendência Externa</t>
  </si>
  <si>
    <t>CTXSPOBF-125417</t>
  </si>
  <si>
    <t>Projeto - Alterar o valor NÃO IDENTIFICADO para um texto genérico no Screen Pop</t>
  </si>
  <si>
    <t>CTXSPOBF-125012</t>
  </si>
  <si>
    <t>Projeto - Alterar Papel de Parede de E-mail Customizado</t>
  </si>
  <si>
    <t>CTXSPOBF-124602</t>
  </si>
  <si>
    <t>Projeto - Projeto - Discador para Ciclo de Vida e Finauto</t>
  </si>
  <si>
    <t>Paulo Roberto da Costa Cavalcante</t>
  </si>
  <si>
    <t>CTXSPOBF-123720</t>
  </si>
  <si>
    <t>Troca de Máquinas Grupo Gestão de Acessos</t>
  </si>
  <si>
    <t>CTXSPOBF-123499</t>
  </si>
  <si>
    <t>Projeto - Configurar infraestrutura de DAC Contax para integração do SACL (automatização de protocolo)</t>
  </si>
  <si>
    <t>CTXSPOBF-122472</t>
  </si>
  <si>
    <t>TLS, Transport Layer Security : Email Blocking Notification from the Content Monitoring Program</t>
  </si>
  <si>
    <t>CTXSPOBF-121810</t>
  </si>
  <si>
    <t>Projeto - Projeto - Troca de máquinas operação Ticket</t>
  </si>
  <si>
    <t>Mauricio Guiel Marques</t>
  </si>
  <si>
    <t>CTXSPOBF-121472</t>
  </si>
  <si>
    <t>Projeto - Amplicação de circuito de voz de 30 para 60 canais</t>
  </si>
  <si>
    <t>CTXSPOBF-121148</t>
  </si>
  <si>
    <t>Projeto - Projeto - Implantar ferramenta RTI - Ticket B2B</t>
  </si>
  <si>
    <t>CTXSPOBF-121133</t>
  </si>
  <si>
    <t>Elaine Aparecida de Lima Luzio</t>
  </si>
  <si>
    <t>CTXSPOBF-121132</t>
  </si>
  <si>
    <t>CTXSPOBF-120102</t>
  </si>
  <si>
    <t>Projeto - Projeto - Instalação de Fax - VIVO</t>
  </si>
  <si>
    <t>CTXSPOBF-119863</t>
  </si>
  <si>
    <t>Melhoria Relatório Screen Pop</t>
  </si>
  <si>
    <t>Fabio Pereira da Nobrega</t>
  </si>
  <si>
    <t>CTXSPOBF-119509</t>
  </si>
  <si>
    <t>Projeto - Projeto - Conectar equipamento de ponto Ticket infra</t>
  </si>
  <si>
    <t>CTXSPOBF-117894</t>
  </si>
  <si>
    <t>Projeto - Projeto - Desmobilização Paulista 07</t>
  </si>
  <si>
    <t>Cleonice de Andrade Oliveira Ferreira</t>
  </si>
  <si>
    <t>CTXSPOBF-116397</t>
  </si>
  <si>
    <t>JONAS SANTOS DO AMOR DIVINO</t>
  </si>
  <si>
    <t>CTXSPOBF-116380</t>
  </si>
  <si>
    <t>Projeto - Implantação das Ilhas</t>
  </si>
  <si>
    <t>Joice Pereira De Souza</t>
  </si>
  <si>
    <t>CTXSPOBF-115988</t>
  </si>
  <si>
    <t>Projeto - Projeto - SMS SANTANDER - ENVIO DA LINHA DIGITÁVEL (OPÇÃO NA URA A SER IMPLEMENTADA)</t>
  </si>
  <si>
    <t>Sergio Franca Souza</t>
  </si>
  <si>
    <t>CTXSPOBF-115489</t>
  </si>
  <si>
    <t>Projeto - Projeto - Excluir Opção 5 Web Motors - Santander Financiamentos</t>
  </si>
  <si>
    <t>CTXSPOBF-114650</t>
  </si>
  <si>
    <t>Projeto - Projeto - Vocalização de CPF para Identificação do Cliente - Santander Financiamentos</t>
  </si>
  <si>
    <t>CTXSPOBF-114642</t>
  </si>
  <si>
    <t>Projeto - Projeto - Pesquisa Final de Atendimento URA - Santander Financiamentos</t>
  </si>
  <si>
    <t>CTXSPOBF-114042</t>
  </si>
  <si>
    <t>Projeto - Projeto - Incluir um Pesquisa no Final da Ligação URA FINAUTO</t>
  </si>
  <si>
    <t>CTXSPOBF-112688</t>
  </si>
  <si>
    <t>Projeto - Projeto - Migração Bradesco (Site Lapa x Antartica)</t>
  </si>
  <si>
    <t>CTXSPOBF-100889</t>
  </si>
  <si>
    <t>Projeto - Front End Ayty Cross Sell Citibank</t>
  </si>
  <si>
    <t>CTXSPOBF-98975</t>
  </si>
  <si>
    <t>Implantação tGuidance Santander</t>
  </si>
  <si>
    <t>Leandro tosto Cabral</t>
  </si>
  <si>
    <t>Barbara Louise Boff</t>
  </si>
  <si>
    <t>CTXSPOAS-4642</t>
  </si>
  <si>
    <t>Adequação do tProcess - Criação de fluxo de atendimento e controle de projetos</t>
  </si>
  <si>
    <t>Alexandre Batista dos Anjos</t>
  </si>
  <si>
    <t>CTXSPOAS-4623</t>
  </si>
  <si>
    <t>Projeto - Inclusão de Serviço de Roteamento de Chamadas no Novo LAB (NGR)</t>
  </si>
  <si>
    <t>Olins Jacques dos Santos</t>
  </si>
  <si>
    <t>CTXSPOAS-4365</t>
  </si>
  <si>
    <t>Projeto - Teteton - AACD</t>
  </si>
  <si>
    <t>Cleverson Inhota Nunes</t>
  </si>
  <si>
    <t>CTXSPOAS-4345</t>
  </si>
  <si>
    <t>Criação SFTP de compartilhamento de Materiais</t>
  </si>
  <si>
    <t>Daniela de Freitas Pereira</t>
  </si>
  <si>
    <t>CTXSPOAS-4228</t>
  </si>
  <si>
    <t>DANIELLE BOAVENTURA FREIRE BELEM</t>
  </si>
  <si>
    <t>CTXSPOAP407-15367</t>
  </si>
  <si>
    <t>Insumos/Custo Oportunidade Danone</t>
  </si>
  <si>
    <t>Agnaldo Jose de Freitas Caetano</t>
  </si>
  <si>
    <t>CTXSPOAP407-15356</t>
  </si>
  <si>
    <t>Oportunidade PROMED Levantamento de Custos</t>
  </si>
  <si>
    <t>CTXSPOAP407-15345</t>
  </si>
  <si>
    <t>AMÉRICA MÓVIL - REFP E2E</t>
  </si>
  <si>
    <t>Adilson Pires Cerveira Junior</t>
  </si>
  <si>
    <t>CTXSPOAP407-15329</t>
  </si>
  <si>
    <t>Custos/Insumos para Oportunidade Magazine Luiza - Ativo</t>
  </si>
  <si>
    <t>CTXSPOAP407-15301</t>
  </si>
  <si>
    <t>NEXTEL - INFRAESTRUTURA</t>
  </si>
  <si>
    <t>CTXSPOAP407-15270</t>
  </si>
  <si>
    <t>PROJETO COTI - INSTALAÇÃO DE LICENÇA - CONTAX</t>
  </si>
  <si>
    <t>CTXSPOAP407-15208</t>
  </si>
  <si>
    <t>Projeto - Santander CP</t>
  </si>
  <si>
    <t>Renata Varkala Sanchez</t>
  </si>
  <si>
    <t>CTXSPOAP407-15198</t>
  </si>
  <si>
    <t>Insumos projeto (pré-vendas) PROMED</t>
  </si>
  <si>
    <t>CTXSPOAP407-15194</t>
  </si>
  <si>
    <t>Expansão do NGR Monitor - Cliente Oi</t>
  </si>
  <si>
    <t>CTXSPOAP407-15140</t>
  </si>
  <si>
    <t>Projeto - POC F5 WebSense</t>
  </si>
  <si>
    <t>Frederico Crespo Henriques de Paula Aguiar</t>
  </si>
  <si>
    <t>CTXSPOAP407-15089</t>
  </si>
  <si>
    <t>PROJETO - DEFENSORIA PUBLICA DO ESTADO DE SP</t>
  </si>
  <si>
    <t>CTXSPOAP407-14995</t>
  </si>
  <si>
    <t>SAMSUNG - RFP SUPORTE TECNICO</t>
  </si>
  <si>
    <t>CTXSPOAP407-14993</t>
  </si>
  <si>
    <t>Insumos Pré-Vendas - Qui Group solução de URA e Workflow</t>
  </si>
  <si>
    <t>CTXSPOAP407-14972</t>
  </si>
  <si>
    <t>Projeto - "Por favor, usuário, utilizar este campo para informar o nome do Projeto"</t>
  </si>
  <si>
    <t>CTXSPOAP407-14925</t>
  </si>
  <si>
    <t>Jaime Froilan de Souza Alosilla</t>
  </si>
  <si>
    <t>Mauricio Teixeira da Fonseca</t>
  </si>
  <si>
    <t>CTXSPOAP407-14886</t>
  </si>
  <si>
    <t>Projeto - Disponbilizar 01 Servidor de Gravação para Claro</t>
  </si>
  <si>
    <t>CTXSPOAP407-14879</t>
  </si>
  <si>
    <t>Insumos para Pre-Vendas RFP Vale</t>
  </si>
  <si>
    <t>CTXSPOAP407-14854</t>
  </si>
  <si>
    <t>Projeto - MIGRAÇÃO TAM SP PARA JP</t>
  </si>
  <si>
    <t>CTXSPOAP407-14828</t>
  </si>
  <si>
    <t>VIVO RFP - Novo Contrato de Atendimento 2016</t>
  </si>
  <si>
    <t>CTXSPOAP407-14745</t>
  </si>
  <si>
    <t>IMPLANTAÇÃO TAM VIAGENS - INFRA - SITE AUGUSTA</t>
  </si>
  <si>
    <t>CTXSPOAP407-14689</t>
  </si>
  <si>
    <t>Projeto - Licitação ENEL</t>
  </si>
  <si>
    <t>CTXSPOAP407-14658</t>
  </si>
  <si>
    <t>CTXSPOAP407-14651</t>
  </si>
  <si>
    <t>Projeto - ACL Analytics - Workstation</t>
  </si>
  <si>
    <t>CTXSPOAP407-14530</t>
  </si>
  <si>
    <t>Projeto - Magazine Luiza</t>
  </si>
  <si>
    <t>CTXSPOAP407-14490</t>
  </si>
  <si>
    <t>Insumos de Pré-Vendas</t>
  </si>
  <si>
    <t>CTXSPOAP407-14478</t>
  </si>
  <si>
    <t>Projeto - Parametrização de SLA no Pentaho</t>
  </si>
  <si>
    <t>CTXSPOAP407-14449</t>
  </si>
  <si>
    <t>Projeto - célula de ativo GNF</t>
  </si>
  <si>
    <t>CTXSPOAP407-14134</t>
  </si>
  <si>
    <t>Insumos de TI - Claro TLV</t>
  </si>
  <si>
    <t>Fernanda Esteves Zujenas</t>
  </si>
  <si>
    <t>CTXSPOAP407-13802</t>
  </si>
  <si>
    <t>Insumos para URA Multiplus</t>
  </si>
  <si>
    <t>CTXSPOAP407-13781</t>
  </si>
  <si>
    <t>Projeto - Piloto Indigo</t>
  </si>
  <si>
    <t>CTXSPOAP407-13720</t>
  </si>
  <si>
    <t>Projeto McKinsey - Cobrança - 100 PAs Discador Aspect</t>
  </si>
  <si>
    <t>CTXSPOAP407-13610</t>
  </si>
  <si>
    <t>Cotação Link de Dados 10 MBPS ponto a ponto</t>
  </si>
  <si>
    <t>CTXSPOAP407-13330</t>
  </si>
  <si>
    <t>Projeto - Implantação Nova Operação - Santander CP</t>
  </si>
  <si>
    <t>CTXSPOAP407-13236</t>
  </si>
  <si>
    <t>Projeto - Solução infraestrutura (servidor e link) para relatórios de Televendas</t>
  </si>
  <si>
    <t>Carolina Akemi Kakazu Arakaki</t>
  </si>
  <si>
    <t>CTXSPOAP407-13231</t>
  </si>
  <si>
    <t>Pré Venda - cliente Omni</t>
  </si>
  <si>
    <t>CTXSPOAP407-13197</t>
  </si>
  <si>
    <t>Lenvantamento de Insumos para nova oportunidade - Infoglobo Infraestrutura</t>
  </si>
  <si>
    <t>CTXSPOAP407-13166</t>
  </si>
  <si>
    <t>Ticket B2B - Ferramenta de acompanhamento de produtividade</t>
  </si>
  <si>
    <t>CTXSPOAP407-13150</t>
  </si>
  <si>
    <t>Projeto Total View 2a Fase</t>
  </si>
  <si>
    <t>CTXSPOAP407-13114</t>
  </si>
  <si>
    <t>Projeto - Pré Projeto LATAM TAM JOAO PESSOA</t>
  </si>
  <si>
    <t>CTXSPOAP407-12991</t>
  </si>
  <si>
    <t>Daniela Mesquita Monteiro</t>
  </si>
  <si>
    <t>CTXSPOAP407-12854</t>
  </si>
  <si>
    <t>Projeto Separação URA Multiplus da TAM</t>
  </si>
  <si>
    <t>CTXSPOAP407-12490</t>
  </si>
  <si>
    <t>CTXSPOAP407-12466</t>
  </si>
  <si>
    <t>Insumos TI e Aplicações - Prefeitura de Porto Alegre</t>
  </si>
  <si>
    <t>CTXSPOAP407-12333</t>
  </si>
  <si>
    <t>José Ballock Neto</t>
  </si>
  <si>
    <t>CTXSPOAP407-12306</t>
  </si>
  <si>
    <t>CTXSPOAP407-12185</t>
  </si>
  <si>
    <t>RTI - Direcionamento ao Portal de informações da Vivo (AJUSTES)</t>
  </si>
  <si>
    <t>Debora Gercke Dominas</t>
  </si>
  <si>
    <t>CTXSPOAP407-12033</t>
  </si>
  <si>
    <t>Desmobilização site Joinville</t>
  </si>
  <si>
    <t>Paulo Roberto Sim�es</t>
  </si>
  <si>
    <t>CTXSPOAP407-12031</t>
  </si>
  <si>
    <t>Desmobilização CTC Fortaleza</t>
  </si>
  <si>
    <t>CTXSPOAP407-12030</t>
  </si>
  <si>
    <t>Desmobilização CTC D. Pedro</t>
  </si>
  <si>
    <t>CTXSPOAP407-12001</t>
  </si>
  <si>
    <t>Implementação ACI em todos os prédios</t>
  </si>
  <si>
    <t>CTXSPOAP407-11965</t>
  </si>
  <si>
    <t>CTXSPOAP407-11630</t>
  </si>
  <si>
    <t>Tabulador - Motivos de Contato Operações Movel</t>
  </si>
  <si>
    <t>CTXSPOAP407-11421</t>
  </si>
  <si>
    <t>Jonathan Goya Nogiri</t>
  </si>
  <si>
    <t>CTXSPOAP407-11140</t>
  </si>
  <si>
    <t>CTXSPOAP407-11089</t>
  </si>
  <si>
    <t>Dalton Bondesan</t>
  </si>
  <si>
    <t>Lucas Francisco de Oliveira</t>
  </si>
  <si>
    <t>CTXSPOAP407-11039</t>
  </si>
  <si>
    <t>CTXSPOAP407-10905</t>
  </si>
  <si>
    <t>CTXSPOAP407-10900</t>
  </si>
  <si>
    <t>CTXSPOAP407-10552</t>
  </si>
  <si>
    <t>Projeto - Projeto - [Orbitall] - Integração do tGuidance com Cyber</t>
  </si>
  <si>
    <t>Cristiane Akiko Sasaki</t>
  </si>
  <si>
    <t>CTXSPOAP407-10551</t>
  </si>
  <si>
    <t>Projeto - Projeto - [Engenharia - Infra e Plataforma] - PRJ-ENG-051-15 Ajuste NAS HP X9730</t>
  </si>
  <si>
    <t>CTXSPOAP407-10550</t>
  </si>
  <si>
    <t>Projeto - Projeto - [Engenharia - Infra e Plataforma] - PRJ-ENG-050-15 Mcafee DLP</t>
  </si>
  <si>
    <t>CTXSPOAP407-10546</t>
  </si>
  <si>
    <t>Projeto - Projeto - [Engenharia - Infra e Plataforma] - PRJ-ENG-012-15 Exadata</t>
  </si>
  <si>
    <t>CTXSPOAP407-10523</t>
  </si>
  <si>
    <t>Projeto - Projeto - RFI Everis</t>
  </si>
  <si>
    <t>CTXSPOAP407-10513</t>
  </si>
  <si>
    <t>Projeto - Projeto - Criar ferramenta Disca Fácil</t>
  </si>
  <si>
    <t>CTXSPOAP407-10497</t>
  </si>
  <si>
    <t>Projeto - Projeto - [Oi] - Criar URL para Integração com o Fornecedor CLOSER</t>
  </si>
  <si>
    <t>CTXSPOAP407-10493</t>
  </si>
  <si>
    <t>Projeto - Projeto - Projeto para implantar a nova versão do tSupervisor em todas as operações da OI.</t>
  </si>
  <si>
    <t>Edison Nei Siqueira</t>
  </si>
  <si>
    <t>CTXSPOAP407-10434</t>
  </si>
  <si>
    <t>Projeto - Projeto - [NET] - Migração da solução para a versão 4.9.3 de RTI</t>
  </si>
  <si>
    <t>CTXSPOAP407-10432</t>
  </si>
  <si>
    <t>Projeto - Projeto - [NET] [TGUIDANCE] - Envio de bilhete para URA - FASE 2</t>
  </si>
  <si>
    <t>CTXSPOAP407-10430</t>
  </si>
  <si>
    <t>Projeto - Projeto - [ITAU]; [RTI] - Desenvolvimento das Integrações para operação CAC - Fase 2</t>
  </si>
  <si>
    <t>CTXSPOAP407-10428</t>
  </si>
  <si>
    <t>Projeto - Projeto - [SANTANDER]; Implantação tFamily</t>
  </si>
  <si>
    <t>CTXSPOAP407-10425</t>
  </si>
  <si>
    <t>Projeto - Projeto - [VIVO MASSIVO] - Automação do Saldo de Recarga e Bônus</t>
  </si>
  <si>
    <t>CTXSPOAP407-10423</t>
  </si>
  <si>
    <t>Projeto - Projeto - [VIVO];Ajustes tGuidance Lite</t>
  </si>
  <si>
    <t>CTXSPOAP407-10422</t>
  </si>
  <si>
    <t>Projeto - Projeto - [VIVO] - Fazer com o que tGuidance! lite passe a senha do ramal para se autenticar com o One-x (Registrar Ramal)</t>
  </si>
  <si>
    <t>CTXSPOAP407-10421</t>
  </si>
  <si>
    <t>Projeto - Projeto - [VIVO] - Integrar tGuidance! com Genesys diretamente</t>
  </si>
  <si>
    <t>CTXSPOAP407-10410</t>
  </si>
  <si>
    <t>Projeto - Projeto - [Vivo], [RTI] - Projeto RTI Vivo - Integração TClock x Logon no vivo 360</t>
  </si>
  <si>
    <t>CTXSPOAP407-10407</t>
  </si>
  <si>
    <t>Projeto - Projeto TAM - tReports! / Call Center</t>
  </si>
  <si>
    <t>CTXSPOAP407-10381</t>
  </si>
  <si>
    <t>Projeto - Projeto - Teste de Acesso</t>
  </si>
  <si>
    <t>CTXSPOAP407-10295</t>
  </si>
  <si>
    <t>Projeto - Projeto - [OI]; [RTI]; [ST VOZ] - 626 FASE 4 - Abertura dos registros automáticos</t>
  </si>
  <si>
    <t>CTXSPOAP407-10294</t>
  </si>
  <si>
    <t>Projeto - Projeto - [OI]; [RTI]; [ST VOZ] - 626 FASE 3 - Abertura dos registros automáticos</t>
  </si>
  <si>
    <t>CTXSPOAP407-10293</t>
  </si>
  <si>
    <t>Projeto - Projeto-[OI]; [RTI]; [ST VOZ] - Abertura dos registros automáticos pelo Front Fácil - Fase 2</t>
  </si>
  <si>
    <t>CTXSPOAP407-10289</t>
  </si>
  <si>
    <t>Projeto - Projeto - Alvará de resgate - DEMANDAS-1808</t>
  </si>
  <si>
    <t>CTXSPOAP407-10180</t>
  </si>
  <si>
    <t>Projeto - Projeto - Adequação URA SAC Volks - Lançamento de veículos</t>
  </si>
  <si>
    <t>CTXSPOAP407-10077</t>
  </si>
  <si>
    <t>Abertura de portas firewall antivirus local de todas as estações.</t>
  </si>
  <si>
    <t>Wanderson Marques</t>
  </si>
  <si>
    <t>CTXSPOAP407-10019</t>
  </si>
  <si>
    <t>CTXSPOAP407-9908</t>
  </si>
  <si>
    <t>Projeto - Projeto - Colocation de URA DNK_Ticket</t>
  </si>
  <si>
    <t>CTXSPOAP407-9433</t>
  </si>
  <si>
    <t>CTXSPOAP407-7761</t>
  </si>
  <si>
    <t>Projeto - Projeto - Instalação de 2 E1's - Ticket</t>
  </si>
  <si>
    <t>CTXSPOAL-103355</t>
  </si>
  <si>
    <t>Projeto - Monitorar ASPCTX100SPODA via SiteScope</t>
  </si>
  <si>
    <t>Diego Vivanco Fernandez</t>
  </si>
  <si>
    <t>CTXSPOAL-101987</t>
  </si>
  <si>
    <t>Projeto RTC x EPS Contax (ITAÚ CARTÕES) - TIVOLI</t>
  </si>
  <si>
    <t>CTXSPOAL-101739</t>
  </si>
  <si>
    <t>Projeto - "Implantação de Crescimento 3 PAs Intermédica"</t>
  </si>
  <si>
    <t>CTXSPOAL-101564</t>
  </si>
  <si>
    <t>Projeto - Substituição de links da IDT para colocar I360</t>
  </si>
  <si>
    <t>CTXSPOAL-101398</t>
  </si>
  <si>
    <t>Projeto - Cielo ARV/L5 - Implantação de Telefone HOT</t>
  </si>
  <si>
    <t>CTXSPOAL-100158</t>
  </si>
  <si>
    <t>Projeto - Ponto de rede para Wi-Fi</t>
  </si>
  <si>
    <t>CTXSPOAL-100112</t>
  </si>
  <si>
    <t>Projeto - Troca do parque de máquinas da operação Intermédica</t>
  </si>
  <si>
    <t>CTXSPOAL-99944</t>
  </si>
  <si>
    <t>Projeto - Migração BV Financeira (Lapa X Alegria)</t>
  </si>
  <si>
    <t>CTXSPOAL-99303</t>
  </si>
  <si>
    <t>Projeto - Crescimento (mais do mesmo) de 13 PA's na operação Volkswagen</t>
  </si>
  <si>
    <t>CTXSPOAL-97376</t>
  </si>
  <si>
    <t>Projeto - Migração POP3 - SKY Antartica - Alegria</t>
  </si>
  <si>
    <t>CTXSPOAL-96703</t>
  </si>
  <si>
    <t>Liberação software Innwinwiwn para os sites do Brasil</t>
  </si>
  <si>
    <t>Vera Lucia Augusto de Azevedo</t>
  </si>
  <si>
    <t>CTXSPOAL-96574</t>
  </si>
  <si>
    <t>Projeto - Migração SKY para site Alegria</t>
  </si>
  <si>
    <t>CTXSPOAL-96495</t>
  </si>
  <si>
    <t>Projeto - Precificação de novo hardware para servido de banco de dados</t>
  </si>
  <si>
    <t>CTXSPOAL-96427</t>
  </si>
  <si>
    <t>Projeto - Implantar t!guidance na Operação Intermédica</t>
  </si>
  <si>
    <t>CTXSPOAL-96174</t>
  </si>
  <si>
    <t>Projeto - Alteração dos Prompts da URA do Dealer e alteração dos áudios da operação Volkswagen</t>
  </si>
  <si>
    <t>CTXSPOAL-96094</t>
  </si>
  <si>
    <t>Projeto - Aquisição de 4 licenças da NetCallCenter para PA's de Chat da operação Volkswagen</t>
  </si>
  <si>
    <t>CTXSPOAL-95566</t>
  </si>
  <si>
    <t>CTXSPOAL-95026</t>
  </si>
  <si>
    <t>Projeto - Disponibilização de ferramenta de Chat (proposta comercial) para operação Volkwsagen prevendo integração com CRM (SAP) do Cliente</t>
  </si>
  <si>
    <t>CTXSPOAL-94230</t>
  </si>
  <si>
    <t>Projeto - Desenvolvimento de tabulador Contax para substituição do DefyIT</t>
  </si>
  <si>
    <t>CTXSPOAL-94114</t>
  </si>
  <si>
    <t>CTXSPOAL-93333</t>
  </si>
  <si>
    <t>Projeto - Projeto ERP - RH + Portal - Configuração Ambiente Produção</t>
  </si>
  <si>
    <t>Erika Andrade Miguel</t>
  </si>
  <si>
    <t>CTXSPOAL-92422</t>
  </si>
  <si>
    <t>Projeto - Alteração da URL atual do web service da URA Cielo Fidelidade (Fornecedor Exclusivo)</t>
  </si>
  <si>
    <t>CTXSPOAL-92107</t>
  </si>
  <si>
    <t>Projeto - Implementar funcionalidade de atendimento preview no FE Ayty \ Discador Aspect da Cielo L5</t>
  </si>
  <si>
    <t>CTXSPOAL-91736</t>
  </si>
  <si>
    <t>MARIAMA POPPE COSTA</t>
  </si>
  <si>
    <t>CTXSPOAL-91696</t>
  </si>
  <si>
    <t>Projeto - Implantar Link de Dados Cielo</t>
  </si>
  <si>
    <t>CTXSPOAL-91568</t>
  </si>
  <si>
    <t>Criação de servidor</t>
  </si>
  <si>
    <t>José Adriano Costa</t>
  </si>
  <si>
    <t>CTXSPOAL-91546</t>
  </si>
  <si>
    <t>Projeto Infraestrutura para implantação da Assinatura Digital no tClock Contax</t>
  </si>
  <si>
    <t>CTXSPOAL-90727</t>
  </si>
  <si>
    <t>Implementação de Monitoração de Perda de Pacotes, QA e Capacity Links de Dados Contax através do HPOPENVIEW</t>
  </si>
  <si>
    <t>Daniel Donaire</t>
  </si>
  <si>
    <t>CTXSPOAL-89740</t>
  </si>
  <si>
    <t>Cristina Rey Kamradt</t>
  </si>
  <si>
    <t>CTXSPOAL-89502</t>
  </si>
  <si>
    <t>CTXSPOAL-89142</t>
  </si>
  <si>
    <t>Projeto - Projeto - Alteração na URA SAC | Volkswagen</t>
  </si>
  <si>
    <t>CTXSPOAL-89128</t>
  </si>
  <si>
    <t>Projeto - Projeto - Instalação de aparelhos Avaya | Nextel</t>
  </si>
  <si>
    <t>CTXSPOAL-88112</t>
  </si>
  <si>
    <t>CTXSPOAL-86278</t>
  </si>
  <si>
    <t>Instalação Navigator - Cielo L5</t>
  </si>
  <si>
    <t>Jose Edson de Lima</t>
  </si>
  <si>
    <t>CTXSPOAL-83724</t>
  </si>
  <si>
    <t>CTXSPOAL-83138</t>
  </si>
  <si>
    <t>Projeto - Projeto - BO Anatel Jira 6</t>
  </si>
  <si>
    <t>Juliana Moretti Rovaris</t>
  </si>
  <si>
    <t>CTXSPOAL-81556</t>
  </si>
  <si>
    <t>Projeto - Sistema CW e Dashboard</t>
  </si>
  <si>
    <t>CTXSPOAL-81007</t>
  </si>
  <si>
    <t>Projeto - Implantar t-Guidance Operação Banco Toyota</t>
  </si>
  <si>
    <t>CTXSPOAL-57727</t>
  </si>
  <si>
    <t>Anderson Pinheiro Raposo</t>
  </si>
  <si>
    <t>CTXSPOAL-57726</t>
  </si>
  <si>
    <t>CTXSALSM-88005</t>
  </si>
  <si>
    <t>Projeto - Click To Call Ferramenta TI Contax</t>
  </si>
  <si>
    <t>Tiago dos Santos Fialho</t>
  </si>
  <si>
    <t>CTXSALSM-85211</t>
  </si>
  <si>
    <t>Aplicação - Desenvolvimento Tabulador de Proposta para a Operação CAC</t>
  </si>
  <si>
    <t>CTXSALSM-84952</t>
  </si>
  <si>
    <t>Projeto - "Migração POP 3 - Operação Web Site Fonte Nova x Cabula</t>
  </si>
  <si>
    <t>Cristiane Gon�alves Kuzuhara</t>
  </si>
  <si>
    <t>CTXSALSM-84288</t>
  </si>
  <si>
    <t>Projeto - "Migração POP 3 - Velox OUtbound e Site Fonte Nova x Boa Viagem"</t>
  </si>
  <si>
    <t>CTXSALSM-84035</t>
  </si>
  <si>
    <t>CTXSALSM-83159</t>
  </si>
  <si>
    <t>Projeto Instalar Totem para Campanha da Fatura Digital nas operações Itaú Site Cabula</t>
  </si>
  <si>
    <t>Mariana da Costa Mello</t>
  </si>
  <si>
    <t>CTXSALSM-83029</t>
  </si>
  <si>
    <t>Aplicações de Hardenings : (Baseline Itaú)</t>
  </si>
  <si>
    <t>CTXSALSM-83016</t>
  </si>
  <si>
    <t>AUDITORIA REMOTA: (Coleta de Dados Automatizada)</t>
  </si>
  <si>
    <t>CTXSALSM-82024</t>
  </si>
  <si>
    <t>BASELINE: IMPLANTAÇÃO DO PROCESSO DE AUDITORIA PARA TODAS OPERAÇÕES DO ITAÚ e REDECARD: SAC / COBRANÇA / TLV</t>
  </si>
  <si>
    <t>CTXSALSM-81593</t>
  </si>
  <si>
    <t>Implantação do novo pacote de PRC (Blindagem) nas operações de cartões de crédito do Itaú que são atendidas pela Contax.</t>
  </si>
  <si>
    <t>CTXSALSM-79594</t>
  </si>
  <si>
    <t>CTXSALSM-78825</t>
  </si>
  <si>
    <t>Contax - Liberação de Firewall - Novos Servidores NICE - BA</t>
  </si>
  <si>
    <t>CTXSALSM-78582</t>
  </si>
  <si>
    <t>CTXSALSM-74754</t>
  </si>
  <si>
    <t>Troca do sistema WinXP para Win7 em todas as operações do Itaú BA</t>
  </si>
  <si>
    <t>CTXSALPB-56789</t>
  </si>
  <si>
    <t>Projeto - Front Fácil + APC - Rentabilização Fixo</t>
  </si>
  <si>
    <t>Alexandre Teixeira de Pinho</t>
  </si>
  <si>
    <t>CTXSALPB-55659</t>
  </si>
  <si>
    <t>Projeto - "Crescimento de 20 PV´s Velox Outbound"</t>
  </si>
  <si>
    <t>CTXSALPB-55459</t>
  </si>
  <si>
    <t>Projeto - "Gravação BO Empresarial"</t>
  </si>
  <si>
    <t>CTXSALPB-53727</t>
  </si>
  <si>
    <t>CTXSALPB-53725</t>
  </si>
  <si>
    <t>CTXSALPB-51084</t>
  </si>
  <si>
    <t>Projeto - "Configuração de PV´s de incentivados Fixo"</t>
  </si>
  <si>
    <t>Julio Cesar da Silva</t>
  </si>
  <si>
    <t>CTXSALPB-50670</t>
  </si>
  <si>
    <t>Projeto - "Crescimento de 50 PA´s de Velox/Fixo"</t>
  </si>
  <si>
    <t>CTXSALPB-47935</t>
  </si>
  <si>
    <t>Projeto - Crescimento Rentabilização</t>
  </si>
  <si>
    <t>CTXSALPB-47142</t>
  </si>
  <si>
    <t>Projeto - "Migração POP 3 - Auditoria varejo e Site Fonte Nova x Boa Viagem"</t>
  </si>
  <si>
    <t>CTXSALPB-47141</t>
  </si>
  <si>
    <t>Projeto - "Migração POP 3 - Inbound OI TV e Site Fonte Nova x Boa Viagem"</t>
  </si>
  <si>
    <t>CTXSALPB-47135</t>
  </si>
  <si>
    <t>Projeto - "Migração POP 3 - TLV Empresarial e Site Fonte Nova x Boa Viagem".</t>
  </si>
  <si>
    <t>CTXSALPB-46921</t>
  </si>
  <si>
    <t>Projeto - Integração NBA x tGuidance! Inbound Rentabilização</t>
  </si>
  <si>
    <t>CTXSALPB-42304</t>
  </si>
  <si>
    <t>Projeto - Projeto Tetris Boa Viagem (Televendas e Rentabilização)</t>
  </si>
  <si>
    <t>CTXSALPB-38362</t>
  </si>
  <si>
    <t>CTXSALPB-31209</t>
  </si>
  <si>
    <t>Implantação APC + FF - Rentabilização</t>
  </si>
  <si>
    <t>CTXSALLM-119760</t>
  </si>
  <si>
    <t>Projeto - "Alteração da gravação de outbound para inbound"</t>
  </si>
  <si>
    <t>CTXSALLM-119005</t>
  </si>
  <si>
    <t>Adequa</t>
  </si>
  <si>
    <t>CTXSALLM-118766</t>
  </si>
  <si>
    <t>CTXSALLM-118698</t>
  </si>
  <si>
    <t>Crescimento mais do mesmo para atender o forecast de Jan/16 do ATC Premium</t>
  </si>
  <si>
    <t>CTXSALLM-118598</t>
  </si>
  <si>
    <t>Crescimento de 3 Posições do Mega Ilha</t>
  </si>
  <si>
    <t>CTXSALLM-117664</t>
  </si>
  <si>
    <t>desenvolvimento front facil</t>
  </si>
  <si>
    <t>CTXSALLM-117084</t>
  </si>
  <si>
    <t>Projeto - ""Migração POP 3 - BO TLV Varejo e Site Fonte Nova x Comércio".</t>
  </si>
  <si>
    <t>CTXSALLM-117082</t>
  </si>
  <si>
    <t>Projeto - Migração POP 3 - OCT Out/Inb e Fonte Nova x Comércio</t>
  </si>
  <si>
    <t>CTXSALLM-115737</t>
  </si>
  <si>
    <t>Projeto - Projeto - Citibank - Nova operação de Ativação/Desbloqueio de Cartões</t>
  </si>
  <si>
    <t>CTXSALLM-115129</t>
  </si>
  <si>
    <t>Projeto - Adicionar VLAN para Atendimento do BBJapão</t>
  </si>
  <si>
    <t>CTXSALLM-110995</t>
  </si>
  <si>
    <t>Projeto - Projeto - Novo Portal de Vendas_ Ezconet</t>
  </si>
  <si>
    <t>Priscila Menezes de Sousa Pinto</t>
  </si>
  <si>
    <t>CTXSALAS-161797</t>
  </si>
  <si>
    <t>CTXSALAS-158599</t>
  </si>
  <si>
    <t>CTXSALAS-156916</t>
  </si>
  <si>
    <t>CTXSALAS-156730</t>
  </si>
  <si>
    <t>CTXSALAS-155279</t>
  </si>
  <si>
    <t>CTXSALAS-154241</t>
  </si>
  <si>
    <t>CTXSALAS-150015</t>
  </si>
  <si>
    <t>CTXSALAS-149443</t>
  </si>
  <si>
    <t>CTXRJOPF-69425</t>
  </si>
  <si>
    <t>Mariana de Araujo Paiva</t>
  </si>
  <si>
    <t>CTXRJOMK-125309</t>
  </si>
  <si>
    <t>Maria da Conceicao Paiva</t>
  </si>
  <si>
    <t>CTXRJOMK-119586</t>
  </si>
  <si>
    <t>Lilian Bille Mesquita</t>
  </si>
  <si>
    <t>CTXRJOMK-118558</t>
  </si>
  <si>
    <t>Projeto - Troca do parque de máquinas da operação Bradesco Seguros</t>
  </si>
  <si>
    <t>CTXRJOMK-118064</t>
  </si>
  <si>
    <t>Marco Aurelio Chuim Cruz Filho</t>
  </si>
  <si>
    <t>CTXRJOMK-117938</t>
  </si>
  <si>
    <t>Maria Carla Pereira dos Santos</t>
  </si>
  <si>
    <t>Eduardo Lima de Souza</t>
  </si>
  <si>
    <t>CTXRJOMK-102944</t>
  </si>
  <si>
    <t>Leonardo Machado Anastacio</t>
  </si>
  <si>
    <t>CTXRJOMA-78225</t>
  </si>
  <si>
    <t>PROJETO AUTOMAÇÕES OI | PROCESSO ALTERAÇÃO DE VELOCIDADE VELOX</t>
  </si>
  <si>
    <t>CTXRJOMA-78224</t>
  </si>
  <si>
    <t>PROJETO AUTOMAÇÕES OI | PROCESSO CONTESTAÇÃO DE FATURA OI TV COM PAGAMENTO NO OI FIXO</t>
  </si>
  <si>
    <t>CTXRJOMA-78220</t>
  </si>
  <si>
    <t>PROJETO AUTOMAÇÕES OI | PROCESSO CHECK LIST DE CRÉDITO POR INTERRUPÇÃO FIXO E VELOX (OCT CONTAS)</t>
  </si>
  <si>
    <t>CTXRJOMA-78219</t>
  </si>
  <si>
    <t>PROJETO AUTOMAÇÕES OI | PROCESSO VERIFICAÇÃO DE CAMPANHAS PRÉ-PAGO</t>
  </si>
  <si>
    <t>CTXRJOMA-78217</t>
  </si>
  <si>
    <t>PROJETO AUTOMAÇÕES OI | PROCESSO CHECKLIST DE MUDEND</t>
  </si>
  <si>
    <t>CTXRJOMA-78215</t>
  </si>
  <si>
    <t>PROJETO AUTOMAÇÕES OI | PROCESSO VERIFICAÇÃO DE PROMOÇÕES PÓS-PAGO</t>
  </si>
  <si>
    <t>CTXRJOMA-78212</t>
  </si>
  <si>
    <t>PROJETO AUTOMAÇÕES OI | PROCESSO INCLUSÃO DE DEPENDENTE OI MÓVEL</t>
  </si>
  <si>
    <t>CTXRJOMA-78210</t>
  </si>
  <si>
    <t>CTXRJOMA-78208</t>
  </si>
  <si>
    <t>PROJETO AUTOMAÇÕES OI | PROCESSO ABERTURA E FECHAMENTO CONTESTAÇÃO</t>
  </si>
  <si>
    <t>CTXRJOMA-78045</t>
  </si>
  <si>
    <t>Projeto Automações Oi | FLUXO LIMITAÇÃO DA CHAMADA MANUAL</t>
  </si>
  <si>
    <t>CTXRJOMA-78044</t>
  </si>
  <si>
    <t>Projeto Automações Oi | RTI - AUTOMAÇÃO CONSULTA HISTÓRICO TERMINAL</t>
  </si>
  <si>
    <t>CTXRJOMA-78043</t>
  </si>
  <si>
    <t>Projeto - Playground - Otimização da distribuição de chamadas</t>
  </si>
  <si>
    <t>Fabricio Hinein Peixoto Guimaraes</t>
  </si>
  <si>
    <t>CTXRJOMA-77877</t>
  </si>
  <si>
    <t>Projeto Automações OI | RTI - REGISTRO AUTOMÁTICO DE REPARO DE VOZ (G1)</t>
  </si>
  <si>
    <t>CTXRJOMA-77615</t>
  </si>
  <si>
    <t>Projeto - Implantar Cochicho "Reajuste" nas operações da Cadeia Fixa</t>
  </si>
  <si>
    <t>Fernanda Nazario Menezes</t>
  </si>
  <si>
    <t>CTXRJOMA-77362</t>
  </si>
  <si>
    <t>Projeto_PassWork_interface telefonia</t>
  </si>
  <si>
    <t>Joyce Faria Barbosa</t>
  </si>
  <si>
    <t>CTXRJOMA-77361</t>
  </si>
  <si>
    <t>Projeto_PassWork_integraçao escala</t>
  </si>
  <si>
    <t>CTXRJOMA-77360</t>
  </si>
  <si>
    <t>Projeto_PassWork_integraçao_hierarquia</t>
  </si>
  <si>
    <t>CTXRJOMA-77291</t>
  </si>
  <si>
    <t>Projeto - Front End para BO CONTRATOS</t>
  </si>
  <si>
    <t>Leonardo Pellegrini Vieira</t>
  </si>
  <si>
    <t>CTXRJOMA-77290</t>
  </si>
  <si>
    <t>Projeto - NICE Operações BO CONTRATOS</t>
  </si>
  <si>
    <t>CTXRJOMA-77272</t>
  </si>
  <si>
    <t>Reestruturação do DW, BIGDATA and ANALYTICS (RFP)</t>
  </si>
  <si>
    <t>CTXRJOMA-77042</t>
  </si>
  <si>
    <t>CATRACA - Desenvolvimento de coleta</t>
  </si>
  <si>
    <t>Joao Carlos Fadul Vilas Boas</t>
  </si>
  <si>
    <t>CTXRJOMA-76887</t>
  </si>
  <si>
    <t>Requisição de coleta de base TLV e Perfilcall</t>
  </si>
  <si>
    <t>CTXRJOMA-76875</t>
  </si>
  <si>
    <t>Mapeamento de IP por posição com localização em planta</t>
  </si>
  <si>
    <t>CTXRJOMA-76819</t>
  </si>
  <si>
    <t>Permissão de leitura a Procedure</t>
  </si>
  <si>
    <t>CTXRJOMA-73888</t>
  </si>
  <si>
    <t>Projeto - Projeto - Ferramenta de Automação OFF Line</t>
  </si>
  <si>
    <t>Elaine Fortunato da Silva</t>
  </si>
  <si>
    <t>CTXRJOMA-73573</t>
  </si>
  <si>
    <t>Projeto - Projeto - Melhoria TLV OFF Line</t>
  </si>
  <si>
    <t>CTXRJOMA-72849</t>
  </si>
  <si>
    <t>Projeto - Projeto - Evalyser Lista de Espera - SOC</t>
  </si>
  <si>
    <t>Livia de Deus Henriques Rodrigues</t>
  </si>
  <si>
    <t>CTXRJOED-57910</t>
  </si>
  <si>
    <t>Projeto - "Relatorios SISO"</t>
  </si>
  <si>
    <t>Kathleen Porto</t>
  </si>
  <si>
    <t>CTXRJOED-57908</t>
  </si>
  <si>
    <t>CTXRJOED-57907</t>
  </si>
  <si>
    <t>CTXRJOED-57427</t>
  </si>
  <si>
    <t>Implantação Gas Natural Fenosa</t>
  </si>
  <si>
    <t>CTXRJOED-56989</t>
  </si>
  <si>
    <t>Projeto - Instalar Ferramenta de Automações Célula GFE - Engenho de Dentro</t>
  </si>
  <si>
    <t>CTXRJOED-55097</t>
  </si>
  <si>
    <t>CTXRJOED-54399</t>
  </si>
  <si>
    <t>Projeto - Usabilidade SGRC</t>
  </si>
  <si>
    <t>CTXRJOED-54040</t>
  </si>
  <si>
    <t>Projeto - Projeto - Discador GFE RJ</t>
  </si>
  <si>
    <t>CTXRJOED-54029</t>
  </si>
  <si>
    <t>CTXRJOED-51677</t>
  </si>
  <si>
    <t>Sem acesso tprocess</t>
  </si>
  <si>
    <t>Alyne Souza Berriel</t>
  </si>
  <si>
    <t>CTXRJOED-49497</t>
  </si>
  <si>
    <t>CTXRECSA-463298</t>
  </si>
  <si>
    <t>Movimentação Máquinas Suporte Técnico</t>
  </si>
  <si>
    <t>F�bio Prazeres da Silva</t>
  </si>
  <si>
    <t>CTXRECSA-462461</t>
  </si>
  <si>
    <t>Projeto - Inclusão do 9º digito na ferramenta Ayty</t>
  </si>
  <si>
    <t>CTXRECSA-461808</t>
  </si>
  <si>
    <t>Projeto - Projeto - Implantação de licenças COTI - Monitoramento do NET SMS</t>
  </si>
  <si>
    <t>Juliano Molina</t>
  </si>
  <si>
    <t>CTXRECSA-460567</t>
  </si>
  <si>
    <t>Projeto - Sinergia célula híbrida + PDA URA com o CRV</t>
  </si>
  <si>
    <t>Anthonny Stallone Santos de Souza</t>
  </si>
  <si>
    <t>CTXRECSA-457626</t>
  </si>
  <si>
    <t>Projeto - Substituição do front end Ayty pelo Tguidance - Operação Santander Cartões</t>
  </si>
  <si>
    <t>CTXRECSA-456620</t>
  </si>
  <si>
    <t>Projeto - Implantar ferramenta Evalyze no BO Fixa</t>
  </si>
  <si>
    <t>CTXRECSA-455203</t>
  </si>
  <si>
    <t>TLS: Protocolo de criptografia TLS 1.2</t>
  </si>
  <si>
    <t>CTXRECSA-454137</t>
  </si>
  <si>
    <t>Projeto - Crescimento de 50 posições</t>
  </si>
  <si>
    <t>CTXRECSA-453800</t>
  </si>
  <si>
    <t>Projeto - "instalar google chrome na célula híbrda"</t>
  </si>
  <si>
    <t>CTXRECSA-452887</t>
  </si>
  <si>
    <t>Projeto - Integração URA CO x Ferramenta Automação</t>
  </si>
  <si>
    <t>CTXRECSA-448642</t>
  </si>
  <si>
    <t>Projeto - Migrar a Célula de Backoffice do Site Antártica para o Site Santo Amaro</t>
  </si>
  <si>
    <t>CTXRECSA-447220</t>
  </si>
  <si>
    <t>50 PAS DE CRESCIMENTO MAIS DO MESMO DA REDECARD</t>
  </si>
  <si>
    <t>CTXRECSA-446234</t>
  </si>
  <si>
    <t>SERVIDOR - TABULADOR DE VENDAS</t>
  </si>
  <si>
    <t>CTXRECSA-446175</t>
  </si>
  <si>
    <t>Projeto - "Demanda no Relatório Perfilador"</t>
  </si>
  <si>
    <t>MILANE LINS DA SILVA</t>
  </si>
  <si>
    <t>CTXRECSA-443731</t>
  </si>
  <si>
    <t>Projeto - Adequação das Salas de TRN para o crescimento da operação NET em PE</t>
  </si>
  <si>
    <t>CTXRECSA-442185</t>
  </si>
  <si>
    <t>Projeto - Configurar 3 posições para a auditoria de vendas do Itaú</t>
  </si>
  <si>
    <t>CTXRECSA-441544</t>
  </si>
  <si>
    <t>Projeto - "Migração POP 3 - Posto PA Conquista vs. Sto Amaro"</t>
  </si>
  <si>
    <t>Anderson Luiz Gon�alves de Alcantara</t>
  </si>
  <si>
    <t>CTXRECSA-441539</t>
  </si>
  <si>
    <t>Projeto - "Migração POP 3 - Pendencia de Serviços Conquista vs. Sto Amaro"</t>
  </si>
  <si>
    <t>CTXRECSA-441538</t>
  </si>
  <si>
    <t>Projeto - "Migração POP 3 - pendencia de Contas Conquista vs. Sto Amaro"</t>
  </si>
  <si>
    <t>CTXRECSA-441537</t>
  </si>
  <si>
    <t>Projeto - "Migração POP 3 - Lojista Conquista vs. Sto Amaro"</t>
  </si>
  <si>
    <t>CTXRECSA-441535</t>
  </si>
  <si>
    <t>Projeto - "Migração POP 3 - Ilha de Auditoria Conquista vs. Sto Amaro"</t>
  </si>
  <si>
    <t>CTXRECSA-441525</t>
  </si>
  <si>
    <t>Projeto - "Migração POP 3 - Fale Conosco Conquista vs. Sto Amaro"</t>
  </si>
  <si>
    <t>CTXRECSA-441523</t>
  </si>
  <si>
    <t>Projeto - "Migração POP 3 - Correspondencia Conquista vs. Sto Amaro"</t>
  </si>
  <si>
    <t>CTXRECSA-441507</t>
  </si>
  <si>
    <t>Projeto - "Migração POP 3 - Contas Fixa Conquista vs. Sto Amaro"</t>
  </si>
  <si>
    <t>CTXRECSA-441505</t>
  </si>
  <si>
    <t>Projeto - "Migração POP 3 - Chat R2 Conquista vs. Sto Amaro"</t>
  </si>
  <si>
    <t>CTXRECSA-441504</t>
  </si>
  <si>
    <t>Projeto - "Migração POP 3 - Chat R1 Conquista vs. Sto Amaro"</t>
  </si>
  <si>
    <t>CTXRECSA-441495</t>
  </si>
  <si>
    <t>Projeto - "Migração POP 3 - BO OI TV Conquista vs. Sto Amaro"</t>
  </si>
  <si>
    <t>CTXRECSA-440043</t>
  </si>
  <si>
    <t>Discador SOC PE (GFE)</t>
  </si>
  <si>
    <t>CTXRECSA-439346</t>
  </si>
  <si>
    <t>Projeto - Migração POP 3 - Operação REDE e Site Origem Conquista vs. Destino Santo Amaro</t>
  </si>
  <si>
    <t>CTXRECSA-439329</t>
  </si>
  <si>
    <t>PROJETO TIVOLI REDECARD</t>
  </si>
  <si>
    <t>CTXRECSA-439328</t>
  </si>
  <si>
    <t>Projeto - "Inclusão do DDD 96 na URA do CO" (Pendência do projeto da URA do CO)</t>
  </si>
  <si>
    <t>CTXRECSA-439238</t>
  </si>
  <si>
    <t>Projeto - Instalar Ferramenta Automação Célula GFE - Santo Amaro e Integrar Ferramenta de Automação com TLV</t>
  </si>
  <si>
    <t>CTXRECSA-438942</t>
  </si>
  <si>
    <t>Projeto - Liberação de acesso Gerencias Velox , nas maquinas da Operação Suporte Avançado Velox</t>
  </si>
  <si>
    <t>Iosmar Ferreira Teixeira</t>
  </si>
  <si>
    <t>CTXRECSA-433478</t>
  </si>
  <si>
    <t>Projeto - Implantar sistema de Prova on Line na operação NET - Santo Amaro</t>
  </si>
  <si>
    <t>CTXRECSA-430770</t>
  </si>
  <si>
    <t>CTXRECSA-430668</t>
  </si>
  <si>
    <t>CTXRECSA-430340</t>
  </si>
  <si>
    <t>Projeto - Projeto Instalar Totem para Campanha da Fatura Digital</t>
  </si>
  <si>
    <t>CTXRECSA-424149</t>
  </si>
  <si>
    <t>Fabiana Hoffmann</t>
  </si>
  <si>
    <t>CTXRECSA-422496</t>
  </si>
  <si>
    <t>CTXRECSA-422212</t>
  </si>
  <si>
    <t>CONTROLE DE ACESSO COM O PROTOCOLO 802.1x</t>
  </si>
  <si>
    <t>CTXRECSA-422165</t>
  </si>
  <si>
    <t>CTXRECSA-419831</t>
  </si>
  <si>
    <t>CTXRECSA-419337</t>
  </si>
  <si>
    <t>TROCA DO WIN7 - a criação da estrutura do tsupervisor, o SMPA não funciona com Win 7.</t>
  </si>
  <si>
    <t>CTXRECSA-414952</t>
  </si>
  <si>
    <t>Implantação ferramenta RTI - CAC Itaú</t>
  </si>
  <si>
    <t>CTXRECSA-413131</t>
  </si>
  <si>
    <t>CTXRECSA-410282</t>
  </si>
  <si>
    <t>Projeto - Projeto - Instalação WEDO SAC pós e OCT</t>
  </si>
  <si>
    <t>CTXRECSA-410083</t>
  </si>
  <si>
    <t>BASELINE ITAÚ (APLICAR TODAS AS OPERAÇÕES)</t>
  </si>
  <si>
    <t>CTXRECSA-407387</t>
  </si>
  <si>
    <t>CTXRECSA-407337</t>
  </si>
  <si>
    <t>CTXRECSA-403870</t>
  </si>
  <si>
    <t>Projeto - Disponibilizar Gravação NICE na Operação SOC GFE PE/RJ e SOC OffLines</t>
  </si>
  <si>
    <t>CTXRECSA-402181</t>
  </si>
  <si>
    <t>CTXRECSA-401969</t>
  </si>
  <si>
    <t>Contax - Liberação de Firewall - Novos Servidores NICE - PE</t>
  </si>
  <si>
    <t>CTXRECSA-391509</t>
  </si>
  <si>
    <t>Liberação do portal Credibilidade na operação Bradesco Financiamento em PE</t>
  </si>
  <si>
    <t>CTXRECSA-382919</t>
  </si>
  <si>
    <t>LIGIA MARIA DE ALMEIDA ALVES</t>
  </si>
  <si>
    <t>CTXRECSA-371873</t>
  </si>
  <si>
    <t>Troca do sistema WinXP para Win7 em todas as operações do Itaú nos estados de PE</t>
  </si>
  <si>
    <t>CTXRECSA-358319</t>
  </si>
  <si>
    <t>CTXRECSA-338313</t>
  </si>
  <si>
    <t>CTXRECAU-63167</t>
  </si>
  <si>
    <t>Projeto - Migração POP 3 - Operação Itaú 2.0 Site Origem Conquista vs. Destino Aurora</t>
  </si>
  <si>
    <t>CTXRECAM-56450</t>
  </si>
  <si>
    <t>CTXRECAM-56254</t>
  </si>
  <si>
    <t>Migração POP 3 - Televendas Santander e Site Conquista X Site Santo Amaro</t>
  </si>
  <si>
    <t>CTXRECAM-55921</t>
  </si>
  <si>
    <t>Projeto - Implantar o processo de auditoria Clientis em uma posição de antedimento da REDE</t>
  </si>
  <si>
    <t>CTXRECAM-55620</t>
  </si>
  <si>
    <t>Projeto - Implantar o Portal Clientis na operação REDE</t>
  </si>
  <si>
    <t>CTXRECAM-55516</t>
  </si>
  <si>
    <t>CTXRECAM-55511</t>
  </si>
  <si>
    <t>CTXRECAM-55397</t>
  </si>
  <si>
    <t>CTXRECAM-55054</t>
  </si>
  <si>
    <t>CTXRECAM-55052</t>
  </si>
  <si>
    <t>CTXRECAM-54297</t>
  </si>
  <si>
    <t>CTXRECAM-51761</t>
  </si>
  <si>
    <t>BASELINE - ITAU TELEVENDAS</t>
  </si>
  <si>
    <t>CTXRBRSA-28</t>
  </si>
  <si>
    <t>Administrador</t>
  </si>
  <si>
    <t>THIAGO ALVES FELIPPE</t>
  </si>
  <si>
    <t>CTXPOARB-102110</t>
  </si>
  <si>
    <t>Projeto - Implantação de licenças COTI - Monitoramento do NET SMS</t>
  </si>
  <si>
    <t>CTXPOARB-101511</t>
  </si>
  <si>
    <t>Projeto - Migração da operação Souza Cruz - Mesmo site</t>
  </si>
  <si>
    <t>CTXPOARB-101274</t>
  </si>
  <si>
    <t>Projeto - Crescimento da Operação Souza Cruz</t>
  </si>
  <si>
    <t>CTXPOARB-101179</t>
  </si>
  <si>
    <t>Projeto - Implantar acionamento de pausas pelo supervisor - tSupervisor</t>
  </si>
  <si>
    <t>CTXPOARB-100112</t>
  </si>
  <si>
    <t>Projeto - Automatizar processo de cargas de mailing na Operação Souza Cruz</t>
  </si>
  <si>
    <t>CTXPOARB-94333</t>
  </si>
  <si>
    <t>Projeto - Adequação do RTI NET para uso com o Internet Explorer 10</t>
  </si>
  <si>
    <t>CTXPOARB-93327</t>
  </si>
  <si>
    <t>Projeto - Implantar o link de dados e voz da Operação Souza Cruz</t>
  </si>
  <si>
    <t>CTXPOARB-92840</t>
  </si>
  <si>
    <t>Projeto - Projeto Implantar servidor para Ferramenta Evalyze</t>
  </si>
  <si>
    <t>CTXPOARB-91371</t>
  </si>
  <si>
    <t>Projeto - Implantar um novo tronco entre Almaviva Aracaju X Contax com 60 canais</t>
  </si>
  <si>
    <t>CTXPOARB-91289</t>
  </si>
  <si>
    <t>Projeto - Ampliar 90 portas de URA do atendimento RJO (Tronco Chave 051 3455-1300)</t>
  </si>
  <si>
    <t>CTXPOARB-90275</t>
  </si>
  <si>
    <t>Adequação versão 1117022 RTI NET - de SIGMA para NOVOSIGMA</t>
  </si>
  <si>
    <t>CTXPOARB-90126</t>
  </si>
  <si>
    <t>RTI NET - Alteração na mensagem do Pop Up</t>
  </si>
  <si>
    <t>CTXPOARB-90125</t>
  </si>
  <si>
    <t>RTI NET- Desabilitado por Opção</t>
  </si>
  <si>
    <t>CTXPOARB-87226</t>
  </si>
  <si>
    <t>Projeto - Substituição de servidor - MIS operação NET</t>
  </si>
  <si>
    <t>Nelson Klaus Araujo Goncalves</t>
  </si>
  <si>
    <t>CTXPOARB-85985</t>
  </si>
  <si>
    <t>Projeto - RTI - Auxílio no atendimento de Busca Pagamentos</t>
  </si>
  <si>
    <t>CTXPOARB-85984</t>
  </si>
  <si>
    <t>Projeto RTI - Registro da Ocorrência de Callback</t>
  </si>
  <si>
    <t>CTXNITSP-178545</t>
  </si>
  <si>
    <t>Projeto - TLV - BO NBA</t>
  </si>
  <si>
    <t>Rodrigo Ribeiro de Araujo</t>
  </si>
  <si>
    <t>CTXNITSP-178541</t>
  </si>
  <si>
    <t>Projeto - TLV - BO DADOS</t>
  </si>
  <si>
    <t>CTXNITSP-178375</t>
  </si>
  <si>
    <t>Projeto - Automação: Cancelamento / Liberação de OS</t>
  </si>
  <si>
    <t>CTXNITSP-178374</t>
  </si>
  <si>
    <t>Projeto - Automação: Busca de contato</t>
  </si>
  <si>
    <t>CTXNITSP-178373</t>
  </si>
  <si>
    <t>Projeto - Automação: Pendenciar e Cancelar OS</t>
  </si>
  <si>
    <t>CTXNITSP-178203</t>
  </si>
  <si>
    <t>Projeto - Gravação das Chamadas do CRV com Telas</t>
  </si>
  <si>
    <t>CTXNITSP-177717</t>
  </si>
  <si>
    <t>Projeto - Favor criar plano de gravação para 24 posições do BO DADOS e BO NBA. Essa solução de gravação deve ser NICE e garantir integração com TLV.</t>
  </si>
  <si>
    <t>CTXNITSP-177716</t>
  </si>
  <si>
    <t>Projeto - Criar 0800 para atender ao volume de chamadas classifficadas como pendência Fixo e Velox.</t>
  </si>
  <si>
    <t>CTXNITSP-177715</t>
  </si>
  <si>
    <t>Projeto - Criar 0800 para atender ao volume de chamados classifficadas como pendência Fixo e Velox.</t>
  </si>
  <si>
    <t>CTXNITSP-177581</t>
  </si>
  <si>
    <t>Tetris Niterói - Operação Suporte Unificado</t>
  </si>
  <si>
    <t>Alexsander Alves Santos</t>
  </si>
  <si>
    <t>CTXNITSP-177338</t>
  </si>
  <si>
    <t>POP 4 - Otimização Site Niterói - Retenção Empresarial</t>
  </si>
  <si>
    <t>Tatiane Rodrigues Dallecrode</t>
  </si>
  <si>
    <t>CTXNITSP-177305</t>
  </si>
  <si>
    <t>Baixa Diária Clientes R2</t>
  </si>
  <si>
    <t>CTXNITSP-177143</t>
  </si>
  <si>
    <t>Projeto - Tetris Niterói Fase 9</t>
  </si>
  <si>
    <t>CTXNITSP-177142</t>
  </si>
  <si>
    <t>CTXNITSP-176576</t>
  </si>
  <si>
    <t>Projeto - "Tetris Niteroi Fase 8"</t>
  </si>
  <si>
    <t>Jill Ullmann Ortiz</t>
  </si>
  <si>
    <t>CTXNITSP-176570</t>
  </si>
  <si>
    <t>Projeto - "Tetris Niterói fase 4"</t>
  </si>
  <si>
    <t>CTXNITSP-176458</t>
  </si>
  <si>
    <t>Projeto - "Tetris Niterói"</t>
  </si>
  <si>
    <t>CTXNITSP-176231</t>
  </si>
  <si>
    <t>Projeto - Front End para a operação BLITZ DA AUDITORIA DE VENDAS</t>
  </si>
  <si>
    <t>CTXNITSP-176228</t>
  </si>
  <si>
    <t>Projeto - NICE Operações Auditorias e BO's</t>
  </si>
  <si>
    <t>CTXNITSP-176226</t>
  </si>
  <si>
    <t>Projeto - "Nice SAV Entrega"</t>
  </si>
  <si>
    <t>CTXNITSP-176224</t>
  </si>
  <si>
    <t>Projeto - "Discador 4011"</t>
  </si>
  <si>
    <t>CTXNITSP-176223</t>
  </si>
  <si>
    <t>Projeto - "Front End SAV Entrega"</t>
  </si>
  <si>
    <t>CTXNITSP-176042</t>
  </si>
  <si>
    <t>Transferência da Equipe de Treinamento para o 12º andar - Niterói</t>
  </si>
  <si>
    <t>CTXNITSP-175831</t>
  </si>
  <si>
    <t>Projeto - Discador Automático (CRV Fixo, CRV Velox)</t>
  </si>
  <si>
    <t>CTXNITSP-175152</t>
  </si>
  <si>
    <t>TLV</t>
  </si>
  <si>
    <t>Eloise pereira ciqueira gra�a</t>
  </si>
  <si>
    <t>CTXNITSP-173491</t>
  </si>
  <si>
    <t>Projeto - Favor restruturar ambiente da sala de Macros MIS - MG, garantindo todas as exigências da Segurança da Informação Contax.</t>
  </si>
  <si>
    <t>CTXNITSP-172871</t>
  </si>
  <si>
    <t>Implantação de TTW</t>
  </si>
  <si>
    <t>CTXNITSP-172870</t>
  </si>
  <si>
    <t>Implantação de Front Fácil - Diretoria Retenção</t>
  </si>
  <si>
    <t>CTXNITSP-172869</t>
  </si>
  <si>
    <t>Bloqueio de Pausas - TGuidance</t>
  </si>
  <si>
    <t>CTXNITSP-172868</t>
  </si>
  <si>
    <t>Implantação de RTI</t>
  </si>
  <si>
    <t>CTXNITSP-172614</t>
  </si>
  <si>
    <t>Projeto - Projeto: Migração da URA do PAP (0800 033 1140 e 0800 642 1431) p/ ambiente NGR</t>
  </si>
  <si>
    <t>CTXNITSP-172611</t>
  </si>
  <si>
    <t>Projeto - Projeto cm</t>
  </si>
  <si>
    <t>Anne Catharina de Oliveira Coutinho</t>
  </si>
  <si>
    <t>CTXNITSP-172566</t>
  </si>
  <si>
    <t>Implantação do BO Strategy - Retenção Empresarial</t>
  </si>
  <si>
    <t>CTXNITSP-172565</t>
  </si>
  <si>
    <t>Alteração no Layout - Ativos</t>
  </si>
  <si>
    <t>CTXNITSP-172461</t>
  </si>
  <si>
    <t>Implantar Célula BO DADOS&gt;&gt; 17 PA`S &gt;&gt;SIEBEL e Front(À Definir) SMS &gt;&gt; Site NIterói &gt;&gt; Funionamento de Segunda à Domingo</t>
  </si>
  <si>
    <t>CTXNITSP-172449</t>
  </si>
  <si>
    <t>Implantar célula BO NBA &gt;&gt; 7 PA´S &gt;&gt; STC SAC SIAC &gt;&gt; Front Específico e envio SMS &gt;&gt; Operação Convergente: Fixo, Velox -R1 e R2.</t>
  </si>
  <si>
    <t>CTXNITSP-170972</t>
  </si>
  <si>
    <t>CTXNITSP-168713</t>
  </si>
  <si>
    <t>Projeto - Projeto - Necessário a disponibilização/verificação da infra de voz para implantação de aplicação CMS/Avaya ou Softfone para operação BO Contratos para apuração do log das PA's. Criação de login de CMS/Avaya para os supervisores e ADM's para adm</t>
  </si>
  <si>
    <t>CTXNITSP-167961</t>
  </si>
  <si>
    <t>Projeto - Projeto - Reconstrução da SALA MIS - Realizar alterações físicas, instalações necessárias e levantamentos.</t>
  </si>
  <si>
    <t>CTXNITSP-166786</t>
  </si>
  <si>
    <t>Projeto - Projeto Criação Macro de Consulta no STC e SAC</t>
  </si>
  <si>
    <t>Josiane Pereira Bello</t>
  </si>
  <si>
    <t>CTXNITSP-165356</t>
  </si>
  <si>
    <t>Projeto - Projeto - Disponibilizar um servidor de armazenamento de dados para a equipe de planejamento MIS Niterói, onde será possível, guardar grande volume de informações para agilizar e centralizar a busca e localização de informações com a finalidade</t>
  </si>
  <si>
    <t>CTXNITSP-164920</t>
  </si>
  <si>
    <t>Projeto - Projeto - Favor liberar endereço: http://contax-ftp.cloudapp.net/MOToolsQual/Login.aspx e inserir o ícone no menu inciar com o nome: Evalyzer Front</t>
  </si>
  <si>
    <t>CTXNITSP-164460</t>
  </si>
  <si>
    <t>Projeto - Projeto - URA Oi total</t>
  </si>
  <si>
    <t>CTXNITSP-164357</t>
  </si>
  <si>
    <t>Projeto - Projeto: Migração da URA Dealer (*803) p/ NGR</t>
  </si>
  <si>
    <t>CTXNITSP-163520</t>
  </si>
  <si>
    <t>ine Goncalves Ramalho</t>
  </si>
  <si>
    <t>CTXNITSP-163395</t>
  </si>
  <si>
    <t>Projeto - Projeto - Migrar atividade de input do mailing BOS, Auditoria Fixo e Pós, para MIS NIterói. PRGSOFT Anderson Marques.</t>
  </si>
  <si>
    <t>CTXNITSP-162696</t>
  </si>
  <si>
    <t>Projeto - Projeto - Favor precificar alteração/customização da ferramenta BOS Fixo. Essa projeto deve ser direcionado para PRG SOFT(Anderson Marques).</t>
  </si>
  <si>
    <t>CTXNITSP-161527</t>
  </si>
  <si>
    <t>Projeto - Projeto - Complementar estrutura da 5ª onda Migração BH x NIT (Ativo Fixo)</t>
  </si>
  <si>
    <t>CTXNITSP-160928</t>
  </si>
  <si>
    <t>Projeto - Projeto Implantar Discador Aspect + TLV 5.0 no CRV Oi TV</t>
  </si>
  <si>
    <t>CTXNITSP-154454</t>
  </si>
  <si>
    <t>Projeto - Tratamento de Contestação de 0800 e DDR via Planilha de Minutagem</t>
  </si>
  <si>
    <t>CTXNITSP-153179</t>
  </si>
  <si>
    <t>Projeto - Projeto - Criar um versão da ferramenta BOS, para atender a célula de Auditoria CPF Duplicado.</t>
  </si>
  <si>
    <t>CTXMTZRP-43918</t>
  </si>
  <si>
    <t>Projeto - Projeto - TReport</t>
  </si>
  <si>
    <t>Luiz Matheus Aragao do Nascimento</t>
  </si>
  <si>
    <t>CTXMTZRP-43581</t>
  </si>
  <si>
    <t>Plano de Recuperação - Projeto Rentabilização BO Anatel Automações (RTIs) - Serviço proteção ao crédito</t>
  </si>
  <si>
    <t>Luciana Mattos Andrade</t>
  </si>
  <si>
    <t>CTXMTZRP-43580</t>
  </si>
  <si>
    <t>Plano de Recuperação - Projeto Rentabilização BO Anatel Automações (RTIs) - Planejamento TUP</t>
  </si>
  <si>
    <t>CTXMTZRP-43579</t>
  </si>
  <si>
    <t>Plano de Recuperação - Projeto Rentabilização BO Anatel Automações (RTIs) - Não recebimento de gravações de atendimento.</t>
  </si>
  <si>
    <t>CTXMTZRP-43575</t>
  </si>
  <si>
    <t>2- Plano de Recuperação - Projeto Rentabilização BO Anatel Automações (RTIs) - Direcionamento Automático para Área Potes Não Agendáveis</t>
  </si>
  <si>
    <t>CTXMTZRP-43574</t>
  </si>
  <si>
    <t>1- Plano de Recuperação - Projeto Rentabilização BO Anatel Automações (RTIs) - Direcionamento Automático para Área Sem SLOT</t>
  </si>
  <si>
    <t>CTXMTZRP-43360</t>
  </si>
  <si>
    <t>Plano de Recuperação - Projeto Rentabilização BO Anatel - Discador</t>
  </si>
  <si>
    <t>CTXMTZRP-43359</t>
  </si>
  <si>
    <t>Plano de Recuperação - Projeto Rentabilização BO Anatel - Automações (RTIs)</t>
  </si>
  <si>
    <t>CTXMTZRP-43358</t>
  </si>
  <si>
    <t>Plano de Recuperação - Projeto Rentabilização BO Anatel - Evalyze</t>
  </si>
  <si>
    <t>CTXMTZRP-43213</t>
  </si>
  <si>
    <t>Criação de ambiente de staging para o Whatacenter - Central de Atendimento via Whatsapp</t>
  </si>
  <si>
    <t>ALEXANDRE FONSECA PAPANIS</t>
  </si>
  <si>
    <t>CTXMTZRP-43198</t>
  </si>
  <si>
    <t>CTXMTZRP-43045</t>
  </si>
  <si>
    <t>Projeto - Projeto (Restrições e Liberações de Proxy - Operação itau)</t>
  </si>
  <si>
    <t>David Lopes da Costa Chaves</t>
  </si>
  <si>
    <t>CTXMTZRP-42974</t>
  </si>
  <si>
    <t>Criação de SVN para Diretoria de Mobilidade</t>
  </si>
  <si>
    <t>CTXMTZRP-42689</t>
  </si>
  <si>
    <t>CTXMTZRP-42601</t>
  </si>
  <si>
    <t>Reinaldo Cervantes De Oliveira</t>
  </si>
  <si>
    <t>CTXMTZRP-42203</t>
  </si>
  <si>
    <t>Projeto - Integração Barra Atendimento ao OSvC (Novo CRM Oi)</t>
  </si>
  <si>
    <t>CTXMTZRP-42198</t>
  </si>
  <si>
    <t>Projeto - Projeto - Requisitos de hardware OTP</t>
  </si>
  <si>
    <t>CTXMTZRP-42159</t>
  </si>
  <si>
    <t>CTXMTZRP-42143</t>
  </si>
  <si>
    <t>Projeto - Projeto - Implantar o Projeto JiraDemandas no Data Center</t>
  </si>
  <si>
    <t>CTXMTZRP-41269</t>
  </si>
  <si>
    <t>Projeto Contax 2.0 - Praça PR</t>
  </si>
  <si>
    <t>Alex Tonini Nogueira</t>
  </si>
  <si>
    <t>CTXMTZRP-41268</t>
  </si>
  <si>
    <t>Projeto Contax 2.0 - Praça RS</t>
  </si>
  <si>
    <t>CTXMTZRP-40787</t>
  </si>
  <si>
    <t>Fabiana Aparecida Lopes de Carvalho</t>
  </si>
  <si>
    <t>CTXMTZRP-40585</t>
  </si>
  <si>
    <t>Projeto - Projeto - DAC Único Móvel</t>
  </si>
  <si>
    <t>CTXMTZRP-39707</t>
  </si>
  <si>
    <t>Projeto - Projeto DAC Único</t>
  </si>
  <si>
    <t>CTXMTZRP-35945</t>
  </si>
  <si>
    <t>Projeto Contax 2.0 - Praça MG</t>
  </si>
  <si>
    <t>CTXMTZRP-35944</t>
  </si>
  <si>
    <t>Projeto Contax 2.0 - Praça CE</t>
  </si>
  <si>
    <t>CTXMTZRP-35943</t>
  </si>
  <si>
    <t>Projeto Contax 2.0 - Praça PE</t>
  </si>
  <si>
    <t>CTXMTZRP-35941</t>
  </si>
  <si>
    <t>Projeto Contax 2.0 - Praça BA</t>
  </si>
  <si>
    <t>CTXMTZRP-35937</t>
  </si>
  <si>
    <t>Projeto Contax 2.0 - Praça SC</t>
  </si>
  <si>
    <t>CTXMTZRP-35936</t>
  </si>
  <si>
    <t>Projeto Contax 2.0 - Praça RJ</t>
  </si>
  <si>
    <t>CTXMTZPB-1259</t>
  </si>
  <si>
    <t>Projeto - Crescimento Suporte Técnico Velox</t>
  </si>
  <si>
    <t>rafael da costa cezar</t>
  </si>
  <si>
    <t>CTXMTZPB-1258</t>
  </si>
  <si>
    <t>Cabemento de rede - sala 2º andar/Mezanino - site Rio Comprido</t>
  </si>
  <si>
    <t>CTXMTZPB-1214</t>
  </si>
  <si>
    <t>Projeto - "Implantação Solução de Contas Pré Pago Site Boa Viagem Bahia"</t>
  </si>
  <si>
    <t>CTXMTZPB-1118</t>
  </si>
  <si>
    <t>Projeto - Restrição de Transferência</t>
  </si>
  <si>
    <t>CTXMTZPB-1116</t>
  </si>
  <si>
    <t>Projeto - Feirão do nome limpo - RJ Shop Nova America</t>
  </si>
  <si>
    <t>CTXMTZPB-1098</t>
  </si>
  <si>
    <t>TCLOCK - Interface Near Real Time</t>
  </si>
  <si>
    <t>CTXMTZPB-1091</t>
  </si>
  <si>
    <t>Projeto - PASSWORK - PILOTO</t>
  </si>
  <si>
    <t>CTXMTZPB-1044</t>
  </si>
  <si>
    <t>Aquisição de servidor - file server</t>
  </si>
  <si>
    <t>CTXMTZPB-1001</t>
  </si>
  <si>
    <t>Projeto - Nova chamada teste/Chamada Ativa para o FF</t>
  </si>
  <si>
    <t>Marcel Garcia da Silva</t>
  </si>
  <si>
    <t>CTXMTZPB-944</t>
  </si>
  <si>
    <t>Aquisição de servidor</t>
  </si>
  <si>
    <t>CTXMTZPB-860</t>
  </si>
  <si>
    <t>Inclusão de chamadas ativas no Credibilidade</t>
  </si>
  <si>
    <t>Marcelo Caldeira Pedroso do Nascimento</t>
  </si>
  <si>
    <t>CTXMTZPB-758</t>
  </si>
  <si>
    <t>CTXMTZPB-510</t>
  </si>
  <si>
    <t>Criação de ambiente de produção - Azure</t>
  </si>
  <si>
    <t>CTXMTZPB-452</t>
  </si>
  <si>
    <t>Base NBA intraday</t>
  </si>
  <si>
    <t>CTXMTZPB-307</t>
  </si>
  <si>
    <t>Projeto - Projeto - Linhas para Modem externo SA</t>
  </si>
  <si>
    <t>CTXMTZPB-300</t>
  </si>
  <si>
    <t>Migração de servidores para o Azure</t>
  </si>
  <si>
    <t>CTXMTZPB-201</t>
  </si>
  <si>
    <t>Ambiente de Homologação e Produção do 1746</t>
  </si>
  <si>
    <t>CTXMTZPB-88</t>
  </si>
  <si>
    <t>Alteração de Layout do Mailing do Televendas</t>
  </si>
  <si>
    <t>CTXMLTREG-6041</t>
  </si>
  <si>
    <t>Projeto - Migração das URAs de Cadastro para o IPCC/NGR</t>
  </si>
  <si>
    <t>Ricardo Jose Souza de Albuquerque</t>
  </si>
  <si>
    <t>CTXMLTREG-5634</t>
  </si>
  <si>
    <t>Projeto - Projeto Souza Cruz - Integração Discafácil x DAC x Chipeira</t>
  </si>
  <si>
    <t>Luiz Washington Gianezzi</t>
  </si>
  <si>
    <t>CTXMLTREG-4755</t>
  </si>
  <si>
    <t>Projeto - Implantação Produto Folha On Line</t>
  </si>
  <si>
    <t>CTXMLTREG-4553</t>
  </si>
  <si>
    <t>Projeto - "Proposta comercial para upgrade dos servidores do NGR Monitor"</t>
  </si>
  <si>
    <t>CTXMLTREG-4428</t>
  </si>
  <si>
    <t>Projeto - Substituição do Emulador Passport pelo Emulador PW3270</t>
  </si>
  <si>
    <t>Ricardo de Oliveira Flores</t>
  </si>
  <si>
    <t>CTXMLTREG-4427</t>
  </si>
  <si>
    <t>Projeto - Substituição do Emulador Passport pelo Emulado PW3270</t>
  </si>
  <si>
    <t>CTXMLTREG-4375</t>
  </si>
  <si>
    <t>Projeto - "Definir o modelo de atendimento das URAs de Cadastro"</t>
  </si>
  <si>
    <t>CTXMLTREG-4307</t>
  </si>
  <si>
    <t>Juliana Souza de Moraes</t>
  </si>
  <si>
    <t>CTXMLTREG-4245</t>
  </si>
  <si>
    <t>CTXMLTREG-4207</t>
  </si>
  <si>
    <t>Projeto - Infraestrutura_PortalCorporativo_Chrome</t>
  </si>
  <si>
    <t>CTXMLTREG-4086</t>
  </si>
  <si>
    <t>CTXMLTREG-3841</t>
  </si>
  <si>
    <t>CTXMLTREG-3831</t>
  </si>
  <si>
    <t>CTXMLTREG-3703</t>
  </si>
  <si>
    <t>CTXMLTREG-3663</t>
  </si>
  <si>
    <t>Liberação de novo link para Operações Oi</t>
  </si>
  <si>
    <t>Maiara Tavares da Cruz</t>
  </si>
  <si>
    <t>CTXMLTREG-3647</t>
  </si>
  <si>
    <t>CTXMLTREG-3442</t>
  </si>
  <si>
    <t>Projeto Atendimento 102 (URA unificada R1 e R2)</t>
  </si>
  <si>
    <t>CTXLONLA-28251</t>
  </si>
  <si>
    <t>Migração POP 3 - TÉCNICO UNIFICADO - JOINVILLE Vs. LONDRINA</t>
  </si>
  <si>
    <t>CTXLONLA-28211</t>
  </si>
  <si>
    <t>Migração POP 3 *4979 - JOINVILLE vs. LONDRINA</t>
  </si>
  <si>
    <t>CTXLONLA-28210</t>
  </si>
  <si>
    <t>Migração POP 3 SUPORTE 4979 - JOINVILLE vs. LONDRINA</t>
  </si>
  <si>
    <t>CTXLONLA-28201</t>
  </si>
  <si>
    <t>Migração POP 3 ALTO VALOR SEGMENTADO - JOINVILLE vs. LONDRINA</t>
  </si>
  <si>
    <t>CTXLONLA-28200</t>
  </si>
  <si>
    <t>Migração POP 3 -BASICO SEGMENTADO - JOINVILLE vs. LONDRINA</t>
  </si>
  <si>
    <t>CTXLONLA-28199</t>
  </si>
  <si>
    <t>Migração POP 3 TOP SEGMENTADO - JOINVILLE vs. LONDRINA</t>
  </si>
  <si>
    <t>CTXLONLA-28170</t>
  </si>
  <si>
    <t>Migração POP 3 - MASSIVO SEGMENTADO - JOINVILLE vs. LONDRINA</t>
  </si>
  <si>
    <t>CTXLONLA-26632</t>
  </si>
  <si>
    <t>VIVO TETRIS - *4979</t>
  </si>
  <si>
    <t>CTXJOINP-11673</t>
  </si>
  <si>
    <t>CTXJOINP-11654</t>
  </si>
  <si>
    <t>Substituição máquinas operação Vivo</t>
  </si>
  <si>
    <t>CTXFORNA-28061</t>
  </si>
  <si>
    <t>Projeto - Movimentar ramais no salão do Citi</t>
  </si>
  <si>
    <t>CTXFORNA-27596</t>
  </si>
  <si>
    <t>Projeto - Crescer 2 pa's na operação Citibank Cobrança no Site Nascente 2º andar</t>
  </si>
  <si>
    <t>CTXFORNA-26367</t>
  </si>
  <si>
    <t>Projeto - Acompanhar migração do Sistema do Citi</t>
  </si>
  <si>
    <t>CTXFORNA-25436</t>
  </si>
  <si>
    <t>Projeto - Substituir Front End e Discador Operação Leader</t>
  </si>
  <si>
    <t>CTXFORBM-357993</t>
  </si>
  <si>
    <t>Projeto - 'Implantação da retenção loja pós pago"</t>
  </si>
  <si>
    <t>David Lima Cavalcante</t>
  </si>
  <si>
    <t>CTXFORBM-357817</t>
  </si>
  <si>
    <t>Projeto - Implantação Ativo de Reversão Oi Controle</t>
  </si>
  <si>
    <t>Lucas Lourenco de Melo</t>
  </si>
  <si>
    <t>CTXFORBM-356683</t>
  </si>
  <si>
    <t>Projeto - "Novo Mailing Ativo Portabilidade Móvel"</t>
  </si>
  <si>
    <t>Cristiano Fernandes Melo</t>
  </si>
  <si>
    <t>CTXFORBM-356566</t>
  </si>
  <si>
    <t>Projeto - Crescimento de 2 p.a's para o ativo de reversão Fixo</t>
  </si>
  <si>
    <t>Lisandra Pereira do Nascimento</t>
  </si>
  <si>
    <t>CTXFORBM-356564</t>
  </si>
  <si>
    <t>Projeto - Crescimento de 10 p.a's para os ativos de reversão TV</t>
  </si>
  <si>
    <t>CTXFORBM-356562</t>
  </si>
  <si>
    <t>Projeto - Crescimento de 42 p.a's para o Receptivo TV</t>
  </si>
  <si>
    <t>CTXFORBM-356561</t>
  </si>
  <si>
    <t>Projeto - Crescimento de 15 p.a's para o Receptivo Oi Total</t>
  </si>
  <si>
    <t>CTXFORBM-356558</t>
  </si>
  <si>
    <t>Projeto - Crescimento de 6 p.a's para o Receptivo OCT</t>
  </si>
  <si>
    <t>CTXFORBM-356556</t>
  </si>
  <si>
    <t>Projeto - Crescimento de 35 p.a's para a Retenção Móvel - Receptivo Pós</t>
  </si>
  <si>
    <t>CTXFORBM-356553</t>
  </si>
  <si>
    <t>Projeto - Crescimento de 3 p.a's para a Ilha de Receita Pós + OCT</t>
  </si>
  <si>
    <t>CTXFORBM-356551</t>
  </si>
  <si>
    <t>Projeto - Crescimento de 10 p.a's para a Ilha de Receita R1</t>
  </si>
  <si>
    <t>CTXFORBM-356544</t>
  </si>
  <si>
    <t>Projeto - Crescimento de 7 p.a's para o b.o da blindagem</t>
  </si>
  <si>
    <t>CTXFORBM-356540</t>
  </si>
  <si>
    <t>Projeto - Crescimento de 8 p.a's para a blindagem refidelização</t>
  </si>
  <si>
    <t>CTXFORBM-356388</t>
  </si>
  <si>
    <t>Projeto - "Processamento Mailing Carga de Débitos Retenção Invol"</t>
  </si>
  <si>
    <t>CTXFORBM-356205</t>
  </si>
  <si>
    <t>Projeto - "Customização TLV Atendimento Receptivo_Portabilidade Móvel"</t>
  </si>
  <si>
    <t>Raphael Andre Marcandier Goncalves</t>
  </si>
  <si>
    <t>CTXFORBM-354610</t>
  </si>
  <si>
    <t>Projeto - "Alterar visão da base da pesquisa_Retenção Invol"</t>
  </si>
  <si>
    <t>CTXFORBM-354062</t>
  </si>
  <si>
    <t>Projeto - "Processamento dos Mailings de Carga Retenção Invol"</t>
  </si>
  <si>
    <t>CTXFORBM-350901</t>
  </si>
  <si>
    <t>Projeto - Migração Oi Total Ilha de Downgrade</t>
  </si>
  <si>
    <t>CTXFORBM-350825</t>
  </si>
  <si>
    <t>Projeto - Filtro de score para atuarmos no melhor publico para o segmento A10</t>
  </si>
  <si>
    <t>Elmara Cernauskas Riolo Iglesias</t>
  </si>
  <si>
    <t>CTXFORBM-350823</t>
  </si>
  <si>
    <t>CTXFORBM-349886</t>
  </si>
  <si>
    <t>Projeto - Migração em Massa - Oi Total</t>
  </si>
  <si>
    <t>CTXFORBM-348749</t>
  </si>
  <si>
    <t>Projeto - "Reforecast fev/16"</t>
  </si>
  <si>
    <t>CTXFORBM-348646</t>
  </si>
  <si>
    <t>Projeto - Atualização do simulador do receptivo Pós</t>
  </si>
  <si>
    <t>CTXFORBM-348625</t>
  </si>
  <si>
    <t>Projeto - Tetris Retenção</t>
  </si>
  <si>
    <t>CTXFORBM-348606</t>
  </si>
  <si>
    <t>SIMULADOR RETENÇÃO OI TOTAL</t>
  </si>
  <si>
    <t>Sterlaine Priscila Araujo Gomes</t>
  </si>
  <si>
    <t>CTXFORBM-348601</t>
  </si>
  <si>
    <t>Projeto - "Ativo Pesquisa de Satisfação Retenção Unificado"</t>
  </si>
  <si>
    <t>CTXFORBM-348261</t>
  </si>
  <si>
    <t>Projeto - Implantação Retenção Involuntária R2</t>
  </si>
  <si>
    <t>CTXFORBM-347867</t>
  </si>
  <si>
    <t>Projeto - Crescimento de 5 p.a's para a Blindagem Oi Total 3p</t>
  </si>
  <si>
    <t>CTXFORBM-347687</t>
  </si>
  <si>
    <t>Projeto - Crescimento de 1 p.a's para o b.o blindagem multiprodutos</t>
  </si>
  <si>
    <t>CTXFORBM-347679</t>
  </si>
  <si>
    <t>Projeto - Crescimento de 5 p.a's para o propenso TV</t>
  </si>
  <si>
    <t>CTXFORBM-347671</t>
  </si>
  <si>
    <t>Projeto - Crescimento de 7 p.a's para o Receptivo OCT</t>
  </si>
  <si>
    <t>CTXFORBM-347668</t>
  </si>
  <si>
    <t>Projeto - Crescimento de 14 p.a's para o Receptivo Pós</t>
  </si>
  <si>
    <t>CTXFORBM-345719</t>
  </si>
  <si>
    <t>Projeto - "Configuração 0800 Retenção Portabilidade Móvel"</t>
  </si>
  <si>
    <t>CTXFORBM-344418</t>
  </si>
  <si>
    <t>Projeto - Reestruturação BO Strategy</t>
  </si>
  <si>
    <t>CTXFORBM-344109</t>
  </si>
  <si>
    <t>Projeto - "Novos Campos Mailing de Ofertas Retenção Invol"</t>
  </si>
  <si>
    <t>CTXFORBM-342171</t>
  </si>
  <si>
    <t>Projeto - Crescimento de 5 p.a's para o RAC R2</t>
  </si>
  <si>
    <t>CTXFORBM-342169</t>
  </si>
  <si>
    <t>Projeto - Crescimento de 3 p.a's para a retenção invol TV</t>
  </si>
  <si>
    <t>CTXFORBM-342167</t>
  </si>
  <si>
    <t>Projeto - Crescimento de 9 p.a's para Retenção Invol fixo e velox</t>
  </si>
  <si>
    <t>CTXFORBM-342165</t>
  </si>
  <si>
    <t>Projeto - Crescimento de 12 p.a's para o receptivo Oi total</t>
  </si>
  <si>
    <t>CTXFORBM-342164</t>
  </si>
  <si>
    <t>Projeto - Crescimento de 43 p.a's para a Blindagem Oi Total 3p (multiprodutos)</t>
  </si>
  <si>
    <t>CTXFORBM-342163</t>
  </si>
  <si>
    <t>Projeto - Crescimento de 14 p.a's para o Receptivo OCT</t>
  </si>
  <si>
    <t>CTXFORBM-342162</t>
  </si>
  <si>
    <t>Projeto - Crescimento de 6 p.as para o Receptivo Pós</t>
  </si>
  <si>
    <t>CTXFORBM-342161</t>
  </si>
  <si>
    <t>Projeto - Crescimento de 9 p.a's para o B.O Mobilidade</t>
  </si>
  <si>
    <t>CTXFORBM-342159</t>
  </si>
  <si>
    <t>Projeto - Crescimento de 27 p.a's para o receptivo Controle</t>
  </si>
  <si>
    <t>CTXFORBM-341752</t>
  </si>
  <si>
    <t>Projeto - Incluir fleg DACC no Tcollect da Retenção Invol</t>
  </si>
  <si>
    <t>CTXFORBM-339448</t>
  </si>
  <si>
    <t>Projeto - "Implantação Blindagem Oi Total 2P"</t>
  </si>
  <si>
    <t>José Perboyre Cavalcante Pinheiro Neto</t>
  </si>
  <si>
    <t>CTXFORBM-335280</t>
  </si>
  <si>
    <t>Projeto - Alteração no fluxo de carga</t>
  </si>
  <si>
    <t>CTXFORBM-335279</t>
  </si>
  <si>
    <t>Projeto - Ajuste no processamento de carga</t>
  </si>
  <si>
    <t>CTXFORBM-335112</t>
  </si>
  <si>
    <t>Projeto - Ura de Pesquisa Retenção Oi Total</t>
  </si>
  <si>
    <t>CTXFORBM-333926</t>
  </si>
  <si>
    <t>Projeto - OCT Madrugada - Atendimento Fibra e 4P</t>
  </si>
  <si>
    <t>CTXFORBM-332803</t>
  </si>
  <si>
    <t>Projeto - Processo 2ª via TV</t>
  </si>
  <si>
    <t>CTXFORBM-332092</t>
  </si>
  <si>
    <t>Projeto - "Implantação de NBA na Retenção Mobilidade OCT e Pós"</t>
  </si>
  <si>
    <t>CTXFORBM-326935</t>
  </si>
  <si>
    <t>Projeto - Projeto - Limpeza de Base (Faturas ativas &gt; 199 dias) RETENÇÃO INVOL FIXA e MOVEL</t>
  </si>
  <si>
    <t>CTXFORBM-326889</t>
  </si>
  <si>
    <t>Projeto Implantação NBA_Ilha de Contas Fixo</t>
  </si>
  <si>
    <t>CTXFORBM-326758</t>
  </si>
  <si>
    <t>Projeto - Projeto - Implantação NBA para Retenção Receita Móvel (OCT e Pós Pago)</t>
  </si>
  <si>
    <t>CTXFORBM-326194</t>
  </si>
  <si>
    <t>Projeto - Projeto - JOB BO</t>
  </si>
  <si>
    <t>CTXFORBM-324853</t>
  </si>
  <si>
    <t>Projeto - Projeto - Gravações Oi atende (Lojas) Fixo e Velox</t>
  </si>
  <si>
    <t>CTXFORBM-323275</t>
  </si>
  <si>
    <t>CTXFORBM-322363</t>
  </si>
  <si>
    <t>Projeto - Projeto - Implantação NBA para Retenção Receita TV e ofertas Multiprodutos</t>
  </si>
  <si>
    <t>CTXFORBM-322126</t>
  </si>
  <si>
    <t>Projeto - Projeto Simulador Retenção Involuntária</t>
  </si>
  <si>
    <t>CTXFORBM-321509</t>
  </si>
  <si>
    <t>Projeto - Projeto - Criação de operação 4p na blindagem</t>
  </si>
  <si>
    <t>CTXFORBM-321427</t>
  </si>
  <si>
    <t>Projeto - Ferramenta de Automação UNIFIC</t>
  </si>
  <si>
    <t>CTXFORBM-320922</t>
  </si>
  <si>
    <t>Projeto - Projeto - alteração no fluxo de envio do arquivo de retorno TLV / ASPECT</t>
  </si>
  <si>
    <t>CTXFORBM-320915</t>
  </si>
  <si>
    <t>Projeto - Projeto - Alteração questionário motivo não pagamento retenção invol TV</t>
  </si>
  <si>
    <t>CTXFORBM-320345</t>
  </si>
  <si>
    <t>CTXFORBM-319828</t>
  </si>
  <si>
    <t>Projeto - Projeto - integração de saída X arquivo de retorno blindagem residencial</t>
  </si>
  <si>
    <t>CTXFORBM-314772</t>
  </si>
  <si>
    <t>Projeto - Projeto Simulador Pós e OCT Ilha de Migração</t>
  </si>
  <si>
    <t>CTXFORBM-313079</t>
  </si>
  <si>
    <t>Projeto - Projeto - Receptivo Refidelização</t>
  </si>
  <si>
    <t>CTXFORBM-307164</t>
  </si>
  <si>
    <t>Projeto - Projeto -</t>
  </si>
  <si>
    <t>CTXFORBM-304805</t>
  </si>
  <si>
    <t>Projeto - Processo Indevido_BO Mobilidade</t>
  </si>
  <si>
    <t>CTXFORBM-302024</t>
  </si>
  <si>
    <t>Projeto - Implantação ferramenta NBA (Piloto)_Ilha de contas Fixo</t>
  </si>
  <si>
    <t>CTXFORBM-300174</t>
  </si>
  <si>
    <t>Projeto - Projeto - SINN Portabilidade</t>
  </si>
  <si>
    <t>CTXFORBM-298953</t>
  </si>
  <si>
    <t>Projeto - Projeto Ajustes Simulador Pós X Pré</t>
  </si>
  <si>
    <t>CTXFORBM-294169</t>
  </si>
  <si>
    <t>Projeto - Servidores - Itau</t>
  </si>
  <si>
    <t>CTXFORBM-292807</t>
  </si>
  <si>
    <t>Projeto - Projeto - Guia/Simulador Pós [Substituição dos links do Canal Contax pelo Oi Atende]</t>
  </si>
  <si>
    <t>CTXFORBM-291757</t>
  </si>
  <si>
    <t>Projeto - Projeto - SISGO</t>
  </si>
  <si>
    <t>CTXFORBM-288081</t>
  </si>
  <si>
    <t>Juan Chagas Lage</t>
  </si>
  <si>
    <t>CTXFORBM-288047</t>
  </si>
  <si>
    <t>Projeto - Projeto - Blended Blindagem Refidelização</t>
  </si>
  <si>
    <t>CTXFORBM-287648</t>
  </si>
  <si>
    <t>Projeto - Projeto - Ajuste BO Strategy</t>
  </si>
  <si>
    <t>CTXFORBM-270660</t>
  </si>
  <si>
    <t>CTXFORBM-235310</t>
  </si>
  <si>
    <t>Projeto - Segmentação OCT e TV</t>
  </si>
  <si>
    <t>Emanuele Carvalho Ferreira Freitas</t>
  </si>
  <si>
    <t>CTXCTCRA-17222</t>
  </si>
  <si>
    <t>Janaina Bossan</t>
  </si>
  <si>
    <t>CTXCASEK-1594</t>
  </si>
  <si>
    <t>Projeto - Alteração do endereçamento IP do CRC e Sede para o padrão utilizado pela Elektro</t>
  </si>
  <si>
    <t>Alexandre Magno Pereira da Silva</t>
  </si>
  <si>
    <t>CTXCASEK-1593</t>
  </si>
  <si>
    <t>Projeto - Alteração do range de IPs Call Center e Sede corporativa</t>
  </si>
  <si>
    <t>CTXCASEK-1528</t>
  </si>
  <si>
    <t>CTXCASEK-1359</t>
  </si>
  <si>
    <t>Projeto - Interligação SIP PABX Cisco x PABX Avaya</t>
  </si>
  <si>
    <t>CTXCASEK-1292</t>
  </si>
  <si>
    <t>Projeto - Gravação de tela cliente Elektro</t>
  </si>
  <si>
    <t>CTXBHZRP-217559</t>
  </si>
  <si>
    <t>Projeto Automações OI | RTI - ABERTURA E FECHAMENTO DE CONTESTAÇÃO (G1)</t>
  </si>
  <si>
    <t>CTXBHZRP-217019</t>
  </si>
  <si>
    <t>CTXBHZRI-98120</t>
  </si>
  <si>
    <t>Implantação de Front Fácil na célula de Fraude (1º nível)</t>
  </si>
  <si>
    <t>CTXBHZRI-98067</t>
  </si>
  <si>
    <t>Projeto - Implantar tCollect!+Aspect Operação - Escob OI TV</t>
  </si>
  <si>
    <t>CTXBHZRI-98066</t>
  </si>
  <si>
    <t>Projeto - Implantar tCollect!+Aspect Operação - CD R2</t>
  </si>
  <si>
    <t>CTXBHZRI-98065</t>
  </si>
  <si>
    <t>CTXBHZRI-97664</t>
  </si>
  <si>
    <t>Novos Arquivos de Atualização R1 Fixa</t>
  </si>
  <si>
    <t>CTXBHZRI-96230</t>
  </si>
  <si>
    <t>Projeto - "Migração Corporativo B2B"</t>
  </si>
  <si>
    <t>CTXBHZRI-95756</t>
  </si>
  <si>
    <t>Projeto - "Arquivo de Retorno"</t>
  </si>
  <si>
    <t>CTXBHZRI-94988</t>
  </si>
  <si>
    <t>Mudança de Andar das PA's VIP 5 (5 PA's + 1 supervisor)</t>
  </si>
  <si>
    <t>Luciana Aparecida Muniz Gon�alves</t>
  </si>
  <si>
    <t>CTXBHZRI-94859</t>
  </si>
  <si>
    <t>Projeto - Implantar TCollect / Aspect: Escob R2, CD R2 e CD Móvel</t>
  </si>
  <si>
    <t>CTXBHZRI-94837</t>
  </si>
  <si>
    <t>Projeto - Projeto: Migração da URA do Hotline Empresarial (0800 280 3120) p/ ambiente NGR</t>
  </si>
  <si>
    <t>CTXBHZRI-93377</t>
  </si>
  <si>
    <t>Projeto_OI TV ESCOB _2ª VIA E-MAIL</t>
  </si>
  <si>
    <t>Erickson Madsen Ferreira Medeiros</t>
  </si>
  <si>
    <t>CTXBHZRI-92004</t>
  </si>
  <si>
    <t>CTXBHZRI-89940</t>
  </si>
  <si>
    <t>Projeto - Implantação do TCollect para a operação CD</t>
  </si>
  <si>
    <t>CTXBHZRI-87861</t>
  </si>
  <si>
    <t>Walternei Aparecido Pizii</t>
  </si>
  <si>
    <t>CTXBHZRI-87549</t>
  </si>
  <si>
    <t>CTXBHZRI-84138</t>
  </si>
  <si>
    <t>Elaine Cristina Ferreira</t>
  </si>
  <si>
    <t>CTXBHZRI-82191</t>
  </si>
  <si>
    <t>Projeto - Projeto- Macro AT-IT (Fornecedor PGR SOFT)</t>
  </si>
  <si>
    <t>CTXBHZRI-82119</t>
  </si>
  <si>
    <t>Projeto - Projeto- TLV Blended</t>
  </si>
  <si>
    <t>CTXBHZRI-75393</t>
  </si>
  <si>
    <t>Projeto - Macro Mailing</t>
  </si>
  <si>
    <t>CLIORBSAN-131</t>
  </si>
  <si>
    <t>Projeto - "Substituição da MPLS Contax pela MPLS Orbitall"</t>
  </si>
  <si>
    <t>Fernando Silva Oliveira</t>
  </si>
  <si>
    <t>CLIORBCG-397</t>
  </si>
  <si>
    <t>Desenvolver e disponibilizar a ferramenta do tSupervisor</t>
  </si>
  <si>
    <t>CLIORBCG-240</t>
  </si>
  <si>
    <t>CLIORBCG-187</t>
  </si>
  <si>
    <t>CLIORBCG-174</t>
  </si>
  <si>
    <t>Contagem de Criado</t>
  </si>
  <si>
    <t>Rótulos de Linha</t>
  </si>
  <si>
    <t>Total Geral</t>
  </si>
  <si>
    <t>mês</t>
  </si>
  <si>
    <t>ano</t>
  </si>
  <si>
    <t>Rótulos de Coluna</t>
  </si>
  <si>
    <t>Contagem de Status</t>
  </si>
  <si>
    <t>(Tudo)</t>
  </si>
  <si>
    <t>Duração</t>
  </si>
  <si>
    <t>Faixa duração</t>
  </si>
  <si>
    <t>entre 30 e 60 dias</t>
  </si>
  <si>
    <t>entre 60 e 90 dias</t>
  </si>
  <si>
    <t>entre 90 e 150 dias</t>
  </si>
  <si>
    <t>menos 1 mês</t>
  </si>
  <si>
    <t>mais de 150 dias</t>
  </si>
  <si>
    <t>Contagem de Faixa duração</t>
  </si>
  <si>
    <t>Serviço</t>
  </si>
  <si>
    <t>atendimento</t>
  </si>
  <si>
    <t>Qualidade</t>
  </si>
  <si>
    <t>Continuidade</t>
  </si>
  <si>
    <t>Gestão</t>
  </si>
  <si>
    <t>Treinamento</t>
  </si>
  <si>
    <t>Suporte a Parceiros</t>
  </si>
  <si>
    <t>boletagem</t>
  </si>
  <si>
    <t>Cliente</t>
  </si>
  <si>
    <t>Operação</t>
  </si>
  <si>
    <t xml:space="preserve">Banco Toyota </t>
  </si>
  <si>
    <t xml:space="preserve">BB Mapfre </t>
  </si>
  <si>
    <t xml:space="preserve">Bradesco </t>
  </si>
  <si>
    <t xml:space="preserve">BV Financeira </t>
  </si>
  <si>
    <t xml:space="preserve">Cielo </t>
  </si>
  <si>
    <t xml:space="preserve">Citibank </t>
  </si>
  <si>
    <t xml:space="preserve">Claro </t>
  </si>
  <si>
    <t xml:space="preserve">Contax </t>
  </si>
  <si>
    <t xml:space="preserve">ELEKTRO </t>
  </si>
  <si>
    <t xml:space="preserve">Intermédica </t>
  </si>
  <si>
    <t xml:space="preserve">Itaú </t>
  </si>
  <si>
    <t xml:space="preserve">Leader Magazine </t>
  </si>
  <si>
    <t xml:space="preserve">Net </t>
  </si>
  <si>
    <t xml:space="preserve">Nextel </t>
  </si>
  <si>
    <t xml:space="preserve">Oi </t>
  </si>
  <si>
    <t xml:space="preserve">Orbitall </t>
  </si>
  <si>
    <t xml:space="preserve">Prefeitura RJ </t>
  </si>
  <si>
    <t xml:space="preserve">Santander </t>
  </si>
  <si>
    <t xml:space="preserve">Serasa </t>
  </si>
  <si>
    <t xml:space="preserve">Souza Cruz </t>
  </si>
  <si>
    <t xml:space="preserve">TAM </t>
  </si>
  <si>
    <t xml:space="preserve">Ticket Serviços S/A </t>
  </si>
  <si>
    <t xml:space="preserve">Vivo </t>
  </si>
  <si>
    <t>(Vários itens)</t>
  </si>
  <si>
    <t>Total</t>
  </si>
  <si>
    <t>Faixa de Tempo</t>
  </si>
  <si>
    <t>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</si>
</sst>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-* #,##0.00_-;\-* #,##0.00_-;_-* &quot;-&quot;??_-;_-@_-"/>
    <numFmt numFmtId="164" formatCode="_-* #,##0_-;\-* #,##0_-;_-* &quot;-&quot;??_-;_-@_-"/>
    <numFmt numFmtId="165" formatCode="0.0%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9"/>
      <color rgb="FF000000"/>
      <name val="Arial"/>
      <family val="2"/>
    </font>
    <font>
      <sz val="1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4" tint="0.39997558519241921"/>
      </bottom>
      <diagonal/>
    </border>
  </borders>
  <cellStyleXfs count="45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19">
    <xf numFmtId="0" fontId="0" fillId="0" borderId="0" xfId="0"/>
    <xf numFmtId="0" fontId="18" fillId="0" borderId="0" xfId="0" applyFont="1"/>
    <xf numFmtId="0" fontId="21" fillId="0" borderId="10" xfId="0" applyFont="1" applyBorder="1" applyAlignment="1">
      <alignment vertical="top"/>
    </xf>
    <xf numFmtId="0" fontId="20" fillId="33" borderId="10" xfId="0" applyFont="1" applyFill="1" applyBorder="1" applyAlignment="1">
      <alignment vertical="top" wrapText="1"/>
    </xf>
    <xf numFmtId="0" fontId="19" fillId="33" borderId="10" xfId="43" applyFill="1" applyBorder="1" applyAlignment="1">
      <alignment vertical="top" wrapText="1"/>
    </xf>
    <xf numFmtId="22" fontId="20" fillId="33" borderId="10" xfId="0" applyNumberFormat="1" applyFont="1" applyFill="1" applyBorder="1" applyAlignment="1">
      <alignment vertical="top" wrapText="1"/>
    </xf>
    <xf numFmtId="0" fontId="0" fillId="0" borderId="0" xfId="0" applyNumberFormat="1"/>
    <xf numFmtId="0" fontId="0" fillId="0" borderId="0" xfId="0" pivotButton="1"/>
    <xf numFmtId="0" fontId="22" fillId="0" borderId="0" xfId="0" applyFon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18" fillId="33" borderId="10" xfId="1" applyNumberFormat="1" applyFont="1" applyFill="1" applyBorder="1" applyAlignment="1">
      <alignment vertical="top" wrapText="1"/>
    </xf>
    <xf numFmtId="0" fontId="0" fillId="35" borderId="0" xfId="0" applyFill="1" applyAlignment="1">
      <alignment horizontal="left"/>
    </xf>
    <xf numFmtId="0" fontId="0" fillId="35" borderId="0" xfId="0" applyNumberFormat="1" applyFill="1"/>
    <xf numFmtId="0" fontId="0" fillId="36" borderId="0" xfId="0" applyFill="1"/>
    <xf numFmtId="0" fontId="16" fillId="34" borderId="11" xfId="0" applyFont="1" applyFill="1" applyBorder="1" applyAlignment="1">
      <alignment horizontal="center"/>
    </xf>
    <xf numFmtId="0" fontId="23" fillId="35" borderId="0" xfId="0" applyFont="1" applyFill="1" applyAlignment="1">
      <alignment horizontal="left"/>
    </xf>
    <xf numFmtId="0" fontId="23" fillId="35" borderId="0" xfId="0" applyNumberFormat="1" applyFont="1" applyFill="1"/>
    <xf numFmtId="165" fontId="23" fillId="35" borderId="0" xfId="44" applyNumberFormat="1" applyFont="1" applyFill="1"/>
  </cellXfs>
  <cellStyles count="45">
    <cellStyle name="20% - Ênfase1" xfId="20" builtinId="30" customBuiltin="1"/>
    <cellStyle name="20% - Ênfase2" xfId="24" builtinId="34" customBuiltin="1"/>
    <cellStyle name="20% - Ênfase3" xfId="28" builtinId="38" customBuiltin="1"/>
    <cellStyle name="20% - Ênfase4" xfId="32" builtinId="42" customBuiltin="1"/>
    <cellStyle name="20% - Ênfase5" xfId="36" builtinId="46" customBuiltin="1"/>
    <cellStyle name="20% - Ênfase6" xfId="40" builtinId="50" customBuiltin="1"/>
    <cellStyle name="40% - Ênfase1" xfId="21" builtinId="31" customBuiltin="1"/>
    <cellStyle name="40% - Ênfase2" xfId="25" builtinId="35" customBuiltin="1"/>
    <cellStyle name="40% - Ênfase3" xfId="29" builtinId="39" customBuiltin="1"/>
    <cellStyle name="40% - Ênfase4" xfId="33" builtinId="43" customBuiltin="1"/>
    <cellStyle name="40% - Ênfase5" xfId="37" builtinId="47" customBuiltin="1"/>
    <cellStyle name="40% - Ênfase6" xfId="41" builtinId="51" customBuiltin="1"/>
    <cellStyle name="60% - Ênfase1" xfId="22" builtinId="32" customBuiltin="1"/>
    <cellStyle name="60% - Ênfase2" xfId="26" builtinId="36" customBuiltin="1"/>
    <cellStyle name="60% - Ênfase3" xfId="30" builtinId="40" customBuiltin="1"/>
    <cellStyle name="60% - Ênfase4" xfId="34" builtinId="44" customBuiltin="1"/>
    <cellStyle name="60% - Ênfase5" xfId="38" builtinId="48" customBuiltin="1"/>
    <cellStyle name="60% - Ênfase6" xfId="42" builtinId="52" customBuiltin="1"/>
    <cellStyle name="Bom" xfId="7" builtinId="26" customBuiltin="1"/>
    <cellStyle name="Cálculo" xfId="12" builtinId="22" customBuiltin="1"/>
    <cellStyle name="Célula de Verificação" xfId="14" builtinId="23" customBuiltin="1"/>
    <cellStyle name="Célula Vinculada" xfId="13" builtinId="24" customBuiltin="1"/>
    <cellStyle name="Ênfase1" xfId="19" builtinId="29" customBuiltin="1"/>
    <cellStyle name="Ênfase2" xfId="23" builtinId="33" customBuiltin="1"/>
    <cellStyle name="Ênfase3" xfId="27" builtinId="37" customBuiltin="1"/>
    <cellStyle name="Ênfase4" xfId="31" builtinId="41" customBuiltin="1"/>
    <cellStyle name="Ênfase5" xfId="35" builtinId="45" customBuiltin="1"/>
    <cellStyle name="Ênfase6" xfId="39" builtinId="49" customBuiltin="1"/>
    <cellStyle name="Entrada" xfId="10" builtinId="20" customBuiltin="1"/>
    <cellStyle name="Hiperlink" xfId="43" builtinId="8"/>
    <cellStyle name="Incorreto" xfId="8" builtinId="27" customBuiltin="1"/>
    <cellStyle name="Neutra" xfId="9" builtinId="28" customBuiltin="1"/>
    <cellStyle name="Normal" xfId="0" builtinId="0"/>
    <cellStyle name="Nota" xfId="16" builtinId="10" customBuiltin="1"/>
    <cellStyle name="Porcentagem" xfId="44" builtinId="5"/>
    <cellStyle name="Saída" xfId="11" builtinId="21" customBuiltin="1"/>
    <cellStyle name="Texto de Aviso" xfId="15" builtinId="11" customBuiltin="1"/>
    <cellStyle name="Texto Explicativo" xfId="17" builtinId="53" customBuiltin="1"/>
    <cellStyle name="Título" xfId="2" builtinId="15" customBuiltin="1"/>
    <cellStyle name="Título 1" xfId="3" builtinId="16" customBuiltin="1"/>
    <cellStyle name="Título 2" xfId="4" builtinId="17" customBuiltin="1"/>
    <cellStyle name="Título 3" xfId="5" builtinId="18" customBuiltin="1"/>
    <cellStyle name="Título 4" xfId="6" builtinId="19" customBuiltin="1"/>
    <cellStyle name="Total" xfId="18" builtinId="25" customBuiltin="1"/>
    <cellStyle name="Vírgula" xfId="1" builtinId="3"/>
  </cellStyles>
  <dxfs count="44">
    <dxf>
      <font>
        <color auto="1"/>
        <family val="2"/>
      </font>
    </dxf>
    <dxf>
      <font>
        <color auto="1"/>
        <family val="2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auto="1"/>
        <family val="2"/>
      </font>
    </dxf>
    <dxf>
      <font>
        <color auto="1"/>
        <family val="2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auto="1"/>
        <family val="2"/>
      </font>
    </dxf>
    <dxf>
      <font>
        <color auto="1"/>
        <family val="2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auto="1"/>
        <family val="2"/>
      </font>
    </dxf>
    <dxf>
      <font>
        <color auto="1"/>
        <family val="2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</dxf>
    <dxf>
      <fill>
        <patternFill patternType="solid"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[analise projetos (Salvo automaticamente).xlsm]Plan1!Tabela dinâmica2</c:name>
    <c:fmtId val="0"/>
  </c:pivotSource>
  <c:chart>
    <c:title>
      <c:layout>
        <c:manualLayout>
          <c:xMode val="edge"/>
          <c:yMode val="edge"/>
          <c:x val="0.4563888888888889"/>
          <c:y val="8.12919218431029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7030A0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"/>
        <c:spPr>
          <a:solidFill>
            <a:srgbClr val="00B050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"/>
        <c:spPr>
          <a:solidFill>
            <a:schemeClr val="bg1">
              <a:lumMod val="75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"/>
        <c:spPr>
          <a:solidFill>
            <a:srgbClr val="FF0000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rgbClr val="FFFF00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0.21133821813939929"/>
          <c:w val="1"/>
          <c:h val="0.56745917177019545"/>
        </c:manualLayout>
      </c:layout>
      <c:pie3DChart>
        <c:varyColors val="1"/>
        <c:ser>
          <c:idx val="0"/>
          <c:order val="0"/>
          <c:tx>
            <c:strRef>
              <c:f>Plan1!$B$33</c:f>
              <c:strCache>
                <c:ptCount val="1"/>
                <c:pt idx="0">
                  <c:v>Total</c:v>
                </c:pt>
              </c:strCache>
            </c:strRef>
          </c:tx>
          <c:explosion val="1"/>
          <c:dPt>
            <c:idx val="0"/>
            <c:bubble3D val="0"/>
            <c:spPr>
              <a:solidFill>
                <a:srgbClr val="7030A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9AD-478B-AD79-BA50537F9030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9AD-478B-AD79-BA50537F9030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9AD-478B-AD79-BA50537F903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9AD-478B-AD79-BA50537F9030}"/>
              </c:ext>
            </c:extLst>
          </c:dPt>
          <c:dPt>
            <c:idx val="4"/>
            <c:bubble3D val="0"/>
            <c:spPr>
              <a:solidFill>
                <a:schemeClr val="bg1">
                  <a:lumMod val="75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D9AD-478B-AD79-BA50537F9030}"/>
              </c:ext>
            </c:extLst>
          </c:dPt>
          <c:dPt>
            <c:idx val="5"/>
            <c:bubble3D val="0"/>
            <c:spPr>
              <a:solidFill>
                <a:srgbClr val="FF000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D9AD-478B-AD79-BA50537F9030}"/>
              </c:ext>
            </c:extLst>
          </c:dPt>
          <c:dPt>
            <c:idx val="6"/>
            <c:bubble3D val="0"/>
            <c:spPr>
              <a:solidFill>
                <a:srgbClr val="FFFF0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D9AD-478B-AD79-BA50537F9030}"/>
              </c:ext>
            </c:extLst>
          </c:dPt>
          <c:dLbls>
            <c:dLbl>
              <c:idx val="6"/>
              <c:showLegendKey val="1"/>
              <c:showVal val="1"/>
              <c:showCatName val="1"/>
              <c:showSerName val="1"/>
              <c:showPercent val="1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9AD-478B-AD79-BA50537F90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Plan1!$A$34:$A$41</c:f>
              <c:strCache>
                <c:ptCount val="7"/>
                <c:pt idx="0">
                  <c:v>Aberto</c:v>
                </c:pt>
                <c:pt idx="1">
                  <c:v>Em Andamento</c:v>
                </c:pt>
                <c:pt idx="2">
                  <c:v>Fechado</c:v>
                </c:pt>
                <c:pt idx="3">
                  <c:v>Pendência Externa</c:v>
                </c:pt>
                <c:pt idx="4">
                  <c:v>Reaberto</c:v>
                </c:pt>
                <c:pt idx="5">
                  <c:v>Registrado</c:v>
                </c:pt>
                <c:pt idx="6">
                  <c:v>Resolvido</c:v>
                </c:pt>
              </c:strCache>
            </c:strRef>
          </c:cat>
          <c:val>
            <c:numRef>
              <c:f>Plan1!$B$34:$B$41</c:f>
              <c:numCache>
                <c:formatCode>General</c:formatCode>
                <c:ptCount val="7"/>
                <c:pt idx="0">
                  <c:v>110</c:v>
                </c:pt>
                <c:pt idx="1">
                  <c:v>48</c:v>
                </c:pt>
                <c:pt idx="2">
                  <c:v>181</c:v>
                </c:pt>
                <c:pt idx="3">
                  <c:v>22</c:v>
                </c:pt>
                <c:pt idx="4">
                  <c:v>32</c:v>
                </c:pt>
                <c:pt idx="5">
                  <c:v>273</c:v>
                </c:pt>
                <c:pt idx="6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9AD-478B-AD79-BA50537F90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olidFill>
          <a:schemeClr val="bg1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[analise projetos (Salvo automaticamente).xlsm]Plan2!Tabela dinâmica4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Projetos por duração e Status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Plan2!$B$3:$B$4</c:f>
              <c:strCache>
                <c:ptCount val="1"/>
                <c:pt idx="0">
                  <c:v>Aberto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Plan2!$A$5:$A$10</c:f>
              <c:strCache>
                <c:ptCount val="5"/>
                <c:pt idx="0">
                  <c:v>menos 1 mês</c:v>
                </c:pt>
                <c:pt idx="1">
                  <c:v>entre 30 e 60 dias</c:v>
                </c:pt>
                <c:pt idx="2">
                  <c:v>entre 60 e 90 dias</c:v>
                </c:pt>
                <c:pt idx="3">
                  <c:v>entre 90 e 150 dias</c:v>
                </c:pt>
                <c:pt idx="4">
                  <c:v>mais de 150 dias</c:v>
                </c:pt>
              </c:strCache>
            </c:strRef>
          </c:cat>
          <c:val>
            <c:numRef>
              <c:f>Plan2!$B$5:$B$10</c:f>
              <c:numCache>
                <c:formatCode>General</c:formatCode>
                <c:ptCount val="5"/>
                <c:pt idx="1">
                  <c:v>3</c:v>
                </c:pt>
                <c:pt idx="2">
                  <c:v>3</c:v>
                </c:pt>
                <c:pt idx="3">
                  <c:v>4</c:v>
                </c:pt>
                <c:pt idx="4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F2-4D6B-BFA7-303211666AD7}"/>
            </c:ext>
          </c:extLst>
        </c:ser>
        <c:ser>
          <c:idx val="1"/>
          <c:order val="1"/>
          <c:tx>
            <c:strRef>
              <c:f>Plan2!$C$3:$C$4</c:f>
              <c:strCache>
                <c:ptCount val="1"/>
                <c:pt idx="0">
                  <c:v>Em Andamento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Plan2!$A$5:$A$10</c:f>
              <c:strCache>
                <c:ptCount val="5"/>
                <c:pt idx="0">
                  <c:v>menos 1 mês</c:v>
                </c:pt>
                <c:pt idx="1">
                  <c:v>entre 30 e 60 dias</c:v>
                </c:pt>
                <c:pt idx="2">
                  <c:v>entre 60 e 90 dias</c:v>
                </c:pt>
                <c:pt idx="3">
                  <c:v>entre 90 e 150 dias</c:v>
                </c:pt>
                <c:pt idx="4">
                  <c:v>mais de 150 dias</c:v>
                </c:pt>
              </c:strCache>
            </c:strRef>
          </c:cat>
          <c:val>
            <c:numRef>
              <c:f>Plan2!$C$5:$C$10</c:f>
              <c:numCache>
                <c:formatCode>General</c:formatCode>
                <c:ptCount val="5"/>
                <c:pt idx="0">
                  <c:v>2</c:v>
                </c:pt>
                <c:pt idx="3">
                  <c:v>2</c:v>
                </c:pt>
                <c:pt idx="4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F2-4D6B-BFA7-303211666AD7}"/>
            </c:ext>
          </c:extLst>
        </c:ser>
        <c:ser>
          <c:idx val="2"/>
          <c:order val="2"/>
          <c:tx>
            <c:strRef>
              <c:f>Plan2!$D$3:$D$4</c:f>
              <c:strCache>
                <c:ptCount val="1"/>
                <c:pt idx="0">
                  <c:v>Pendência Externa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Plan2!$A$5:$A$10</c:f>
              <c:strCache>
                <c:ptCount val="5"/>
                <c:pt idx="0">
                  <c:v>menos 1 mês</c:v>
                </c:pt>
                <c:pt idx="1">
                  <c:v>entre 30 e 60 dias</c:v>
                </c:pt>
                <c:pt idx="2">
                  <c:v>entre 60 e 90 dias</c:v>
                </c:pt>
                <c:pt idx="3">
                  <c:v>entre 90 e 150 dias</c:v>
                </c:pt>
                <c:pt idx="4">
                  <c:v>mais de 150 dias</c:v>
                </c:pt>
              </c:strCache>
            </c:strRef>
          </c:cat>
          <c:val>
            <c:numRef>
              <c:f>Plan2!$D$5:$D$10</c:f>
              <c:numCache>
                <c:formatCode>General</c:formatCode>
                <c:ptCount val="5"/>
                <c:pt idx="3">
                  <c:v>1</c:v>
                </c:pt>
                <c:pt idx="4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F2-4D6B-BFA7-303211666AD7}"/>
            </c:ext>
          </c:extLst>
        </c:ser>
        <c:ser>
          <c:idx val="3"/>
          <c:order val="3"/>
          <c:tx>
            <c:strRef>
              <c:f>Plan2!$E$3:$E$4</c:f>
              <c:strCache>
                <c:ptCount val="1"/>
                <c:pt idx="0">
                  <c:v>Reaberto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Plan2!$A$5:$A$10</c:f>
              <c:strCache>
                <c:ptCount val="5"/>
                <c:pt idx="0">
                  <c:v>menos 1 mês</c:v>
                </c:pt>
                <c:pt idx="1">
                  <c:v>entre 30 e 60 dias</c:v>
                </c:pt>
                <c:pt idx="2">
                  <c:v>entre 60 e 90 dias</c:v>
                </c:pt>
                <c:pt idx="3">
                  <c:v>entre 90 e 150 dias</c:v>
                </c:pt>
                <c:pt idx="4">
                  <c:v>mais de 150 dias</c:v>
                </c:pt>
              </c:strCache>
            </c:strRef>
          </c:cat>
          <c:val>
            <c:numRef>
              <c:f>Plan2!$E$5:$E$10</c:f>
              <c:numCache>
                <c:formatCode>General</c:formatCode>
                <c:ptCount val="5"/>
                <c:pt idx="2">
                  <c:v>1</c:v>
                </c:pt>
                <c:pt idx="4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FF2-4D6B-BFA7-303211666AD7}"/>
            </c:ext>
          </c:extLst>
        </c:ser>
        <c:ser>
          <c:idx val="4"/>
          <c:order val="4"/>
          <c:tx>
            <c:strRef>
              <c:f>Plan2!$F$3:$F$4</c:f>
              <c:strCache>
                <c:ptCount val="1"/>
                <c:pt idx="0">
                  <c:v>Registrado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Plan2!$A$5:$A$10</c:f>
              <c:strCache>
                <c:ptCount val="5"/>
                <c:pt idx="0">
                  <c:v>menos 1 mês</c:v>
                </c:pt>
                <c:pt idx="1">
                  <c:v>entre 30 e 60 dias</c:v>
                </c:pt>
                <c:pt idx="2">
                  <c:v>entre 60 e 90 dias</c:v>
                </c:pt>
                <c:pt idx="3">
                  <c:v>entre 90 e 150 dias</c:v>
                </c:pt>
                <c:pt idx="4">
                  <c:v>mais de 150 dias</c:v>
                </c:pt>
              </c:strCache>
            </c:strRef>
          </c:cat>
          <c:val>
            <c:numRef>
              <c:f>Plan2!$F$5:$F$10</c:f>
              <c:numCache>
                <c:formatCode>General</c:formatCode>
                <c:ptCount val="5"/>
                <c:pt idx="0">
                  <c:v>68</c:v>
                </c:pt>
                <c:pt idx="1">
                  <c:v>59</c:v>
                </c:pt>
                <c:pt idx="2">
                  <c:v>30</c:v>
                </c:pt>
                <c:pt idx="3">
                  <c:v>71</c:v>
                </c:pt>
                <c:pt idx="4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F2-4D6B-BFA7-303211666AD7}"/>
            </c:ext>
          </c:extLst>
        </c:ser>
        <c:ser>
          <c:idx val="5"/>
          <c:order val="5"/>
          <c:tx>
            <c:strRef>
              <c:f>Plan2!$G$3:$G$4</c:f>
              <c:strCache>
                <c:ptCount val="1"/>
                <c:pt idx="0">
                  <c:v>Resolvido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Plan2!$A$5:$A$10</c:f>
              <c:strCache>
                <c:ptCount val="5"/>
                <c:pt idx="0">
                  <c:v>menos 1 mês</c:v>
                </c:pt>
                <c:pt idx="1">
                  <c:v>entre 30 e 60 dias</c:v>
                </c:pt>
                <c:pt idx="2">
                  <c:v>entre 60 e 90 dias</c:v>
                </c:pt>
                <c:pt idx="3">
                  <c:v>entre 90 e 150 dias</c:v>
                </c:pt>
                <c:pt idx="4">
                  <c:v>mais de 150 dias</c:v>
                </c:pt>
              </c:strCache>
            </c:strRef>
          </c:cat>
          <c:val>
            <c:numRef>
              <c:f>Plan2!$G$5:$G$10</c:f>
              <c:numCache>
                <c:formatCode>General</c:formatCode>
                <c:ptCount val="5"/>
                <c:pt idx="0">
                  <c:v>1</c:v>
                </c:pt>
                <c:pt idx="1">
                  <c:v>7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FF2-4D6B-BFA7-303211666A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352880768"/>
        <c:axId val="352877632"/>
      </c:barChart>
      <c:catAx>
        <c:axId val="352880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2877632"/>
        <c:crosses val="autoZero"/>
        <c:auto val="1"/>
        <c:lblAlgn val="ctr"/>
        <c:lblOffset val="100"/>
        <c:noMultiLvlLbl val="0"/>
      </c:catAx>
      <c:valAx>
        <c:axId val="352877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2880768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http://tprocess-contax/images/jira111x30.png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1057275</xdr:colOff>
      <xdr:row>1</xdr:row>
      <xdr:rowOff>123825</xdr:rowOff>
    </xdr:to>
    <xdr:pic>
      <xdr:nvPicPr>
        <xdr:cNvPr id="2049" name="Picture 1" descr="todo!"/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057275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28</xdr:row>
      <xdr:rowOff>71437</xdr:rowOff>
    </xdr:from>
    <xdr:to>
      <xdr:col>10</xdr:col>
      <xdr:colOff>600075</xdr:colOff>
      <xdr:row>42</xdr:row>
      <xdr:rowOff>147637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10</xdr:row>
      <xdr:rowOff>133350</xdr:rowOff>
    </xdr:from>
    <xdr:to>
      <xdr:col>8</xdr:col>
      <xdr:colOff>171450</xdr:colOff>
      <xdr:row>27</xdr:row>
      <xdr:rowOff>66675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rojeto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_report"/>
    </sheetNames>
    <sheetDataSet>
      <sheetData sheetId="0">
        <row r="1">
          <cell r="B1" t="str">
            <v>Chave</v>
          </cell>
          <cell r="C1" t="str">
            <v>Resumo</v>
          </cell>
          <cell r="D1" t="str">
            <v>Responsável</v>
          </cell>
          <cell r="E1" t="str">
            <v>Criador</v>
          </cell>
          <cell r="F1" t="str">
            <v>Status</v>
          </cell>
          <cell r="G1" t="str">
            <v>Criado</v>
          </cell>
          <cell r="H1" t="str">
            <v>Resolvido</v>
          </cell>
          <cell r="I1" t="str">
            <v>Cliente</v>
          </cell>
          <cell r="J1" t="str">
            <v>Operação</v>
          </cell>
        </row>
        <row r="2">
          <cell r="B2" t="str">
            <v>CLIORBCG-174</v>
          </cell>
          <cell r="C2" t="str">
            <v>Projeto - Projeto</v>
          </cell>
          <cell r="D2" t="str">
            <v>Sem responsável</v>
          </cell>
          <cell r="E2" t="str">
            <v>Juliana Souza de Moraes</v>
          </cell>
          <cell r="F2" t="str">
            <v>Reaberto</v>
          </cell>
          <cell r="G2">
            <v>42151.512499999997</v>
          </cell>
          <cell r="I2" t="str">
            <v xml:space="preserve">Orbitall </v>
          </cell>
          <cell r="J2" t="str">
            <v xml:space="preserve"> Bonsucesso</v>
          </cell>
        </row>
        <row r="3">
          <cell r="B3" t="str">
            <v>CLIORBCG-187</v>
          </cell>
          <cell r="C3" t="str">
            <v>Projeto - Projeto</v>
          </cell>
          <cell r="D3" t="str">
            <v>Sem responsável</v>
          </cell>
          <cell r="E3" t="str">
            <v>Fernando Silva Oliveira</v>
          </cell>
          <cell r="F3" t="str">
            <v>Aberto</v>
          </cell>
          <cell r="G3">
            <v>42158.784722222219</v>
          </cell>
          <cell r="I3" t="str">
            <v xml:space="preserve">Orbitall </v>
          </cell>
          <cell r="J3" t="str">
            <v xml:space="preserve"> Bonsucesso</v>
          </cell>
        </row>
        <row r="4">
          <cell r="B4" t="str">
            <v>CLIORBCG-240</v>
          </cell>
          <cell r="C4" t="str">
            <v>Projeto - Projeto</v>
          </cell>
          <cell r="D4" t="str">
            <v>Administrador</v>
          </cell>
          <cell r="E4" t="str">
            <v>Fernando Silva Oliveira</v>
          </cell>
          <cell r="F4" t="str">
            <v>Registrado</v>
          </cell>
          <cell r="G4">
            <v>42214.507638888892</v>
          </cell>
          <cell r="I4" t="str">
            <v xml:space="preserve">Orbitall </v>
          </cell>
          <cell r="J4" t="str">
            <v xml:space="preserve"> Bonsucesso</v>
          </cell>
        </row>
        <row r="5">
          <cell r="B5" t="str">
            <v>CLIORBCG-397</v>
          </cell>
          <cell r="C5" t="str">
            <v>Desenvolver e disponibilizar a ferramenta do tSupervisor</v>
          </cell>
          <cell r="D5" t="str">
            <v>Administrador</v>
          </cell>
          <cell r="E5" t="str">
            <v>Juliana Souza de Moraes</v>
          </cell>
          <cell r="F5" t="str">
            <v>Registrado</v>
          </cell>
          <cell r="G5">
            <v>42341.749305555553</v>
          </cell>
          <cell r="I5" t="str">
            <v xml:space="preserve">Orbitall </v>
          </cell>
          <cell r="J5" t="str">
            <v xml:space="preserve"> Bonsucesso</v>
          </cell>
        </row>
        <row r="6">
          <cell r="B6" t="str">
            <v>CLIORBSAN-131</v>
          </cell>
          <cell r="C6" t="str">
            <v>Projeto - "Substituição da MPLS Contax pela MPLS Orbitall"</v>
          </cell>
          <cell r="D6" t="str">
            <v>Administrador</v>
          </cell>
          <cell r="E6" t="str">
            <v>Fernando Silva Oliveira</v>
          </cell>
          <cell r="F6" t="str">
            <v>Registrado</v>
          </cell>
          <cell r="G6">
            <v>42412.636111111111</v>
          </cell>
          <cell r="I6" t="str">
            <v xml:space="preserve">Orbitall </v>
          </cell>
          <cell r="J6" t="str">
            <v xml:space="preserve"> Caixa Cobrança SP</v>
          </cell>
        </row>
        <row r="7">
          <cell r="B7" t="str">
            <v>CTXBHZRI-75393</v>
          </cell>
          <cell r="C7" t="str">
            <v>Projeto - Macro Mailing</v>
          </cell>
          <cell r="D7" t="str">
            <v>Elaine Cristina Ferreira</v>
          </cell>
          <cell r="E7" t="str">
            <v>Elaine Cristina Ferreira</v>
          </cell>
          <cell r="F7" t="str">
            <v>Fechado</v>
          </cell>
          <cell r="G7">
            <v>41862.582638888889</v>
          </cell>
          <cell r="H7">
            <v>42355.584722222222</v>
          </cell>
          <cell r="I7" t="str">
            <v xml:space="preserve">Oi </v>
          </cell>
          <cell r="J7" t="str">
            <v xml:space="preserve"> Varejo</v>
          </cell>
        </row>
        <row r="8">
          <cell r="B8" t="str">
            <v>CTXBHZRI-82119</v>
          </cell>
          <cell r="C8" t="str">
            <v>Projeto - Projeto- TLV Blended</v>
          </cell>
          <cell r="D8" t="str">
            <v>Erica Fernandes Cotrim</v>
          </cell>
          <cell r="E8" t="str">
            <v>Elaine Cristina Ferreira</v>
          </cell>
          <cell r="F8" t="str">
            <v>Reaberto</v>
          </cell>
          <cell r="G8">
            <v>42030.73541666667</v>
          </cell>
          <cell r="I8" t="str">
            <v xml:space="preserve">Oi </v>
          </cell>
          <cell r="J8" t="str">
            <v xml:space="preserve"> Outras Atividades</v>
          </cell>
        </row>
        <row r="9">
          <cell r="B9" t="str">
            <v>CTXBHZRI-82191</v>
          </cell>
          <cell r="C9" t="str">
            <v>Projeto - Projeto- Macro AT-IT (Fornecedor PGR SOFT)</v>
          </cell>
          <cell r="D9" t="str">
            <v>Elaine Cristina Ferreira</v>
          </cell>
          <cell r="E9" t="str">
            <v>Elaine Cristina Ferreira</v>
          </cell>
          <cell r="F9" t="str">
            <v>Fechado</v>
          </cell>
          <cell r="G9">
            <v>42031.676388888889</v>
          </cell>
          <cell r="H9">
            <v>42355.589583333334</v>
          </cell>
          <cell r="I9" t="str">
            <v xml:space="preserve">Oi </v>
          </cell>
          <cell r="J9" t="str">
            <v xml:space="preserve"> Outras Atividades</v>
          </cell>
        </row>
        <row r="10">
          <cell r="B10" t="str">
            <v>CTXBHZRI-84138</v>
          </cell>
          <cell r="C10" t="str">
            <v>Projeto - Projeto</v>
          </cell>
          <cell r="D10" t="str">
            <v>Elaine Cristina Ferreira</v>
          </cell>
          <cell r="E10" t="str">
            <v>Elaine Cristina Ferreira</v>
          </cell>
          <cell r="F10" t="str">
            <v>Fechado</v>
          </cell>
          <cell r="G10">
            <v>42076.447916666664</v>
          </cell>
          <cell r="H10">
            <v>42355.570138888892</v>
          </cell>
          <cell r="I10" t="str">
            <v xml:space="preserve">Oi </v>
          </cell>
          <cell r="J10" t="str">
            <v xml:space="preserve"> Outras Atividades</v>
          </cell>
        </row>
        <row r="11">
          <cell r="B11" t="str">
            <v>CTXBHZRI-87549</v>
          </cell>
          <cell r="C11" t="str">
            <v>Projeto - Projeto</v>
          </cell>
          <cell r="D11" t="str">
            <v>BRUNO DIEGO ANTUNES RIBEIRO</v>
          </cell>
          <cell r="E11" t="str">
            <v>Cleonice de Andrade Oliveira Ferreira</v>
          </cell>
          <cell r="F11" t="str">
            <v>Aberto</v>
          </cell>
          <cell r="G11">
            <v>42136.785416666666</v>
          </cell>
          <cell r="I11" t="str">
            <v xml:space="preserve">Contax </v>
          </cell>
          <cell r="J11" t="str">
            <v xml:space="preserve"> Ger Governança de TI</v>
          </cell>
        </row>
        <row r="12">
          <cell r="B12" t="str">
            <v>CTXBHZRI-87861</v>
          </cell>
          <cell r="C12" t="str">
            <v>Projeto - Projeto</v>
          </cell>
          <cell r="D12" t="str">
            <v>Dalton Bondesan</v>
          </cell>
          <cell r="E12" t="str">
            <v>Walternei Aparecido Pizii</v>
          </cell>
          <cell r="F12" t="str">
            <v>Aberto</v>
          </cell>
          <cell r="G12">
            <v>42142.704861111109</v>
          </cell>
          <cell r="I12" t="str">
            <v xml:space="preserve">Contax </v>
          </cell>
          <cell r="J12" t="str">
            <v xml:space="preserve"> Ger Segurança Patrimonial</v>
          </cell>
        </row>
        <row r="13">
          <cell r="B13" t="str">
            <v>CTXBHZRI-89940</v>
          </cell>
          <cell r="C13" t="str">
            <v>Projeto - Implantação do TCollect para a operação CD</v>
          </cell>
          <cell r="D13" t="str">
            <v>Tatiane Rodrigues Dallecrode</v>
          </cell>
          <cell r="E13" t="str">
            <v>Tatiane Rodrigues Dallecrode</v>
          </cell>
          <cell r="F13" t="str">
            <v>Fechado</v>
          </cell>
          <cell r="G13">
            <v>42186.739583333336</v>
          </cell>
          <cell r="H13">
            <v>42398.484027777777</v>
          </cell>
          <cell r="I13" t="str">
            <v xml:space="preserve">Oi </v>
          </cell>
          <cell r="J13" t="str">
            <v xml:space="preserve"> Cobrança</v>
          </cell>
        </row>
        <row r="14">
          <cell r="B14" t="str">
            <v>CTXBHZRI-92004</v>
          </cell>
          <cell r="C14" t="str">
            <v>Projeto - Projeto</v>
          </cell>
          <cell r="D14" t="str">
            <v>Leonardo Pellegrini Vieira</v>
          </cell>
          <cell r="E14" t="str">
            <v>Leonardo Pellegrini Vieira</v>
          </cell>
          <cell r="F14" t="str">
            <v>Fechado</v>
          </cell>
          <cell r="G14">
            <v>42237.763194444444</v>
          </cell>
          <cell r="H14">
            <v>42401.560416666667</v>
          </cell>
          <cell r="I14" t="str">
            <v xml:space="preserve">Contax </v>
          </cell>
          <cell r="J14" t="str">
            <v xml:space="preserve"> Dir. Oi</v>
          </cell>
        </row>
        <row r="15">
          <cell r="B15" t="str">
            <v>CTXBHZRI-93377</v>
          </cell>
          <cell r="C15" t="str">
            <v>Projeto_OI TV ESCOB _2ª VIA E-MAIL</v>
          </cell>
          <cell r="D15" t="str">
            <v>Dalton Bondesan</v>
          </cell>
          <cell r="E15" t="str">
            <v>Erickson Madsen Ferreira Medeiros</v>
          </cell>
          <cell r="F15" t="str">
            <v>Em Andamento</v>
          </cell>
          <cell r="G15">
            <v>42276.376388888886</v>
          </cell>
          <cell r="I15" t="str">
            <v xml:space="preserve">Contax </v>
          </cell>
          <cell r="J15" t="str">
            <v xml:space="preserve"> Ger Estratégia e Análise</v>
          </cell>
        </row>
        <row r="16">
          <cell r="B16" t="str">
            <v>CTXBHZRI-94837</v>
          </cell>
          <cell r="C16" t="str">
            <v>Projeto - Projeto: Migração da URA do Hotline Empresarial (0800 280 3120) p/ ambiente NGR</v>
          </cell>
          <cell r="D16" t="str">
            <v>Julio Cesar da Silva</v>
          </cell>
          <cell r="E16" t="str">
            <v>Leonardo Pellegrini Vieira</v>
          </cell>
          <cell r="F16" t="str">
            <v>Registrado</v>
          </cell>
          <cell r="G16">
            <v>42318.497916666667</v>
          </cell>
          <cell r="I16" t="str">
            <v xml:space="preserve">Contax </v>
          </cell>
          <cell r="J16" t="str">
            <v xml:space="preserve"> Dir. Oi</v>
          </cell>
        </row>
        <row r="17">
          <cell r="B17" t="str">
            <v>CTXBHZRI-94859</v>
          </cell>
          <cell r="C17" t="str">
            <v>Projeto - Implantar TCollect / Aspect: Escob R2, CD R2 e CD Móvel</v>
          </cell>
          <cell r="D17" t="str">
            <v>Julio Cesar da Silva</v>
          </cell>
          <cell r="E17" t="str">
            <v>Elaine Fortunato da Silva</v>
          </cell>
          <cell r="F17" t="str">
            <v>Registrado</v>
          </cell>
          <cell r="G17">
            <v>42318.784722222219</v>
          </cell>
          <cell r="I17" t="str">
            <v xml:space="preserve">Contax </v>
          </cell>
          <cell r="J17" t="str">
            <v xml:space="preserve"> Dir. Oi</v>
          </cell>
        </row>
        <row r="18">
          <cell r="B18" t="str">
            <v>CTXBHZRI-94988</v>
          </cell>
          <cell r="C18" t="str">
            <v>Mudança de Andar das PA's VIP 5 (5 PA's + 1 supervisor)</v>
          </cell>
          <cell r="D18" t="str">
            <v>Luciana Aparecida Muniz Gon�alves</v>
          </cell>
          <cell r="E18" t="str">
            <v>Luciana Aparecida Muniz Gon�alves</v>
          </cell>
          <cell r="F18" t="str">
            <v>Fechado</v>
          </cell>
          <cell r="G18">
            <v>42321.507638888892</v>
          </cell>
          <cell r="H18">
            <v>42355.584027777775</v>
          </cell>
          <cell r="I18" t="str">
            <v xml:space="preserve">Oi </v>
          </cell>
          <cell r="J18" t="str">
            <v xml:space="preserve"> Back Office</v>
          </cell>
        </row>
        <row r="19">
          <cell r="B19" t="str">
            <v>CTXBHZRI-95756</v>
          </cell>
          <cell r="C19" t="str">
            <v>Projeto - "Arquivo de Retorno"</v>
          </cell>
          <cell r="D19" t="str">
            <v>Bruno Guerra Ferreira</v>
          </cell>
          <cell r="E19" t="str">
            <v>Jill Ullmann Ortiz</v>
          </cell>
          <cell r="F19" t="str">
            <v>Registrado</v>
          </cell>
          <cell r="G19">
            <v>42340.847916666666</v>
          </cell>
          <cell r="I19" t="str">
            <v xml:space="preserve">Contax </v>
          </cell>
          <cell r="J19" t="str">
            <v xml:space="preserve"> Dir. Oi</v>
          </cell>
        </row>
        <row r="20">
          <cell r="B20" t="str">
            <v>CTXBHZRI-96230</v>
          </cell>
          <cell r="C20" t="str">
            <v>Projeto - "Migração Corporativo B2B"</v>
          </cell>
          <cell r="D20" t="str">
            <v>Bruno Guerra Ferreira</v>
          </cell>
          <cell r="E20" t="str">
            <v>Jill Ullmann Ortiz</v>
          </cell>
          <cell r="F20" t="str">
            <v>Registrado</v>
          </cell>
          <cell r="G20">
            <v>42356.761111111111</v>
          </cell>
          <cell r="I20" t="str">
            <v xml:space="preserve">Contax </v>
          </cell>
          <cell r="J20" t="str">
            <v xml:space="preserve"> Dir. Oi</v>
          </cell>
        </row>
        <row r="21">
          <cell r="B21" t="str">
            <v>CTXBHZRI-97664</v>
          </cell>
          <cell r="C21" t="str">
            <v>Novos Arquivos de Atualização R1 Fixa</v>
          </cell>
          <cell r="D21" t="str">
            <v>Paulo Roberto da Costa Cavalcante</v>
          </cell>
          <cell r="E21" t="str">
            <v>Tatiane Rodrigues Dallecrode</v>
          </cell>
          <cell r="F21" t="str">
            <v>Registrado</v>
          </cell>
          <cell r="G21">
            <v>42397.600694444445</v>
          </cell>
          <cell r="I21" t="str">
            <v xml:space="preserve">Oi </v>
          </cell>
          <cell r="J21" t="str">
            <v xml:space="preserve"> Retenção Empresarial</v>
          </cell>
        </row>
        <row r="22">
          <cell r="B22" t="str">
            <v>CTXBHZRI-98065</v>
          </cell>
          <cell r="C22" t="str">
            <v>Projeto - "Por favor, usuário, utilizar este campo para informar o nome do Projeto"</v>
          </cell>
          <cell r="D22" t="str">
            <v>Julio Cesar da Silva</v>
          </cell>
          <cell r="E22" t="str">
            <v>Fabricio Hinein Peixoto Guimaraes</v>
          </cell>
          <cell r="F22" t="str">
            <v>Registrado</v>
          </cell>
          <cell r="G22">
            <v>42411.395138888889</v>
          </cell>
          <cell r="I22" t="str">
            <v xml:space="preserve">Oi </v>
          </cell>
          <cell r="J22" t="str">
            <v xml:space="preserve"> Cobrança</v>
          </cell>
        </row>
        <row r="23">
          <cell r="B23" t="str">
            <v>CTXBHZRI-98066</v>
          </cell>
          <cell r="C23" t="str">
            <v>Projeto - Implantar tCollect!+Aspect Operação - CD R2</v>
          </cell>
          <cell r="D23" t="str">
            <v>Julio Cesar da Silva</v>
          </cell>
          <cell r="E23" t="str">
            <v>Fabricio Hinein Peixoto Guimaraes</v>
          </cell>
          <cell r="F23" t="str">
            <v>Registrado</v>
          </cell>
          <cell r="G23">
            <v>42411.397222222222</v>
          </cell>
          <cell r="I23" t="str">
            <v xml:space="preserve">Oi </v>
          </cell>
          <cell r="J23" t="str">
            <v xml:space="preserve"> Cobrança</v>
          </cell>
        </row>
        <row r="24">
          <cell r="B24" t="str">
            <v>CTXBHZRI-98067</v>
          </cell>
          <cell r="C24" t="str">
            <v>Projeto - Implantar tCollect!+Aspect Operação - Escob OI TV</v>
          </cell>
          <cell r="D24" t="str">
            <v>Julio Cesar da Silva</v>
          </cell>
          <cell r="E24" t="str">
            <v>Fabricio Hinein Peixoto Guimaraes</v>
          </cell>
          <cell r="F24" t="str">
            <v>Registrado</v>
          </cell>
          <cell r="G24">
            <v>42411.398611111108</v>
          </cell>
          <cell r="I24" t="str">
            <v xml:space="preserve">Oi </v>
          </cell>
          <cell r="J24" t="str">
            <v xml:space="preserve"> Cobrança</v>
          </cell>
        </row>
        <row r="25">
          <cell r="B25" t="str">
            <v>CTXBHZRI-98120</v>
          </cell>
          <cell r="C25" t="str">
            <v>Implantação de Front Fácil na célula de Fraude (1º nível)</v>
          </cell>
          <cell r="D25" t="str">
            <v>Sem responsável</v>
          </cell>
          <cell r="E25" t="str">
            <v>Tatiane Rodrigues Dallecrode</v>
          </cell>
          <cell r="F25" t="str">
            <v>Registrado</v>
          </cell>
          <cell r="G25">
            <v>42412.481249999997</v>
          </cell>
          <cell r="I25" t="str">
            <v xml:space="preserve">Oi </v>
          </cell>
          <cell r="J25" t="str">
            <v xml:space="preserve"> Cobrança</v>
          </cell>
        </row>
        <row r="26">
          <cell r="B26" t="str">
            <v>CTXBHZRP-217019</v>
          </cell>
          <cell r="C26" t="str">
            <v>Projeto - "Por favor, usuário, utilizar este campo para informar o nome do Projeto"</v>
          </cell>
          <cell r="D26" t="str">
            <v>Julio Cesar da Silva</v>
          </cell>
          <cell r="E26" t="str">
            <v>Livia de Deus Henriques Rodrigues</v>
          </cell>
          <cell r="F26" t="str">
            <v>Registrado</v>
          </cell>
          <cell r="G26">
            <v>42320.402083333334</v>
          </cell>
          <cell r="I26" t="str">
            <v xml:space="preserve">Contax </v>
          </cell>
          <cell r="J26" t="str">
            <v xml:space="preserve"> Dir. Oi</v>
          </cell>
        </row>
        <row r="27">
          <cell r="B27" t="str">
            <v>CTXBHZRP-217559</v>
          </cell>
          <cell r="C27" t="str">
            <v>Projeto Automações OI | RTI - ABERTURA E FECHAMENTO DE CONTESTAÇÃO (G1)</v>
          </cell>
          <cell r="D27" t="str">
            <v>Debora Gercke Dominas</v>
          </cell>
          <cell r="E27" t="str">
            <v>Wagner Mattos Ribeiro Pinto</v>
          </cell>
          <cell r="F27" t="str">
            <v>Em Andamento</v>
          </cell>
          <cell r="G27">
            <v>42403.615972222222</v>
          </cell>
          <cell r="I27" t="str">
            <v xml:space="preserve">Contax </v>
          </cell>
          <cell r="J27" t="str">
            <v xml:space="preserve"> Dir. Oi</v>
          </cell>
        </row>
        <row r="28">
          <cell r="B28" t="str">
            <v>CTXCASEK-1292</v>
          </cell>
          <cell r="C28" t="str">
            <v>Projeto - Gravação de tela cliente Elektro</v>
          </cell>
          <cell r="D28" t="str">
            <v>Bruno Guerra Ferreira</v>
          </cell>
          <cell r="E28" t="str">
            <v>Alexandre Magno Pereira da Silva</v>
          </cell>
          <cell r="F28" t="str">
            <v>Aberto</v>
          </cell>
          <cell r="G28">
            <v>42152.689583333333</v>
          </cell>
          <cell r="I28" t="str">
            <v xml:space="preserve">ELEKTRO </v>
          </cell>
          <cell r="J28" t="str">
            <v xml:space="preserve"> ELEKTRO</v>
          </cell>
        </row>
        <row r="29">
          <cell r="B29" t="str">
            <v>CTXCASEK-1359</v>
          </cell>
          <cell r="C29" t="str">
            <v>Projeto - Interligação SIP PABX Cisco x PABX Avaya</v>
          </cell>
          <cell r="D29" t="str">
            <v>Dalton Bondesan</v>
          </cell>
          <cell r="E29" t="str">
            <v>Alexandre Magno Pereira da Silva</v>
          </cell>
          <cell r="F29" t="str">
            <v>Aberto</v>
          </cell>
          <cell r="G29">
            <v>42173.709027777775</v>
          </cell>
          <cell r="I29" t="str">
            <v xml:space="preserve">ELEKTRO </v>
          </cell>
          <cell r="J29" t="str">
            <v xml:space="preserve"> ELEKTRO</v>
          </cell>
        </row>
        <row r="30">
          <cell r="B30" t="str">
            <v>CTXCASEK-1528</v>
          </cell>
          <cell r="C30" t="str">
            <v>Projeto - "Por favor, usuário, utilizar este campo para informar o nome do Projeto"</v>
          </cell>
          <cell r="D30" t="str">
            <v>Bruno Guerra Ferreira</v>
          </cell>
          <cell r="E30" t="str">
            <v>Alexandre Magno Pereira da Silva</v>
          </cell>
          <cell r="F30" t="str">
            <v>Registrado</v>
          </cell>
          <cell r="G30">
            <v>42312.462500000001</v>
          </cell>
          <cell r="I30" t="str">
            <v xml:space="preserve">ELEKTRO </v>
          </cell>
          <cell r="J30" t="str">
            <v xml:space="preserve"> ELEKTRO</v>
          </cell>
        </row>
        <row r="31">
          <cell r="B31" t="str">
            <v>CTXCASEK-1593</v>
          </cell>
          <cell r="C31" t="str">
            <v>Projeto - Alteração do range de IPs Call Center e Sede corporativa</v>
          </cell>
          <cell r="D31" t="str">
            <v>Bruno Guerra Ferreira</v>
          </cell>
          <cell r="E31" t="str">
            <v>Alexandre Magno Pereira da Silva</v>
          </cell>
          <cell r="F31" t="str">
            <v>Registrado</v>
          </cell>
          <cell r="G31">
            <v>42342.466666666667</v>
          </cell>
          <cell r="I31" t="str">
            <v xml:space="preserve">ELEKTRO </v>
          </cell>
          <cell r="J31" t="str">
            <v xml:space="preserve"> ELEKTRO</v>
          </cell>
        </row>
        <row r="32">
          <cell r="B32" t="str">
            <v>CTXCASEK-1594</v>
          </cell>
          <cell r="C32" t="str">
            <v>Projeto - Alteração do endereçamento IP do CRC e Sede para o padrão utilizado pela Elektro</v>
          </cell>
          <cell r="D32" t="str">
            <v>Bruno Guerra Ferreira</v>
          </cell>
          <cell r="E32" t="str">
            <v>Alexandre Magno Pereira da Silva</v>
          </cell>
          <cell r="F32" t="str">
            <v>Registrado</v>
          </cell>
          <cell r="G32">
            <v>42342.477083333331</v>
          </cell>
          <cell r="I32" t="str">
            <v xml:space="preserve">ELEKTRO </v>
          </cell>
          <cell r="J32" t="str">
            <v xml:space="preserve"> ELEKTRO</v>
          </cell>
        </row>
        <row r="33">
          <cell r="B33" t="str">
            <v>CTXCTCRA-17222</v>
          </cell>
          <cell r="C33" t="str">
            <v>Projeto - Projeto</v>
          </cell>
          <cell r="D33" t="str">
            <v>Janaina Bossan</v>
          </cell>
          <cell r="E33" t="str">
            <v>Janaina Bossan</v>
          </cell>
          <cell r="F33" t="str">
            <v>Fechado</v>
          </cell>
          <cell r="G33">
            <v>42206.390277777777</v>
          </cell>
          <cell r="H33">
            <v>42396.62222222222</v>
          </cell>
          <cell r="I33" t="str">
            <v xml:space="preserve">TAM </v>
          </cell>
          <cell r="J33" t="str">
            <v xml:space="preserve"> Reservas</v>
          </cell>
        </row>
        <row r="34">
          <cell r="B34" t="str">
            <v>CTXFORBM-235310</v>
          </cell>
          <cell r="C34" t="str">
            <v>Projeto - Segmentação OCT e TV</v>
          </cell>
          <cell r="D34" t="str">
            <v>Erica Fernandes Cotrim</v>
          </cell>
          <cell r="E34" t="str">
            <v>Emanuele Carvalho Ferreira Freitas</v>
          </cell>
          <cell r="F34" t="str">
            <v>Aberto</v>
          </cell>
          <cell r="G34">
            <v>41899.708333333336</v>
          </cell>
          <cell r="I34" t="str">
            <v xml:space="preserve">Oi </v>
          </cell>
          <cell r="J34" t="str">
            <v xml:space="preserve"> Retenção</v>
          </cell>
        </row>
        <row r="35">
          <cell r="B35" t="str">
            <v>CTXFORBM-270660</v>
          </cell>
          <cell r="C35" t="str">
            <v>Projeto - Projeto</v>
          </cell>
          <cell r="D35" t="str">
            <v>Edison Nei Siqueira</v>
          </cell>
          <cell r="E35" t="str">
            <v>Alexandre Teixeira de Pinho</v>
          </cell>
          <cell r="F35" t="str">
            <v>Em Andamento</v>
          </cell>
          <cell r="G35">
            <v>42055.634027777778</v>
          </cell>
          <cell r="I35" t="str">
            <v xml:space="preserve">Oi </v>
          </cell>
          <cell r="J35" t="str">
            <v xml:space="preserve"> Retenção Oi Controle</v>
          </cell>
        </row>
        <row r="36">
          <cell r="B36" t="str">
            <v>CTXFORBM-287648</v>
          </cell>
          <cell r="C36" t="str">
            <v>Projeto - Projeto - Ajuste BO Strategy</v>
          </cell>
          <cell r="D36" t="str">
            <v>Dalton Bondesan</v>
          </cell>
          <cell r="E36" t="str">
            <v>David Lima Cavalcante</v>
          </cell>
          <cell r="F36" t="str">
            <v>Aberto</v>
          </cell>
          <cell r="G36">
            <v>42123.438888888886</v>
          </cell>
          <cell r="I36" t="str">
            <v xml:space="preserve">Oi </v>
          </cell>
          <cell r="J36" t="str">
            <v xml:space="preserve"> Retenção</v>
          </cell>
        </row>
        <row r="37">
          <cell r="B37" t="str">
            <v>CTXFORBM-288047</v>
          </cell>
          <cell r="C37" t="str">
            <v>Projeto - Projeto - Blended Blindagem Refidelização</v>
          </cell>
          <cell r="D37" t="str">
            <v>David Lima Cavalcante</v>
          </cell>
          <cell r="E37" t="str">
            <v>David Lima Cavalcante</v>
          </cell>
          <cell r="F37" t="str">
            <v>Fechado</v>
          </cell>
          <cell r="G37">
            <v>42124.526388888888</v>
          </cell>
          <cell r="H37">
            <v>42383.622916666667</v>
          </cell>
          <cell r="I37" t="str">
            <v xml:space="preserve">Oi </v>
          </cell>
          <cell r="J37" t="str">
            <v xml:space="preserve"> Retenção</v>
          </cell>
        </row>
        <row r="38">
          <cell r="B38" t="str">
            <v>CTXFORBM-288081</v>
          </cell>
          <cell r="C38" t="str">
            <v>Projeto - Projeto</v>
          </cell>
          <cell r="D38" t="str">
            <v>Juan Chagas Lage</v>
          </cell>
          <cell r="E38" t="str">
            <v>Sterlaine Priscila Araujo Gomes</v>
          </cell>
          <cell r="F38" t="str">
            <v>Reaberto</v>
          </cell>
          <cell r="G38">
            <v>42124.572222222225</v>
          </cell>
          <cell r="I38" t="str">
            <v xml:space="preserve">Oi </v>
          </cell>
          <cell r="J38" t="str">
            <v xml:space="preserve"> Retenção</v>
          </cell>
        </row>
        <row r="39">
          <cell r="B39" t="str">
            <v>CTXFORBM-291757</v>
          </cell>
          <cell r="C39" t="str">
            <v>Projeto - Projeto - SISGO</v>
          </cell>
          <cell r="D39" t="str">
            <v>Debora Gercke Dominas</v>
          </cell>
          <cell r="E39" t="str">
            <v>José Perboyre Cavalcante Pinheiro Neto</v>
          </cell>
          <cell r="F39" t="str">
            <v>Aberto</v>
          </cell>
          <cell r="G39">
            <v>42142.630555555559</v>
          </cell>
          <cell r="I39" t="str">
            <v xml:space="preserve">Oi </v>
          </cell>
          <cell r="J39" t="str">
            <v xml:space="preserve"> Retenção</v>
          </cell>
        </row>
        <row r="40">
          <cell r="B40" t="str">
            <v>CTXFORBM-292807</v>
          </cell>
          <cell r="C40" t="str">
            <v>Projeto - Projeto - Guia/Simulador Pós [Substituição dos links do Canal Contax pelo Oi Atende]</v>
          </cell>
          <cell r="D40" t="str">
            <v>Sem responsável</v>
          </cell>
          <cell r="E40" t="str">
            <v>Cristiano Fernandes Melo</v>
          </cell>
          <cell r="F40" t="str">
            <v>Reaberto</v>
          </cell>
          <cell r="G40">
            <v>42146.634722222225</v>
          </cell>
          <cell r="I40" t="str">
            <v xml:space="preserve">Oi </v>
          </cell>
          <cell r="J40" t="str">
            <v xml:space="preserve"> Retenção</v>
          </cell>
        </row>
        <row r="41">
          <cell r="B41" t="str">
            <v>CTXFORBM-294169</v>
          </cell>
          <cell r="C41" t="str">
            <v>Projeto - Servidores - Itau</v>
          </cell>
          <cell r="D41" t="str">
            <v>Dalton Bondesan</v>
          </cell>
          <cell r="E41" t="str">
            <v>Joice Pereira De Souza</v>
          </cell>
          <cell r="F41" t="str">
            <v>Aberto</v>
          </cell>
          <cell r="G41">
            <v>42152.71597222222</v>
          </cell>
          <cell r="I41" t="str">
            <v xml:space="preserve">Itaú </v>
          </cell>
          <cell r="J41" t="str">
            <v xml:space="preserve"> Atendimento Financeiras</v>
          </cell>
        </row>
        <row r="42">
          <cell r="B42" t="str">
            <v>CTXFORBM-298953</v>
          </cell>
          <cell r="C42" t="str">
            <v>Projeto - Projeto Ajustes Simulador Pós X Pré</v>
          </cell>
          <cell r="D42" t="str">
            <v>Alexandre Teixeira de Pinho</v>
          </cell>
          <cell r="E42" t="str">
            <v>Alexandre Teixeira de Pinho</v>
          </cell>
          <cell r="F42" t="str">
            <v>Fechado</v>
          </cell>
          <cell r="G42">
            <v>42172.65625</v>
          </cell>
          <cell r="H42">
            <v>42402.424305555556</v>
          </cell>
          <cell r="I42" t="str">
            <v xml:space="preserve">Oi </v>
          </cell>
          <cell r="J42" t="str">
            <v xml:space="preserve"> Retenção</v>
          </cell>
        </row>
        <row r="43">
          <cell r="B43" t="str">
            <v>CTXFORBM-300174</v>
          </cell>
          <cell r="C43" t="str">
            <v>Projeto - Projeto - SINN Portabilidade</v>
          </cell>
          <cell r="D43" t="str">
            <v>José Perboyre Cavalcante Pinheiro Neto</v>
          </cell>
          <cell r="E43" t="str">
            <v>José Perboyre Cavalcante Pinheiro Neto</v>
          </cell>
          <cell r="F43" t="str">
            <v>Fechado</v>
          </cell>
          <cell r="G43">
            <v>42178.65902777778</v>
          </cell>
          <cell r="H43">
            <v>42383.622916666667</v>
          </cell>
          <cell r="I43" t="str">
            <v xml:space="preserve">Oi </v>
          </cell>
          <cell r="J43" t="str">
            <v xml:space="preserve"> Retenção</v>
          </cell>
        </row>
        <row r="44">
          <cell r="B44" t="str">
            <v>CTXFORBM-302024</v>
          </cell>
          <cell r="C44" t="str">
            <v>Projeto - Implantação ferramenta NBA (Piloto)_Ilha de contas Fixo</v>
          </cell>
          <cell r="D44" t="str">
            <v>Dalton Bondesan</v>
          </cell>
          <cell r="E44" t="str">
            <v>Alexsander Alves Santos</v>
          </cell>
          <cell r="F44" t="str">
            <v>Pendência Externa</v>
          </cell>
          <cell r="G44">
            <v>42185.738888888889</v>
          </cell>
          <cell r="I44" t="str">
            <v xml:space="preserve">Contax </v>
          </cell>
          <cell r="J44" t="str">
            <v xml:space="preserve"> Ger Produtos SAC</v>
          </cell>
        </row>
        <row r="45">
          <cell r="B45" t="str">
            <v>CTXFORBM-304805</v>
          </cell>
          <cell r="C45" t="str">
            <v>Projeto - Processo Indevido_BO Mobilidade</v>
          </cell>
          <cell r="D45" t="str">
            <v>Lucas Lourenco de Melo</v>
          </cell>
          <cell r="E45" t="str">
            <v>Lucas Lourenco de Melo</v>
          </cell>
          <cell r="F45" t="str">
            <v>Fechado</v>
          </cell>
          <cell r="G45">
            <v>42193.609027777777</v>
          </cell>
          <cell r="H45">
            <v>42384.711111111108</v>
          </cell>
          <cell r="I45" t="str">
            <v xml:space="preserve">Oi </v>
          </cell>
          <cell r="J45" t="str">
            <v xml:space="preserve"> Retenção</v>
          </cell>
        </row>
        <row r="46">
          <cell r="B46" t="str">
            <v>CTXFORBM-307164</v>
          </cell>
          <cell r="C46" t="str">
            <v>Projeto - Projeto -</v>
          </cell>
          <cell r="D46" t="str">
            <v>Bruno Guerra Ferreira</v>
          </cell>
          <cell r="E46" t="str">
            <v>Lisandra Pereira do Nascimento</v>
          </cell>
          <cell r="F46" t="str">
            <v>Em Andamento</v>
          </cell>
          <cell r="G46">
            <v>42202.702777777777</v>
          </cell>
          <cell r="I46" t="str">
            <v xml:space="preserve">Contax </v>
          </cell>
          <cell r="J46" t="str">
            <v xml:space="preserve"> Dir. Oi</v>
          </cell>
        </row>
        <row r="47">
          <cell r="B47" t="str">
            <v>CTXFORBM-313079</v>
          </cell>
          <cell r="C47" t="str">
            <v>Projeto - Projeto - Receptivo Refidelização</v>
          </cell>
          <cell r="D47" t="str">
            <v>Lisandra Pereira do Nascimento</v>
          </cell>
          <cell r="E47" t="str">
            <v>Lisandra Pereira do Nascimento</v>
          </cell>
          <cell r="F47" t="str">
            <v>Fechado</v>
          </cell>
          <cell r="G47">
            <v>42227.668055555558</v>
          </cell>
          <cell r="H47">
            <v>42356.447916666664</v>
          </cell>
          <cell r="I47" t="str">
            <v xml:space="preserve">Contax </v>
          </cell>
          <cell r="J47" t="str">
            <v xml:space="preserve"> Dir. Oi</v>
          </cell>
        </row>
        <row r="48">
          <cell r="B48" t="str">
            <v>CTXFORBM-314772</v>
          </cell>
          <cell r="C48" t="str">
            <v>Projeto - Projeto Simulador Pós e OCT Ilha de Migração</v>
          </cell>
          <cell r="D48" t="str">
            <v>Dalton Bondesan</v>
          </cell>
          <cell r="E48" t="str">
            <v>Alexandre Teixeira de Pinho</v>
          </cell>
          <cell r="F48" t="str">
            <v>Em Andamento</v>
          </cell>
          <cell r="G48">
            <v>42234.852777777778</v>
          </cell>
          <cell r="I48" t="str">
            <v xml:space="preserve">Oi </v>
          </cell>
          <cell r="J48" t="str">
            <v xml:space="preserve"> Retenção</v>
          </cell>
        </row>
        <row r="49">
          <cell r="B49" t="str">
            <v>CTXFORBM-319828</v>
          </cell>
          <cell r="C49" t="str">
            <v>Projeto - Projeto - integração de saída X arquivo de retorno blindagem residencial</v>
          </cell>
          <cell r="D49" t="str">
            <v>Erica Fernandes Cotrim</v>
          </cell>
          <cell r="E49" t="str">
            <v>David Lima Cavalcante</v>
          </cell>
          <cell r="F49" t="str">
            <v>Aberto</v>
          </cell>
          <cell r="G49">
            <v>42257.736111111109</v>
          </cell>
          <cell r="I49" t="str">
            <v xml:space="preserve">Oi </v>
          </cell>
          <cell r="J49" t="str">
            <v xml:space="preserve"> Retenção</v>
          </cell>
        </row>
        <row r="50">
          <cell r="B50" t="str">
            <v>CTXFORBM-320345</v>
          </cell>
          <cell r="C50" t="str">
            <v>Projeto - Projeto</v>
          </cell>
          <cell r="D50" t="str">
            <v>José Perboyre Cavalcante Pinheiro Neto</v>
          </cell>
          <cell r="E50" t="str">
            <v>José Perboyre Cavalcante Pinheiro Neto</v>
          </cell>
          <cell r="F50" t="str">
            <v>Fechado</v>
          </cell>
          <cell r="G50">
            <v>42261.426388888889</v>
          </cell>
          <cell r="H50">
            <v>42383.62222222222</v>
          </cell>
          <cell r="I50" t="str">
            <v xml:space="preserve">Oi </v>
          </cell>
          <cell r="J50" t="str">
            <v xml:space="preserve"> Retenção</v>
          </cell>
        </row>
        <row r="51">
          <cell r="B51" t="str">
            <v>CTXFORBM-320922</v>
          </cell>
          <cell r="C51" t="str">
            <v>Projeto - Projeto - alteração no fluxo de envio do arquivo de retorno TLV / ASPECT</v>
          </cell>
          <cell r="D51" t="str">
            <v>Dalton Bondesan</v>
          </cell>
          <cell r="E51" t="str">
            <v>David Lima Cavalcante</v>
          </cell>
          <cell r="F51" t="str">
            <v>Registrado</v>
          </cell>
          <cell r="G51">
            <v>42263.517361111109</v>
          </cell>
          <cell r="I51" t="str">
            <v xml:space="preserve">Oi </v>
          </cell>
          <cell r="J51" t="str">
            <v xml:space="preserve"> Retenção</v>
          </cell>
        </row>
        <row r="52">
          <cell r="B52" t="str">
            <v>CTXFORBM-321427</v>
          </cell>
          <cell r="C52" t="str">
            <v>Projeto - Ferramenta de Automação UNIFIC</v>
          </cell>
          <cell r="D52" t="str">
            <v>Dalton Bondesan</v>
          </cell>
          <cell r="E52" t="str">
            <v>Alexsander Alves Santos</v>
          </cell>
          <cell r="F52" t="str">
            <v>Aberto</v>
          </cell>
          <cell r="G52">
            <v>42265.57916666667</v>
          </cell>
          <cell r="I52" t="str">
            <v xml:space="preserve">Contax </v>
          </cell>
          <cell r="J52" t="str">
            <v xml:space="preserve"> Ger Produtos SAC</v>
          </cell>
        </row>
        <row r="53">
          <cell r="B53" t="str">
            <v>CTXFORBM-321509</v>
          </cell>
          <cell r="C53" t="str">
            <v>Projeto - Projeto - Criação de operação 4p na blindagem</v>
          </cell>
          <cell r="D53" t="str">
            <v>Lisandra Pereira do Nascimento</v>
          </cell>
          <cell r="E53" t="str">
            <v>Lisandra Pereira do Nascimento</v>
          </cell>
          <cell r="F53" t="str">
            <v>Fechado</v>
          </cell>
          <cell r="G53">
            <v>42265.76458333333</v>
          </cell>
          <cell r="H53">
            <v>42381.881249999999</v>
          </cell>
          <cell r="I53" t="str">
            <v xml:space="preserve">Contax </v>
          </cell>
          <cell r="J53" t="str">
            <v xml:space="preserve"> Dir. Oi</v>
          </cell>
        </row>
        <row r="54">
          <cell r="B54" t="str">
            <v>CTXFORBM-322126</v>
          </cell>
          <cell r="C54" t="str">
            <v>Projeto - Projeto Simulador Retenção Involuntária</v>
          </cell>
          <cell r="D54" t="str">
            <v>Dalton Bondesan</v>
          </cell>
          <cell r="E54" t="str">
            <v>Alexandre Teixeira de Pinho</v>
          </cell>
          <cell r="F54" t="str">
            <v>Pendência Externa</v>
          </cell>
          <cell r="G54">
            <v>42269.786111111112</v>
          </cell>
          <cell r="I54" t="str">
            <v xml:space="preserve">Oi </v>
          </cell>
          <cell r="J54" t="str">
            <v xml:space="preserve"> Retenção</v>
          </cell>
        </row>
        <row r="55">
          <cell r="B55" t="str">
            <v>CTXFORBM-322363</v>
          </cell>
          <cell r="C55" t="str">
            <v>Projeto - Projeto - Implantação NBA para Retenção Receita TV e ofertas Multiprodutos</v>
          </cell>
          <cell r="D55" t="str">
            <v>Cristiano Fernandes Melo</v>
          </cell>
          <cell r="E55" t="str">
            <v>Cristiano Fernandes Melo</v>
          </cell>
          <cell r="F55" t="str">
            <v>Fechado</v>
          </cell>
          <cell r="G55">
            <v>42270.744444444441</v>
          </cell>
          <cell r="H55">
            <v>42396.434027777781</v>
          </cell>
          <cell r="I55" t="str">
            <v xml:space="preserve">Oi </v>
          </cell>
          <cell r="J55" t="str">
            <v xml:space="preserve"> Retenção</v>
          </cell>
        </row>
        <row r="56">
          <cell r="B56" t="str">
            <v>CTXFORBM-323275</v>
          </cell>
          <cell r="C56" t="str">
            <v>Projeto - Projeto</v>
          </cell>
          <cell r="D56" t="str">
            <v>Juliana Souza de Moraes</v>
          </cell>
          <cell r="E56" t="str">
            <v>José Perboyre Cavalcante Pinheiro Neto</v>
          </cell>
          <cell r="F56" t="str">
            <v>Aberto</v>
          </cell>
          <cell r="G56">
            <v>42276.458333333336</v>
          </cell>
          <cell r="I56" t="str">
            <v xml:space="preserve">Oi </v>
          </cell>
          <cell r="J56" t="str">
            <v xml:space="preserve"> Retenção</v>
          </cell>
        </row>
        <row r="57">
          <cell r="B57" t="str">
            <v>CTXFORBM-324853</v>
          </cell>
          <cell r="C57" t="str">
            <v>Projeto - Projeto - Gravações Oi atende (Lojas) Fixo e Velox</v>
          </cell>
          <cell r="D57" t="str">
            <v>Dalton Bondesan</v>
          </cell>
          <cell r="E57" t="str">
            <v>José Perboyre Cavalcante Pinheiro Neto</v>
          </cell>
          <cell r="F57" t="str">
            <v>Registrado</v>
          </cell>
          <cell r="G57">
            <v>42282.428472222222</v>
          </cell>
          <cell r="I57" t="str">
            <v xml:space="preserve">Oi </v>
          </cell>
          <cell r="J57" t="str">
            <v xml:space="preserve"> Retenção</v>
          </cell>
        </row>
        <row r="58">
          <cell r="B58" t="str">
            <v>CTXFORBM-326194</v>
          </cell>
          <cell r="C58" t="str">
            <v>Projeto - Projeto - JOB BO</v>
          </cell>
          <cell r="D58" t="str">
            <v>José Perboyre Cavalcante Pinheiro Neto</v>
          </cell>
          <cell r="E58" t="str">
            <v>José Perboyre Cavalcante Pinheiro Neto</v>
          </cell>
          <cell r="F58" t="str">
            <v>Fechado</v>
          </cell>
          <cell r="G58">
            <v>42286.62222222222</v>
          </cell>
          <cell r="H58">
            <v>42383.62222222222</v>
          </cell>
          <cell r="I58" t="str">
            <v xml:space="preserve">Oi </v>
          </cell>
          <cell r="J58" t="str">
            <v xml:space="preserve"> Retenção</v>
          </cell>
        </row>
        <row r="59">
          <cell r="B59" t="str">
            <v>CTXFORBM-326758</v>
          </cell>
          <cell r="C59" t="str">
            <v>Projeto - Projeto - Implantação NBA para Retenção Receita Móvel (OCT e Pós Pago)</v>
          </cell>
          <cell r="D59" t="str">
            <v>Erica Fernandes Cotrim</v>
          </cell>
          <cell r="E59" t="str">
            <v>Cristiano Fernandes Melo</v>
          </cell>
          <cell r="F59" t="str">
            <v>Aberto</v>
          </cell>
          <cell r="G59">
            <v>42290.74722222222</v>
          </cell>
          <cell r="I59" t="str">
            <v xml:space="preserve">Oi </v>
          </cell>
          <cell r="J59" t="str">
            <v xml:space="preserve"> Retenção</v>
          </cell>
        </row>
        <row r="60">
          <cell r="B60" t="str">
            <v>CTXFORBM-326889</v>
          </cell>
          <cell r="C60" t="str">
            <v>Projeto Implantação NBA_Ilha de Contas Fixo</v>
          </cell>
          <cell r="D60" t="str">
            <v>Dalton Bondesan</v>
          </cell>
          <cell r="E60" t="str">
            <v>Alexsander Alves Santos</v>
          </cell>
          <cell r="F60" t="str">
            <v>Registrado</v>
          </cell>
          <cell r="G60">
            <v>42291.433333333334</v>
          </cell>
          <cell r="I60" t="str">
            <v xml:space="preserve">Contax </v>
          </cell>
          <cell r="J60" t="str">
            <v xml:space="preserve"> Ger Produtos SAC</v>
          </cell>
        </row>
        <row r="61">
          <cell r="B61" t="str">
            <v>CTXFORBM-326935</v>
          </cell>
          <cell r="C61" t="str">
            <v>Projeto - Projeto - Limpeza de Base (Faturas ativas &gt; 199 dias) RETENÇÃO INVOL FIXA e MOVEL</v>
          </cell>
          <cell r="D61" t="str">
            <v>Cristiano Fernandes Melo</v>
          </cell>
          <cell r="E61" t="str">
            <v>Cristiano Fernandes Melo</v>
          </cell>
          <cell r="F61" t="str">
            <v>Fechado</v>
          </cell>
          <cell r="G61">
            <v>42291.60833333333</v>
          </cell>
          <cell r="H61">
            <v>42383.62222222222</v>
          </cell>
          <cell r="I61" t="str">
            <v xml:space="preserve">Oi </v>
          </cell>
          <cell r="J61" t="str">
            <v xml:space="preserve"> Retenção</v>
          </cell>
        </row>
        <row r="62">
          <cell r="B62" t="str">
            <v>CTXFORBM-332092</v>
          </cell>
          <cell r="C62" t="str">
            <v>Projeto - "Implantação de NBA na Retenção Mobilidade OCT e Pós"</v>
          </cell>
          <cell r="D62" t="str">
            <v>Julio Cesar da Silva</v>
          </cell>
          <cell r="E62" t="str">
            <v>David Lima Cavalcante</v>
          </cell>
          <cell r="F62" t="str">
            <v>Registrado</v>
          </cell>
          <cell r="G62">
            <v>42314.630555555559</v>
          </cell>
          <cell r="I62" t="str">
            <v xml:space="preserve">Oi </v>
          </cell>
          <cell r="J62" t="str">
            <v xml:space="preserve"> Retenção</v>
          </cell>
        </row>
        <row r="63">
          <cell r="B63" t="str">
            <v>CTXFORBM-332803</v>
          </cell>
          <cell r="C63" t="str">
            <v>Projeto - Processo 2ª via TV</v>
          </cell>
          <cell r="D63" t="str">
            <v>Lucas Lourenco de Melo</v>
          </cell>
          <cell r="E63" t="str">
            <v>Lucas Lourenco de Melo</v>
          </cell>
          <cell r="F63" t="str">
            <v>Fechado</v>
          </cell>
          <cell r="G63">
            <v>42318.54791666667</v>
          </cell>
          <cell r="H63">
            <v>42383.623611111114</v>
          </cell>
          <cell r="I63" t="str">
            <v xml:space="preserve">Oi </v>
          </cell>
          <cell r="J63" t="str">
            <v xml:space="preserve"> Retenção</v>
          </cell>
        </row>
        <row r="64">
          <cell r="B64" t="str">
            <v>CTXFORBM-333926</v>
          </cell>
          <cell r="C64" t="str">
            <v>Projeto - OCT Madrugada - Atendimento Fibra e 4P</v>
          </cell>
          <cell r="D64" t="str">
            <v>Lucas Lourenco de Melo</v>
          </cell>
          <cell r="E64" t="str">
            <v>Lucas Lourenco de Melo</v>
          </cell>
          <cell r="F64" t="str">
            <v>Fechado</v>
          </cell>
          <cell r="G64">
            <v>42324.404861111114</v>
          </cell>
          <cell r="H64">
            <v>42381.525000000001</v>
          </cell>
          <cell r="I64" t="str">
            <v xml:space="preserve">Oi </v>
          </cell>
          <cell r="J64" t="str">
            <v xml:space="preserve"> Retenção</v>
          </cell>
        </row>
        <row r="65">
          <cell r="B65" t="str">
            <v>CTXFORBM-335112</v>
          </cell>
          <cell r="C65" t="str">
            <v>Projeto - Ura de Pesquisa Retenção Oi Total</v>
          </cell>
          <cell r="D65" t="str">
            <v>Sterlaine Priscila Araujo Gomes</v>
          </cell>
          <cell r="E65" t="str">
            <v>Sterlaine Priscila Araujo Gomes</v>
          </cell>
          <cell r="F65" t="str">
            <v>Fechado</v>
          </cell>
          <cell r="G65">
            <v>42328.356944444444</v>
          </cell>
          <cell r="H65">
            <v>42383.621527777781</v>
          </cell>
          <cell r="I65" t="str">
            <v xml:space="preserve">Oi </v>
          </cell>
          <cell r="J65" t="str">
            <v xml:space="preserve"> Retenção</v>
          </cell>
        </row>
        <row r="66">
          <cell r="B66" t="str">
            <v>CTXFORBM-335279</v>
          </cell>
          <cell r="C66" t="str">
            <v>Projeto - Ajuste no processamento de carga</v>
          </cell>
          <cell r="D66" t="str">
            <v>Bruno Guerra Ferreira</v>
          </cell>
          <cell r="E66" t="str">
            <v>Lucas Lourenco de Melo</v>
          </cell>
          <cell r="F66" t="str">
            <v>Registrado</v>
          </cell>
          <cell r="G66">
            <v>42328.742361111108</v>
          </cell>
          <cell r="I66" t="str">
            <v xml:space="preserve">Oi </v>
          </cell>
          <cell r="J66" t="str">
            <v xml:space="preserve"> Retenção</v>
          </cell>
        </row>
        <row r="67">
          <cell r="B67" t="str">
            <v>CTXFORBM-335280</v>
          </cell>
          <cell r="C67" t="str">
            <v>Projeto - Alteração no fluxo de carga</v>
          </cell>
          <cell r="D67" t="str">
            <v>Lucas Lourenco de Melo</v>
          </cell>
          <cell r="E67" t="str">
            <v>Lucas Lourenco de Melo</v>
          </cell>
          <cell r="F67" t="str">
            <v>Fechado</v>
          </cell>
          <cell r="G67">
            <v>42328.74722222222</v>
          </cell>
          <cell r="H67">
            <v>42352.772222222222</v>
          </cell>
          <cell r="I67" t="str">
            <v xml:space="preserve">Oi </v>
          </cell>
          <cell r="J67" t="str">
            <v xml:space="preserve"> Retenção</v>
          </cell>
        </row>
        <row r="68">
          <cell r="B68" t="str">
            <v>CTXFORBM-339448</v>
          </cell>
          <cell r="C68" t="str">
            <v>Projeto - "Implantação Blindagem Oi Total 2P"</v>
          </cell>
          <cell r="D68" t="str">
            <v>José Perboyre Cavalcante Pinheiro Neto</v>
          </cell>
          <cell r="E68" t="str">
            <v>José Perboyre Cavalcante Pinheiro Neto</v>
          </cell>
          <cell r="F68" t="str">
            <v>Fechado</v>
          </cell>
          <cell r="G68">
            <v>42346.801388888889</v>
          </cell>
          <cell r="H68">
            <v>42383.615972222222</v>
          </cell>
          <cell r="I68" t="str">
            <v xml:space="preserve">Oi </v>
          </cell>
          <cell r="J68" t="str">
            <v xml:space="preserve"> Retenção</v>
          </cell>
        </row>
        <row r="69">
          <cell r="B69" t="str">
            <v>CTXFORBM-339455</v>
          </cell>
          <cell r="C69" t="str">
            <v>Projeto - Crescimento/Forecast</v>
          </cell>
          <cell r="D69" t="str">
            <v>Sterlaine Priscila Araujo Gomes</v>
          </cell>
          <cell r="E69" t="str">
            <v>Sterlaine Priscila Araujo Gomes</v>
          </cell>
          <cell r="F69" t="str">
            <v>Fechado</v>
          </cell>
          <cell r="G69">
            <v>42346.838888888888</v>
          </cell>
          <cell r="H69">
            <v>42383.621527777781</v>
          </cell>
          <cell r="I69" t="str">
            <v xml:space="preserve">Oi </v>
          </cell>
          <cell r="J69" t="str">
            <v xml:space="preserve"> Retenção</v>
          </cell>
        </row>
        <row r="70">
          <cell r="B70" t="str">
            <v>CTXFORBM-341752</v>
          </cell>
          <cell r="C70" t="str">
            <v>Projeto - Incluir fleg DACC no Tcollect da Retenção Invol</v>
          </cell>
          <cell r="D70" t="str">
            <v>Cristiano Fernandes Melo</v>
          </cell>
          <cell r="E70" t="str">
            <v>Cristiano Fernandes Melo</v>
          </cell>
          <cell r="F70" t="str">
            <v>Fechado</v>
          </cell>
          <cell r="G70">
            <v>42354.790277777778</v>
          </cell>
          <cell r="H70">
            <v>42383.621527777781</v>
          </cell>
          <cell r="I70" t="str">
            <v xml:space="preserve">Oi </v>
          </cell>
          <cell r="J70" t="str">
            <v xml:space="preserve"> Retenção</v>
          </cell>
        </row>
        <row r="71">
          <cell r="B71" t="str">
            <v>CTXFORBM-342159</v>
          </cell>
          <cell r="C71" t="str">
            <v>Projeto - Crescimento de 27 p.a's para o receptivo Controle</v>
          </cell>
          <cell r="D71" t="str">
            <v>Lisandra Pereira do Nascimento</v>
          </cell>
          <cell r="E71" t="str">
            <v>Lisandra Pereira do Nascimento</v>
          </cell>
          <cell r="F71" t="str">
            <v>Fechado</v>
          </cell>
          <cell r="G71">
            <v>42356.640277777777</v>
          </cell>
          <cell r="H71">
            <v>42376.447222222225</v>
          </cell>
          <cell r="I71" t="str">
            <v xml:space="preserve">Oi </v>
          </cell>
          <cell r="J71" t="str">
            <v xml:space="preserve"> Retenção</v>
          </cell>
        </row>
        <row r="72">
          <cell r="B72" t="str">
            <v>CTXFORBM-342161</v>
          </cell>
          <cell r="C72" t="str">
            <v>Projeto - Crescimento de 9 p.a's para o B.O Mobilidade</v>
          </cell>
          <cell r="D72" t="str">
            <v>Lisandra Pereira do Nascimento</v>
          </cell>
          <cell r="E72" t="str">
            <v>Lisandra Pereira do Nascimento</v>
          </cell>
          <cell r="F72" t="str">
            <v>Fechado</v>
          </cell>
          <cell r="G72">
            <v>42356.64166666667</v>
          </cell>
          <cell r="H72">
            <v>42376.448611111111</v>
          </cell>
          <cell r="I72" t="str">
            <v xml:space="preserve">Oi </v>
          </cell>
          <cell r="J72" t="str">
            <v xml:space="preserve"> Retenção</v>
          </cell>
        </row>
        <row r="73">
          <cell r="B73" t="str">
            <v>CTXFORBM-342162</v>
          </cell>
          <cell r="C73" t="str">
            <v>Projeto - Crescimento de 6 p.as para o Receptivo Pós</v>
          </cell>
          <cell r="D73" t="str">
            <v>Lisandra Pereira do Nascimento</v>
          </cell>
          <cell r="E73" t="str">
            <v>Lisandra Pereira do Nascimento</v>
          </cell>
          <cell r="F73" t="str">
            <v>Fechado</v>
          </cell>
          <cell r="G73">
            <v>42356.642361111109</v>
          </cell>
          <cell r="H73">
            <v>42376.451388888891</v>
          </cell>
          <cell r="I73" t="str">
            <v xml:space="preserve">Contax </v>
          </cell>
          <cell r="J73" t="str">
            <v xml:space="preserve"> Dir. Oi</v>
          </cell>
        </row>
        <row r="74">
          <cell r="B74" t="str">
            <v>CTXFORBM-342163</v>
          </cell>
          <cell r="C74" t="str">
            <v>Projeto - Crescimento de 14 p.a's para o Receptivo OCT</v>
          </cell>
          <cell r="D74" t="str">
            <v>Lisandra Pereira do Nascimento</v>
          </cell>
          <cell r="E74" t="str">
            <v>Lisandra Pereira do Nascimento</v>
          </cell>
          <cell r="F74" t="str">
            <v>Fechado</v>
          </cell>
          <cell r="G74">
            <v>42356.643055555556</v>
          </cell>
          <cell r="H74">
            <v>42376.453472222223</v>
          </cell>
          <cell r="I74" t="str">
            <v xml:space="preserve">Oi </v>
          </cell>
          <cell r="J74" t="str">
            <v xml:space="preserve"> Retenção</v>
          </cell>
        </row>
        <row r="75">
          <cell r="B75" t="str">
            <v>CTXFORBM-342164</v>
          </cell>
          <cell r="C75" t="str">
            <v>Projeto - Crescimento de 43 p.a's para a Blindagem Oi Total 3p (multiprodutos)</v>
          </cell>
          <cell r="D75" t="str">
            <v>Lisandra Pereira do Nascimento</v>
          </cell>
          <cell r="E75" t="str">
            <v>Lisandra Pereira do Nascimento</v>
          </cell>
          <cell r="F75" t="str">
            <v>Fechado</v>
          </cell>
          <cell r="G75">
            <v>42356.644444444442</v>
          </cell>
          <cell r="H75">
            <v>42376.467361111114</v>
          </cell>
          <cell r="I75" t="str">
            <v xml:space="preserve">Oi </v>
          </cell>
          <cell r="J75" t="str">
            <v xml:space="preserve"> Retenção</v>
          </cell>
        </row>
        <row r="76">
          <cell r="B76" t="str">
            <v>CTXFORBM-342165</v>
          </cell>
          <cell r="C76" t="str">
            <v>Projeto - Crescimento de 12 p.a's para o receptivo Oi total</v>
          </cell>
          <cell r="D76" t="str">
            <v>Lisandra Pereira do Nascimento</v>
          </cell>
          <cell r="E76" t="str">
            <v>Lisandra Pereira do Nascimento</v>
          </cell>
          <cell r="F76" t="str">
            <v>Fechado</v>
          </cell>
          <cell r="G76">
            <v>42356.645138888889</v>
          </cell>
          <cell r="H76">
            <v>42376.470138888886</v>
          </cell>
          <cell r="I76" t="str">
            <v xml:space="preserve">Oi </v>
          </cell>
          <cell r="J76" t="str">
            <v xml:space="preserve"> Retenção</v>
          </cell>
        </row>
        <row r="77">
          <cell r="B77" t="str">
            <v>CTXFORBM-342167</v>
          </cell>
          <cell r="C77" t="str">
            <v>Projeto - Crescimento de 9 p.a's para Retenção Invol fixo e velox</v>
          </cell>
          <cell r="D77" t="str">
            <v>Lisandra Pereira do Nascimento</v>
          </cell>
          <cell r="E77" t="str">
            <v>Lisandra Pereira do Nascimento</v>
          </cell>
          <cell r="F77" t="str">
            <v>Fechado</v>
          </cell>
          <cell r="G77">
            <v>42356.647222222222</v>
          </cell>
          <cell r="H77">
            <v>42376.473611111112</v>
          </cell>
          <cell r="I77" t="str">
            <v xml:space="preserve">Oi </v>
          </cell>
          <cell r="J77" t="str">
            <v xml:space="preserve"> Retenção</v>
          </cell>
        </row>
        <row r="78">
          <cell r="B78" t="str">
            <v>CTXFORBM-342169</v>
          </cell>
          <cell r="C78" t="str">
            <v>Projeto - Crescimento de 3 p.a's para a retenção invol TV</v>
          </cell>
          <cell r="D78" t="str">
            <v>Lisandra Pereira do Nascimento</v>
          </cell>
          <cell r="E78" t="str">
            <v>Lisandra Pereira do Nascimento</v>
          </cell>
          <cell r="F78" t="str">
            <v>Fechado</v>
          </cell>
          <cell r="G78">
            <v>42356.647916666669</v>
          </cell>
          <cell r="H78">
            <v>42376.476388888892</v>
          </cell>
          <cell r="I78" t="str">
            <v xml:space="preserve">Oi </v>
          </cell>
          <cell r="J78" t="str">
            <v xml:space="preserve"> Retenção</v>
          </cell>
        </row>
        <row r="79">
          <cell r="B79" t="str">
            <v>CTXFORBM-342171</v>
          </cell>
          <cell r="C79" t="str">
            <v>Projeto - Crescimento de 5 p.a's para o RAC R2</v>
          </cell>
          <cell r="D79" t="str">
            <v>Lisandra Pereira do Nascimento</v>
          </cell>
          <cell r="E79" t="str">
            <v>Lisandra Pereira do Nascimento</v>
          </cell>
          <cell r="F79" t="str">
            <v>Fechado</v>
          </cell>
          <cell r="G79">
            <v>42356.648611111108</v>
          </cell>
          <cell r="H79">
            <v>42376.491666666669</v>
          </cell>
          <cell r="I79" t="str">
            <v xml:space="preserve">Oi </v>
          </cell>
          <cell r="J79" t="str">
            <v xml:space="preserve"> Retenção</v>
          </cell>
        </row>
        <row r="80">
          <cell r="B80" t="str">
            <v>CTXFORBM-344109</v>
          </cell>
          <cell r="C80" t="str">
            <v>Projeto - "Novos Campos Mailing de Ofertas Retenção Invol"</v>
          </cell>
          <cell r="D80" t="str">
            <v>Julio Cesar da Silva</v>
          </cell>
          <cell r="E80" t="str">
            <v>Cristiano Fernandes Melo</v>
          </cell>
          <cell r="F80" t="str">
            <v>Registrado</v>
          </cell>
          <cell r="G80">
            <v>42367.765972222223</v>
          </cell>
          <cell r="I80" t="str">
            <v xml:space="preserve">Oi </v>
          </cell>
          <cell r="J80" t="str">
            <v xml:space="preserve"> Retenção</v>
          </cell>
        </row>
        <row r="81">
          <cell r="B81" t="str">
            <v>CTXFORBM-344418</v>
          </cell>
          <cell r="C81" t="str">
            <v>Projeto - Reestruturação BO Strategy</v>
          </cell>
          <cell r="D81" t="str">
            <v>Julio Cesar da Silva</v>
          </cell>
          <cell r="E81" t="str">
            <v>Lucas Lourenco de Melo</v>
          </cell>
          <cell r="F81" t="str">
            <v>Registrado</v>
          </cell>
          <cell r="G81">
            <v>42368.716666666667</v>
          </cell>
          <cell r="I81" t="str">
            <v xml:space="preserve">Oi </v>
          </cell>
          <cell r="J81" t="str">
            <v xml:space="preserve"> Retenção</v>
          </cell>
        </row>
        <row r="82">
          <cell r="B82" t="str">
            <v>CTXFORBM-345719</v>
          </cell>
          <cell r="C82" t="str">
            <v>Projeto - "Configuração 0800 Retenção Portabilidade Móvel"</v>
          </cell>
          <cell r="D82" t="str">
            <v>Cristiano Fernandes Melo</v>
          </cell>
          <cell r="E82" t="str">
            <v>Cristiano Fernandes Melo</v>
          </cell>
          <cell r="F82" t="str">
            <v>Fechado</v>
          </cell>
          <cell r="G82">
            <v>42374.701388888891</v>
          </cell>
          <cell r="H82">
            <v>42418.972916666666</v>
          </cell>
          <cell r="I82" t="str">
            <v xml:space="preserve">Oi </v>
          </cell>
          <cell r="J82" t="str">
            <v xml:space="preserve"> Retenção</v>
          </cell>
        </row>
        <row r="83">
          <cell r="B83" t="str">
            <v>CTXFORBM-347668</v>
          </cell>
          <cell r="C83" t="str">
            <v>Projeto - Crescimento de 14 p.a's para o Receptivo Pós</v>
          </cell>
          <cell r="D83" t="str">
            <v>Lisandra Pereira do Nascimento</v>
          </cell>
          <cell r="E83" t="str">
            <v>Lisandra Pereira do Nascimento</v>
          </cell>
          <cell r="F83" t="str">
            <v>Fechado</v>
          </cell>
          <cell r="G83">
            <v>42380.71875</v>
          </cell>
          <cell r="H83">
            <v>42418.395138888889</v>
          </cell>
          <cell r="I83" t="str">
            <v xml:space="preserve">Oi </v>
          </cell>
          <cell r="J83" t="str">
            <v xml:space="preserve"> Retenção</v>
          </cell>
        </row>
        <row r="84">
          <cell r="B84" t="str">
            <v>CTXFORBM-347671</v>
          </cell>
          <cell r="C84" t="str">
            <v>Projeto - Crescimento de 7 p.a's para o Receptivo OCT</v>
          </cell>
          <cell r="D84" t="str">
            <v>Lisandra Pereira do Nascimento</v>
          </cell>
          <cell r="E84" t="str">
            <v>Lisandra Pereira do Nascimento</v>
          </cell>
          <cell r="F84" t="str">
            <v>Fechado</v>
          </cell>
          <cell r="G84">
            <v>42380.719444444447</v>
          </cell>
          <cell r="H84">
            <v>42418.402083333334</v>
          </cell>
          <cell r="I84" t="str">
            <v xml:space="preserve">Oi </v>
          </cell>
          <cell r="J84" t="str">
            <v xml:space="preserve"> Retenção</v>
          </cell>
        </row>
        <row r="85">
          <cell r="B85" t="str">
            <v>CTXFORBM-347679</v>
          </cell>
          <cell r="C85" t="str">
            <v>Projeto - Crescimento de 5 p.a's para o propenso TV</v>
          </cell>
          <cell r="D85" t="str">
            <v>Lisandra Pereira do Nascimento</v>
          </cell>
          <cell r="E85" t="str">
            <v>Lisandra Pereira do Nascimento</v>
          </cell>
          <cell r="F85" t="str">
            <v>Fechado</v>
          </cell>
          <cell r="G85">
            <v>42380.729861111111</v>
          </cell>
          <cell r="H85">
            <v>42418.404861111114</v>
          </cell>
          <cell r="I85" t="str">
            <v xml:space="preserve">Oi </v>
          </cell>
          <cell r="J85" t="str">
            <v xml:space="preserve"> Retenção</v>
          </cell>
        </row>
        <row r="86">
          <cell r="B86" t="str">
            <v>CTXFORBM-347687</v>
          </cell>
          <cell r="C86" t="str">
            <v>Projeto - Crescimento de 1 p.a's para o b.o blindagem multiprodutos</v>
          </cell>
          <cell r="D86" t="str">
            <v>Lisandra Pereira do Nascimento</v>
          </cell>
          <cell r="E86" t="str">
            <v>Lisandra Pereira do Nascimento</v>
          </cell>
          <cell r="F86" t="str">
            <v>Fechado</v>
          </cell>
          <cell r="G86">
            <v>42380.740277777775</v>
          </cell>
          <cell r="H86">
            <v>42418.40625</v>
          </cell>
          <cell r="I86" t="str">
            <v xml:space="preserve">Oi </v>
          </cell>
          <cell r="J86" t="str">
            <v xml:space="preserve"> Retenção</v>
          </cell>
        </row>
        <row r="87">
          <cell r="B87" t="str">
            <v>CTXFORBM-347867</v>
          </cell>
          <cell r="C87" t="str">
            <v>Projeto - Crescimento de 5 p.a's para a Blindagem Oi Total 3p</v>
          </cell>
          <cell r="D87" t="str">
            <v>Lisandra Pereira do Nascimento</v>
          </cell>
          <cell r="E87" t="str">
            <v>Lisandra Pereira do Nascimento</v>
          </cell>
          <cell r="F87" t="str">
            <v>Fechado</v>
          </cell>
          <cell r="G87">
            <v>42381.512499999997</v>
          </cell>
          <cell r="H87">
            <v>42418.40347222222</v>
          </cell>
          <cell r="I87" t="str">
            <v xml:space="preserve">Oi </v>
          </cell>
          <cell r="J87" t="str">
            <v xml:space="preserve"> Retenção</v>
          </cell>
        </row>
        <row r="88">
          <cell r="B88" t="str">
            <v>CTXFORBM-348261</v>
          </cell>
          <cell r="C88" t="str">
            <v>Projeto - Implantação Retenção Involuntária R2</v>
          </cell>
          <cell r="D88" t="str">
            <v>BRUNO DIEGO ANTUNES RIBEIRO</v>
          </cell>
          <cell r="E88" t="str">
            <v>Lucas Lourenco de Melo</v>
          </cell>
          <cell r="F88" t="str">
            <v>Registrado</v>
          </cell>
          <cell r="G88">
            <v>42382.638888888891</v>
          </cell>
          <cell r="I88" t="str">
            <v xml:space="preserve">Oi </v>
          </cell>
          <cell r="J88" t="str">
            <v xml:space="preserve"> Retenção</v>
          </cell>
        </row>
        <row r="89">
          <cell r="B89" t="str">
            <v>CTXFORBM-348601</v>
          </cell>
          <cell r="C89" t="str">
            <v>Projeto - "Ativo Pesquisa de Satisfação Retenção Unificado"</v>
          </cell>
          <cell r="D89" t="str">
            <v>Julio Cesar da Silva</v>
          </cell>
          <cell r="E89" t="str">
            <v>Cristiano Fernandes Melo</v>
          </cell>
          <cell r="F89" t="str">
            <v>Registrado</v>
          </cell>
          <cell r="G89">
            <v>42383.726388888892</v>
          </cell>
          <cell r="I89" t="str">
            <v xml:space="preserve">Oi </v>
          </cell>
          <cell r="J89" t="str">
            <v xml:space="preserve"> Retenção</v>
          </cell>
        </row>
        <row r="90">
          <cell r="B90" t="str">
            <v>CTXFORBM-348606</v>
          </cell>
          <cell r="C90" t="str">
            <v>SIMULADOR RETENÇÃO OI TOTAL</v>
          </cell>
          <cell r="D90" t="str">
            <v>Bruno Guerra Ferreira</v>
          </cell>
          <cell r="E90" t="str">
            <v>Sterlaine Priscila Araujo Gomes</v>
          </cell>
          <cell r="F90" t="str">
            <v>Aberto</v>
          </cell>
          <cell r="G90">
            <v>42383.739583333336</v>
          </cell>
          <cell r="I90" t="str">
            <v xml:space="preserve">Oi </v>
          </cell>
          <cell r="J90" t="str">
            <v xml:space="preserve"> Retenção</v>
          </cell>
        </row>
        <row r="91">
          <cell r="B91" t="str">
            <v>CTXFORBM-348625</v>
          </cell>
          <cell r="C91" t="str">
            <v>Projeto - Tetris Retenção</v>
          </cell>
          <cell r="D91" t="str">
            <v>Lisandra Pereira do Nascimento</v>
          </cell>
          <cell r="E91" t="str">
            <v>Lisandra Pereira do Nascimento</v>
          </cell>
          <cell r="F91" t="str">
            <v>Fechado</v>
          </cell>
          <cell r="G91">
            <v>42383.775694444441</v>
          </cell>
          <cell r="H91">
            <v>42418.407638888886</v>
          </cell>
          <cell r="I91" t="str">
            <v xml:space="preserve">Oi </v>
          </cell>
          <cell r="J91" t="str">
            <v xml:space="preserve"> Retenção</v>
          </cell>
        </row>
        <row r="92">
          <cell r="B92" t="str">
            <v>CTXFORBM-348646</v>
          </cell>
          <cell r="C92" t="str">
            <v>Projeto - Atualização do simulador do receptivo Pós</v>
          </cell>
          <cell r="D92" t="str">
            <v>Bruno Guerra Ferreira</v>
          </cell>
          <cell r="E92" t="str">
            <v>Lisandra Pereira do Nascimento</v>
          </cell>
          <cell r="F92" t="str">
            <v>Registrado</v>
          </cell>
          <cell r="G92">
            <v>42383.863194444442</v>
          </cell>
          <cell r="I92" t="str">
            <v xml:space="preserve">Oi </v>
          </cell>
          <cell r="J92" t="str">
            <v xml:space="preserve"> Retenção</v>
          </cell>
        </row>
        <row r="93">
          <cell r="B93" t="str">
            <v>CTXFORBM-348749</v>
          </cell>
          <cell r="C93" t="str">
            <v>Projeto - "Reforecast fev/16"</v>
          </cell>
          <cell r="D93" t="str">
            <v>BRUNO DIEGO ANTUNES RIBEIRO</v>
          </cell>
          <cell r="E93" t="str">
            <v>Anderson Luiz Gon�alves de Alcantara</v>
          </cell>
          <cell r="F93" t="str">
            <v>Registrado</v>
          </cell>
          <cell r="G93">
            <v>42384.454861111109</v>
          </cell>
          <cell r="I93" t="str">
            <v xml:space="preserve">Oi </v>
          </cell>
          <cell r="J93" t="str">
            <v xml:space="preserve"> Suporte Técnico</v>
          </cell>
        </row>
        <row r="94">
          <cell r="B94" t="str">
            <v>CTXFORBM-349886</v>
          </cell>
          <cell r="C94" t="str">
            <v>Projeto - Migração em Massa - Oi Total</v>
          </cell>
          <cell r="D94" t="str">
            <v>Julio Cesar da Silva</v>
          </cell>
          <cell r="E94" t="str">
            <v>Lisandra Pereira do Nascimento</v>
          </cell>
          <cell r="F94" t="str">
            <v>Registrado</v>
          </cell>
          <cell r="G94">
            <v>42389.438194444447</v>
          </cell>
          <cell r="I94" t="str">
            <v xml:space="preserve">Oi </v>
          </cell>
          <cell r="J94" t="str">
            <v xml:space="preserve"> Retenção</v>
          </cell>
        </row>
        <row r="95">
          <cell r="B95" t="str">
            <v>CTXFORBM-350823</v>
          </cell>
          <cell r="C95" t="str">
            <v>Projeto - "Por favor, usuário, utilizar este campo para informar o nome do Projeto"</v>
          </cell>
          <cell r="D95" t="str">
            <v>Sem responsável</v>
          </cell>
          <cell r="E95" t="str">
            <v>Elmara Cernauskas Riolo Iglesias</v>
          </cell>
          <cell r="F95" t="str">
            <v>Registrado</v>
          </cell>
          <cell r="G95">
            <v>42391.697916666664</v>
          </cell>
          <cell r="I95" t="str">
            <v xml:space="preserve">Leader Magazine </v>
          </cell>
          <cell r="J95" t="str">
            <v xml:space="preserve"> Cobrança Leader</v>
          </cell>
        </row>
        <row r="96">
          <cell r="B96" t="str">
            <v>CTXFORBM-350825</v>
          </cell>
          <cell r="C96" t="str">
            <v>Projeto - Filtro de score para atuarmos no melhor publico para o segmento A10</v>
          </cell>
          <cell r="D96" t="str">
            <v>Sem responsável</v>
          </cell>
          <cell r="E96" t="str">
            <v>Elmara Cernauskas Riolo Iglesias</v>
          </cell>
          <cell r="F96" t="str">
            <v>Registrado</v>
          </cell>
          <cell r="G96">
            <v>42391.7</v>
          </cell>
          <cell r="I96" t="str">
            <v xml:space="preserve">Leader Magazine </v>
          </cell>
          <cell r="J96" t="str">
            <v xml:space="preserve"> Cobrança Leader</v>
          </cell>
        </row>
        <row r="97">
          <cell r="B97" t="str">
            <v>CTXFORBM-350901</v>
          </cell>
          <cell r="C97" t="str">
            <v>Projeto - Migração Oi Total Ilha de Downgrade</v>
          </cell>
          <cell r="D97" t="str">
            <v>Lisandra Pereira do Nascimento</v>
          </cell>
          <cell r="E97" t="str">
            <v>Lisandra Pereira do Nascimento</v>
          </cell>
          <cell r="F97" t="str">
            <v>Fechado</v>
          </cell>
          <cell r="G97">
            <v>42391.807638888888</v>
          </cell>
          <cell r="H97">
            <v>42398.493055555555</v>
          </cell>
          <cell r="I97" t="str">
            <v xml:space="preserve">Oi </v>
          </cell>
          <cell r="J97" t="str">
            <v xml:space="preserve"> Retenção</v>
          </cell>
        </row>
        <row r="98">
          <cell r="B98" t="str">
            <v>CTXFORBM-354062</v>
          </cell>
          <cell r="C98" t="str">
            <v>Projeto - "Processamento dos Mailings de Carga Retenção Invol"</v>
          </cell>
          <cell r="D98" t="str">
            <v>Cristiano Fernandes Melo</v>
          </cell>
          <cell r="E98" t="str">
            <v>Cristiano Fernandes Melo</v>
          </cell>
          <cell r="F98" t="str">
            <v>Fechado</v>
          </cell>
          <cell r="G98">
            <v>42402.48333333333</v>
          </cell>
          <cell r="H98">
            <v>42404.856249999997</v>
          </cell>
          <cell r="I98" t="str">
            <v xml:space="preserve">Oi </v>
          </cell>
          <cell r="J98" t="str">
            <v xml:space="preserve"> Retenção</v>
          </cell>
        </row>
        <row r="99">
          <cell r="B99" t="str">
            <v>CTXFORBM-354610</v>
          </cell>
          <cell r="C99" t="str">
            <v>Projeto - "Alterar visão da base da pesquisa_Retenção Invol"</v>
          </cell>
          <cell r="D99" t="str">
            <v>Sem responsável</v>
          </cell>
          <cell r="E99" t="str">
            <v>Cristiano Fernandes Melo</v>
          </cell>
          <cell r="F99" t="str">
            <v>Registrado</v>
          </cell>
          <cell r="G99">
            <v>42403.65625</v>
          </cell>
          <cell r="I99" t="str">
            <v xml:space="preserve">Oi </v>
          </cell>
          <cell r="J99" t="str">
            <v xml:space="preserve"> Retenção</v>
          </cell>
        </row>
        <row r="100">
          <cell r="B100" t="str">
            <v>CTXFORBM-356205</v>
          </cell>
          <cell r="C100" t="str">
            <v>Projeto - "Customização TLV Atendimento Receptivo_Portabilidade Móvel"</v>
          </cell>
          <cell r="D100" t="str">
            <v>Raphael Andre Marcandier Goncalves</v>
          </cell>
          <cell r="E100" t="str">
            <v>Cristiano Fernandes Melo</v>
          </cell>
          <cell r="F100" t="str">
            <v>Registrado</v>
          </cell>
          <cell r="G100">
            <v>42410.758333333331</v>
          </cell>
          <cell r="I100" t="str">
            <v xml:space="preserve">Oi </v>
          </cell>
          <cell r="J100" t="str">
            <v xml:space="preserve"> Retenção</v>
          </cell>
        </row>
        <row r="101">
          <cell r="B101" t="str">
            <v>CTXFORBM-356388</v>
          </cell>
          <cell r="C101" t="str">
            <v>Projeto - "Processamento Mailing Carga de Débitos Retenção Invol"</v>
          </cell>
          <cell r="D101" t="str">
            <v>Sem responsável</v>
          </cell>
          <cell r="E101" t="str">
            <v>Cristiano Fernandes Melo</v>
          </cell>
          <cell r="F101" t="str">
            <v>Registrado</v>
          </cell>
          <cell r="G101">
            <v>42411.508333333331</v>
          </cell>
          <cell r="I101" t="str">
            <v xml:space="preserve">Oi </v>
          </cell>
          <cell r="J101" t="str">
            <v xml:space="preserve"> Retenção</v>
          </cell>
        </row>
        <row r="102">
          <cell r="B102" t="str">
            <v>CTXFORBM-356540</v>
          </cell>
          <cell r="C102" t="str">
            <v>Projeto - Crescimento de 8 p.a's para a blindagem refidelização</v>
          </cell>
          <cell r="D102" t="str">
            <v>BRUNO DIEGO ANTUNES RIBEIRO</v>
          </cell>
          <cell r="E102" t="str">
            <v>Lisandra Pereira do Nascimento</v>
          </cell>
          <cell r="F102" t="str">
            <v>Registrado</v>
          </cell>
          <cell r="G102">
            <v>42411.772916666669</v>
          </cell>
          <cell r="I102" t="str">
            <v xml:space="preserve">Oi </v>
          </cell>
          <cell r="J102" t="str">
            <v xml:space="preserve"> Retenção</v>
          </cell>
        </row>
        <row r="103">
          <cell r="B103" t="str">
            <v>CTXFORBM-356544</v>
          </cell>
          <cell r="C103" t="str">
            <v>Projeto - Crescimento de 7 p.a's para o b.o da blindagem</v>
          </cell>
          <cell r="D103" t="str">
            <v>BRUNO DIEGO ANTUNES RIBEIRO</v>
          </cell>
          <cell r="E103" t="str">
            <v>Lisandra Pereira do Nascimento</v>
          </cell>
          <cell r="F103" t="str">
            <v>Registrado</v>
          </cell>
          <cell r="G103">
            <v>42411.788888888892</v>
          </cell>
          <cell r="I103" t="str">
            <v xml:space="preserve">Oi </v>
          </cell>
          <cell r="J103" t="str">
            <v xml:space="preserve"> Retenção</v>
          </cell>
        </row>
        <row r="104">
          <cell r="B104" t="str">
            <v>CTXFORBM-356551</v>
          </cell>
          <cell r="C104" t="str">
            <v>Projeto - Crescimento de 10 p.a's para a Ilha de Receita R1</v>
          </cell>
          <cell r="D104" t="str">
            <v>BRUNO DIEGO ANTUNES RIBEIRO</v>
          </cell>
          <cell r="E104" t="str">
            <v>Lisandra Pereira do Nascimento</v>
          </cell>
          <cell r="F104" t="str">
            <v>Registrado</v>
          </cell>
          <cell r="G104">
            <v>42411.806250000001</v>
          </cell>
          <cell r="I104" t="str">
            <v xml:space="preserve">Oi </v>
          </cell>
          <cell r="J104" t="str">
            <v xml:space="preserve"> Retenção</v>
          </cell>
        </row>
        <row r="105">
          <cell r="B105" t="str">
            <v>CTXFORBM-356553</v>
          </cell>
          <cell r="C105" t="str">
            <v>Projeto - Crescimento de 3 p.a's para a Ilha de Receita Pós + OCT</v>
          </cell>
          <cell r="D105" t="str">
            <v>BRUNO DIEGO ANTUNES RIBEIRO</v>
          </cell>
          <cell r="E105" t="str">
            <v>Lisandra Pereira do Nascimento</v>
          </cell>
          <cell r="F105" t="str">
            <v>Registrado</v>
          </cell>
          <cell r="G105">
            <v>42411.8125</v>
          </cell>
          <cell r="I105" t="str">
            <v xml:space="preserve">Oi </v>
          </cell>
          <cell r="J105" t="str">
            <v xml:space="preserve"> Retenção</v>
          </cell>
        </row>
        <row r="106">
          <cell r="B106" t="str">
            <v>CTXFORBM-356556</v>
          </cell>
          <cell r="C106" t="str">
            <v>Projeto - Crescimento de 35 p.a's para a Retenção Móvel - Receptivo Pós</v>
          </cell>
          <cell r="D106" t="str">
            <v>BRUNO DIEGO ANTUNES RIBEIRO</v>
          </cell>
          <cell r="E106" t="str">
            <v>Lisandra Pereira do Nascimento</v>
          </cell>
          <cell r="F106" t="str">
            <v>Registrado</v>
          </cell>
          <cell r="G106">
            <v>42411.822916666664</v>
          </cell>
          <cell r="I106" t="str">
            <v xml:space="preserve">Oi </v>
          </cell>
          <cell r="J106" t="str">
            <v xml:space="preserve"> Retenção</v>
          </cell>
        </row>
        <row r="107">
          <cell r="B107" t="str">
            <v>CTXFORBM-356558</v>
          </cell>
          <cell r="C107" t="str">
            <v>Projeto - Crescimento de 6 p.a's para o Receptivo OCT</v>
          </cell>
          <cell r="D107" t="str">
            <v>BRUNO DIEGO ANTUNES RIBEIRO</v>
          </cell>
          <cell r="E107" t="str">
            <v>Lisandra Pereira do Nascimento</v>
          </cell>
          <cell r="F107" t="str">
            <v>Registrado</v>
          </cell>
          <cell r="G107">
            <v>42411.82708333333</v>
          </cell>
          <cell r="I107" t="str">
            <v xml:space="preserve">Oi </v>
          </cell>
          <cell r="J107" t="str">
            <v xml:space="preserve"> Retenção</v>
          </cell>
        </row>
        <row r="108">
          <cell r="B108" t="str">
            <v>CTXFORBM-356561</v>
          </cell>
          <cell r="C108" t="str">
            <v>Projeto - Crescimento de 15 p.a's para o Receptivo Oi Total</v>
          </cell>
          <cell r="D108" t="str">
            <v>BRUNO DIEGO ANTUNES RIBEIRO</v>
          </cell>
          <cell r="E108" t="str">
            <v>Lisandra Pereira do Nascimento</v>
          </cell>
          <cell r="F108" t="str">
            <v>Registrado</v>
          </cell>
          <cell r="G108">
            <v>42411.834027777775</v>
          </cell>
          <cell r="I108" t="str">
            <v xml:space="preserve">Oi </v>
          </cell>
          <cell r="J108" t="str">
            <v xml:space="preserve"> Retenção</v>
          </cell>
        </row>
        <row r="109">
          <cell r="B109" t="str">
            <v>CTXFORBM-356562</v>
          </cell>
          <cell r="C109" t="str">
            <v>Projeto - Crescimento de 42 p.a's para o Receptivo TV</v>
          </cell>
          <cell r="D109" t="str">
            <v>BRUNO DIEGO ANTUNES RIBEIRO</v>
          </cell>
          <cell r="E109" t="str">
            <v>Lisandra Pereira do Nascimento</v>
          </cell>
          <cell r="F109" t="str">
            <v>Registrado</v>
          </cell>
          <cell r="G109">
            <v>42411.838888888888</v>
          </cell>
          <cell r="I109" t="str">
            <v xml:space="preserve">Oi </v>
          </cell>
          <cell r="J109" t="str">
            <v xml:space="preserve"> Retenção</v>
          </cell>
        </row>
        <row r="110">
          <cell r="B110" t="str">
            <v>CTXFORBM-356564</v>
          </cell>
          <cell r="C110" t="str">
            <v>Projeto - Crescimento de 10 p.a's para os ativos de reversão TV</v>
          </cell>
          <cell r="D110" t="str">
            <v>BRUNO DIEGO ANTUNES RIBEIRO</v>
          </cell>
          <cell r="E110" t="str">
            <v>Lisandra Pereira do Nascimento</v>
          </cell>
          <cell r="F110" t="str">
            <v>Registrado</v>
          </cell>
          <cell r="G110">
            <v>42411.844444444447</v>
          </cell>
          <cell r="I110" t="str">
            <v xml:space="preserve">Oi </v>
          </cell>
          <cell r="J110" t="str">
            <v xml:space="preserve"> Retenção</v>
          </cell>
        </row>
        <row r="111">
          <cell r="B111" t="str">
            <v>CTXFORBM-356566</v>
          </cell>
          <cell r="C111" t="str">
            <v>Projeto - Crescimento de 2 p.a's para o ativo de reversão Fixo</v>
          </cell>
          <cell r="D111" t="str">
            <v>BRUNO DIEGO ANTUNES RIBEIRO</v>
          </cell>
          <cell r="E111" t="str">
            <v>Lisandra Pereira do Nascimento</v>
          </cell>
          <cell r="F111" t="str">
            <v>Registrado</v>
          </cell>
          <cell r="G111">
            <v>42411.847222222219</v>
          </cell>
          <cell r="I111" t="str">
            <v xml:space="preserve">Oi </v>
          </cell>
          <cell r="J111" t="str">
            <v xml:space="preserve"> Retenção</v>
          </cell>
        </row>
        <row r="112">
          <cell r="B112" t="str">
            <v>CTXFORBM-356683</v>
          </cell>
          <cell r="C112" t="str">
            <v>Projeto - "Novo Mailing Ativo Portabilidade Móvel"</v>
          </cell>
          <cell r="D112" t="str">
            <v>Sem responsável</v>
          </cell>
          <cell r="E112" t="str">
            <v>Cristiano Fernandes Melo</v>
          </cell>
          <cell r="F112" t="str">
            <v>Registrado</v>
          </cell>
          <cell r="G112">
            <v>42412.474305555559</v>
          </cell>
          <cell r="I112" t="str">
            <v xml:space="preserve">Oi </v>
          </cell>
          <cell r="J112" t="str">
            <v xml:space="preserve"> Retenção</v>
          </cell>
        </row>
        <row r="113">
          <cell r="B113" t="str">
            <v>CTXFORBM-357817</v>
          </cell>
          <cell r="C113" t="str">
            <v>Projeto - Implantação Ativo de Reversão Oi Controle</v>
          </cell>
          <cell r="D113" t="str">
            <v>Sem responsável</v>
          </cell>
          <cell r="E113" t="str">
            <v>Lucas Lourenco de Melo</v>
          </cell>
          <cell r="F113" t="str">
            <v>Registrado</v>
          </cell>
          <cell r="G113">
            <v>42416.817361111112</v>
          </cell>
          <cell r="I113" t="str">
            <v xml:space="preserve">Oi </v>
          </cell>
          <cell r="J113" t="str">
            <v xml:space="preserve"> Retenção</v>
          </cell>
        </row>
        <row r="114">
          <cell r="B114" t="str">
            <v>CTXFORBM-357993</v>
          </cell>
          <cell r="C114" t="str">
            <v>Projeto - 'Implantação da retenção loja pós pago"</v>
          </cell>
          <cell r="D114" t="str">
            <v>Sem responsável</v>
          </cell>
          <cell r="E114" t="str">
            <v>David Lima Cavalcante</v>
          </cell>
          <cell r="F114" t="str">
            <v>Registrado</v>
          </cell>
          <cell r="G114">
            <v>42417.71597222222</v>
          </cell>
          <cell r="I114" t="str">
            <v xml:space="preserve">Oi </v>
          </cell>
          <cell r="J114" t="str">
            <v xml:space="preserve"> Retenção</v>
          </cell>
        </row>
        <row r="115">
          <cell r="B115" t="str">
            <v>CTXFORNA-25436</v>
          </cell>
          <cell r="C115" t="str">
            <v>Projeto - Substituir Front End e Discador Operação Leader</v>
          </cell>
          <cell r="D115" t="str">
            <v>BRUNO DIEGO ANTUNES RIBEIRO</v>
          </cell>
          <cell r="E115" t="str">
            <v>Carlos Batista Alves</v>
          </cell>
          <cell r="F115" t="str">
            <v>Aberto</v>
          </cell>
          <cell r="G115">
            <v>42234.445833333331</v>
          </cell>
          <cell r="I115" t="str">
            <v xml:space="preserve">Leader Magazine </v>
          </cell>
          <cell r="J115" t="str">
            <v xml:space="preserve"> Cobrança Leader</v>
          </cell>
        </row>
        <row r="116">
          <cell r="B116" t="str">
            <v>CTXFORNA-26367</v>
          </cell>
          <cell r="C116" t="str">
            <v>Projeto - Acompanhar migração do Sistema do Citi</v>
          </cell>
          <cell r="D116" t="str">
            <v>Bruno Guerra Ferreira</v>
          </cell>
          <cell r="E116" t="str">
            <v>Mariana da Costa Mello</v>
          </cell>
          <cell r="F116" t="str">
            <v>Registrado</v>
          </cell>
          <cell r="G116">
            <v>42298.490277777775</v>
          </cell>
          <cell r="I116" t="str">
            <v xml:space="preserve">Contax </v>
          </cell>
          <cell r="J116" t="str">
            <v xml:space="preserve"> Outro</v>
          </cell>
        </row>
        <row r="117">
          <cell r="B117" t="str">
            <v>CTXFORNA-27596</v>
          </cell>
          <cell r="C117" t="str">
            <v>Projeto - Crescer 2 pa's na operação Citibank Cobrança no Site Nascente 2º andar</v>
          </cell>
          <cell r="D117" t="str">
            <v>Mariana da Costa Mello</v>
          </cell>
          <cell r="E117" t="str">
            <v>Mariana da Costa Mello</v>
          </cell>
          <cell r="F117" t="str">
            <v>Fechado</v>
          </cell>
          <cell r="G117">
            <v>42383.666666666664</v>
          </cell>
          <cell r="H117">
            <v>42390.397916666669</v>
          </cell>
          <cell r="I117" t="str">
            <v xml:space="preserve">Contax </v>
          </cell>
          <cell r="J117" t="str">
            <v xml:space="preserve"> Outro</v>
          </cell>
        </row>
        <row r="118">
          <cell r="B118" t="str">
            <v>CTXFORNA-28061</v>
          </cell>
          <cell r="C118" t="str">
            <v>Projeto - Movimentar ramais no salão do Citi</v>
          </cell>
          <cell r="D118" t="str">
            <v>Sem responsável</v>
          </cell>
          <cell r="E118" t="str">
            <v>Mariana da Costa Mello</v>
          </cell>
          <cell r="F118" t="str">
            <v>Registrado</v>
          </cell>
          <cell r="G118">
            <v>42416.75277777778</v>
          </cell>
          <cell r="I118" t="str">
            <v xml:space="preserve">Contax </v>
          </cell>
          <cell r="J118" t="str">
            <v xml:space="preserve"> Outro</v>
          </cell>
        </row>
        <row r="119">
          <cell r="B119" t="str">
            <v>CTXJOINP-11654</v>
          </cell>
          <cell r="C119" t="str">
            <v>Substituição máquinas operação Vivo</v>
          </cell>
          <cell r="D119" t="str">
            <v>Sem responsável</v>
          </cell>
          <cell r="E119" t="str">
            <v>Luciana da Silva Cardoso</v>
          </cell>
          <cell r="F119" t="str">
            <v>Reaberto</v>
          </cell>
          <cell r="G119">
            <v>42059.382638888892</v>
          </cell>
          <cell r="I119" t="str">
            <v xml:space="preserve">Vivo </v>
          </cell>
          <cell r="J119" t="str">
            <v xml:space="preserve"> Vivo</v>
          </cell>
        </row>
        <row r="120">
          <cell r="B120" t="str">
            <v>CTXJOINP-11673</v>
          </cell>
          <cell r="C120" t="str">
            <v>Projeto - Projeto</v>
          </cell>
          <cell r="D120" t="str">
            <v>Sem responsável</v>
          </cell>
          <cell r="E120" t="str">
            <v>Vania de Moraes Colella</v>
          </cell>
          <cell r="F120" t="str">
            <v>Reaberto</v>
          </cell>
          <cell r="G120">
            <v>42059.683333333334</v>
          </cell>
          <cell r="I120" t="str">
            <v xml:space="preserve">Vivo </v>
          </cell>
          <cell r="J120" t="str">
            <v xml:space="preserve"> Vivo</v>
          </cell>
        </row>
        <row r="121">
          <cell r="B121" t="str">
            <v>CTXLONLA-26632</v>
          </cell>
          <cell r="C121" t="str">
            <v>VIVO TETRIS - *4979</v>
          </cell>
          <cell r="D121" t="str">
            <v>BRUNO DIEGO ANTUNES RIBEIRO</v>
          </cell>
          <cell r="E121" t="str">
            <v>Vania de Moraes Colella</v>
          </cell>
          <cell r="F121" t="str">
            <v>Registrado</v>
          </cell>
          <cell r="G121">
            <v>42269.792361111111</v>
          </cell>
          <cell r="I121" t="str">
            <v xml:space="preserve">Vivo </v>
          </cell>
          <cell r="J121" t="str">
            <v xml:space="preserve"> Vivo</v>
          </cell>
        </row>
        <row r="122">
          <cell r="B122" t="str">
            <v>CTXLONLA-28170</v>
          </cell>
          <cell r="C122" t="str">
            <v>Migração POP 3 - MASSIVO SEGMENTADO - JOINVILLE vs. LONDRINA</v>
          </cell>
          <cell r="D122" t="str">
            <v>Vania de Moraes Colella</v>
          </cell>
          <cell r="E122" t="str">
            <v>Vania de Moraes Colella</v>
          </cell>
          <cell r="F122" t="str">
            <v>Fechado</v>
          </cell>
          <cell r="G122">
            <v>42312.782638888886</v>
          </cell>
          <cell r="H122">
            <v>42353.40347222222</v>
          </cell>
          <cell r="I122" t="str">
            <v xml:space="preserve">Vivo </v>
          </cell>
          <cell r="J122" t="str">
            <v xml:space="preserve"> Vivo</v>
          </cell>
        </row>
        <row r="123">
          <cell r="B123" t="str">
            <v>CTXLONLA-28199</v>
          </cell>
          <cell r="C123" t="str">
            <v>Migração POP 3 TOP SEGMENTADO - JOINVILLE vs. LONDRINA</v>
          </cell>
          <cell r="D123" t="str">
            <v>Vania de Moraes Colella</v>
          </cell>
          <cell r="E123" t="str">
            <v>Vania de Moraes Colella</v>
          </cell>
          <cell r="F123" t="str">
            <v>Fechado</v>
          </cell>
          <cell r="G123">
            <v>42313.538888888892</v>
          </cell>
          <cell r="H123">
            <v>42353.402777777781</v>
          </cell>
          <cell r="I123" t="str">
            <v xml:space="preserve">Vivo </v>
          </cell>
          <cell r="J123" t="str">
            <v xml:space="preserve"> Vivo</v>
          </cell>
        </row>
        <row r="124">
          <cell r="B124" t="str">
            <v>CTXLONLA-28200</v>
          </cell>
          <cell r="C124" t="str">
            <v>Migração POP 3 -BASICO SEGMENTADO - JOINVILLE vs. LONDRINA</v>
          </cell>
          <cell r="D124" t="str">
            <v>Vania de Moraes Colella</v>
          </cell>
          <cell r="E124" t="str">
            <v>Vania de Moraes Colella</v>
          </cell>
          <cell r="F124" t="str">
            <v>Fechado</v>
          </cell>
          <cell r="G124">
            <v>42313.543055555558</v>
          </cell>
          <cell r="H124">
            <v>42353.401388888888</v>
          </cell>
          <cell r="I124" t="str">
            <v xml:space="preserve">Vivo </v>
          </cell>
          <cell r="J124" t="str">
            <v xml:space="preserve"> Vivo</v>
          </cell>
        </row>
        <row r="125">
          <cell r="B125" t="str">
            <v>CTXLONLA-28201</v>
          </cell>
          <cell r="C125" t="str">
            <v>Migração POP 3 ALTO VALOR SEGMENTADO - JOINVILLE vs. LONDRINA</v>
          </cell>
          <cell r="D125" t="str">
            <v>Vania de Moraes Colella</v>
          </cell>
          <cell r="E125" t="str">
            <v>Vania de Moraes Colella</v>
          </cell>
          <cell r="F125" t="str">
            <v>Fechado</v>
          </cell>
          <cell r="G125">
            <v>42313.544444444444</v>
          </cell>
          <cell r="H125">
            <v>42353.4</v>
          </cell>
          <cell r="I125" t="str">
            <v xml:space="preserve">Vivo </v>
          </cell>
          <cell r="J125" t="str">
            <v xml:space="preserve"> Vivo</v>
          </cell>
        </row>
        <row r="126">
          <cell r="B126" t="str">
            <v>CTXLONLA-28210</v>
          </cell>
          <cell r="C126" t="str">
            <v>Migração POP 3 SUPORTE 4979 - JOINVILLE vs. LONDRINA</v>
          </cell>
          <cell r="D126" t="str">
            <v>Vania de Moraes Colella</v>
          </cell>
          <cell r="E126" t="str">
            <v>Vania de Moraes Colella</v>
          </cell>
          <cell r="F126" t="str">
            <v>Fechado</v>
          </cell>
          <cell r="G126">
            <v>42313.732638888891</v>
          </cell>
          <cell r="H126">
            <v>42353.397916666669</v>
          </cell>
          <cell r="I126" t="str">
            <v xml:space="preserve">Vivo </v>
          </cell>
          <cell r="J126" t="str">
            <v xml:space="preserve"> Vivo</v>
          </cell>
        </row>
        <row r="127">
          <cell r="B127" t="str">
            <v>CTXLONLA-28211</v>
          </cell>
          <cell r="C127" t="str">
            <v>Migração POP 3 *4979 - JOINVILLE vs. LONDRINA</v>
          </cell>
          <cell r="D127" t="str">
            <v>Vania de Moraes Colella</v>
          </cell>
          <cell r="E127" t="str">
            <v>Vania de Moraes Colella</v>
          </cell>
          <cell r="F127" t="str">
            <v>Fechado</v>
          </cell>
          <cell r="G127">
            <v>42313.736805555556</v>
          </cell>
          <cell r="H127">
            <v>42353.405555555553</v>
          </cell>
          <cell r="I127" t="str">
            <v xml:space="preserve">Vivo </v>
          </cell>
          <cell r="J127" t="str">
            <v xml:space="preserve"> Vivo</v>
          </cell>
        </row>
        <row r="128">
          <cell r="B128" t="str">
            <v>CTXLONLA-28251</v>
          </cell>
          <cell r="C128" t="str">
            <v>Migração POP 3 - TÉCNICO UNIFICADO - JOINVILLE Vs. LONDRINA</v>
          </cell>
          <cell r="D128" t="str">
            <v>Vania de Moraes Colella</v>
          </cell>
          <cell r="E128" t="str">
            <v>Vania de Moraes Colella</v>
          </cell>
          <cell r="F128" t="str">
            <v>Fechado</v>
          </cell>
          <cell r="G128">
            <v>42314.681944444441</v>
          </cell>
          <cell r="H128">
            <v>42353.395833333336</v>
          </cell>
          <cell r="I128" t="str">
            <v xml:space="preserve">Vivo </v>
          </cell>
          <cell r="J128" t="str">
            <v xml:space="preserve"> Vivo</v>
          </cell>
        </row>
        <row r="129">
          <cell r="B129" t="str">
            <v>CTXMLTREG-3442</v>
          </cell>
          <cell r="C129" t="str">
            <v>Projeto Atendimento 102 (URA unificada R1 e R2)</v>
          </cell>
          <cell r="D129" t="str">
            <v>Maiara Tavares da Cruz</v>
          </cell>
          <cell r="E129" t="str">
            <v>Maiara Tavares da Cruz</v>
          </cell>
          <cell r="F129" t="str">
            <v>Fechado</v>
          </cell>
          <cell r="G129">
            <v>41978.511805555558</v>
          </cell>
          <cell r="H129">
            <v>42383.620138888888</v>
          </cell>
          <cell r="I129" t="str">
            <v xml:space="preserve">Oi </v>
          </cell>
          <cell r="J129">
            <v>102</v>
          </cell>
        </row>
        <row r="130">
          <cell r="B130" t="str">
            <v>CTXMLTREG-3647</v>
          </cell>
          <cell r="C130" t="str">
            <v>Projeto - Projeto</v>
          </cell>
          <cell r="D130" t="str">
            <v>Dalton Bondesan</v>
          </cell>
          <cell r="E130" t="str">
            <v>Erika Andrade Miguel</v>
          </cell>
          <cell r="F130" t="str">
            <v>Aberto</v>
          </cell>
          <cell r="G130">
            <v>42095.65347222222</v>
          </cell>
          <cell r="I130" t="str">
            <v xml:space="preserve">Contax </v>
          </cell>
          <cell r="J130" t="str">
            <v xml:space="preserve"> Ger Sistemas Corporativos</v>
          </cell>
        </row>
        <row r="131">
          <cell r="B131" t="str">
            <v>CTXMLTREG-3663</v>
          </cell>
          <cell r="C131" t="str">
            <v>Liberação de novo link para Operações Oi</v>
          </cell>
          <cell r="D131" t="str">
            <v>Sem responsável</v>
          </cell>
          <cell r="E131" t="str">
            <v>Maiara Tavares da Cruz</v>
          </cell>
          <cell r="F131" t="str">
            <v>Reaberto</v>
          </cell>
          <cell r="G131">
            <v>42103.656944444447</v>
          </cell>
          <cell r="I131" t="str">
            <v xml:space="preserve">Contax </v>
          </cell>
          <cell r="J131" t="str">
            <v xml:space="preserve"> Outro</v>
          </cell>
        </row>
        <row r="132">
          <cell r="B132" t="str">
            <v>CTXMLTREG-3703</v>
          </cell>
          <cell r="C132" t="str">
            <v>Projeto - Projeto</v>
          </cell>
          <cell r="D132" t="str">
            <v>Sem responsável</v>
          </cell>
          <cell r="E132" t="str">
            <v>Erika Andrade Miguel</v>
          </cell>
          <cell r="F132" t="str">
            <v>Reaberto</v>
          </cell>
          <cell r="G132">
            <v>42123.64166666667</v>
          </cell>
          <cell r="I132" t="str">
            <v xml:space="preserve">Contax </v>
          </cell>
          <cell r="J132" t="str">
            <v xml:space="preserve"> Ambulatório</v>
          </cell>
        </row>
        <row r="133">
          <cell r="B133" t="str">
            <v>CTXMLTREG-3831</v>
          </cell>
          <cell r="C133" t="str">
            <v>Projeto - Projeto</v>
          </cell>
          <cell r="D133" t="str">
            <v>Sem responsável</v>
          </cell>
          <cell r="E133" t="str">
            <v>Anderson Luiz Gon�alves de Alcantara</v>
          </cell>
          <cell r="F133" t="str">
            <v>Registrado</v>
          </cell>
          <cell r="G133">
            <v>42185.709722222222</v>
          </cell>
          <cell r="I133" t="str">
            <v xml:space="preserve">Oi </v>
          </cell>
          <cell r="J133" t="str">
            <v xml:space="preserve"> SAC</v>
          </cell>
        </row>
        <row r="134">
          <cell r="B134" t="str">
            <v>CTXMLTREG-3841</v>
          </cell>
          <cell r="C134" t="str">
            <v>Projeto - Projeto</v>
          </cell>
          <cell r="D134" t="str">
            <v>Dalton Bondesan</v>
          </cell>
          <cell r="E134" t="str">
            <v>Anderson Luiz Gon�alves de Alcantara</v>
          </cell>
          <cell r="F134" t="str">
            <v>Registrado</v>
          </cell>
          <cell r="G134">
            <v>42191.689583333333</v>
          </cell>
          <cell r="I134" t="str">
            <v xml:space="preserve">Oi </v>
          </cell>
          <cell r="J134" t="str">
            <v xml:space="preserve"> SAC Pré Pago</v>
          </cell>
        </row>
        <row r="135">
          <cell r="B135" t="str">
            <v>CTXMLTREG-4086</v>
          </cell>
          <cell r="C135" t="str">
            <v>Projeto - Projeto</v>
          </cell>
          <cell r="D135" t="str">
            <v>Dalton Bondesan</v>
          </cell>
          <cell r="E135" t="str">
            <v>Juliana Souza de Moraes</v>
          </cell>
          <cell r="F135" t="str">
            <v>Em Andamento</v>
          </cell>
          <cell r="G135">
            <v>42262.448611111111</v>
          </cell>
          <cell r="I135" t="str">
            <v xml:space="preserve">Orbitall </v>
          </cell>
          <cell r="J135" t="str">
            <v xml:space="preserve"> Central Bancos</v>
          </cell>
        </row>
        <row r="136">
          <cell r="B136" t="str">
            <v>CTXMLTREG-4207</v>
          </cell>
          <cell r="C136" t="str">
            <v>Projeto - Infraestrutura_PortalCorporativo_Chrome</v>
          </cell>
          <cell r="D136" t="str">
            <v>Dalton Bondesan</v>
          </cell>
          <cell r="E136" t="str">
            <v>Erika Andrade Miguel</v>
          </cell>
          <cell r="F136" t="str">
            <v>Pendência Externa</v>
          </cell>
          <cell r="G136">
            <v>42276.699305555558</v>
          </cell>
          <cell r="I136" t="str">
            <v xml:space="preserve">Contax </v>
          </cell>
          <cell r="J136" t="str">
            <v xml:space="preserve"> Ger Adm RH</v>
          </cell>
        </row>
        <row r="137">
          <cell r="B137" t="str">
            <v>CTXMLTREG-4245</v>
          </cell>
          <cell r="C137" t="str">
            <v>Projeto - Projeto</v>
          </cell>
          <cell r="D137" t="str">
            <v>Bruno Guerra Ferreira</v>
          </cell>
          <cell r="E137" t="str">
            <v>Erika Andrade Miguel</v>
          </cell>
          <cell r="F137" t="str">
            <v>Registrado</v>
          </cell>
          <cell r="G137">
            <v>42282.387499999997</v>
          </cell>
          <cell r="I137" t="str">
            <v xml:space="preserve">Contax </v>
          </cell>
          <cell r="J137" t="str">
            <v xml:space="preserve"> Ger Soluções e Processos RH</v>
          </cell>
        </row>
        <row r="138">
          <cell r="B138" t="str">
            <v>CTXMLTREG-4307</v>
          </cell>
          <cell r="C138" t="str">
            <v>Projeto - Projeto</v>
          </cell>
          <cell r="D138" t="str">
            <v>Dalton Bondesan</v>
          </cell>
          <cell r="E138" t="str">
            <v>Juliana Souza de Moraes</v>
          </cell>
          <cell r="F138" t="str">
            <v>Registrado</v>
          </cell>
          <cell r="G138">
            <v>42285.775694444441</v>
          </cell>
          <cell r="I138" t="str">
            <v xml:space="preserve">Orbitall </v>
          </cell>
          <cell r="J138" t="str">
            <v xml:space="preserve"> Central Bancos</v>
          </cell>
        </row>
        <row r="139">
          <cell r="B139" t="str">
            <v>CTXMLTREG-4375</v>
          </cell>
          <cell r="C139" t="str">
            <v>Projeto - "Definir o modelo de atendimento das URAs de Cadastro"</v>
          </cell>
          <cell r="D139" t="str">
            <v>Ricardo Jose Souza de Albuquerque</v>
          </cell>
          <cell r="E139" t="str">
            <v>Ricardo Jose Souza de Albuquerque</v>
          </cell>
          <cell r="F139" t="str">
            <v>Fechado</v>
          </cell>
          <cell r="G139">
            <v>42292.734722222223</v>
          </cell>
          <cell r="H139">
            <v>42415.4</v>
          </cell>
          <cell r="I139" t="str">
            <v xml:space="preserve">Oi </v>
          </cell>
          <cell r="J139" t="str">
            <v xml:space="preserve"> Oi Movél</v>
          </cell>
        </row>
        <row r="140">
          <cell r="B140" t="str">
            <v>CTXMLTREG-4427</v>
          </cell>
          <cell r="C140" t="str">
            <v>Projeto - Substituição do Emulador Passport pelo Emulado PW3270</v>
          </cell>
          <cell r="D140" t="str">
            <v>Ricardo de Oliveira Flores</v>
          </cell>
          <cell r="E140" t="str">
            <v>Luiz Washington Gianezzi</v>
          </cell>
          <cell r="F140" t="str">
            <v>Registrado</v>
          </cell>
          <cell r="G140">
            <v>42297.63958333333</v>
          </cell>
          <cell r="I140" t="str">
            <v xml:space="preserve">Orbitall </v>
          </cell>
          <cell r="J140" t="str">
            <v xml:space="preserve"> Bonsucesso (C)</v>
          </cell>
        </row>
        <row r="141">
          <cell r="B141" t="str">
            <v>CTXMLTREG-4428</v>
          </cell>
          <cell r="C141" t="str">
            <v>Projeto - Substituição do Emulador Passport pelo Emulador PW3270</v>
          </cell>
          <cell r="D141" t="str">
            <v>Ricardo de Oliveira Flores</v>
          </cell>
          <cell r="E141" t="str">
            <v>Luiz Washington Gianezzi</v>
          </cell>
          <cell r="F141" t="str">
            <v>Registrado</v>
          </cell>
          <cell r="G141">
            <v>42297.643750000003</v>
          </cell>
          <cell r="I141" t="str">
            <v xml:space="preserve">Itaú </v>
          </cell>
          <cell r="J141" t="str">
            <v xml:space="preserve"> Ação Conta Corrente</v>
          </cell>
        </row>
        <row r="142">
          <cell r="B142" t="str">
            <v>CTXMLTREG-4553</v>
          </cell>
          <cell r="C142" t="str">
            <v>Projeto - "Proposta comercial para upgrade dos servidores do NGR Monitor"</v>
          </cell>
          <cell r="D142" t="str">
            <v>Bruno Guerra Ferreira</v>
          </cell>
          <cell r="E142" t="str">
            <v>Ricardo Jose Souza de Albuquerque</v>
          </cell>
          <cell r="F142" t="str">
            <v>Registrado</v>
          </cell>
          <cell r="G142">
            <v>42307.788888888892</v>
          </cell>
          <cell r="I142" t="str">
            <v xml:space="preserve">Oi </v>
          </cell>
          <cell r="J142" t="str">
            <v xml:space="preserve"> Ura</v>
          </cell>
        </row>
        <row r="143">
          <cell r="B143" t="str">
            <v>CTXMLTREG-4755</v>
          </cell>
          <cell r="C143" t="str">
            <v>Projeto - Implantação Produto Folha On Line</v>
          </cell>
          <cell r="D143" t="str">
            <v>Bruno Guerra Ferreira</v>
          </cell>
          <cell r="E143" t="str">
            <v>Erika Andrade Miguel</v>
          </cell>
          <cell r="F143" t="str">
            <v>Registrado</v>
          </cell>
          <cell r="G143">
            <v>42332.765972222223</v>
          </cell>
          <cell r="I143" t="str">
            <v xml:space="preserve">Contax </v>
          </cell>
          <cell r="J143" t="str">
            <v xml:space="preserve"> Ger Soluções e Processos RH</v>
          </cell>
        </row>
        <row r="144">
          <cell r="B144" t="str">
            <v>CTXMLTREG-4830</v>
          </cell>
          <cell r="C144" t="str">
            <v>Projeto - Aplicação/URA</v>
          </cell>
          <cell r="D144" t="str">
            <v>Sem responsável</v>
          </cell>
          <cell r="E144" t="str">
            <v>Alexsander Alves Santos</v>
          </cell>
          <cell r="F144" t="str">
            <v>Registrado</v>
          </cell>
          <cell r="G144">
            <v>42338.776388888888</v>
          </cell>
          <cell r="I144" t="str">
            <v xml:space="preserve">Contax </v>
          </cell>
          <cell r="J144" t="str">
            <v xml:space="preserve"> Ger Produtos SAC</v>
          </cell>
        </row>
        <row r="145">
          <cell r="B145" t="str">
            <v>CTXMLTREG-5634</v>
          </cell>
          <cell r="C145" t="str">
            <v>Projeto - Projeto Souza Cruz - Integração Discafácil x DAC x Chipeira</v>
          </cell>
          <cell r="D145" t="str">
            <v>Sem responsável</v>
          </cell>
          <cell r="E145" t="str">
            <v>Luiz Washington Gianezzi</v>
          </cell>
          <cell r="F145" t="str">
            <v>Registrado</v>
          </cell>
          <cell r="G145">
            <v>42391.652083333334</v>
          </cell>
          <cell r="I145" t="str">
            <v xml:space="preserve">Souza Cruz </v>
          </cell>
          <cell r="J145" t="str">
            <v xml:space="preserve"> Souza Cruz</v>
          </cell>
        </row>
        <row r="146">
          <cell r="B146" t="str">
            <v>CTXMLTREG-6041</v>
          </cell>
          <cell r="C146" t="str">
            <v>Projeto - Migração das URAs de Cadastro para o IPCC/NGR</v>
          </cell>
          <cell r="D146" t="str">
            <v>Sem responsável</v>
          </cell>
          <cell r="E146" t="str">
            <v>Ricardo Jose Souza de Albuquerque</v>
          </cell>
          <cell r="F146" t="str">
            <v>Registrado</v>
          </cell>
          <cell r="G146">
            <v>42412.431944444441</v>
          </cell>
          <cell r="I146" t="str">
            <v xml:space="preserve">Oi </v>
          </cell>
          <cell r="J146" t="str">
            <v xml:space="preserve"> Oi Movél</v>
          </cell>
        </row>
        <row r="147">
          <cell r="B147" t="str">
            <v>CTXMTZPB-1001</v>
          </cell>
          <cell r="C147" t="str">
            <v>Projeto - Nova chamada teste/Chamada Ativa para o FF</v>
          </cell>
          <cell r="D147" t="str">
            <v>Bruno Guerra Ferreira</v>
          </cell>
          <cell r="E147" t="str">
            <v>Marcel Garcia da Silva</v>
          </cell>
          <cell r="F147" t="str">
            <v>Registrado</v>
          </cell>
          <cell r="G147">
            <v>42317.71597222222</v>
          </cell>
          <cell r="I147" t="str">
            <v xml:space="preserve">Oi </v>
          </cell>
          <cell r="J147" t="str">
            <v xml:space="preserve"> SAC</v>
          </cell>
        </row>
        <row r="148">
          <cell r="B148" t="str">
            <v>CTXMTZPB-1044</v>
          </cell>
          <cell r="C148" t="str">
            <v>Aquisição de servidor - file server</v>
          </cell>
          <cell r="D148" t="str">
            <v>Bruno Guerra Ferreira</v>
          </cell>
          <cell r="E148" t="str">
            <v>Joyce Faria Barbosa</v>
          </cell>
          <cell r="F148" t="str">
            <v>Registrado</v>
          </cell>
          <cell r="G148">
            <v>42325.489583333336</v>
          </cell>
          <cell r="I148" t="str">
            <v xml:space="preserve">Contax </v>
          </cell>
          <cell r="J148" t="str">
            <v xml:space="preserve"> Ger Planejamento SAC</v>
          </cell>
        </row>
        <row r="149">
          <cell r="B149" t="str">
            <v>CTXMTZPB-1091</v>
          </cell>
          <cell r="C149" t="str">
            <v>Projeto - PASSWORK - PILOTO</v>
          </cell>
          <cell r="D149" t="str">
            <v>Juliana Souza de Moraes</v>
          </cell>
          <cell r="E149" t="str">
            <v>Joyce Faria Barbosa</v>
          </cell>
          <cell r="F149" t="str">
            <v>Registrado</v>
          </cell>
          <cell r="G149">
            <v>42335.427777777775</v>
          </cell>
          <cell r="I149" t="str">
            <v xml:space="preserve">Contax </v>
          </cell>
          <cell r="J149" t="str">
            <v xml:space="preserve"> Ger Planejamento SAC</v>
          </cell>
        </row>
        <row r="150">
          <cell r="B150" t="str">
            <v>CTXMTZPB-1098</v>
          </cell>
          <cell r="C150" t="str">
            <v>TCLOCK - Interface Near Real Time</v>
          </cell>
          <cell r="D150" t="str">
            <v>Joyce Faria Barbosa</v>
          </cell>
          <cell r="E150" t="str">
            <v>Joyce Faria Barbosa</v>
          </cell>
          <cell r="F150" t="str">
            <v>Fechado</v>
          </cell>
          <cell r="G150">
            <v>42338.672222222223</v>
          </cell>
          <cell r="H150">
            <v>42402.503472222219</v>
          </cell>
          <cell r="I150" t="str">
            <v xml:space="preserve">Contax </v>
          </cell>
          <cell r="J150" t="str">
            <v xml:space="preserve"> Ger Planejamento SAC</v>
          </cell>
        </row>
        <row r="151">
          <cell r="B151" t="str">
            <v>CTXMTZPB-1116</v>
          </cell>
          <cell r="C151" t="str">
            <v>Projeto - Feirão do nome limpo - RJ Shop Nova America</v>
          </cell>
          <cell r="D151" t="str">
            <v>Livia de Deus Henriques Rodrigues</v>
          </cell>
          <cell r="E151" t="str">
            <v>Livia de Deus Henriques Rodrigues</v>
          </cell>
          <cell r="F151" t="str">
            <v>Fechado</v>
          </cell>
          <cell r="G151">
            <v>42341.504166666666</v>
          </cell>
          <cell r="H151">
            <v>42383.619444444441</v>
          </cell>
          <cell r="I151" t="str">
            <v xml:space="preserve">Contax </v>
          </cell>
          <cell r="J151" t="str">
            <v xml:space="preserve"> Dir. Oi</v>
          </cell>
        </row>
        <row r="152">
          <cell r="B152" t="str">
            <v>CTXMTZPB-1118</v>
          </cell>
          <cell r="C152" t="str">
            <v>Projeto - Restrição de Transferência</v>
          </cell>
          <cell r="D152" t="str">
            <v>Julio Cesar da Silva</v>
          </cell>
          <cell r="E152" t="str">
            <v>Luiz Matheus Aragao do Nascimento</v>
          </cell>
          <cell r="F152" t="str">
            <v>Aberto</v>
          </cell>
          <cell r="G152">
            <v>42341.654861111114</v>
          </cell>
          <cell r="I152" t="str">
            <v xml:space="preserve">Oi </v>
          </cell>
          <cell r="J152" t="str">
            <v xml:space="preserve"> SAC</v>
          </cell>
        </row>
        <row r="153">
          <cell r="B153" t="str">
            <v>CTXMTZPB-1214</v>
          </cell>
          <cell r="C153" t="str">
            <v>Projeto - "Implantação Solução de Contas Pré Pago Site Boa Viagem Bahia"</v>
          </cell>
          <cell r="D153" t="str">
            <v>F�bio Prazeres da Silva</v>
          </cell>
          <cell r="E153" t="str">
            <v>F�bio Prazeres da Silva</v>
          </cell>
          <cell r="F153" t="str">
            <v>Fechado</v>
          </cell>
          <cell r="G153">
            <v>42381.722916666666</v>
          </cell>
          <cell r="H153">
            <v>42411.579861111109</v>
          </cell>
          <cell r="I153" t="str">
            <v xml:space="preserve">Contax </v>
          </cell>
          <cell r="J153" t="str">
            <v xml:space="preserve"> Outro</v>
          </cell>
        </row>
        <row r="154">
          <cell r="B154" t="str">
            <v>CTXMTZPB-1258</v>
          </cell>
          <cell r="C154" t="str">
            <v>Cabemento de rede - sala 2º andar/Mezanino - site Rio Comprido</v>
          </cell>
          <cell r="D154" t="str">
            <v>Sem responsável</v>
          </cell>
          <cell r="E154" t="str">
            <v>Joyce Faria Barbosa</v>
          </cell>
          <cell r="F154" t="str">
            <v>Registrado</v>
          </cell>
          <cell r="G154">
            <v>42404.728472222225</v>
          </cell>
          <cell r="I154" t="str">
            <v xml:space="preserve">Contax </v>
          </cell>
          <cell r="J154" t="str">
            <v xml:space="preserve"> Ger Planejamento SAC</v>
          </cell>
        </row>
        <row r="155">
          <cell r="B155" t="str">
            <v>CTXMTZPB-1259</v>
          </cell>
          <cell r="C155" t="str">
            <v>Projeto - Crescimento Suporte Técnico Velox</v>
          </cell>
          <cell r="D155" t="str">
            <v>Paulo Roberto da Costa Cavalcante</v>
          </cell>
          <cell r="E155" t="str">
            <v>rafael da costa cezar</v>
          </cell>
          <cell r="F155" t="str">
            <v>Registrado</v>
          </cell>
          <cell r="G155">
            <v>42404.816666666666</v>
          </cell>
          <cell r="I155" t="str">
            <v xml:space="preserve">Oi </v>
          </cell>
          <cell r="J155" t="str">
            <v xml:space="preserve"> Suporte Técnico</v>
          </cell>
        </row>
        <row r="156">
          <cell r="B156" t="str">
            <v>CTXMTZPB-201</v>
          </cell>
          <cell r="C156" t="str">
            <v>Ambiente de Homologação e Produção do 1746</v>
          </cell>
          <cell r="D156" t="str">
            <v>Dalton Bondesan</v>
          </cell>
          <cell r="E156" t="str">
            <v>ALEXANDRE FONSECA PAPANIS</v>
          </cell>
          <cell r="F156" t="str">
            <v>Em Andamento</v>
          </cell>
          <cell r="G156">
            <v>42244.704861111109</v>
          </cell>
          <cell r="I156" t="str">
            <v xml:space="preserve">Contax </v>
          </cell>
          <cell r="J156" t="str">
            <v xml:space="preserve"> Ger Governança de TI</v>
          </cell>
        </row>
        <row r="157">
          <cell r="B157" t="str">
            <v>CTXMTZPB-300</v>
          </cell>
          <cell r="C157" t="str">
            <v>Migração de servidores para o Azure</v>
          </cell>
          <cell r="D157" t="str">
            <v>Paulo Roberto da Costa Cavalcante</v>
          </cell>
          <cell r="E157" t="str">
            <v>Joyce Faria Barbosa</v>
          </cell>
          <cell r="F157" t="str">
            <v>Aberto</v>
          </cell>
          <cell r="G157">
            <v>42250.814583333333</v>
          </cell>
          <cell r="I157" t="str">
            <v xml:space="preserve">Contax </v>
          </cell>
          <cell r="J157" t="str">
            <v xml:space="preserve"> Ger Planejamento SAC</v>
          </cell>
        </row>
        <row r="158">
          <cell r="B158" t="str">
            <v>CTXMTZPB-307</v>
          </cell>
          <cell r="C158" t="str">
            <v>Projeto - Projeto - Linhas para Modem externo SA</v>
          </cell>
          <cell r="D158" t="str">
            <v>Bruno Guerra Ferreira</v>
          </cell>
          <cell r="E158" t="str">
            <v>Luiz Matheus Aragao do Nascimento</v>
          </cell>
          <cell r="F158" t="str">
            <v>Em Andamento</v>
          </cell>
          <cell r="G158">
            <v>42251.717361111114</v>
          </cell>
          <cell r="I158" t="str">
            <v xml:space="preserve">Oi </v>
          </cell>
          <cell r="J158" t="str">
            <v xml:space="preserve"> SAC</v>
          </cell>
        </row>
        <row r="159">
          <cell r="B159" t="str">
            <v>CTXMTZPB-452</v>
          </cell>
          <cell r="C159" t="str">
            <v>Base NBA intraday</v>
          </cell>
          <cell r="D159" t="str">
            <v>Dalton Bondesan</v>
          </cell>
          <cell r="E159" t="str">
            <v>Joyce Faria Barbosa</v>
          </cell>
          <cell r="F159" t="str">
            <v>Em Andamento</v>
          </cell>
          <cell r="G159">
            <v>42265.478472222225</v>
          </cell>
          <cell r="I159" t="str">
            <v xml:space="preserve">Contax </v>
          </cell>
          <cell r="J159" t="str">
            <v xml:space="preserve"> Ger Planejamento SAC</v>
          </cell>
        </row>
        <row r="160">
          <cell r="B160" t="str">
            <v>CTXMTZPB-510</v>
          </cell>
          <cell r="C160" t="str">
            <v>Criação de ambiente de produção - Azure</v>
          </cell>
          <cell r="D160" t="str">
            <v>Paulo Roberto da Costa Cavalcante</v>
          </cell>
          <cell r="E160" t="str">
            <v>Joyce Faria Barbosa</v>
          </cell>
          <cell r="F160" t="str">
            <v>Aberto</v>
          </cell>
          <cell r="G160">
            <v>42269.647222222222</v>
          </cell>
          <cell r="I160" t="str">
            <v xml:space="preserve">Contax </v>
          </cell>
          <cell r="J160" t="str">
            <v xml:space="preserve"> Ger Planejamento SAC</v>
          </cell>
        </row>
        <row r="161">
          <cell r="B161" t="str">
            <v>CTXMTZPB-758</v>
          </cell>
          <cell r="C161" t="str">
            <v>Projeto - Projeto</v>
          </cell>
          <cell r="D161" t="str">
            <v>Debora Gercke Dominas</v>
          </cell>
          <cell r="E161" t="str">
            <v>Fabricio Hinein Peixoto Guimaraes</v>
          </cell>
          <cell r="F161" t="str">
            <v>Registrado</v>
          </cell>
          <cell r="G161">
            <v>42292.416666666664</v>
          </cell>
          <cell r="I161" t="str">
            <v xml:space="preserve">Contax </v>
          </cell>
          <cell r="J161" t="str">
            <v xml:space="preserve"> Dir. Oi</v>
          </cell>
        </row>
        <row r="162">
          <cell r="B162" t="str">
            <v>CTXMTZPB-860</v>
          </cell>
          <cell r="C162" t="str">
            <v>Inclusão de chamadas ativas no Credibilidade</v>
          </cell>
          <cell r="D162" t="str">
            <v>Marcelo Caldeira Pedroso do Nascimento</v>
          </cell>
          <cell r="E162" t="str">
            <v>Joyce Faria Barbosa</v>
          </cell>
          <cell r="F162" t="str">
            <v>Registrado</v>
          </cell>
          <cell r="G162">
            <v>42299.67291666667</v>
          </cell>
          <cell r="I162" t="str">
            <v xml:space="preserve">Contax </v>
          </cell>
          <cell r="J162" t="str">
            <v xml:space="preserve"> Ger Planejamento SAC</v>
          </cell>
        </row>
        <row r="163">
          <cell r="B163" t="str">
            <v>CTXMTZPB-88</v>
          </cell>
          <cell r="C163" t="str">
            <v>Alteração de Layout do Mailing do Televendas</v>
          </cell>
          <cell r="D163" t="str">
            <v>Bruno Guerra Ferreira</v>
          </cell>
          <cell r="E163" t="str">
            <v>Tatiane Rodrigues Dallecrode</v>
          </cell>
          <cell r="F163" t="str">
            <v>Em Andamento</v>
          </cell>
          <cell r="G163">
            <v>42222.581250000003</v>
          </cell>
          <cell r="I163" t="str">
            <v xml:space="preserve">Contax </v>
          </cell>
          <cell r="J163" t="str">
            <v xml:space="preserve"> Outro</v>
          </cell>
        </row>
        <row r="164">
          <cell r="B164" t="str">
            <v>CTXMTZPB-944</v>
          </cell>
          <cell r="C164" t="str">
            <v>Aquisição de servidor</v>
          </cell>
          <cell r="D164" t="str">
            <v>Bruno Guerra Ferreira</v>
          </cell>
          <cell r="E164" t="str">
            <v>Joyce Faria Barbosa</v>
          </cell>
          <cell r="F164" t="str">
            <v>Registrado</v>
          </cell>
          <cell r="G164">
            <v>42306.821527777778</v>
          </cell>
          <cell r="I164" t="str">
            <v xml:space="preserve">Contax </v>
          </cell>
          <cell r="J164" t="str">
            <v xml:space="preserve"> Ger Planejamento SAC</v>
          </cell>
        </row>
        <row r="165">
          <cell r="B165" t="str">
            <v>CTXMTZRP-35936</v>
          </cell>
          <cell r="C165" t="str">
            <v>Projeto Contax 2.0 - Praça RJ</v>
          </cell>
          <cell r="D165" t="str">
            <v>Sem responsável</v>
          </cell>
          <cell r="E165" t="str">
            <v>Alex Tonini Nogueira</v>
          </cell>
          <cell r="F165" t="str">
            <v>Reaberto</v>
          </cell>
          <cell r="G165">
            <v>41940.65</v>
          </cell>
          <cell r="I165" t="str">
            <v xml:space="preserve">Contax </v>
          </cell>
          <cell r="J165" t="str">
            <v xml:space="preserve"> Outro</v>
          </cell>
        </row>
        <row r="166">
          <cell r="B166" t="str">
            <v>CTXMTZRP-35937</v>
          </cell>
          <cell r="C166" t="str">
            <v>Projeto Contax 2.0 - Praça SC</v>
          </cell>
          <cell r="D166" t="str">
            <v>Dalton Bondesan</v>
          </cell>
          <cell r="E166" t="str">
            <v>Alex Tonini Nogueira</v>
          </cell>
          <cell r="F166" t="str">
            <v>Reaberto</v>
          </cell>
          <cell r="G166">
            <v>41940.652083333334</v>
          </cell>
          <cell r="I166" t="str">
            <v xml:space="preserve">Contax </v>
          </cell>
          <cell r="J166" t="str">
            <v xml:space="preserve"> Outro</v>
          </cell>
        </row>
        <row r="167">
          <cell r="B167" t="str">
            <v>CTXMTZRP-35941</v>
          </cell>
          <cell r="C167" t="str">
            <v>Projeto Contax 2.0 - Praça BA</v>
          </cell>
          <cell r="D167" t="str">
            <v>Sem responsável</v>
          </cell>
          <cell r="E167" t="str">
            <v>Alex Tonini Nogueira</v>
          </cell>
          <cell r="F167" t="str">
            <v>Reaberto</v>
          </cell>
          <cell r="G167">
            <v>41940.662499999999</v>
          </cell>
          <cell r="I167" t="str">
            <v xml:space="preserve">Contax </v>
          </cell>
          <cell r="J167" t="str">
            <v xml:space="preserve"> Outro</v>
          </cell>
        </row>
        <row r="168">
          <cell r="B168" t="str">
            <v>CTXMTZRP-35943</v>
          </cell>
          <cell r="C168" t="str">
            <v>Projeto Contax 2.0 - Praça PE</v>
          </cell>
          <cell r="D168" t="str">
            <v>Sem responsável</v>
          </cell>
          <cell r="E168" t="str">
            <v>Alex Tonini Nogueira</v>
          </cell>
          <cell r="F168" t="str">
            <v>Reaberto</v>
          </cell>
          <cell r="G168">
            <v>41940.666666666664</v>
          </cell>
          <cell r="I168" t="str">
            <v xml:space="preserve">Contax </v>
          </cell>
          <cell r="J168" t="str">
            <v xml:space="preserve"> Outro</v>
          </cell>
        </row>
        <row r="169">
          <cell r="B169" t="str">
            <v>CTXMTZRP-35944</v>
          </cell>
          <cell r="C169" t="str">
            <v>Projeto Contax 2.0 - Praça CE</v>
          </cell>
          <cell r="D169" t="str">
            <v>Sem responsável</v>
          </cell>
          <cell r="E169" t="str">
            <v>Alex Tonini Nogueira</v>
          </cell>
          <cell r="F169" t="str">
            <v>Reaberto</v>
          </cell>
          <cell r="G169">
            <v>41940.669444444444</v>
          </cell>
          <cell r="I169" t="str">
            <v xml:space="preserve">Contax </v>
          </cell>
          <cell r="J169" t="str">
            <v xml:space="preserve"> Outro</v>
          </cell>
        </row>
        <row r="170">
          <cell r="B170" t="str">
            <v>CTXMTZRP-35945</v>
          </cell>
          <cell r="C170" t="str">
            <v>Projeto Contax 2.0 - Praça MG</v>
          </cell>
          <cell r="D170" t="str">
            <v>Sem responsável</v>
          </cell>
          <cell r="E170" t="str">
            <v>Alex Tonini Nogueira</v>
          </cell>
          <cell r="F170" t="str">
            <v>Reaberto</v>
          </cell>
          <cell r="G170">
            <v>41940.671527777777</v>
          </cell>
          <cell r="I170" t="str">
            <v xml:space="preserve">Contax </v>
          </cell>
          <cell r="J170" t="str">
            <v xml:space="preserve"> Outro</v>
          </cell>
        </row>
        <row r="171">
          <cell r="B171" t="str">
            <v>CTXMTZRP-39707</v>
          </cell>
          <cell r="C171" t="str">
            <v>Projeto - Projeto DAC Único</v>
          </cell>
          <cell r="D171" t="str">
            <v>Edison Nei Siqueira</v>
          </cell>
          <cell r="E171" t="str">
            <v>Fabricio Hinein Peixoto Guimaraes</v>
          </cell>
          <cell r="F171" t="str">
            <v>Reaberto</v>
          </cell>
          <cell r="G171">
            <v>42086.57916666667</v>
          </cell>
          <cell r="I171" t="str">
            <v xml:space="preserve">Contax </v>
          </cell>
          <cell r="J171" t="str">
            <v xml:space="preserve"> Dir. Oi</v>
          </cell>
        </row>
        <row r="172">
          <cell r="B172" t="str">
            <v>CTXMTZRP-40585</v>
          </cell>
          <cell r="C172" t="str">
            <v>Projeto - Projeto - DAC Único Móvel</v>
          </cell>
          <cell r="D172" t="str">
            <v>Edison Nei Siqueira</v>
          </cell>
          <cell r="E172" t="str">
            <v>Fabricio Hinein Peixoto Guimaraes</v>
          </cell>
          <cell r="F172" t="str">
            <v>Em Andamento</v>
          </cell>
          <cell r="G172">
            <v>42116.354861111111</v>
          </cell>
          <cell r="I172" t="str">
            <v xml:space="preserve">Contax </v>
          </cell>
          <cell r="J172" t="str">
            <v xml:space="preserve"> Dir. Oi</v>
          </cell>
        </row>
        <row r="173">
          <cell r="B173" t="str">
            <v>CTXMTZRP-40787</v>
          </cell>
          <cell r="C173" t="str">
            <v>Projeto - Projeto</v>
          </cell>
          <cell r="D173" t="str">
            <v>Fabiana Aparecida Lopes de Carvalho</v>
          </cell>
          <cell r="E173" t="str">
            <v>Fabiana Aparecida Lopes de Carvalho</v>
          </cell>
          <cell r="F173" t="str">
            <v>Fechado</v>
          </cell>
          <cell r="G173">
            <v>42123.713888888888</v>
          </cell>
          <cell r="H173">
            <v>42383.354861111111</v>
          </cell>
          <cell r="I173" t="str">
            <v xml:space="preserve">Contax </v>
          </cell>
          <cell r="J173" t="str">
            <v xml:space="preserve"> Dir. Oi</v>
          </cell>
        </row>
        <row r="174">
          <cell r="B174" t="str">
            <v>CTXMTZRP-41268</v>
          </cell>
          <cell r="C174" t="str">
            <v>Projeto Contax 2.0 - Praça RS</v>
          </cell>
          <cell r="D174" t="str">
            <v>Dalton Bondesan</v>
          </cell>
          <cell r="E174" t="str">
            <v>Alex Tonini Nogueira</v>
          </cell>
          <cell r="F174" t="str">
            <v>Aberto</v>
          </cell>
          <cell r="G174">
            <v>42138.500694444447</v>
          </cell>
          <cell r="I174" t="str">
            <v xml:space="preserve">Contax </v>
          </cell>
          <cell r="J174" t="str">
            <v xml:space="preserve"> Outro</v>
          </cell>
        </row>
        <row r="175">
          <cell r="B175" t="str">
            <v>CTXMTZRP-41269</v>
          </cell>
          <cell r="C175" t="str">
            <v>Projeto Contax 2.0 - Praça PR</v>
          </cell>
          <cell r="D175" t="str">
            <v>Dalton Bondesan</v>
          </cell>
          <cell r="E175" t="str">
            <v>Alex Tonini Nogueira</v>
          </cell>
          <cell r="F175" t="str">
            <v>Aberto</v>
          </cell>
          <cell r="G175">
            <v>42138.508333333331</v>
          </cell>
          <cell r="I175" t="str">
            <v xml:space="preserve">Contax </v>
          </cell>
          <cell r="J175" t="str">
            <v xml:space="preserve"> Outro</v>
          </cell>
        </row>
        <row r="176">
          <cell r="B176" t="str">
            <v>CTXMTZRP-42143</v>
          </cell>
          <cell r="C176" t="str">
            <v>Projeto - Projeto - Implantar o Projeto JiraDemandas no Data Center</v>
          </cell>
          <cell r="D176" t="str">
            <v>Dalton Bondesan</v>
          </cell>
          <cell r="E176" t="str">
            <v>Cristiane Akiko Sasaki</v>
          </cell>
          <cell r="F176" t="str">
            <v>Aberto</v>
          </cell>
          <cell r="G176">
            <v>42165.427083333336</v>
          </cell>
          <cell r="I176" t="str">
            <v xml:space="preserve">Contax </v>
          </cell>
          <cell r="J176" t="str">
            <v xml:space="preserve"> Ger Governança de TI</v>
          </cell>
        </row>
        <row r="177">
          <cell r="B177" t="str">
            <v>CTXMTZRP-42159</v>
          </cell>
          <cell r="C177" t="str">
            <v>Projeto - Projeto</v>
          </cell>
          <cell r="D177" t="str">
            <v>Dalton Bondesan</v>
          </cell>
          <cell r="E177" t="str">
            <v>Joyce Faria Barbosa</v>
          </cell>
          <cell r="F177" t="str">
            <v>Aberto</v>
          </cell>
          <cell r="G177">
            <v>42165.684027777781</v>
          </cell>
          <cell r="I177" t="str">
            <v xml:space="preserve">Contax </v>
          </cell>
          <cell r="J177" t="str">
            <v xml:space="preserve"> Ger Planejamento SAC</v>
          </cell>
        </row>
        <row r="178">
          <cell r="B178" t="str">
            <v>CTXMTZRP-42198</v>
          </cell>
          <cell r="C178" t="str">
            <v>Projeto - Projeto - Requisitos de hardware OTP</v>
          </cell>
          <cell r="D178" t="str">
            <v>Dalton Bondesan</v>
          </cell>
          <cell r="E178" t="str">
            <v>Cristiane Akiko Sasaki</v>
          </cell>
          <cell r="F178" t="str">
            <v>Aberto</v>
          </cell>
          <cell r="G178">
            <v>42166.679861111108</v>
          </cell>
          <cell r="I178" t="str">
            <v xml:space="preserve">Contax </v>
          </cell>
          <cell r="J178" t="str">
            <v xml:space="preserve"> Outro</v>
          </cell>
        </row>
        <row r="179">
          <cell r="B179" t="str">
            <v>CTXMTZRP-42203</v>
          </cell>
          <cell r="C179" t="str">
            <v>Projeto - Integração Barra Atendimento ao OSvC (Novo CRM Oi)</v>
          </cell>
          <cell r="D179" t="str">
            <v>Bruno Guerra Ferreira</v>
          </cell>
          <cell r="E179" t="str">
            <v>Fabricio Hinein Peixoto Guimaraes</v>
          </cell>
          <cell r="F179" t="str">
            <v>Aberto</v>
          </cell>
          <cell r="G179">
            <v>42166.722222222219</v>
          </cell>
          <cell r="I179" t="str">
            <v xml:space="preserve">Contax </v>
          </cell>
          <cell r="J179" t="str">
            <v xml:space="preserve"> Dir. Oi</v>
          </cell>
        </row>
        <row r="180">
          <cell r="B180" t="str">
            <v>CTXMTZRP-42601</v>
          </cell>
          <cell r="C180" t="str">
            <v>Projeto - Projeto</v>
          </cell>
          <cell r="D180" t="str">
            <v>Sem responsável</v>
          </cell>
          <cell r="E180" t="str">
            <v>Reinaldo Cervantes De Oliveira</v>
          </cell>
          <cell r="F180" t="str">
            <v>Registrado</v>
          </cell>
          <cell r="G180">
            <v>42181.461805555555</v>
          </cell>
          <cell r="I180" t="str">
            <v xml:space="preserve">Oi </v>
          </cell>
          <cell r="J180" t="str">
            <v xml:space="preserve"> Outras Atividades</v>
          </cell>
        </row>
        <row r="181">
          <cell r="B181" t="str">
            <v>CTXMTZRP-42689</v>
          </cell>
          <cell r="C181" t="str">
            <v>Projeto - Projeto</v>
          </cell>
          <cell r="D181" t="str">
            <v>Edison Nei Siqueira</v>
          </cell>
          <cell r="E181" t="str">
            <v>Fabricio Hinein Peixoto Guimaraes</v>
          </cell>
          <cell r="F181" t="str">
            <v>Em Andamento</v>
          </cell>
          <cell r="G181">
            <v>42185.619444444441</v>
          </cell>
          <cell r="I181" t="str">
            <v xml:space="preserve">Contax </v>
          </cell>
          <cell r="J181" t="str">
            <v xml:space="preserve"> Dir. Oi</v>
          </cell>
        </row>
        <row r="182">
          <cell r="B182" t="str">
            <v>CTXMTZRP-42974</v>
          </cell>
          <cell r="C182" t="str">
            <v>Criação de SVN para Diretoria de Mobilidade</v>
          </cell>
          <cell r="D182" t="str">
            <v>Dalton Bondesan</v>
          </cell>
          <cell r="E182" t="str">
            <v>ALEXANDRE FONSECA PAPANIS</v>
          </cell>
          <cell r="F182" t="str">
            <v>Em Andamento</v>
          </cell>
          <cell r="G182">
            <v>42200.466666666667</v>
          </cell>
          <cell r="I182" t="str">
            <v xml:space="preserve">Contax </v>
          </cell>
          <cell r="J182" t="str">
            <v xml:space="preserve"> Ger Governança de TI</v>
          </cell>
        </row>
        <row r="183">
          <cell r="B183" t="str">
            <v>CTXMTZRP-43045</v>
          </cell>
          <cell r="C183" t="str">
            <v>Projeto - Projeto (Restrições e Liberações de Proxy - Operação itau)</v>
          </cell>
          <cell r="D183" t="str">
            <v>Dalton Bondesan</v>
          </cell>
          <cell r="E183" t="str">
            <v>David Lopes da Costa Chaves</v>
          </cell>
          <cell r="F183" t="str">
            <v>Pendência Externa</v>
          </cell>
          <cell r="G183">
            <v>42205.515972222223</v>
          </cell>
          <cell r="I183" t="str">
            <v xml:space="preserve">Contax </v>
          </cell>
          <cell r="J183" t="str">
            <v xml:space="preserve"> Outro</v>
          </cell>
        </row>
        <row r="184">
          <cell r="B184" t="str">
            <v>CTXMTZRP-43198</v>
          </cell>
          <cell r="C184" t="str">
            <v>Projeto - Projeto</v>
          </cell>
          <cell r="D184" t="str">
            <v>Dalton Bondesan</v>
          </cell>
          <cell r="E184" t="str">
            <v>Maria da Conceicao Paiva</v>
          </cell>
          <cell r="F184" t="str">
            <v>Registrado</v>
          </cell>
          <cell r="G184">
            <v>42210.645833333336</v>
          </cell>
          <cell r="I184" t="str">
            <v xml:space="preserve">Contax </v>
          </cell>
          <cell r="J184" t="str">
            <v xml:space="preserve"> Dir. Clientes Especiais</v>
          </cell>
        </row>
        <row r="185">
          <cell r="B185" t="str">
            <v>CTXMTZRP-43213</v>
          </cell>
          <cell r="C185" t="str">
            <v>Criação de ambiente de staging para o Whatacenter - Central de Atendimento via Whatsapp</v>
          </cell>
          <cell r="D185" t="str">
            <v>Dalton Bondesan</v>
          </cell>
          <cell r="E185" t="str">
            <v>ALEXANDRE FONSECA PAPANIS</v>
          </cell>
          <cell r="F185" t="str">
            <v>Pendência Externa</v>
          </cell>
          <cell r="G185">
            <v>42212.618055555555</v>
          </cell>
          <cell r="I185" t="str">
            <v xml:space="preserve">Contax </v>
          </cell>
          <cell r="J185" t="str">
            <v xml:space="preserve"> Ger Governança de TI</v>
          </cell>
        </row>
        <row r="186">
          <cell r="B186" t="str">
            <v>CTXMTZRP-43358</v>
          </cell>
          <cell r="C186" t="str">
            <v>Plano de Recuperação - Projeto Rentabilização BO Anatel - Evalyze</v>
          </cell>
          <cell r="D186" t="str">
            <v>Edison Nei Siqueira</v>
          </cell>
          <cell r="E186" t="str">
            <v>Luciana Mattos Andrade</v>
          </cell>
          <cell r="F186" t="str">
            <v>Em Andamento</v>
          </cell>
          <cell r="G186">
            <v>42219.75277777778</v>
          </cell>
          <cell r="I186" t="str">
            <v xml:space="preserve">Oi </v>
          </cell>
          <cell r="J186" t="str">
            <v xml:space="preserve"> BO ANATEL</v>
          </cell>
        </row>
        <row r="187">
          <cell r="B187" t="str">
            <v>CTXMTZRP-43359</v>
          </cell>
          <cell r="C187" t="str">
            <v>Plano de Recuperação - Projeto Rentabilização BO Anatel - Automações (RTIs)</v>
          </cell>
          <cell r="D187" t="str">
            <v>Luciana Mattos Andrade</v>
          </cell>
          <cell r="E187" t="str">
            <v>Luciana Mattos Andrade</v>
          </cell>
          <cell r="F187" t="str">
            <v>Fechado</v>
          </cell>
          <cell r="G187">
            <v>42219.754166666666</v>
          </cell>
          <cell r="H187">
            <v>42352.48333333333</v>
          </cell>
          <cell r="I187" t="str">
            <v xml:space="preserve">Oi </v>
          </cell>
          <cell r="J187" t="str">
            <v xml:space="preserve"> BO ANATEL</v>
          </cell>
        </row>
        <row r="188">
          <cell r="B188" t="str">
            <v>CTXMTZRP-43360</v>
          </cell>
          <cell r="C188" t="str">
            <v>Plano de Recuperação - Projeto Rentabilização BO Anatel - Discador</v>
          </cell>
          <cell r="D188" t="str">
            <v>Edison Nei Siqueira</v>
          </cell>
          <cell r="E188" t="str">
            <v>Luciana Mattos Andrade</v>
          </cell>
          <cell r="F188" t="str">
            <v>Em Andamento</v>
          </cell>
          <cell r="G188">
            <v>42219.756249999999</v>
          </cell>
          <cell r="I188" t="str">
            <v xml:space="preserve">Oi </v>
          </cell>
          <cell r="J188" t="str">
            <v xml:space="preserve"> BO ANATEL</v>
          </cell>
        </row>
        <row r="189">
          <cell r="B189" t="str">
            <v>CTXMTZRP-43574</v>
          </cell>
          <cell r="C189" t="str">
            <v>1- Plano de Recuperação - Projeto Rentabilização BO Anatel Automações (RTIs) - Direcionamento Automático para Área Sem SLOT</v>
          </cell>
          <cell r="D189" t="str">
            <v>Debora Gercke Dominas</v>
          </cell>
          <cell r="E189" t="str">
            <v>Luciana Mattos Andrade</v>
          </cell>
          <cell r="F189" t="str">
            <v>Em Andamento</v>
          </cell>
          <cell r="G189">
            <v>42227.745138888888</v>
          </cell>
          <cell r="I189" t="str">
            <v xml:space="preserve">Oi </v>
          </cell>
          <cell r="J189" t="str">
            <v xml:space="preserve"> BO ANATEL</v>
          </cell>
        </row>
        <row r="190">
          <cell r="B190" t="str">
            <v>CTXMTZRP-43575</v>
          </cell>
          <cell r="C190" t="str">
            <v>2- Plano de Recuperação - Projeto Rentabilização BO Anatel Automações (RTIs) - Direcionamento Automático para Área Potes Não Agendáveis</v>
          </cell>
          <cell r="D190" t="str">
            <v>Debora Gercke Dominas</v>
          </cell>
          <cell r="E190" t="str">
            <v>Luciana Mattos Andrade</v>
          </cell>
          <cell r="F190" t="str">
            <v>Em Andamento</v>
          </cell>
          <cell r="G190">
            <v>42227.746527777781</v>
          </cell>
          <cell r="I190" t="str">
            <v xml:space="preserve">Oi </v>
          </cell>
          <cell r="J190" t="str">
            <v xml:space="preserve"> BO ANATEL</v>
          </cell>
        </row>
        <row r="191">
          <cell r="B191" t="str">
            <v>CTXMTZRP-43579</v>
          </cell>
          <cell r="C191" t="str">
            <v>Plano de Recuperação - Projeto Rentabilização BO Anatel Automações (RTIs) - Não recebimento de gravações de atendimento.</v>
          </cell>
          <cell r="D191" t="str">
            <v>Debora Gercke Dominas</v>
          </cell>
          <cell r="E191" t="str">
            <v>Luciana Mattos Andrade</v>
          </cell>
          <cell r="F191" t="str">
            <v>Em Andamento</v>
          </cell>
          <cell r="G191">
            <v>42227.75</v>
          </cell>
          <cell r="I191" t="str">
            <v xml:space="preserve">Oi </v>
          </cell>
          <cell r="J191" t="str">
            <v xml:space="preserve"> BO ANATEL</v>
          </cell>
        </row>
        <row r="192">
          <cell r="B192" t="str">
            <v>CTXMTZRP-43580</v>
          </cell>
          <cell r="C192" t="str">
            <v>Plano de Recuperação - Projeto Rentabilização BO Anatel Automações (RTIs) - Planejamento TUP</v>
          </cell>
          <cell r="D192" t="str">
            <v>Luciana Mattos Andrade</v>
          </cell>
          <cell r="E192" t="str">
            <v>Luciana Mattos Andrade</v>
          </cell>
          <cell r="F192" t="str">
            <v>Fechado</v>
          </cell>
          <cell r="G192">
            <v>42227.750694444447</v>
          </cell>
          <cell r="H192">
            <v>42395.616666666669</v>
          </cell>
          <cell r="I192" t="str">
            <v xml:space="preserve">Oi </v>
          </cell>
          <cell r="J192" t="str">
            <v xml:space="preserve"> BO ANATEL</v>
          </cell>
        </row>
        <row r="193">
          <cell r="B193" t="str">
            <v>CTXMTZRP-43581</v>
          </cell>
          <cell r="C193" t="str">
            <v>Plano de Recuperação - Projeto Rentabilização BO Anatel Automações (RTIs) - Serviço proteção ao crédito</v>
          </cell>
          <cell r="D193" t="str">
            <v>Debora Gercke Dominas</v>
          </cell>
          <cell r="E193" t="str">
            <v>Luciana Mattos Andrade</v>
          </cell>
          <cell r="F193" t="str">
            <v>Em Andamento</v>
          </cell>
          <cell r="G193">
            <v>42227.752083333333</v>
          </cell>
          <cell r="I193" t="str">
            <v xml:space="preserve">Oi </v>
          </cell>
          <cell r="J193" t="str">
            <v xml:space="preserve"> BO ANATEL</v>
          </cell>
        </row>
        <row r="194">
          <cell r="B194" t="str">
            <v>CTXMTZRP-43918</v>
          </cell>
          <cell r="C194" t="str">
            <v>Projeto - Projeto - TReport</v>
          </cell>
          <cell r="D194" t="str">
            <v>Dalton Bondesan</v>
          </cell>
          <cell r="E194" t="str">
            <v>Luiz Matheus Aragao do Nascimento</v>
          </cell>
          <cell r="F194" t="str">
            <v>Pendência Externa</v>
          </cell>
          <cell r="G194">
            <v>42241.495833333334</v>
          </cell>
          <cell r="I194" t="str">
            <v xml:space="preserve">Oi </v>
          </cell>
          <cell r="J194" t="str">
            <v xml:space="preserve"> SAC</v>
          </cell>
        </row>
        <row r="195">
          <cell r="B195" t="str">
            <v>CTXNITSP-153179</v>
          </cell>
          <cell r="C195" t="str">
            <v>Projeto - Projeto - Criar um versão da ferramenta BOS, para atender a célula de Auditoria CPF Duplicado.</v>
          </cell>
          <cell r="D195" t="str">
            <v>Rodrigo Ribeiro de Araujo</v>
          </cell>
          <cell r="E195" t="str">
            <v>Rodrigo Ribeiro de Araujo</v>
          </cell>
          <cell r="F195" t="str">
            <v>Fechado</v>
          </cell>
          <cell r="G195">
            <v>42082.507638888892</v>
          </cell>
          <cell r="H195">
            <v>42383.618750000001</v>
          </cell>
          <cell r="I195" t="str">
            <v xml:space="preserve">Contax </v>
          </cell>
          <cell r="J195" t="str">
            <v xml:space="preserve"> Dir. Oi</v>
          </cell>
        </row>
        <row r="196">
          <cell r="B196" t="str">
            <v>CTXNITSP-154454</v>
          </cell>
          <cell r="C196" t="str">
            <v>Projeto - Tratamento de Contestação de 0800 e DDR via Planilha de Minutagem</v>
          </cell>
          <cell r="D196" t="str">
            <v>Alexsander Alves Santos</v>
          </cell>
          <cell r="E196" t="str">
            <v>Alexsander Alves Santos</v>
          </cell>
          <cell r="F196" t="str">
            <v>Fechado</v>
          </cell>
          <cell r="G196">
            <v>42095.637499999997</v>
          </cell>
          <cell r="H196">
            <v>42383.620138888888</v>
          </cell>
          <cell r="I196" t="str">
            <v xml:space="preserve">Oi </v>
          </cell>
          <cell r="J196" t="str">
            <v xml:space="preserve"> Back Office</v>
          </cell>
        </row>
        <row r="197">
          <cell r="B197" t="str">
            <v>CTXNITSP-160928</v>
          </cell>
          <cell r="C197" t="str">
            <v>Projeto - Projeto Implantar Discador Aspect + TLV 5.0 no CRV Oi TV</v>
          </cell>
          <cell r="D197" t="str">
            <v>Erica Fernandes Cotrim</v>
          </cell>
          <cell r="E197" t="str">
            <v>Josiane Pereira Bello</v>
          </cell>
          <cell r="F197" t="str">
            <v>Aberto</v>
          </cell>
          <cell r="G197">
            <v>42164.45</v>
          </cell>
          <cell r="I197" t="str">
            <v xml:space="preserve">Oi </v>
          </cell>
          <cell r="J197" t="str">
            <v xml:space="preserve"> Outras Atividades</v>
          </cell>
        </row>
        <row r="198">
          <cell r="B198" t="str">
            <v>CTXNITSP-161527</v>
          </cell>
          <cell r="C198" t="str">
            <v>Projeto - Projeto - Complementar estrutura da 5ª onda Migração BH x NIT (Ativo Fixo)</v>
          </cell>
          <cell r="D198" t="str">
            <v>Rodrigo Ribeiro de Araujo</v>
          </cell>
          <cell r="E198" t="str">
            <v>Rodrigo Ribeiro de Araujo</v>
          </cell>
          <cell r="F198" t="str">
            <v>Fechado</v>
          </cell>
          <cell r="G198">
            <v>42170.738194444442</v>
          </cell>
          <cell r="H198">
            <v>42383.618750000001</v>
          </cell>
          <cell r="I198" t="str">
            <v xml:space="preserve">Contax </v>
          </cell>
          <cell r="J198" t="str">
            <v xml:space="preserve"> Dir. Oi</v>
          </cell>
        </row>
        <row r="199">
          <cell r="B199" t="str">
            <v>CTXNITSP-162696</v>
          </cell>
          <cell r="C199" t="str">
            <v>Projeto - Projeto - Favor precificar alteração/customização da ferramenta BOS Fixo. Essa projeto deve ser direcionado para PRG SOFT(Anderson Marques).</v>
          </cell>
          <cell r="D199" t="str">
            <v>Rodrigo Ribeiro de Araujo</v>
          </cell>
          <cell r="E199" t="str">
            <v>Rodrigo Ribeiro de Araujo</v>
          </cell>
          <cell r="F199" t="str">
            <v>Fechado</v>
          </cell>
          <cell r="G199">
            <v>42185.440972222219</v>
          </cell>
          <cell r="H199">
            <v>42383.618750000001</v>
          </cell>
          <cell r="I199" t="str">
            <v xml:space="preserve">Contax </v>
          </cell>
          <cell r="J199" t="str">
            <v xml:space="preserve"> Dir. Oi</v>
          </cell>
        </row>
        <row r="200">
          <cell r="B200" t="str">
            <v>CTXNITSP-163395</v>
          </cell>
          <cell r="C200" t="str">
            <v>Projeto - Projeto - Migrar atividade de input do mailing BOS, Auditoria Fixo e Pós, para MIS NIterói. PRGSOFT Anderson Marques.</v>
          </cell>
          <cell r="D200" t="str">
            <v>Rodrigo Ribeiro de Araujo</v>
          </cell>
          <cell r="E200" t="str">
            <v>Rodrigo Ribeiro de Araujo</v>
          </cell>
          <cell r="F200" t="str">
            <v>Fechado</v>
          </cell>
          <cell r="G200">
            <v>42192.47152777778</v>
          </cell>
          <cell r="H200">
            <v>42383.618055555555</v>
          </cell>
          <cell r="I200" t="str">
            <v xml:space="preserve">Contax </v>
          </cell>
          <cell r="J200" t="str">
            <v xml:space="preserve"> Dir. Oi</v>
          </cell>
        </row>
        <row r="201">
          <cell r="B201" t="str">
            <v>CTXNITSP-163520</v>
          </cell>
          <cell r="C201" t="str">
            <v>Projeto - Projeto</v>
          </cell>
          <cell r="D201" t="str">
            <v>Dalton Bondesan</v>
          </cell>
          <cell r="E201" t="str">
            <v>ine Goncalves Ramalho</v>
          </cell>
          <cell r="F201" t="str">
            <v>Registrado</v>
          </cell>
          <cell r="G201">
            <v>42193.411805555559</v>
          </cell>
          <cell r="I201" t="str">
            <v xml:space="preserve">Contax </v>
          </cell>
          <cell r="J201" t="str">
            <v xml:space="preserve"> Ger Planejamento SAC</v>
          </cell>
        </row>
        <row r="202">
          <cell r="B202" t="str">
            <v>CTXNITSP-164357</v>
          </cell>
          <cell r="C202" t="str">
            <v>Projeto - Projeto: Migração da URA Dealer (*803) p/ NGR</v>
          </cell>
          <cell r="D202" t="str">
            <v>Julio Cesar da Silva</v>
          </cell>
          <cell r="E202" t="str">
            <v>Leonardo Pellegrini Vieira</v>
          </cell>
          <cell r="F202" t="str">
            <v>Aberto</v>
          </cell>
          <cell r="G202">
            <v>42202.72152777778</v>
          </cell>
          <cell r="I202" t="str">
            <v xml:space="preserve">Contax </v>
          </cell>
          <cell r="J202" t="str">
            <v xml:space="preserve"> Dir. Oi</v>
          </cell>
        </row>
        <row r="203">
          <cell r="B203" t="str">
            <v>CTXNITSP-164460</v>
          </cell>
          <cell r="C203" t="str">
            <v>Projeto - Projeto - URA Oi total</v>
          </cell>
          <cell r="D203" t="str">
            <v>Julio Cesar da Silva</v>
          </cell>
          <cell r="E203" t="str">
            <v>Rodrigo Ribeiro de Araujo</v>
          </cell>
          <cell r="F203" t="str">
            <v>Aberto</v>
          </cell>
          <cell r="G203">
            <v>42205.64166666667</v>
          </cell>
          <cell r="I203" t="str">
            <v xml:space="preserve">Contax </v>
          </cell>
          <cell r="J203" t="str">
            <v xml:space="preserve"> Dir. Oi</v>
          </cell>
        </row>
        <row r="204">
          <cell r="B204" t="str">
            <v>CTXNITSP-164920</v>
          </cell>
          <cell r="C204" t="str">
            <v>Projeto - Projeto - Favor liberar endereço: http://contax-ftp.cloudapp.net/MOToolsQual/Login.aspx e inserir o ícone no menu inciar com o nome: Evalyzer Front</v>
          </cell>
          <cell r="D204" t="str">
            <v>Rodrigo Ribeiro de Araujo</v>
          </cell>
          <cell r="E204" t="str">
            <v>Rodrigo Ribeiro de Araujo</v>
          </cell>
          <cell r="F204" t="str">
            <v>Fechado</v>
          </cell>
          <cell r="G204">
            <v>42209.46597222222</v>
          </cell>
          <cell r="H204">
            <v>42383.617361111108</v>
          </cell>
          <cell r="I204" t="str">
            <v xml:space="preserve">Contax </v>
          </cell>
          <cell r="J204" t="str">
            <v xml:space="preserve"> Dir. Oi</v>
          </cell>
        </row>
        <row r="205">
          <cell r="B205" t="str">
            <v>CTXNITSP-165356</v>
          </cell>
          <cell r="C205" t="str">
            <v>Projeto - Projeto - Disponibilizar um servidor de armazenamento de dados para a equipe de planejamento MIS Niterói, onde será possível, guardar grande volume de informações para agilizar e centralizar a busca e localização de informações com a finalidade</v>
          </cell>
          <cell r="D205" t="str">
            <v>Rodrigo Ribeiro de Araujo</v>
          </cell>
          <cell r="E205" t="str">
            <v>Rodrigo Ribeiro de Araujo</v>
          </cell>
          <cell r="F205" t="str">
            <v>Fechado</v>
          </cell>
          <cell r="G205">
            <v>42215.795138888891</v>
          </cell>
          <cell r="H205">
            <v>42383.617361111108</v>
          </cell>
          <cell r="I205" t="str">
            <v xml:space="preserve">Contax </v>
          </cell>
          <cell r="J205" t="str">
            <v xml:space="preserve"> Dir. Oi</v>
          </cell>
        </row>
        <row r="206">
          <cell r="B206" t="str">
            <v>CTXNITSP-166786</v>
          </cell>
          <cell r="C206" t="str">
            <v>Projeto - Projeto Criação Macro de Consulta no STC e SAC</v>
          </cell>
          <cell r="D206" t="str">
            <v>Dalton Bondesan</v>
          </cell>
          <cell r="E206" t="str">
            <v>Josiane Pereira Bello</v>
          </cell>
          <cell r="F206" t="str">
            <v>Em Andamento</v>
          </cell>
          <cell r="G206">
            <v>42234.515277777777</v>
          </cell>
          <cell r="I206" t="str">
            <v xml:space="preserve">Oi </v>
          </cell>
          <cell r="J206" t="str">
            <v xml:space="preserve"> Outras Atividades</v>
          </cell>
        </row>
        <row r="207">
          <cell r="B207" t="str">
            <v>CTXNITSP-167961</v>
          </cell>
          <cell r="C207" t="str">
            <v>Projeto - Projeto - Reconstrução da SALA MIS - Realizar alterações físicas, instalações necessárias e levantamentos.</v>
          </cell>
          <cell r="D207" t="str">
            <v>Bruno Guerra Ferreira</v>
          </cell>
          <cell r="E207" t="str">
            <v>Rodrigo Ribeiro de Araujo</v>
          </cell>
          <cell r="F207" t="str">
            <v>Em Andamento</v>
          </cell>
          <cell r="G207">
            <v>42251.524305555555</v>
          </cell>
          <cell r="I207" t="str">
            <v xml:space="preserve">Contax </v>
          </cell>
          <cell r="J207" t="str">
            <v xml:space="preserve"> Dir. Oi</v>
          </cell>
        </row>
        <row r="208">
          <cell r="B208" t="str">
            <v>CTXNITSP-168713</v>
          </cell>
          <cell r="C208" t="str">
            <v>Projeto - Projeto - Necessário a disponibilização/verificação da infra de voz para implantação de aplicação CMS/Avaya ou Softfone para operação BO Contratos para apuração do log das PA's. Criação de login de CMS/Avaya para os supervisores e ADM's para adm</v>
          </cell>
          <cell r="D208" t="str">
            <v>Rodrigo Ribeiro de Araujo</v>
          </cell>
          <cell r="E208" t="str">
            <v>Rodrigo Ribeiro de Araujo</v>
          </cell>
          <cell r="F208" t="str">
            <v>Fechado</v>
          </cell>
          <cell r="G208">
            <v>42262.560416666667</v>
          </cell>
          <cell r="H208">
            <v>42383.616666666669</v>
          </cell>
          <cell r="I208" t="str">
            <v xml:space="preserve">Contax </v>
          </cell>
          <cell r="J208" t="str">
            <v xml:space="preserve"> Dir. Oi</v>
          </cell>
        </row>
        <row r="209">
          <cell r="B209" t="str">
            <v>CTXNITSP-170972</v>
          </cell>
          <cell r="C209" t="str">
            <v>Projeto - "Por favor, usuário, utilizar este campo para informar o nome do Projeto"</v>
          </cell>
          <cell r="D209" t="str">
            <v>Fernanda Nazario Menezes</v>
          </cell>
          <cell r="E209" t="str">
            <v>Fernanda Nazario Menezes</v>
          </cell>
          <cell r="F209" t="str">
            <v>Fechado</v>
          </cell>
          <cell r="G209">
            <v>42292.743055555555</v>
          </cell>
          <cell r="H209">
            <v>42383.623611111114</v>
          </cell>
          <cell r="I209" t="str">
            <v xml:space="preserve">Oi </v>
          </cell>
          <cell r="J209" t="str">
            <v xml:space="preserve"> SAC</v>
          </cell>
        </row>
        <row r="210">
          <cell r="B210" t="str">
            <v>CTXNITSP-172449</v>
          </cell>
          <cell r="C210" t="str">
            <v>Implantar célula BO NBA &gt;&gt; 7 PA´S &gt;&gt; STC SAC SIAC &gt;&gt; Front Específico e envio SMS &gt;&gt; Operação Convergente: Fixo, Velox -R1 e R2.</v>
          </cell>
          <cell r="D210" t="str">
            <v>Bruno Guerra Ferreira</v>
          </cell>
          <cell r="E210" t="str">
            <v>Rodrigo Ribeiro de Araujo</v>
          </cell>
          <cell r="F210" t="str">
            <v>Registrado</v>
          </cell>
          <cell r="G210">
            <v>42314.448611111111</v>
          </cell>
          <cell r="I210" t="str">
            <v xml:space="preserve">Contax </v>
          </cell>
          <cell r="J210" t="str">
            <v xml:space="preserve"> Dir. Oi</v>
          </cell>
        </row>
        <row r="211">
          <cell r="B211" t="str">
            <v>CTXNITSP-172461</v>
          </cell>
          <cell r="C211" t="str">
            <v>Implantar Célula BO DADOS&gt;&gt; 17 PA`S &gt;&gt;SIEBEL e Front(À Definir) SMS &gt;&gt; Site NIterói &gt;&gt; Funionamento de Segunda à Domingo</v>
          </cell>
          <cell r="D211" t="str">
            <v>Edison Nei Siqueira</v>
          </cell>
          <cell r="E211" t="str">
            <v>Rodrigo Ribeiro de Araujo</v>
          </cell>
          <cell r="F211" t="str">
            <v>Registrado</v>
          </cell>
          <cell r="G211">
            <v>42314.474999999999</v>
          </cell>
          <cell r="I211" t="str">
            <v xml:space="preserve">Contax </v>
          </cell>
          <cell r="J211" t="str">
            <v xml:space="preserve"> Dir. Oi</v>
          </cell>
        </row>
        <row r="212">
          <cell r="B212" t="str">
            <v>CTXNITSP-172565</v>
          </cell>
          <cell r="C212" t="str">
            <v>Alteração no Layout - Ativos</v>
          </cell>
          <cell r="D212" t="str">
            <v>Tatiane Rodrigues Dallecrode</v>
          </cell>
          <cell r="E212" t="str">
            <v>Tatiane Rodrigues Dallecrode</v>
          </cell>
          <cell r="F212" t="str">
            <v>Fechado</v>
          </cell>
          <cell r="G212">
            <v>42317.445138888892</v>
          </cell>
          <cell r="H212">
            <v>42381.463888888888</v>
          </cell>
          <cell r="I212" t="str">
            <v xml:space="preserve">Oi </v>
          </cell>
          <cell r="J212" t="str">
            <v xml:space="preserve"> Retenção Empresarial</v>
          </cell>
        </row>
        <row r="213">
          <cell r="B213" t="str">
            <v>CTXNITSP-172566</v>
          </cell>
          <cell r="C213" t="str">
            <v>Implantação do BO Strategy - Retenção Empresarial</v>
          </cell>
          <cell r="D213" t="str">
            <v>Julio Cesar da Silva</v>
          </cell>
          <cell r="E213" t="str">
            <v>Tatiane Rodrigues Dallecrode</v>
          </cell>
          <cell r="F213" t="str">
            <v>Registrado</v>
          </cell>
          <cell r="G213">
            <v>42317.453472222223</v>
          </cell>
          <cell r="I213" t="str">
            <v xml:space="preserve">Oi </v>
          </cell>
          <cell r="J213" t="str">
            <v xml:space="preserve"> Retenção Empresarial</v>
          </cell>
        </row>
        <row r="214">
          <cell r="B214" t="str">
            <v>CTXNITSP-172611</v>
          </cell>
          <cell r="C214" t="str">
            <v>Projeto - Projeto cm</v>
          </cell>
          <cell r="D214" t="str">
            <v>Bruno Guerra Ferreira</v>
          </cell>
          <cell r="E214" t="str">
            <v>Anne Catharina de Oliveira Coutinho</v>
          </cell>
          <cell r="F214" t="str">
            <v>Registrado</v>
          </cell>
          <cell r="G214">
            <v>42317.752083333333</v>
          </cell>
          <cell r="I214" t="str">
            <v xml:space="preserve">Oi </v>
          </cell>
          <cell r="J214" t="str">
            <v xml:space="preserve"> Dealer</v>
          </cell>
        </row>
        <row r="215">
          <cell r="B215" t="str">
            <v>CTXNITSP-172614</v>
          </cell>
          <cell r="C215" t="str">
            <v>Projeto - Projeto: Migração da URA do PAP (0800 033 1140 e 0800 642 1431) p/ ambiente NGR</v>
          </cell>
          <cell r="D215" t="str">
            <v>Julio Cesar da Silva</v>
          </cell>
          <cell r="E215" t="str">
            <v>Leonardo Pellegrini Vieira</v>
          </cell>
          <cell r="F215" t="str">
            <v>Registrado</v>
          </cell>
          <cell r="G215">
            <v>42317.767361111109</v>
          </cell>
          <cell r="I215" t="str">
            <v xml:space="preserve">Contax </v>
          </cell>
          <cell r="J215" t="str">
            <v xml:space="preserve"> Dir. Oi</v>
          </cell>
        </row>
        <row r="216">
          <cell r="B216" t="str">
            <v>CTXNITSP-172868</v>
          </cell>
          <cell r="C216" t="str">
            <v>Implantação de RTI</v>
          </cell>
          <cell r="D216" t="str">
            <v>Bruno Guerra Ferreira</v>
          </cell>
          <cell r="E216" t="str">
            <v>Tatiane Rodrigues Dallecrode</v>
          </cell>
          <cell r="F216" t="str">
            <v>Registrado</v>
          </cell>
          <cell r="G216">
            <v>42320.606249999997</v>
          </cell>
          <cell r="I216" t="str">
            <v xml:space="preserve">Oi </v>
          </cell>
          <cell r="J216" t="str">
            <v xml:space="preserve"> Retenção</v>
          </cell>
        </row>
        <row r="217">
          <cell r="B217" t="str">
            <v>CTXNITSP-172869</v>
          </cell>
          <cell r="C217" t="str">
            <v>Bloqueio de Pausas - TGuidance</v>
          </cell>
          <cell r="D217" t="str">
            <v>Tatiane Rodrigues Dallecrode</v>
          </cell>
          <cell r="E217" t="str">
            <v>Tatiane Rodrigues Dallecrode</v>
          </cell>
          <cell r="F217" t="str">
            <v>Fechado</v>
          </cell>
          <cell r="G217">
            <v>42320.60833333333</v>
          </cell>
          <cell r="H217">
            <v>42375.324999999997</v>
          </cell>
          <cell r="I217" t="str">
            <v xml:space="preserve">Oi </v>
          </cell>
          <cell r="J217" t="str">
            <v xml:space="preserve"> Retenção</v>
          </cell>
        </row>
        <row r="218">
          <cell r="B218" t="str">
            <v>CTXNITSP-172870</v>
          </cell>
          <cell r="C218" t="str">
            <v>Implantação de Front Fácil - Diretoria Retenção</v>
          </cell>
          <cell r="D218" t="str">
            <v>Bruno Guerra Ferreira</v>
          </cell>
          <cell r="E218" t="str">
            <v>Tatiane Rodrigues Dallecrode</v>
          </cell>
          <cell r="F218" t="str">
            <v>Registrado</v>
          </cell>
          <cell r="G218">
            <v>42320.609027777777</v>
          </cell>
          <cell r="I218" t="str">
            <v xml:space="preserve">Oi </v>
          </cell>
          <cell r="J218" t="str">
            <v xml:space="preserve"> Retenção</v>
          </cell>
        </row>
        <row r="219">
          <cell r="B219" t="str">
            <v>CTXNITSP-172871</v>
          </cell>
          <cell r="C219" t="str">
            <v>Implantação de TTW</v>
          </cell>
          <cell r="D219" t="str">
            <v>Bruno Guerra Ferreira</v>
          </cell>
          <cell r="E219" t="str">
            <v>Tatiane Rodrigues Dallecrode</v>
          </cell>
          <cell r="F219" t="str">
            <v>Registrado</v>
          </cell>
          <cell r="G219">
            <v>42320.61041666667</v>
          </cell>
          <cell r="I219" t="str">
            <v xml:space="preserve">Oi </v>
          </cell>
          <cell r="J219" t="str">
            <v xml:space="preserve"> Retenção</v>
          </cell>
        </row>
        <row r="220">
          <cell r="B220" t="str">
            <v>CTXNITSP-173491</v>
          </cell>
          <cell r="C220" t="str">
            <v>Projeto - Favor restruturar ambiente da sala de Macros MIS - MG, garantindo todas as exigências da Segurança da Informação Contax.</v>
          </cell>
          <cell r="D220" t="str">
            <v>Bruno Guerra Ferreira</v>
          </cell>
          <cell r="E220" t="str">
            <v>Rodrigo Ribeiro de Araujo</v>
          </cell>
          <cell r="F220" t="str">
            <v>Registrado</v>
          </cell>
          <cell r="G220">
            <v>42332.517361111109</v>
          </cell>
          <cell r="I220" t="str">
            <v xml:space="preserve">Contax </v>
          </cell>
          <cell r="J220" t="str">
            <v xml:space="preserve"> Dir. Oi</v>
          </cell>
        </row>
        <row r="221">
          <cell r="B221" t="str">
            <v>CTXNITSP-175152</v>
          </cell>
          <cell r="C221" t="str">
            <v>TLV</v>
          </cell>
          <cell r="D221" t="str">
            <v>Bruno Guerra Ferreira</v>
          </cell>
          <cell r="E221" t="str">
            <v>Eloise pereira ciqueira gra�a</v>
          </cell>
          <cell r="F221" t="str">
            <v>Registrado</v>
          </cell>
          <cell r="G221">
            <v>42359.593055555553</v>
          </cell>
          <cell r="I221" t="str">
            <v xml:space="preserve">Oi </v>
          </cell>
          <cell r="J221" t="str">
            <v xml:space="preserve"> Dealer</v>
          </cell>
        </row>
        <row r="222">
          <cell r="B222" t="str">
            <v>CTXNITSP-175831</v>
          </cell>
          <cell r="C222" t="str">
            <v>Projeto - Discador Automático (CRV Fixo, CRV Velox)</v>
          </cell>
          <cell r="D222" t="str">
            <v>Sem responsável</v>
          </cell>
          <cell r="E222" t="str">
            <v>Leonardo Pellegrini Vieira</v>
          </cell>
          <cell r="F222" t="str">
            <v>Registrado</v>
          </cell>
          <cell r="G222">
            <v>42376.509722222225</v>
          </cell>
          <cell r="I222" t="str">
            <v xml:space="preserve">Contax </v>
          </cell>
          <cell r="J222" t="str">
            <v xml:space="preserve"> Dir. Oi</v>
          </cell>
        </row>
        <row r="223">
          <cell r="B223" t="str">
            <v>CTXNITSP-176042</v>
          </cell>
          <cell r="C223" t="str">
            <v>Transferência da Equipe de Treinamento para o 12º andar - Niterói</v>
          </cell>
          <cell r="D223" t="str">
            <v>Bruno Guerra Ferreira</v>
          </cell>
          <cell r="E223" t="str">
            <v>Eduardo Lima de Souza</v>
          </cell>
          <cell r="F223" t="str">
            <v>Aberto</v>
          </cell>
          <cell r="G223">
            <v>42380.448611111111</v>
          </cell>
          <cell r="I223" t="str">
            <v xml:space="preserve">Contax </v>
          </cell>
          <cell r="J223" t="str">
            <v xml:space="preserve"> Ger Oper RH</v>
          </cell>
        </row>
        <row r="224">
          <cell r="B224" t="str">
            <v>CTXNITSP-176223</v>
          </cell>
          <cell r="C224" t="str">
            <v>Projeto - "Front End SAV Entrega"</v>
          </cell>
          <cell r="D224" t="str">
            <v>Sem responsável</v>
          </cell>
          <cell r="E224" t="str">
            <v>Jill Ullmann Ortiz</v>
          </cell>
          <cell r="F224" t="str">
            <v>Registrado</v>
          </cell>
          <cell r="G224">
            <v>42381.731944444444</v>
          </cell>
          <cell r="I224" t="str">
            <v xml:space="preserve">Contax </v>
          </cell>
          <cell r="J224" t="str">
            <v xml:space="preserve"> Dir. Oi</v>
          </cell>
        </row>
        <row r="225">
          <cell r="B225" t="str">
            <v>CTXNITSP-176224</v>
          </cell>
          <cell r="C225" t="str">
            <v>Projeto - "Discador 4011"</v>
          </cell>
          <cell r="D225" t="str">
            <v>Sem responsável</v>
          </cell>
          <cell r="E225" t="str">
            <v>Jill Ullmann Ortiz</v>
          </cell>
          <cell r="F225" t="str">
            <v>Registrado</v>
          </cell>
          <cell r="G225">
            <v>42381.734722222223</v>
          </cell>
          <cell r="I225" t="str">
            <v xml:space="preserve">Contax </v>
          </cell>
          <cell r="J225" t="str">
            <v xml:space="preserve"> Dir. Oi</v>
          </cell>
        </row>
        <row r="226">
          <cell r="B226" t="str">
            <v>CTXNITSP-176226</v>
          </cell>
          <cell r="C226" t="str">
            <v>Projeto - "Nice SAV Entrega"</v>
          </cell>
          <cell r="D226" t="str">
            <v>Sem responsável</v>
          </cell>
          <cell r="E226" t="str">
            <v>Jill Ullmann Ortiz</v>
          </cell>
          <cell r="F226" t="str">
            <v>Registrado</v>
          </cell>
          <cell r="G226">
            <v>42381.753472222219</v>
          </cell>
          <cell r="I226" t="str">
            <v xml:space="preserve">Contax </v>
          </cell>
          <cell r="J226" t="str">
            <v xml:space="preserve"> Dir. Oi</v>
          </cell>
        </row>
        <row r="227">
          <cell r="B227" t="str">
            <v>CTXNITSP-176228</v>
          </cell>
          <cell r="C227" t="str">
            <v>Projeto - NICE Operações Auditorias e BO's</v>
          </cell>
          <cell r="D227" t="str">
            <v>Sem responsável</v>
          </cell>
          <cell r="E227" t="str">
            <v>Leonardo Pellegrini Vieira</v>
          </cell>
          <cell r="F227" t="str">
            <v>Registrado</v>
          </cell>
          <cell r="G227">
            <v>42381.767361111109</v>
          </cell>
          <cell r="I227" t="str">
            <v xml:space="preserve">Contax </v>
          </cell>
          <cell r="J227" t="str">
            <v xml:space="preserve"> Dir. Oi</v>
          </cell>
        </row>
        <row r="228">
          <cell r="B228" t="str">
            <v>CTXNITSP-176231</v>
          </cell>
          <cell r="C228" t="str">
            <v>Projeto - Front End para a operação BLITZ DA AUDITORIA DE VENDAS</v>
          </cell>
          <cell r="D228" t="str">
            <v>Sem responsável</v>
          </cell>
          <cell r="E228" t="str">
            <v>Leonardo Pellegrini Vieira</v>
          </cell>
          <cell r="F228" t="str">
            <v>Registrado</v>
          </cell>
          <cell r="G228">
            <v>42381.779166666667</v>
          </cell>
          <cell r="I228" t="str">
            <v xml:space="preserve">Contax </v>
          </cell>
          <cell r="J228" t="str">
            <v xml:space="preserve"> Dir. Oi</v>
          </cell>
        </row>
        <row r="229">
          <cell r="B229" t="str">
            <v>CTXNITSP-176458</v>
          </cell>
          <cell r="C229" t="str">
            <v>Projeto - "Tetris Niterói"</v>
          </cell>
          <cell r="D229" t="str">
            <v>Sem responsável</v>
          </cell>
          <cell r="E229" t="str">
            <v>Jill Ullmann Ortiz</v>
          </cell>
          <cell r="F229" t="str">
            <v>Registrado</v>
          </cell>
          <cell r="G229">
            <v>42383.629861111112</v>
          </cell>
          <cell r="I229" t="str">
            <v xml:space="preserve">Contax </v>
          </cell>
          <cell r="J229" t="str">
            <v xml:space="preserve"> Dir. Oi</v>
          </cell>
        </row>
        <row r="230">
          <cell r="B230" t="str">
            <v>CTXNITSP-176570</v>
          </cell>
          <cell r="C230" t="str">
            <v>Projeto - "Tetris Niterói fase 4"</v>
          </cell>
          <cell r="D230" t="str">
            <v>Sem responsável</v>
          </cell>
          <cell r="E230" t="str">
            <v>Jill Ullmann Ortiz</v>
          </cell>
          <cell r="F230" t="str">
            <v>Registrado</v>
          </cell>
          <cell r="G230">
            <v>42384.724999999999</v>
          </cell>
          <cell r="I230" t="str">
            <v xml:space="preserve">Contax </v>
          </cell>
          <cell r="J230" t="str">
            <v xml:space="preserve"> Dir. Oi</v>
          </cell>
        </row>
        <row r="231">
          <cell r="B231" t="str">
            <v>CTXNITSP-176576</v>
          </cell>
          <cell r="C231" t="str">
            <v>Projeto - "Tetris Niteroi Fase 8"</v>
          </cell>
          <cell r="D231" t="str">
            <v>Sem responsável</v>
          </cell>
          <cell r="E231" t="str">
            <v>Jill Ullmann Ortiz</v>
          </cell>
          <cell r="F231" t="str">
            <v>Registrado</v>
          </cell>
          <cell r="G231">
            <v>42384.782638888886</v>
          </cell>
          <cell r="I231" t="str">
            <v xml:space="preserve">Contax </v>
          </cell>
          <cell r="J231" t="str">
            <v xml:space="preserve"> Dir. Oi</v>
          </cell>
        </row>
        <row r="232">
          <cell r="B232" t="str">
            <v>CTXNITSP-177142</v>
          </cell>
          <cell r="C232" t="str">
            <v>Projeto - "Por favor, usuário, utilizar este campo para informar o nome do Projeto"</v>
          </cell>
          <cell r="D232" t="str">
            <v>Sem responsável</v>
          </cell>
          <cell r="E232" t="str">
            <v>Rodrigo Ribeiro de Araujo</v>
          </cell>
          <cell r="F232" t="str">
            <v>Registrado</v>
          </cell>
          <cell r="G232">
            <v>42394.663888888892</v>
          </cell>
          <cell r="I232" t="str">
            <v xml:space="preserve">Contax </v>
          </cell>
          <cell r="J232" t="str">
            <v xml:space="preserve"> Dir. Oi</v>
          </cell>
        </row>
        <row r="233">
          <cell r="B233" t="str">
            <v>CTXNITSP-177143</v>
          </cell>
          <cell r="C233" t="str">
            <v>Projeto - Tetris Niterói Fase 9</v>
          </cell>
          <cell r="D233" t="str">
            <v>Sem responsável</v>
          </cell>
          <cell r="E233" t="str">
            <v>Rodrigo Ribeiro de Araujo</v>
          </cell>
          <cell r="F233" t="str">
            <v>Registrado</v>
          </cell>
          <cell r="G233">
            <v>42394.665972222225</v>
          </cell>
          <cell r="I233" t="str">
            <v xml:space="preserve">Contax </v>
          </cell>
          <cell r="J233" t="str">
            <v xml:space="preserve"> Dir. Oi</v>
          </cell>
        </row>
        <row r="234">
          <cell r="B234" t="str">
            <v>CTXNITSP-177305</v>
          </cell>
          <cell r="C234" t="str">
            <v>Baixa Diária Clientes R2</v>
          </cell>
          <cell r="D234" t="str">
            <v>Julio Cesar da Silva</v>
          </cell>
          <cell r="E234" t="str">
            <v>Tatiane Rodrigues Dallecrode</v>
          </cell>
          <cell r="F234" t="str">
            <v>Registrado</v>
          </cell>
          <cell r="G234">
            <v>42396.715277777781</v>
          </cell>
          <cell r="I234" t="str">
            <v xml:space="preserve">Oi </v>
          </cell>
          <cell r="J234" t="str">
            <v xml:space="preserve"> Retenção Empresarial</v>
          </cell>
        </row>
        <row r="235">
          <cell r="B235" t="str">
            <v>CTXNITSP-177338</v>
          </cell>
          <cell r="C235" t="str">
            <v>POP 4 - Otimização Site Niterói - Retenção Empresarial</v>
          </cell>
          <cell r="D235" t="str">
            <v>Sem responsável</v>
          </cell>
          <cell r="E235" t="str">
            <v>Tatiane Rodrigues Dallecrode</v>
          </cell>
          <cell r="F235" t="str">
            <v>Registrado</v>
          </cell>
          <cell r="G235">
            <v>42397.463888888888</v>
          </cell>
          <cell r="I235" t="str">
            <v xml:space="preserve">Oi </v>
          </cell>
          <cell r="J235" t="str">
            <v xml:space="preserve"> Retenção Empresarial</v>
          </cell>
        </row>
        <row r="236">
          <cell r="B236" t="str">
            <v>CTXNITSP-177464</v>
          </cell>
          <cell r="C236" t="str">
            <v>Projeto - Crescimento/Forecast</v>
          </cell>
          <cell r="D236" t="str">
            <v>Erica Fernandes Cotrim</v>
          </cell>
          <cell r="E236" t="str">
            <v>Anne Catharina de Oliveira Coutinho</v>
          </cell>
          <cell r="F236" t="str">
            <v>Registrado</v>
          </cell>
          <cell r="G236">
            <v>42398.752083333333</v>
          </cell>
          <cell r="I236" t="str">
            <v xml:space="preserve">Oi </v>
          </cell>
          <cell r="J236" t="str">
            <v xml:space="preserve"> Dealer</v>
          </cell>
        </row>
        <row r="237">
          <cell r="B237" t="str">
            <v>CTXNITSP-177469</v>
          </cell>
          <cell r="C237" t="str">
            <v>Projeto - Crescimento/Forecast OI Total 1º andar anexo</v>
          </cell>
          <cell r="D237" t="str">
            <v>Erica Fernandes Cotrim</v>
          </cell>
          <cell r="E237" t="str">
            <v>Anne Catharina de Oliveira Coutinho</v>
          </cell>
          <cell r="F237" t="str">
            <v>Registrado</v>
          </cell>
          <cell r="G237">
            <v>42398.763888888891</v>
          </cell>
          <cell r="I237" t="str">
            <v xml:space="preserve">Oi </v>
          </cell>
          <cell r="J237" t="str">
            <v xml:space="preserve"> OI TV</v>
          </cell>
        </row>
        <row r="238">
          <cell r="B238" t="str">
            <v>CTXNITSP-177470</v>
          </cell>
          <cell r="C238" t="str">
            <v>Projeto - Crescimento/Forecast Dealer 9º andar</v>
          </cell>
          <cell r="D238" t="str">
            <v>Erica Fernandes Cotrim</v>
          </cell>
          <cell r="E238" t="str">
            <v>Anne Catharina de Oliveira Coutinho</v>
          </cell>
          <cell r="F238" t="str">
            <v>Registrado</v>
          </cell>
          <cell r="G238">
            <v>42398.767361111109</v>
          </cell>
          <cell r="I238" t="str">
            <v xml:space="preserve">Oi </v>
          </cell>
          <cell r="J238" t="str">
            <v xml:space="preserve"> Dealer</v>
          </cell>
        </row>
        <row r="239">
          <cell r="B239" t="str">
            <v>CTXNITSP-177471</v>
          </cell>
          <cell r="C239" t="str">
            <v>Projeto - Crescimento/Forecast PAP</v>
          </cell>
          <cell r="D239" t="str">
            <v>Erica Fernandes Cotrim</v>
          </cell>
          <cell r="E239" t="str">
            <v>Anne Catharina de Oliveira Coutinho</v>
          </cell>
          <cell r="F239" t="str">
            <v>Registrado</v>
          </cell>
          <cell r="G239">
            <v>42398.770833333336</v>
          </cell>
          <cell r="I239" t="str">
            <v xml:space="preserve">Oi </v>
          </cell>
          <cell r="J239" t="str">
            <v xml:space="preserve"> SAC</v>
          </cell>
        </row>
        <row r="240">
          <cell r="B240" t="str">
            <v>CTXNITSP-177472</v>
          </cell>
          <cell r="C240" t="str">
            <v>Projeto - Crescimento/Forecast SAC 9º andar</v>
          </cell>
          <cell r="D240" t="str">
            <v>Anne Catharina de Oliveira Coutinho</v>
          </cell>
          <cell r="E240" t="str">
            <v>Anne Catharina de Oliveira Coutinho</v>
          </cell>
          <cell r="F240" t="str">
            <v>Fechado</v>
          </cell>
          <cell r="G240">
            <v>42398.772916666669</v>
          </cell>
          <cell r="H240">
            <v>42415.652777777781</v>
          </cell>
          <cell r="I240" t="str">
            <v xml:space="preserve">Oi </v>
          </cell>
          <cell r="J240" t="str">
            <v xml:space="preserve"> SAC</v>
          </cell>
        </row>
        <row r="241">
          <cell r="B241" t="str">
            <v>CTXNITSP-177581</v>
          </cell>
          <cell r="C241" t="str">
            <v>Tetris Niterói - Operação Suporte Unificado</v>
          </cell>
          <cell r="D241" t="str">
            <v>Sem responsável</v>
          </cell>
          <cell r="E241" t="str">
            <v>Alexsander Alves Santos</v>
          </cell>
          <cell r="F241" t="str">
            <v>Registrado</v>
          </cell>
          <cell r="G241">
            <v>42401.593055555553</v>
          </cell>
          <cell r="I241" t="str">
            <v xml:space="preserve">Contax </v>
          </cell>
          <cell r="J241" t="str">
            <v xml:space="preserve"> Ger Produtos SAC</v>
          </cell>
        </row>
        <row r="242">
          <cell r="B242" t="str">
            <v>CTXNITSP-177715</v>
          </cell>
          <cell r="C242" t="str">
            <v>Projeto - Criar 0800 para atender ao volume de chamados classifficadas como pendência Fixo e Velox.</v>
          </cell>
          <cell r="D242" t="str">
            <v>Sem responsável</v>
          </cell>
          <cell r="E242" t="str">
            <v>Rodrigo Ribeiro de Araujo</v>
          </cell>
          <cell r="F242" t="str">
            <v>Registrado</v>
          </cell>
          <cell r="G242">
            <v>42402.662499999999</v>
          </cell>
          <cell r="I242" t="str">
            <v xml:space="preserve">Contax </v>
          </cell>
          <cell r="J242" t="str">
            <v xml:space="preserve"> Dir. Oi</v>
          </cell>
        </row>
        <row r="243">
          <cell r="B243" t="str">
            <v>CTXNITSP-177716</v>
          </cell>
          <cell r="C243" t="str">
            <v>Projeto - Criar 0800 para atender ao volume de chamadas classifficadas como pendência Fixo e Velox.</v>
          </cell>
          <cell r="D243" t="str">
            <v>Sem responsável</v>
          </cell>
          <cell r="E243" t="str">
            <v>Rodrigo Ribeiro de Araujo</v>
          </cell>
          <cell r="F243" t="str">
            <v>Registrado</v>
          </cell>
          <cell r="G243">
            <v>42402.663888888892</v>
          </cell>
          <cell r="I243" t="str">
            <v xml:space="preserve">Contax </v>
          </cell>
          <cell r="J243" t="str">
            <v xml:space="preserve"> Dir. Oi</v>
          </cell>
        </row>
        <row r="244">
          <cell r="B244" t="str">
            <v>CTXNITSP-177717</v>
          </cell>
          <cell r="C244" t="str">
            <v>Projeto - Favor criar plano de gravação para 24 posições do BO DADOS e BO NBA. Essa solução de gravação deve ser NICE e garantir integração com TLV.</v>
          </cell>
          <cell r="D244" t="str">
            <v>Sem responsável</v>
          </cell>
          <cell r="E244" t="str">
            <v>Rodrigo Ribeiro de Araujo</v>
          </cell>
          <cell r="F244" t="str">
            <v>Registrado</v>
          </cell>
          <cell r="G244">
            <v>42402.6875</v>
          </cell>
          <cell r="I244" t="str">
            <v xml:space="preserve">Contax </v>
          </cell>
          <cell r="J244" t="str">
            <v xml:space="preserve"> Dir. Oi</v>
          </cell>
        </row>
        <row r="245">
          <cell r="B245" t="str">
            <v>CTXNITSP-178203</v>
          </cell>
          <cell r="C245" t="str">
            <v>Projeto - Gravação das Chamadas do CRV com Telas</v>
          </cell>
          <cell r="D245" t="str">
            <v>Sem responsável</v>
          </cell>
          <cell r="E245" t="str">
            <v>Rodrigo Ribeiro de Araujo</v>
          </cell>
          <cell r="F245" t="str">
            <v>Registrado</v>
          </cell>
          <cell r="G245">
            <v>42412.572916666664</v>
          </cell>
          <cell r="I245" t="str">
            <v xml:space="preserve">Contax </v>
          </cell>
          <cell r="J245" t="str">
            <v xml:space="preserve"> Dir. Oi</v>
          </cell>
        </row>
        <row r="246">
          <cell r="B246" t="str">
            <v>CTXNITSP-178373</v>
          </cell>
          <cell r="C246" t="str">
            <v>Projeto - Automação: Pendenciar e Cancelar OS</v>
          </cell>
          <cell r="D246" t="str">
            <v>Sem responsável</v>
          </cell>
          <cell r="E246" t="str">
            <v>Leonardo Pellegrini Vieira</v>
          </cell>
          <cell r="F246" t="str">
            <v>Registrado</v>
          </cell>
          <cell r="G246">
            <v>42416.544444444444</v>
          </cell>
          <cell r="I246" t="str">
            <v xml:space="preserve">Contax </v>
          </cell>
          <cell r="J246" t="str">
            <v xml:space="preserve"> Dir. Oi</v>
          </cell>
        </row>
        <row r="247">
          <cell r="B247" t="str">
            <v>CTXNITSP-178374</v>
          </cell>
          <cell r="C247" t="str">
            <v>Projeto - Automação: Busca de contato</v>
          </cell>
          <cell r="D247" t="str">
            <v>Sem responsável</v>
          </cell>
          <cell r="E247" t="str">
            <v>Leonardo Pellegrini Vieira</v>
          </cell>
          <cell r="F247" t="str">
            <v>Registrado</v>
          </cell>
          <cell r="G247">
            <v>42416.552083333336</v>
          </cell>
          <cell r="I247" t="str">
            <v xml:space="preserve">Contax </v>
          </cell>
          <cell r="J247" t="str">
            <v xml:space="preserve"> Dir. Oi</v>
          </cell>
        </row>
        <row r="248">
          <cell r="B248" t="str">
            <v>CTXNITSP-178375</v>
          </cell>
          <cell r="C248" t="str">
            <v>Projeto - Automação: Cancelamento / Liberação de OS</v>
          </cell>
          <cell r="D248" t="str">
            <v>Sem responsável</v>
          </cell>
          <cell r="E248" t="str">
            <v>Leonardo Pellegrini Vieira</v>
          </cell>
          <cell r="F248" t="str">
            <v>Registrado</v>
          </cell>
          <cell r="G248">
            <v>42416.555555555555</v>
          </cell>
          <cell r="I248" t="str">
            <v xml:space="preserve">Contax </v>
          </cell>
          <cell r="J248" t="str">
            <v xml:space="preserve"> Dir. Oi</v>
          </cell>
        </row>
        <row r="249">
          <cell r="B249" t="str">
            <v>CTXNITSP-178541</v>
          </cell>
          <cell r="C249" t="str">
            <v>Projeto - TLV - BO DADOS</v>
          </cell>
          <cell r="D249" t="str">
            <v>Sem responsável</v>
          </cell>
          <cell r="E249" t="str">
            <v>Rodrigo Ribeiro de Araujo</v>
          </cell>
          <cell r="F249" t="str">
            <v>Registrado</v>
          </cell>
          <cell r="G249">
            <v>42418.540277777778</v>
          </cell>
          <cell r="I249" t="str">
            <v xml:space="preserve">Contax </v>
          </cell>
          <cell r="J249" t="str">
            <v xml:space="preserve"> Dir. Oi</v>
          </cell>
        </row>
        <row r="250">
          <cell r="B250" t="str">
            <v>CTXNITSP-178545</v>
          </cell>
          <cell r="C250" t="str">
            <v>Projeto - TLV - BO NBA</v>
          </cell>
          <cell r="D250" t="str">
            <v>Sem responsável</v>
          </cell>
          <cell r="E250" t="str">
            <v>Rodrigo Ribeiro de Araujo</v>
          </cell>
          <cell r="F250" t="str">
            <v>Registrado</v>
          </cell>
          <cell r="G250">
            <v>42418.564583333333</v>
          </cell>
          <cell r="I250" t="str">
            <v xml:space="preserve">Contax </v>
          </cell>
          <cell r="J250" t="str">
            <v xml:space="preserve"> Dir. Oi</v>
          </cell>
        </row>
        <row r="251">
          <cell r="B251" t="str">
            <v>CTXPOARB-100112</v>
          </cell>
          <cell r="C251" t="str">
            <v>Projeto - Automatizar processo de cargas de mailing na Operação Souza Cruz</v>
          </cell>
          <cell r="D251" t="str">
            <v>Sem responsável</v>
          </cell>
          <cell r="E251" t="str">
            <v>Juliano Molina</v>
          </cell>
          <cell r="F251" t="str">
            <v>Registrado</v>
          </cell>
          <cell r="G251">
            <v>42381.59652777778</v>
          </cell>
          <cell r="I251" t="str">
            <v xml:space="preserve">Souza Cruz </v>
          </cell>
          <cell r="J251" t="str">
            <v xml:space="preserve"> Souza Cruz</v>
          </cell>
        </row>
        <row r="252">
          <cell r="B252" t="str">
            <v>CTXPOARB-101179</v>
          </cell>
          <cell r="C252" t="str">
            <v>Projeto - Implantar acionamento de pausas pelo supervisor - tSupervisor</v>
          </cell>
          <cell r="D252" t="str">
            <v>Sem responsável</v>
          </cell>
          <cell r="E252" t="str">
            <v>Juliano Molina</v>
          </cell>
          <cell r="F252" t="str">
            <v>Registrado</v>
          </cell>
          <cell r="G252">
            <v>42397.425694444442</v>
          </cell>
          <cell r="I252" t="str">
            <v xml:space="preserve">Souza Cruz </v>
          </cell>
          <cell r="J252" t="str">
            <v xml:space="preserve"> Souza Cruz</v>
          </cell>
        </row>
        <row r="253">
          <cell r="B253" t="str">
            <v>CTXPOARB-101274</v>
          </cell>
          <cell r="C253" t="str">
            <v>Projeto - Crescimento da Operação Souza Cruz</v>
          </cell>
          <cell r="D253" t="str">
            <v>BRUNO DIEGO ANTUNES RIBEIRO</v>
          </cell>
          <cell r="E253" t="str">
            <v>Juliano Molina</v>
          </cell>
          <cell r="F253" t="str">
            <v>Registrado</v>
          </cell>
          <cell r="G253">
            <v>42398.690972222219</v>
          </cell>
          <cell r="I253" t="str">
            <v xml:space="preserve">Contax </v>
          </cell>
          <cell r="J253" t="str">
            <v xml:space="preserve"> Dir. Clientes Premium</v>
          </cell>
        </row>
        <row r="254">
          <cell r="B254" t="str">
            <v>CTXPOARB-101511</v>
          </cell>
          <cell r="C254" t="str">
            <v>Projeto - Migração da operação Souza Cruz - Mesmo site</v>
          </cell>
          <cell r="D254" t="str">
            <v>BRUNO DIEGO ANTUNES RIBEIRO</v>
          </cell>
          <cell r="E254" t="str">
            <v>Juliano Molina</v>
          </cell>
          <cell r="F254" t="str">
            <v>Registrado</v>
          </cell>
          <cell r="G254">
            <v>42403.436805555553</v>
          </cell>
          <cell r="I254" t="str">
            <v xml:space="preserve">Contax </v>
          </cell>
          <cell r="J254" t="str">
            <v xml:space="preserve"> Dir. Clientes Premium</v>
          </cell>
        </row>
        <row r="255">
          <cell r="B255" t="str">
            <v>CTXPOARB-102110</v>
          </cell>
          <cell r="C255" t="str">
            <v>Projeto - Implantação de licenças COTI - Monitoramento do NET SMS</v>
          </cell>
          <cell r="D255" t="str">
            <v>Juliano Molina</v>
          </cell>
          <cell r="E255" t="str">
            <v>Juliano Molina</v>
          </cell>
          <cell r="F255" t="str">
            <v>Fechado</v>
          </cell>
          <cell r="G255">
            <v>42412.400694444441</v>
          </cell>
          <cell r="H255">
            <v>42417.779166666667</v>
          </cell>
          <cell r="I255" t="str">
            <v xml:space="preserve">Contax </v>
          </cell>
          <cell r="J255" t="str">
            <v xml:space="preserve"> Dir. Clientes Premium</v>
          </cell>
        </row>
        <row r="256">
          <cell r="B256" t="str">
            <v>CTXPOARB-85984</v>
          </cell>
          <cell r="C256" t="str">
            <v>Projeto RTI - Registro da Ocorrência de Callback</v>
          </cell>
          <cell r="D256" t="str">
            <v>Debora Gercke Dominas</v>
          </cell>
          <cell r="E256" t="str">
            <v>Flavio Reto</v>
          </cell>
          <cell r="F256" t="str">
            <v>Aberto</v>
          </cell>
          <cell r="G256">
            <v>42090.719444444447</v>
          </cell>
          <cell r="I256" t="str">
            <v xml:space="preserve">Net </v>
          </cell>
          <cell r="J256" t="str">
            <v xml:space="preserve"> Outras Ocorrências</v>
          </cell>
        </row>
        <row r="257">
          <cell r="B257" t="str">
            <v>CTXPOARB-85985</v>
          </cell>
          <cell r="C257" t="str">
            <v>Projeto - RTI - Auxílio no atendimento de Busca Pagamentos</v>
          </cell>
          <cell r="D257" t="str">
            <v>Flavio Reto</v>
          </cell>
          <cell r="E257" t="str">
            <v>Flavio Reto</v>
          </cell>
          <cell r="F257" t="str">
            <v>Fechado</v>
          </cell>
          <cell r="G257">
            <v>42090.722222222219</v>
          </cell>
          <cell r="H257">
            <v>42353.536805555559</v>
          </cell>
          <cell r="I257" t="str">
            <v xml:space="preserve">Net </v>
          </cell>
          <cell r="J257" t="str">
            <v xml:space="preserve"> Outras Ocorrências</v>
          </cell>
        </row>
        <row r="258">
          <cell r="B258" t="str">
            <v>CTXPOARB-87226</v>
          </cell>
          <cell r="C258" t="str">
            <v>Projeto - Substituição de servidor - MIS operação NET</v>
          </cell>
          <cell r="D258" t="str">
            <v>Nelson Klaus Araujo Goncalves</v>
          </cell>
          <cell r="E258" t="str">
            <v>Juliano Molina</v>
          </cell>
          <cell r="F258" t="str">
            <v>Aberto</v>
          </cell>
          <cell r="G258">
            <v>42117.663194444445</v>
          </cell>
          <cell r="I258" t="str">
            <v xml:space="preserve">Contax </v>
          </cell>
          <cell r="J258" t="str">
            <v xml:space="preserve"> Dir. Clientes Premium</v>
          </cell>
        </row>
        <row r="259">
          <cell r="B259" t="str">
            <v>CTXPOARB-90125</v>
          </cell>
          <cell r="C259" t="str">
            <v>RTI NET- Desabilitado por Opção</v>
          </cell>
          <cell r="D259" t="str">
            <v>Dalton Bondesan</v>
          </cell>
          <cell r="E259" t="str">
            <v>Flavio Reto</v>
          </cell>
          <cell r="F259" t="str">
            <v>Registrado</v>
          </cell>
          <cell r="G259">
            <v>42178.823611111111</v>
          </cell>
          <cell r="I259" t="str">
            <v xml:space="preserve">Net </v>
          </cell>
          <cell r="J259" t="str">
            <v xml:space="preserve"> Outras Ocorrências</v>
          </cell>
        </row>
        <row r="260">
          <cell r="B260" t="str">
            <v>CTXPOARB-90126</v>
          </cell>
          <cell r="C260" t="str">
            <v>RTI NET - Alteração na mensagem do Pop Up</v>
          </cell>
          <cell r="D260" t="str">
            <v>Dalton Bondesan</v>
          </cell>
          <cell r="E260" t="str">
            <v>Flavio Reto</v>
          </cell>
          <cell r="F260" t="str">
            <v>Registrado</v>
          </cell>
          <cell r="G260">
            <v>42178.833333333336</v>
          </cell>
          <cell r="I260" t="str">
            <v xml:space="preserve">Net </v>
          </cell>
          <cell r="J260" t="str">
            <v xml:space="preserve"> Outras Ocorrências</v>
          </cell>
        </row>
        <row r="261">
          <cell r="B261" t="str">
            <v>CTXPOARB-90275</v>
          </cell>
          <cell r="C261" t="str">
            <v>Adequação versão 1117022 RTI NET - de SIGMA para NOVOSIGMA</v>
          </cell>
          <cell r="D261" t="str">
            <v>Flavio Reto</v>
          </cell>
          <cell r="E261" t="str">
            <v>Flavio Reto</v>
          </cell>
          <cell r="F261" t="str">
            <v>Fechado</v>
          </cell>
          <cell r="G261">
            <v>42181.831250000003</v>
          </cell>
          <cell r="H261">
            <v>42353.486111111109</v>
          </cell>
          <cell r="I261" t="str">
            <v xml:space="preserve">Net </v>
          </cell>
          <cell r="J261" t="str">
            <v xml:space="preserve"> Outras Ocorrências</v>
          </cell>
        </row>
        <row r="262">
          <cell r="B262" t="str">
            <v>CTXPOARB-91289</v>
          </cell>
          <cell r="C262" t="str">
            <v>Projeto - Ampliar 90 portas de URA do atendimento RJO (Tronco Chave 051 3455-1300)</v>
          </cell>
          <cell r="D262" t="str">
            <v>Juliano Molina</v>
          </cell>
          <cell r="E262" t="str">
            <v>Juliano Molina</v>
          </cell>
          <cell r="F262" t="str">
            <v>Fechado</v>
          </cell>
          <cell r="G262">
            <v>42205.430555555555</v>
          </cell>
          <cell r="H262">
            <v>42377.491666666669</v>
          </cell>
          <cell r="I262" t="str">
            <v xml:space="preserve">Contax </v>
          </cell>
          <cell r="J262" t="str">
            <v xml:space="preserve"> Dir. Clientes Premium</v>
          </cell>
        </row>
        <row r="263">
          <cell r="B263" t="str">
            <v>CTXPOARB-91371</v>
          </cell>
          <cell r="C263" t="str">
            <v>Projeto - Implantar um novo tronco entre Almaviva Aracaju X Contax com 60 canais</v>
          </cell>
          <cell r="D263" t="str">
            <v>Juliano Molina</v>
          </cell>
          <cell r="E263" t="str">
            <v>Juliano Molina</v>
          </cell>
          <cell r="F263" t="str">
            <v>Fechado</v>
          </cell>
          <cell r="G263">
            <v>42206.638888888891</v>
          </cell>
          <cell r="H263">
            <v>42377.698611111111</v>
          </cell>
          <cell r="I263" t="str">
            <v xml:space="preserve">Contax </v>
          </cell>
          <cell r="J263" t="str">
            <v xml:space="preserve"> Dir. Clientes Premium</v>
          </cell>
        </row>
        <row r="264">
          <cell r="B264" t="str">
            <v>CTXPOARB-91679</v>
          </cell>
          <cell r="C264" t="str">
            <v>Projeto - Melhoria no discador da Operação Souza Cruz</v>
          </cell>
          <cell r="D264" t="str">
            <v>Julio Cesar da Silva</v>
          </cell>
          <cell r="E264" t="str">
            <v>Juliano Molina</v>
          </cell>
          <cell r="F264" t="str">
            <v>Registrado</v>
          </cell>
          <cell r="G264">
            <v>42214.393750000003</v>
          </cell>
          <cell r="I264" t="str">
            <v xml:space="preserve">Contax </v>
          </cell>
          <cell r="J264" t="str">
            <v xml:space="preserve"> Dir. Clientes Premium</v>
          </cell>
        </row>
        <row r="265">
          <cell r="B265" t="str">
            <v>CTXPOARB-92840</v>
          </cell>
          <cell r="C265" t="str">
            <v>Projeto - Projeto Implantar servidor para Ferramenta Evalyze</v>
          </cell>
          <cell r="D265" t="str">
            <v>Juliano Molina</v>
          </cell>
          <cell r="E265" t="str">
            <v>Juliano Molina</v>
          </cell>
          <cell r="F265" t="str">
            <v>Fechado</v>
          </cell>
          <cell r="G265">
            <v>42240.420138888891</v>
          </cell>
          <cell r="H265">
            <v>42382.652777777781</v>
          </cell>
          <cell r="I265" t="str">
            <v xml:space="preserve">Contax </v>
          </cell>
          <cell r="J265" t="str">
            <v xml:space="preserve"> Dir. Clientes Premium</v>
          </cell>
        </row>
        <row r="266">
          <cell r="B266" t="str">
            <v>CTXPOARB-93327</v>
          </cell>
          <cell r="C266" t="str">
            <v>Projeto - Implantar o link de dados e voz da Operação Souza Cruz</v>
          </cell>
          <cell r="D266" t="str">
            <v>Dalton Bondesan</v>
          </cell>
          <cell r="E266" t="str">
            <v>Juliano Molina</v>
          </cell>
          <cell r="F266" t="str">
            <v>Em Andamento</v>
          </cell>
          <cell r="G266">
            <v>42250.65347222222</v>
          </cell>
          <cell r="I266" t="str">
            <v xml:space="preserve">Souza Cruz </v>
          </cell>
          <cell r="J266" t="str">
            <v xml:space="preserve"> Souza Cruz</v>
          </cell>
        </row>
        <row r="267">
          <cell r="B267" t="str">
            <v>CTXPOARB-94333</v>
          </cell>
          <cell r="C267" t="str">
            <v>Projeto - Adequação do RTI NET para uso com o Internet Explorer 10</v>
          </cell>
          <cell r="D267" t="str">
            <v>Juliano Molina</v>
          </cell>
          <cell r="E267" t="str">
            <v>Juliano Molina</v>
          </cell>
          <cell r="F267" t="str">
            <v>Fechado</v>
          </cell>
          <cell r="G267">
            <v>42276.40625</v>
          </cell>
          <cell r="H267">
            <v>42390.71875</v>
          </cell>
          <cell r="I267" t="str">
            <v xml:space="preserve">Contax </v>
          </cell>
          <cell r="J267" t="str">
            <v xml:space="preserve"> Dir. Clientes Premium</v>
          </cell>
        </row>
        <row r="268">
          <cell r="B268" t="str">
            <v>CTXPOARB-95971</v>
          </cell>
          <cell r="C268" t="str">
            <v>Projeto - Melhoria no Discador Disca Fácil - Priorizar Contatos por horário</v>
          </cell>
          <cell r="D268" t="str">
            <v>Julio Cesar da Silva</v>
          </cell>
          <cell r="E268" t="str">
            <v>Juliano Molina</v>
          </cell>
          <cell r="F268" t="str">
            <v>Registrado</v>
          </cell>
          <cell r="G268">
            <v>42312.611111111109</v>
          </cell>
          <cell r="I268" t="str">
            <v xml:space="preserve">Souza Cruz </v>
          </cell>
          <cell r="J268" t="str">
            <v xml:space="preserve"> Souza Cruz</v>
          </cell>
        </row>
        <row r="269">
          <cell r="B269" t="str">
            <v>CTXPOARB-96282</v>
          </cell>
          <cell r="C269" t="str">
            <v>Projeto - Implantar o Front Fácil na operação de BKO da NET</v>
          </cell>
          <cell r="D269" t="str">
            <v>Bruno Guerra Ferreira</v>
          </cell>
          <cell r="E269" t="str">
            <v>Juliano Molina</v>
          </cell>
          <cell r="F269" t="str">
            <v>Registrado</v>
          </cell>
          <cell r="G269">
            <v>42318.458333333336</v>
          </cell>
          <cell r="I269" t="str">
            <v xml:space="preserve">Contax </v>
          </cell>
          <cell r="J269" t="str">
            <v xml:space="preserve"> Dir. Clientes Premium</v>
          </cell>
        </row>
        <row r="270">
          <cell r="B270" t="str">
            <v>CTXPOARB-96972</v>
          </cell>
          <cell r="C270" t="str">
            <v>Projeto - Adequar infra de telecom do site para atender o Forecast de 2016</v>
          </cell>
          <cell r="D270" t="str">
            <v>Juliano Molina</v>
          </cell>
          <cell r="E270" t="str">
            <v>Juliano Molina</v>
          </cell>
          <cell r="F270" t="str">
            <v>Fechado</v>
          </cell>
          <cell r="G270">
            <v>42332.683333333334</v>
          </cell>
          <cell r="H270">
            <v>42374.609027777777</v>
          </cell>
          <cell r="I270" t="str">
            <v xml:space="preserve">Contax </v>
          </cell>
          <cell r="J270" t="str">
            <v xml:space="preserve"> Dir. Clientes Premium</v>
          </cell>
        </row>
        <row r="271">
          <cell r="B271" t="str">
            <v>CTXPOARB-97639</v>
          </cell>
          <cell r="C271" t="str">
            <v>Projeto - Crescimento / Forecast - 195 PAs para a operação NET - Site Navegantes</v>
          </cell>
          <cell r="D271" t="str">
            <v>Juliano Molina</v>
          </cell>
          <cell r="E271" t="str">
            <v>Juliano Molina</v>
          </cell>
          <cell r="F271" t="str">
            <v>Fechado</v>
          </cell>
          <cell r="G271">
            <v>42346.48541666667</v>
          </cell>
          <cell r="H271">
            <v>42374.61041666667</v>
          </cell>
          <cell r="I271" t="str">
            <v xml:space="preserve">Contax </v>
          </cell>
          <cell r="J271" t="str">
            <v xml:space="preserve"> Dir. Clientes Premium</v>
          </cell>
        </row>
        <row r="272">
          <cell r="B272" t="str">
            <v>CTXPOARB-97651</v>
          </cell>
          <cell r="C272" t="str">
            <v>Projeto - Readequar quantidade de canais por troncos no Dac Navegantes</v>
          </cell>
          <cell r="D272" t="str">
            <v>Juliano Molina</v>
          </cell>
          <cell r="E272" t="str">
            <v>Juliano Molina</v>
          </cell>
          <cell r="F272" t="str">
            <v>Fechado</v>
          </cell>
          <cell r="G272">
            <v>42346.64166666667</v>
          </cell>
          <cell r="H272">
            <v>42374.60833333333</v>
          </cell>
          <cell r="I272" t="str">
            <v xml:space="preserve">Contax </v>
          </cell>
          <cell r="J272" t="str">
            <v xml:space="preserve"> Dir. Clientes Premium</v>
          </cell>
        </row>
        <row r="273">
          <cell r="B273" t="str">
            <v>CTXPOARB-97696</v>
          </cell>
          <cell r="C273" t="str">
            <v>Projeto - Infra para implantação de uma URA de Homologação no CPD</v>
          </cell>
          <cell r="D273" t="str">
            <v>Juliano Molina</v>
          </cell>
          <cell r="E273" t="str">
            <v>Juliano Molina</v>
          </cell>
          <cell r="F273" t="str">
            <v>Fechado</v>
          </cell>
          <cell r="G273">
            <v>42347.425694444442</v>
          </cell>
          <cell r="H273">
            <v>42360.490277777775</v>
          </cell>
          <cell r="I273" t="str">
            <v xml:space="preserve">Contax </v>
          </cell>
          <cell r="J273" t="str">
            <v xml:space="preserve"> Dir. Clientes Premium</v>
          </cell>
        </row>
        <row r="274">
          <cell r="B274" t="str">
            <v>CTXRBRSA-28</v>
          </cell>
          <cell r="C274" t="str">
            <v>Projeto - Projeto</v>
          </cell>
          <cell r="D274" t="str">
            <v>Administrador</v>
          </cell>
          <cell r="E274" t="str">
            <v>THIAGO ALVES FELIPPE</v>
          </cell>
          <cell r="F274" t="str">
            <v>Registrado</v>
          </cell>
          <cell r="G274">
            <v>42226.624305555553</v>
          </cell>
          <cell r="I274" t="str">
            <v xml:space="preserve">Contax </v>
          </cell>
          <cell r="J274" t="str">
            <v xml:space="preserve"> Ger Implantação</v>
          </cell>
        </row>
        <row r="275">
          <cell r="B275" t="str">
            <v>CTXRECAM-51761</v>
          </cell>
          <cell r="C275" t="str">
            <v>BASELINE - ITAU TELEVENDAS</v>
          </cell>
          <cell r="D275" t="str">
            <v>Marco Aurelio Brandao Duarte</v>
          </cell>
          <cell r="E275" t="str">
            <v>Marco Aurelio Brandao Duarte</v>
          </cell>
          <cell r="F275" t="str">
            <v>Fechado</v>
          </cell>
          <cell r="G275">
            <v>42137.597222222219</v>
          </cell>
          <cell r="H275">
            <v>42387.383333333331</v>
          </cell>
          <cell r="I275" t="str">
            <v xml:space="preserve">Itaú </v>
          </cell>
          <cell r="J275" t="str">
            <v xml:space="preserve"> Venda de Cartões</v>
          </cell>
        </row>
        <row r="276">
          <cell r="B276" t="str">
            <v>CTXRECAM-54297</v>
          </cell>
          <cell r="C276" t="str">
            <v>TLS: Protocolo de criptografia TLS 1.2</v>
          </cell>
          <cell r="D276" t="str">
            <v>Marco Aurelio Brandao Duarte</v>
          </cell>
          <cell r="E276" t="str">
            <v>Marco Aurelio Brandao Duarte</v>
          </cell>
          <cell r="F276" t="str">
            <v>Fechado</v>
          </cell>
          <cell r="G276">
            <v>42223.601388888892</v>
          </cell>
          <cell r="H276">
            <v>42387.384722222225</v>
          </cell>
          <cell r="I276" t="str">
            <v xml:space="preserve">Contax </v>
          </cell>
          <cell r="J276" t="str">
            <v xml:space="preserve"> Outro</v>
          </cell>
        </row>
        <row r="277">
          <cell r="B277" t="str">
            <v>CTXRECAM-55052</v>
          </cell>
          <cell r="C277" t="str">
            <v>BASELINE: IMPLANTAÇÃO DO PROCESSO DE AUDITORIA PARA TODAS OPERAÇÕES DO ITAÚ e REDECARD: SAC / COBRANÇA / TLV</v>
          </cell>
          <cell r="D277" t="str">
            <v>Marco Aurelio Brandao Duarte</v>
          </cell>
          <cell r="E277" t="str">
            <v>Marco Aurelio Brandao Duarte</v>
          </cell>
          <cell r="F277" t="str">
            <v>Fechado</v>
          </cell>
          <cell r="G277">
            <v>42264.70208333333</v>
          </cell>
          <cell r="H277">
            <v>42387.383333333331</v>
          </cell>
          <cell r="I277" t="str">
            <v xml:space="preserve">Contax </v>
          </cell>
          <cell r="J277" t="str">
            <v xml:space="preserve"> Outro</v>
          </cell>
        </row>
        <row r="278">
          <cell r="B278" t="str">
            <v>CTXRECAM-55054</v>
          </cell>
          <cell r="C278" t="str">
            <v>Troca do sistema WinXP para Win7 em todas as operações do Itaú nos estados de PE</v>
          </cell>
          <cell r="D278" t="str">
            <v>Marco Aurelio Brandao Duarte</v>
          </cell>
          <cell r="E278" t="str">
            <v>Marco Aurelio Brandao Duarte</v>
          </cell>
          <cell r="F278" t="str">
            <v>Fechado</v>
          </cell>
          <cell r="G278">
            <v>42264.713888888888</v>
          </cell>
          <cell r="H278">
            <v>42387.383333333331</v>
          </cell>
          <cell r="I278" t="str">
            <v xml:space="preserve">Contax </v>
          </cell>
          <cell r="J278" t="str">
            <v xml:space="preserve"> Outro</v>
          </cell>
        </row>
        <row r="279">
          <cell r="B279" t="str">
            <v>CTXRECAM-55397</v>
          </cell>
          <cell r="C279" t="str">
            <v>Projeto - Projeto</v>
          </cell>
          <cell r="D279" t="str">
            <v>Fernanda Nazario Menezes</v>
          </cell>
          <cell r="E279" t="str">
            <v>Fernanda Nazario Menezes</v>
          </cell>
          <cell r="F279" t="str">
            <v>Fechado</v>
          </cell>
          <cell r="G279">
            <v>42283.656944444447</v>
          </cell>
          <cell r="H279">
            <v>42383.620138888888</v>
          </cell>
          <cell r="I279" t="str">
            <v xml:space="preserve">Oi </v>
          </cell>
          <cell r="J279" t="str">
            <v xml:space="preserve"> Oi SAC</v>
          </cell>
        </row>
        <row r="280">
          <cell r="B280" t="str">
            <v>CTXRECAM-55511</v>
          </cell>
          <cell r="C280" t="str">
            <v>AUDITORIA REMOTA: (Coleta de Dados Automatizada)</v>
          </cell>
          <cell r="D280" t="str">
            <v>Marco Aurelio Brandao Duarte</v>
          </cell>
          <cell r="E280" t="str">
            <v>Marco Aurelio Brandao Duarte</v>
          </cell>
          <cell r="F280" t="str">
            <v>Fechado</v>
          </cell>
          <cell r="G280">
            <v>42291.631944444445</v>
          </cell>
          <cell r="H280">
            <v>42387.382638888892</v>
          </cell>
          <cell r="I280" t="str">
            <v xml:space="preserve">Contax </v>
          </cell>
          <cell r="J280" t="str">
            <v xml:space="preserve"> Outro</v>
          </cell>
        </row>
        <row r="281">
          <cell r="B281" t="str">
            <v>CTXRECAM-55516</v>
          </cell>
          <cell r="C281" t="str">
            <v>Aplicações de Hardenings : (Baseline Itaú)</v>
          </cell>
          <cell r="D281" t="str">
            <v>Marco Aurelio Brandao Duarte</v>
          </cell>
          <cell r="E281" t="str">
            <v>Marco Aurelio Brandao Duarte</v>
          </cell>
          <cell r="F281" t="str">
            <v>Fechado</v>
          </cell>
          <cell r="G281">
            <v>42291.73541666667</v>
          </cell>
          <cell r="H281">
            <v>42387.381944444445</v>
          </cell>
          <cell r="I281" t="str">
            <v xml:space="preserve">Contax </v>
          </cell>
          <cell r="J281" t="str">
            <v xml:space="preserve"> Outro</v>
          </cell>
        </row>
        <row r="282">
          <cell r="B282" t="str">
            <v>CTXRECAM-55620</v>
          </cell>
          <cell r="C282" t="str">
            <v>Projeto - Implantar o Portal Clientis na operação REDE</v>
          </cell>
          <cell r="D282" t="str">
            <v>Mariana da Costa Mello</v>
          </cell>
          <cell r="E282" t="str">
            <v>Mariana da Costa Mello</v>
          </cell>
          <cell r="F282" t="str">
            <v>Fechado</v>
          </cell>
          <cell r="G282">
            <v>42296.626388888886</v>
          </cell>
          <cell r="H282">
            <v>42387.384027777778</v>
          </cell>
          <cell r="I282" t="str">
            <v xml:space="preserve">Contax </v>
          </cell>
          <cell r="J282" t="str">
            <v xml:space="preserve"> Outro</v>
          </cell>
        </row>
        <row r="283">
          <cell r="B283" t="str">
            <v>CTXRECAM-55921</v>
          </cell>
          <cell r="C283" t="str">
            <v>Projeto - Implantar o processo de auditoria Clientis em uma posição de antedimento da REDE</v>
          </cell>
          <cell r="D283" t="str">
            <v>Mariana da Costa Mello</v>
          </cell>
          <cell r="E283" t="str">
            <v>Mariana da Costa Mello</v>
          </cell>
          <cell r="F283" t="str">
            <v>Fechado</v>
          </cell>
          <cell r="G283">
            <v>42311.767361111109</v>
          </cell>
          <cell r="H283">
            <v>42387.384027777778</v>
          </cell>
          <cell r="I283" t="str">
            <v xml:space="preserve">Contax </v>
          </cell>
          <cell r="J283" t="str">
            <v xml:space="preserve"> Outro</v>
          </cell>
        </row>
        <row r="284">
          <cell r="B284" t="str">
            <v>CTXRECAM-56254</v>
          </cell>
          <cell r="C284" t="str">
            <v>Migração POP 3 - Televendas Santander e Site Conquista X Site Santo Amaro</v>
          </cell>
          <cell r="D284" t="str">
            <v>Giovana Ferreira de Souza</v>
          </cell>
          <cell r="E284" t="str">
            <v>Giovana Ferreira de Souza</v>
          </cell>
          <cell r="F284" t="str">
            <v>Fechado</v>
          </cell>
          <cell r="G284">
            <v>42332.433333333334</v>
          </cell>
          <cell r="H284">
            <v>42384.663888888892</v>
          </cell>
          <cell r="I284" t="str">
            <v xml:space="preserve">Santander </v>
          </cell>
          <cell r="J284" t="str">
            <v xml:space="preserve"> Santander</v>
          </cell>
        </row>
        <row r="285">
          <cell r="B285" t="str">
            <v>CTXRECAM-56450</v>
          </cell>
          <cell r="C285" t="str">
            <v>Crescimento de 3 Posições do Mega Ilha</v>
          </cell>
          <cell r="D285" t="str">
            <v>Marco Aurelio Brandao Duarte</v>
          </cell>
          <cell r="E285" t="str">
            <v>Marco Aurelio Brandao Duarte</v>
          </cell>
          <cell r="F285" t="str">
            <v>Fechado</v>
          </cell>
          <cell r="G285">
            <v>42360.448611111111</v>
          </cell>
          <cell r="H285">
            <v>42360.489583333336</v>
          </cell>
          <cell r="I285" t="str">
            <v xml:space="preserve">Citibank </v>
          </cell>
          <cell r="J285" t="str">
            <v xml:space="preserve"> Televendas PIL</v>
          </cell>
        </row>
        <row r="286">
          <cell r="B286" t="str">
            <v>CTXRECAU-61928</v>
          </cell>
          <cell r="C286" t="str">
            <v>Projeto - Implantar sistema de Prova on Line na operação NET - Aurora</v>
          </cell>
          <cell r="D286" t="str">
            <v>Juliano Molina</v>
          </cell>
          <cell r="E286" t="str">
            <v>Juliano Molina</v>
          </cell>
          <cell r="F286" t="str">
            <v>Fechado</v>
          </cell>
          <cell r="G286">
            <v>42300.386805555558</v>
          </cell>
          <cell r="H286">
            <v>42403.444444444445</v>
          </cell>
          <cell r="I286" t="str">
            <v xml:space="preserve">Contax </v>
          </cell>
          <cell r="J286" t="str">
            <v xml:space="preserve"> Dir. Clientes Premium</v>
          </cell>
        </row>
        <row r="287">
          <cell r="B287" t="str">
            <v>CTXRECAU-63167</v>
          </cell>
          <cell r="C287" t="str">
            <v>Projeto - Migração POP 3 - Operação Itaú 2.0 Site Origem Conquista vs. Destino Aurora</v>
          </cell>
          <cell r="D287" t="str">
            <v>Mariana da Costa Mello</v>
          </cell>
          <cell r="E287" t="str">
            <v>Mariana da Costa Mello</v>
          </cell>
          <cell r="F287" t="str">
            <v>Fechado</v>
          </cell>
          <cell r="G287">
            <v>42332.602083333331</v>
          </cell>
          <cell r="H287">
            <v>42384.663888888892</v>
          </cell>
          <cell r="I287" t="str">
            <v xml:space="preserve">Contax </v>
          </cell>
          <cell r="J287" t="str">
            <v xml:space="preserve"> Outro</v>
          </cell>
        </row>
        <row r="288">
          <cell r="B288" t="str">
            <v>CTXRECAU-64001</v>
          </cell>
          <cell r="C288" t="str">
            <v>Projeto - Crescimento / Forecast - 313 PAs para a operação NET - Site Aurora</v>
          </cell>
          <cell r="D288" t="str">
            <v>Juliano Molina</v>
          </cell>
          <cell r="E288" t="str">
            <v>Juliano Molina</v>
          </cell>
          <cell r="F288" t="str">
            <v>Fechado</v>
          </cell>
          <cell r="G288">
            <v>42346.504166666666</v>
          </cell>
          <cell r="H288">
            <v>42376.453472222223</v>
          </cell>
          <cell r="I288" t="str">
            <v xml:space="preserve">Contax </v>
          </cell>
          <cell r="J288" t="str">
            <v xml:space="preserve"> Dir. Clientes Premium</v>
          </cell>
        </row>
        <row r="289">
          <cell r="B289" t="str">
            <v>CTXRECAU-67194</v>
          </cell>
          <cell r="C289" t="str">
            <v>Projeto - NET Madrugada 24hs - Migrar 49 PAs do Site Aurora para o Sto Amaro</v>
          </cell>
          <cell r="D289" t="str">
            <v>Sem responsável</v>
          </cell>
          <cell r="E289" t="str">
            <v>Juliano Molina</v>
          </cell>
          <cell r="F289" t="str">
            <v>Registrado</v>
          </cell>
          <cell r="G289">
            <v>42412.621527777781</v>
          </cell>
          <cell r="I289" t="str">
            <v xml:space="preserve">Contax </v>
          </cell>
          <cell r="J289" t="str">
            <v xml:space="preserve"> Dir. Clientes Premium</v>
          </cell>
        </row>
        <row r="290">
          <cell r="B290" t="str">
            <v>CTXRECSA-338313</v>
          </cell>
          <cell r="C290" t="str">
            <v>Projeto - Projeto</v>
          </cell>
          <cell r="D290" t="str">
            <v>Sem responsável</v>
          </cell>
          <cell r="E290" t="str">
            <v>Joice Pereira De Souza</v>
          </cell>
          <cell r="F290" t="str">
            <v>Reaberto</v>
          </cell>
          <cell r="G290">
            <v>41956.447916666664</v>
          </cell>
          <cell r="I290" t="str">
            <v xml:space="preserve">Santander </v>
          </cell>
          <cell r="J290" t="str">
            <v xml:space="preserve"> Cartões</v>
          </cell>
        </row>
        <row r="291">
          <cell r="B291" t="str">
            <v>CTXRECSA-358319</v>
          </cell>
          <cell r="C291" t="str">
            <v>Projeto - Projeto</v>
          </cell>
          <cell r="D291" t="str">
            <v>Erica Fernandes Cotrim</v>
          </cell>
          <cell r="E291" t="str">
            <v>Anthonny Stallone Santos de Souza</v>
          </cell>
          <cell r="F291" t="str">
            <v>Aberto</v>
          </cell>
          <cell r="G291">
            <v>42037.625</v>
          </cell>
          <cell r="I291" t="str">
            <v xml:space="preserve">Oi </v>
          </cell>
          <cell r="J291" t="str">
            <v xml:space="preserve"> Oi Movél</v>
          </cell>
        </row>
        <row r="292">
          <cell r="B292" t="str">
            <v>CTXRECSA-371873</v>
          </cell>
          <cell r="C292" t="str">
            <v>Troca do sistema WinXP para Win7 em todas as operações do Itaú nos estados de PE</v>
          </cell>
          <cell r="D292" t="str">
            <v>Juliana Souza de Moraes</v>
          </cell>
          <cell r="E292" t="str">
            <v>Marco Aurelio Brandao Duarte</v>
          </cell>
          <cell r="F292" t="str">
            <v>Aberto</v>
          </cell>
          <cell r="G292">
            <v>42081.736111111109</v>
          </cell>
          <cell r="I292" t="str">
            <v xml:space="preserve">Itaú </v>
          </cell>
          <cell r="J292" t="str">
            <v xml:space="preserve"> Itaú Cartão</v>
          </cell>
        </row>
        <row r="293">
          <cell r="B293" t="str">
            <v>CTXRECSA-382919</v>
          </cell>
          <cell r="C293" t="str">
            <v>Projeto - Projeto</v>
          </cell>
          <cell r="D293" t="str">
            <v>LIGIA MARIA DE ALMEIDA ALVES</v>
          </cell>
          <cell r="E293" t="str">
            <v>LIGIA MARIA DE ALMEIDA ALVES</v>
          </cell>
          <cell r="F293" t="str">
            <v>Fechado</v>
          </cell>
          <cell r="G293">
            <v>42121.442361111112</v>
          </cell>
          <cell r="H293">
            <v>42384.680555555555</v>
          </cell>
          <cell r="I293" t="str">
            <v xml:space="preserve">Contax </v>
          </cell>
          <cell r="J293" t="str">
            <v xml:space="preserve"> Ger Jurídico Contencioso e Consultivo</v>
          </cell>
        </row>
        <row r="294">
          <cell r="B294" t="str">
            <v>CTXRECSA-391509</v>
          </cell>
          <cell r="C294" t="str">
            <v>Liberação do portal Credibilidade na operação Bradesco Financiamento em PE</v>
          </cell>
          <cell r="D294" t="str">
            <v>Dalton Bondesan</v>
          </cell>
          <cell r="E294" t="str">
            <v>Luciana da Silva Cardoso</v>
          </cell>
          <cell r="F294" t="str">
            <v>Aberto</v>
          </cell>
          <cell r="G294">
            <v>42152.789583333331</v>
          </cell>
          <cell r="I294" t="str">
            <v xml:space="preserve">Bradesco </v>
          </cell>
          <cell r="J294" t="str">
            <v xml:space="preserve"> Bradesco Oferta de Crédito</v>
          </cell>
        </row>
        <row r="295">
          <cell r="B295" t="str">
            <v>CTXRECSA-401969</v>
          </cell>
          <cell r="C295" t="str">
            <v>Contax - Liberação de Firewall - Novos Servidores NICE - PE</v>
          </cell>
          <cell r="D295" t="str">
            <v>Dalton Bondesan</v>
          </cell>
          <cell r="E295" t="str">
            <v>Marco Aurelio Brandao Duarte</v>
          </cell>
          <cell r="F295" t="str">
            <v>Registrado</v>
          </cell>
          <cell r="G295">
            <v>42192.688194444447</v>
          </cell>
          <cell r="I295" t="str">
            <v xml:space="preserve">Itaú </v>
          </cell>
          <cell r="J295" t="str">
            <v xml:space="preserve"> Venda de Cartões</v>
          </cell>
        </row>
        <row r="296">
          <cell r="B296" t="str">
            <v>CTXRECSA-402181</v>
          </cell>
          <cell r="C296" t="str">
            <v>Projeto - Projeto</v>
          </cell>
          <cell r="D296" t="str">
            <v>Anthonny Stallone Santos de Souza</v>
          </cell>
          <cell r="E296" t="str">
            <v>Anthonny Stallone Santos de Souza</v>
          </cell>
          <cell r="F296" t="str">
            <v>Fechado</v>
          </cell>
          <cell r="G296">
            <v>42193.452777777777</v>
          </cell>
          <cell r="H296">
            <v>42397.49722222222</v>
          </cell>
          <cell r="I296" t="str">
            <v xml:space="preserve">Oi </v>
          </cell>
          <cell r="J296" t="str">
            <v xml:space="preserve"> Oi Movél</v>
          </cell>
        </row>
        <row r="297">
          <cell r="B297" t="str">
            <v>CTXRECSA-403870</v>
          </cell>
          <cell r="C297" t="str">
            <v>Projeto - Disponibilizar Gravação NICE na Operação SOC GFE PE/RJ e SOC OffLines</v>
          </cell>
          <cell r="D297" t="str">
            <v>Edison Nei Siqueira</v>
          </cell>
          <cell r="E297" t="str">
            <v>Edison Nei Siqueira</v>
          </cell>
          <cell r="F297" t="str">
            <v>Em Andamento</v>
          </cell>
          <cell r="G297">
            <v>42199.772222222222</v>
          </cell>
          <cell r="I297" t="str">
            <v xml:space="preserve">Contax </v>
          </cell>
          <cell r="J297" t="str">
            <v xml:space="preserve"> Dir. Oi</v>
          </cell>
        </row>
        <row r="298">
          <cell r="B298" t="str">
            <v>CTXRECSA-407337</v>
          </cell>
          <cell r="C298" t="str">
            <v>Projeto - Projeto</v>
          </cell>
          <cell r="D298" t="str">
            <v>Erica Fernandes Cotrim</v>
          </cell>
          <cell r="E298" t="str">
            <v>Anthonny Stallone Santos de Souza</v>
          </cell>
          <cell r="F298" t="str">
            <v>Registrado</v>
          </cell>
          <cell r="G298">
            <v>42214.658333333333</v>
          </cell>
          <cell r="I298" t="str">
            <v xml:space="preserve">Oi </v>
          </cell>
          <cell r="J298" t="str">
            <v xml:space="preserve"> Oi Movél</v>
          </cell>
        </row>
        <row r="299">
          <cell r="B299" t="str">
            <v>CTXRECSA-407387</v>
          </cell>
          <cell r="C299" t="str">
            <v>Projeto - Projeto</v>
          </cell>
          <cell r="D299" t="str">
            <v>Erica Fernandes Cotrim</v>
          </cell>
          <cell r="E299" t="str">
            <v>Anthonny Stallone Santos de Souza</v>
          </cell>
          <cell r="F299" t="str">
            <v>Reaberto</v>
          </cell>
          <cell r="G299">
            <v>42214.806944444441</v>
          </cell>
          <cell r="I299" t="str">
            <v xml:space="preserve">Oi </v>
          </cell>
          <cell r="J299" t="str">
            <v xml:space="preserve"> Oi Movél</v>
          </cell>
        </row>
        <row r="300">
          <cell r="B300" t="str">
            <v>CTXRECSA-410083</v>
          </cell>
          <cell r="C300" t="str">
            <v>BASELINE ITAÚ (APLICAR TODAS AS OPERAÇÕES)</v>
          </cell>
          <cell r="D300" t="str">
            <v>Marco Aurelio Brandao Duarte</v>
          </cell>
          <cell r="E300" t="str">
            <v>Marco Aurelio Brandao Duarte</v>
          </cell>
          <cell r="F300" t="str">
            <v>Resolvido</v>
          </cell>
          <cell r="G300">
            <v>42222.449305555558</v>
          </cell>
          <cell r="H300">
            <v>42299.649305555555</v>
          </cell>
          <cell r="I300" t="str">
            <v xml:space="preserve">Itaú </v>
          </cell>
          <cell r="J300" t="str">
            <v xml:space="preserve"> Itaú Nacional</v>
          </cell>
        </row>
        <row r="301">
          <cell r="B301" t="str">
            <v>CTXRECSA-410282</v>
          </cell>
          <cell r="C301" t="str">
            <v>Projeto - Projeto - Instalação WEDO SAC pós e OCT</v>
          </cell>
          <cell r="D301" t="str">
            <v>Anderson Luiz Gon�alves de Alcantara</v>
          </cell>
          <cell r="E301" t="str">
            <v>Anderson Luiz Gon�alves de Alcantara</v>
          </cell>
          <cell r="F301" t="str">
            <v>Fechado</v>
          </cell>
          <cell r="G301">
            <v>42222.763194444444</v>
          </cell>
          <cell r="H301">
            <v>42383.622916666667</v>
          </cell>
          <cell r="I301" t="str">
            <v xml:space="preserve">Oi </v>
          </cell>
          <cell r="J301" t="str">
            <v xml:space="preserve"> SAC</v>
          </cell>
        </row>
        <row r="302">
          <cell r="B302" t="str">
            <v>CTXRECSA-413131</v>
          </cell>
          <cell r="C302" t="str">
            <v>Projeto - Projeto</v>
          </cell>
          <cell r="D302" t="str">
            <v>Erica Fernandes Cotrim</v>
          </cell>
          <cell r="E302" t="str">
            <v>Anthonny Stallone Santos de Souza</v>
          </cell>
          <cell r="F302" t="str">
            <v>Reaberto</v>
          </cell>
          <cell r="G302">
            <v>42230.838888888888</v>
          </cell>
          <cell r="I302" t="str">
            <v xml:space="preserve">Oi </v>
          </cell>
          <cell r="J302" t="str">
            <v xml:space="preserve"> Oi Movél</v>
          </cell>
        </row>
        <row r="303">
          <cell r="B303" t="str">
            <v>CTXRECSA-414952</v>
          </cell>
          <cell r="C303" t="str">
            <v>Implantação ferramenta RTI - CAC Itaú</v>
          </cell>
          <cell r="D303" t="str">
            <v>Debora Gercke Dominas</v>
          </cell>
          <cell r="E303" t="str">
            <v>Luciana da Silva Cardoso</v>
          </cell>
          <cell r="F303" t="str">
            <v>Pendência Externa</v>
          </cell>
          <cell r="G303">
            <v>42236.530555555553</v>
          </cell>
          <cell r="I303" t="str">
            <v xml:space="preserve">Itaú </v>
          </cell>
          <cell r="J303" t="str">
            <v xml:space="preserve"> CAC Não Correntista</v>
          </cell>
        </row>
        <row r="304">
          <cell r="B304" t="str">
            <v>CTXRECSA-419337</v>
          </cell>
          <cell r="C304" t="str">
            <v>TROCA DO WIN7 - a criação da estrutura do tsupervisor, o SMPA não funciona com Win 7.</v>
          </cell>
          <cell r="D304" t="str">
            <v>Juliana Souza de Moraes</v>
          </cell>
          <cell r="E304" t="str">
            <v>Marco Aurelio Brandao Duarte</v>
          </cell>
          <cell r="F304" t="str">
            <v>Aberto</v>
          </cell>
          <cell r="G304">
            <v>42250.392361111109</v>
          </cell>
          <cell r="I304" t="str">
            <v xml:space="preserve">Contax </v>
          </cell>
          <cell r="J304" t="str">
            <v xml:space="preserve"> Outro</v>
          </cell>
        </row>
        <row r="305">
          <cell r="B305" t="str">
            <v>CTXRECSA-419831</v>
          </cell>
          <cell r="C305" t="str">
            <v>Implantação do novo pacote de PRC (Blindagem) nas operações de cartões de crédito do Itaú que são atendidas pela Contax.</v>
          </cell>
          <cell r="D305" t="str">
            <v>Debora Gercke Dominas</v>
          </cell>
          <cell r="E305" t="str">
            <v>Marco Aurelio Brandao Duarte</v>
          </cell>
          <cell r="F305" t="str">
            <v>Em Andamento</v>
          </cell>
          <cell r="G305">
            <v>42251.675694444442</v>
          </cell>
          <cell r="I305" t="str">
            <v xml:space="preserve">Itaú </v>
          </cell>
          <cell r="J305" t="str">
            <v xml:space="preserve"> Itaú Cartão</v>
          </cell>
        </row>
        <row r="306">
          <cell r="B306" t="str">
            <v>CTXRECSA-422165</v>
          </cell>
          <cell r="C306" t="str">
            <v>Projeto - Projeto</v>
          </cell>
          <cell r="D306" t="str">
            <v>Julio Cesar da Silva</v>
          </cell>
          <cell r="E306" t="str">
            <v>MILANE LINS DA SILVA</v>
          </cell>
          <cell r="F306" t="str">
            <v>Reaberto</v>
          </cell>
          <cell r="G306">
            <v>42261.566666666666</v>
          </cell>
          <cell r="I306" t="str">
            <v xml:space="preserve">Oi </v>
          </cell>
          <cell r="J306" t="str">
            <v xml:space="preserve"> Oi Movél</v>
          </cell>
        </row>
        <row r="307">
          <cell r="B307" t="str">
            <v>CTXRECSA-422212</v>
          </cell>
          <cell r="C307" t="str">
            <v>CONTROLE DE ACESSO COM O PROTOCOLO 802.1x</v>
          </cell>
          <cell r="D307" t="str">
            <v>Juliana Souza de Moraes</v>
          </cell>
          <cell r="E307" t="str">
            <v>Marco Aurelio Brandao Duarte</v>
          </cell>
          <cell r="F307" t="str">
            <v>Aberto</v>
          </cell>
          <cell r="G307">
            <v>42261.618055555555</v>
          </cell>
          <cell r="I307" t="str">
            <v xml:space="preserve">Contax </v>
          </cell>
          <cell r="J307" t="str">
            <v xml:space="preserve"> Outro</v>
          </cell>
        </row>
        <row r="308">
          <cell r="B308" t="str">
            <v>CTXRECSA-422496</v>
          </cell>
          <cell r="C308" t="str">
            <v>BASELINE: IMPLANTAÇÃO DO PROCESSO DE AUDITORIA PARA TODAS OPERAÇÕES DO ITAÚ e REDECARD: SAC / COBRANÇA / TLV</v>
          </cell>
          <cell r="D308" t="str">
            <v>Debora Gercke Dominas</v>
          </cell>
          <cell r="E308" t="str">
            <v>Marco Aurelio Brandao Duarte</v>
          </cell>
          <cell r="F308" t="str">
            <v>Aberto</v>
          </cell>
          <cell r="G308">
            <v>42262.447222222225</v>
          </cell>
          <cell r="I308" t="str">
            <v xml:space="preserve">Contax </v>
          </cell>
          <cell r="J308" t="str">
            <v xml:space="preserve"> Outro</v>
          </cell>
        </row>
        <row r="309">
          <cell r="B309" t="str">
            <v>CTXRECSA-424149</v>
          </cell>
          <cell r="C309" t="str">
            <v>Projeto - Projeto</v>
          </cell>
          <cell r="D309" t="str">
            <v>Fabiana Hoffmann</v>
          </cell>
          <cell r="E309" t="str">
            <v>Fabiana Hoffmann</v>
          </cell>
          <cell r="F309" t="str">
            <v>Fechado</v>
          </cell>
          <cell r="G309">
            <v>42268.767361111109</v>
          </cell>
          <cell r="H309">
            <v>42383.620833333334</v>
          </cell>
          <cell r="I309" t="str">
            <v xml:space="preserve">Oi </v>
          </cell>
          <cell r="J309" t="str">
            <v xml:space="preserve"> Pré Pago</v>
          </cell>
        </row>
        <row r="310">
          <cell r="B310" t="str">
            <v>CTXRECSA-430340</v>
          </cell>
          <cell r="C310" t="str">
            <v>Projeto - Projeto Instalar Totem para Campanha da Fatura Digital</v>
          </cell>
          <cell r="D310" t="str">
            <v>Bruno Guerra Ferreira</v>
          </cell>
          <cell r="E310" t="str">
            <v>Mariana da Costa Mello</v>
          </cell>
          <cell r="F310" t="str">
            <v>Registrado</v>
          </cell>
          <cell r="G310">
            <v>42290.619444444441</v>
          </cell>
          <cell r="I310" t="str">
            <v xml:space="preserve">Contax </v>
          </cell>
          <cell r="J310" t="str">
            <v xml:space="preserve"> Outro</v>
          </cell>
        </row>
        <row r="311">
          <cell r="B311" t="str">
            <v>CTXRECSA-430668</v>
          </cell>
          <cell r="C311" t="str">
            <v>AUDITORIA REMOTA: (Coleta de Dados Automatizada)</v>
          </cell>
          <cell r="D311" t="str">
            <v>Juliana Souza de Moraes</v>
          </cell>
          <cell r="E311" t="str">
            <v>Marco Aurelio Brandao Duarte</v>
          </cell>
          <cell r="F311" t="str">
            <v>Registrado</v>
          </cell>
          <cell r="G311">
            <v>42291.629166666666</v>
          </cell>
          <cell r="I311" t="str">
            <v xml:space="preserve">Contax </v>
          </cell>
          <cell r="J311" t="str">
            <v xml:space="preserve"> Outro</v>
          </cell>
        </row>
        <row r="312">
          <cell r="B312" t="str">
            <v>CTXRECSA-430770</v>
          </cell>
          <cell r="C312" t="str">
            <v>Aplicações de Hardenings : (Baseline Itaú)</v>
          </cell>
          <cell r="D312" t="str">
            <v>Juliana Souza de Moraes</v>
          </cell>
          <cell r="E312" t="str">
            <v>Marco Aurelio Brandao Duarte</v>
          </cell>
          <cell r="F312" t="str">
            <v>Registrado</v>
          </cell>
          <cell r="G312">
            <v>42291.73333333333</v>
          </cell>
          <cell r="I312" t="str">
            <v xml:space="preserve">Contax </v>
          </cell>
          <cell r="J312" t="str">
            <v xml:space="preserve"> Outro</v>
          </cell>
        </row>
        <row r="313">
          <cell r="B313" t="str">
            <v>CTXRECSA-433478</v>
          </cell>
          <cell r="C313" t="str">
            <v>Projeto - Implantar sistema de Prova on Line na operação NET - Santo Amaro</v>
          </cell>
          <cell r="D313" t="str">
            <v>Juliano Molina</v>
          </cell>
          <cell r="E313" t="str">
            <v>Juliano Molina</v>
          </cell>
          <cell r="F313" t="str">
            <v>Fechado</v>
          </cell>
          <cell r="G313">
            <v>42300.388194444444</v>
          </cell>
          <cell r="H313">
            <v>42403.445138888892</v>
          </cell>
          <cell r="I313" t="str">
            <v xml:space="preserve">Contax </v>
          </cell>
          <cell r="J313" t="str">
            <v xml:space="preserve"> Dir. Clientes Premium</v>
          </cell>
        </row>
        <row r="314">
          <cell r="B314" t="str">
            <v>CTXRECSA-438942</v>
          </cell>
          <cell r="C314" t="str">
            <v>Projeto - Liberação de acesso Gerencias Velox , nas maquinas da Operação Suporte Avançado Velox</v>
          </cell>
          <cell r="D314" t="str">
            <v>Bruno Guerra Ferreira</v>
          </cell>
          <cell r="E314" t="str">
            <v>Iosmar Ferreira Teixeira</v>
          </cell>
          <cell r="F314" t="str">
            <v>Registrado</v>
          </cell>
          <cell r="G314">
            <v>42320.529861111114</v>
          </cell>
          <cell r="I314" t="str">
            <v xml:space="preserve">Oi </v>
          </cell>
          <cell r="J314" t="str">
            <v xml:space="preserve"> Velox</v>
          </cell>
        </row>
        <row r="315">
          <cell r="B315" t="str">
            <v>CTXRECSA-439238</v>
          </cell>
          <cell r="C315" t="str">
            <v>Projeto - Instalar Ferramenta Automação Célula GFE - Santo Amaro e Integrar Ferramenta de Automação com TLV</v>
          </cell>
          <cell r="D315" t="str">
            <v>Julio Cesar da Silva</v>
          </cell>
          <cell r="E315" t="str">
            <v>Elaine Fortunato da Silva</v>
          </cell>
          <cell r="F315" t="str">
            <v>Registrado</v>
          </cell>
          <cell r="G315">
            <v>42321.619444444441</v>
          </cell>
          <cell r="I315" t="str">
            <v xml:space="preserve">Contax </v>
          </cell>
          <cell r="J315" t="str">
            <v xml:space="preserve"> Dir. Oi</v>
          </cell>
        </row>
        <row r="316">
          <cell r="B316" t="str">
            <v>CTXRECSA-439328</v>
          </cell>
          <cell r="C316" t="str">
            <v>Projeto - "Inclusão do DDD 96 na URA do CO" (Pendência do projeto da URA do CO)</v>
          </cell>
          <cell r="D316" t="str">
            <v>Bruno Guerra Ferreira</v>
          </cell>
          <cell r="E316" t="str">
            <v>Anthonny Stallone Santos de Souza</v>
          </cell>
          <cell r="F316" t="str">
            <v>Registrado</v>
          </cell>
          <cell r="G316">
            <v>42321.765277777777</v>
          </cell>
          <cell r="I316" t="str">
            <v xml:space="preserve">Oi </v>
          </cell>
          <cell r="J316" t="str">
            <v xml:space="preserve"> Oi Movél</v>
          </cell>
        </row>
        <row r="317">
          <cell r="B317" t="str">
            <v>CTXRECSA-439329</v>
          </cell>
          <cell r="C317" t="str">
            <v>PROJETO TIVOLI REDECARD</v>
          </cell>
          <cell r="D317" t="str">
            <v>Sem responsável</v>
          </cell>
          <cell r="E317" t="str">
            <v>Marco Aurelio Brandao Duarte</v>
          </cell>
          <cell r="F317" t="str">
            <v>Registrado</v>
          </cell>
          <cell r="G317">
            <v>42321.769444444442</v>
          </cell>
          <cell r="I317" t="str">
            <v xml:space="preserve">Contax </v>
          </cell>
          <cell r="J317" t="str">
            <v xml:space="preserve"> Outro</v>
          </cell>
        </row>
        <row r="318">
          <cell r="B318" t="str">
            <v>CTXRECSA-439346</v>
          </cell>
          <cell r="C318" t="str">
            <v>Projeto - Migração POP 3 - Operação REDE e Site Origem Conquista vs. Destino Santo Amaro</v>
          </cell>
          <cell r="D318" t="str">
            <v>Mariana da Costa Mello</v>
          </cell>
          <cell r="E318" t="str">
            <v>Mariana da Costa Mello</v>
          </cell>
          <cell r="F318" t="str">
            <v>Fechado</v>
          </cell>
          <cell r="G318">
            <v>42321.827777777777</v>
          </cell>
          <cell r="H318">
            <v>42384.649305555555</v>
          </cell>
          <cell r="I318" t="str">
            <v xml:space="preserve">Contax </v>
          </cell>
          <cell r="J318" t="str">
            <v xml:space="preserve"> Outro</v>
          </cell>
        </row>
        <row r="319">
          <cell r="B319" t="str">
            <v>CTXRECSA-440043</v>
          </cell>
          <cell r="C319" t="str">
            <v>Discador SOC PE (GFE)</v>
          </cell>
          <cell r="D319" t="str">
            <v>Julio Cesar da Silva</v>
          </cell>
          <cell r="E319" t="str">
            <v>Livia de Deus Henriques Rodrigues</v>
          </cell>
          <cell r="F319" t="str">
            <v>Registrado</v>
          </cell>
          <cell r="G319">
            <v>42325.567361111112</v>
          </cell>
          <cell r="I319" t="str">
            <v xml:space="preserve">Contax </v>
          </cell>
          <cell r="J319" t="str">
            <v xml:space="preserve"> Dir. Oi</v>
          </cell>
        </row>
        <row r="320">
          <cell r="B320" t="str">
            <v>CTXRECSA-441495</v>
          </cell>
          <cell r="C320" t="str">
            <v>Projeto - "Migração POP 3 - BO OI TV Conquista vs. Sto Amaro"</v>
          </cell>
          <cell r="D320" t="str">
            <v>Anderson Luiz Gon�alves de Alcantara</v>
          </cell>
          <cell r="E320" t="str">
            <v>Anderson Luiz Gon�alves de Alcantara</v>
          </cell>
          <cell r="F320" t="str">
            <v>Fechado</v>
          </cell>
          <cell r="G320">
            <v>42332.695138888892</v>
          </cell>
          <cell r="H320">
            <v>42384.663194444445</v>
          </cell>
          <cell r="I320" t="str">
            <v xml:space="preserve">Oi </v>
          </cell>
          <cell r="J320" t="str">
            <v xml:space="preserve"> BO ATENDIMENTO</v>
          </cell>
        </row>
        <row r="321">
          <cell r="B321" t="str">
            <v>CTXRECSA-441504</v>
          </cell>
          <cell r="C321" t="str">
            <v>Projeto - "Migração POP 3 - Chat R1 Conquista vs. Sto Amaro"</v>
          </cell>
          <cell r="D321" t="str">
            <v>Anderson Luiz Gon�alves de Alcantara</v>
          </cell>
          <cell r="E321" t="str">
            <v>Anderson Luiz Gon�alves de Alcantara</v>
          </cell>
          <cell r="F321" t="str">
            <v>Fechado</v>
          </cell>
          <cell r="G321">
            <v>42332.701388888891</v>
          </cell>
          <cell r="H321">
            <v>42384.663194444445</v>
          </cell>
          <cell r="I321" t="str">
            <v xml:space="preserve">Oi </v>
          </cell>
          <cell r="J321" t="str">
            <v xml:space="preserve"> BO ATENDIMENTO</v>
          </cell>
        </row>
        <row r="322">
          <cell r="B322" t="str">
            <v>CTXRECSA-441505</v>
          </cell>
          <cell r="C322" t="str">
            <v>Projeto - "Migração POP 3 - Chat R2 Conquista vs. Sto Amaro"</v>
          </cell>
          <cell r="D322" t="str">
            <v>Anderson Luiz Gon�alves de Alcantara</v>
          </cell>
          <cell r="E322" t="str">
            <v>Anderson Luiz Gon�alves de Alcantara</v>
          </cell>
          <cell r="F322" t="str">
            <v>Fechado</v>
          </cell>
          <cell r="G322">
            <v>42332.703472222223</v>
          </cell>
          <cell r="H322">
            <v>42384.662499999999</v>
          </cell>
          <cell r="I322" t="str">
            <v xml:space="preserve">Oi </v>
          </cell>
          <cell r="J322" t="str">
            <v xml:space="preserve"> BO ATENDIMENTO</v>
          </cell>
        </row>
        <row r="323">
          <cell r="B323" t="str">
            <v>CTXRECSA-441507</v>
          </cell>
          <cell r="C323" t="str">
            <v>Projeto - "Migração POP 3 - Contas Fixa Conquista vs. Sto Amaro"</v>
          </cell>
          <cell r="D323" t="str">
            <v>Anderson Luiz Gon�alves de Alcantara</v>
          </cell>
          <cell r="E323" t="str">
            <v>Anderson Luiz Gon�alves de Alcantara</v>
          </cell>
          <cell r="F323" t="str">
            <v>Fechado</v>
          </cell>
          <cell r="G323">
            <v>42332.709722222222</v>
          </cell>
          <cell r="H323">
            <v>42384.662499999999</v>
          </cell>
          <cell r="I323" t="str">
            <v xml:space="preserve">Oi </v>
          </cell>
          <cell r="J323" t="str">
            <v xml:space="preserve"> BO ATENDIMENTO</v>
          </cell>
        </row>
        <row r="324">
          <cell r="B324" t="str">
            <v>CTXRECSA-441523</v>
          </cell>
          <cell r="C324" t="str">
            <v>Projeto - "Migração POP 3 - Correspondencia Conquista vs. Sto Amaro"</v>
          </cell>
          <cell r="D324" t="str">
            <v>Anderson Luiz Gon�alves de Alcantara</v>
          </cell>
          <cell r="E324" t="str">
            <v>Anderson Luiz Gon�alves de Alcantara</v>
          </cell>
          <cell r="F324" t="str">
            <v>Fechado</v>
          </cell>
          <cell r="G324">
            <v>42332.743055555555</v>
          </cell>
          <cell r="H324">
            <v>42384.661805555559</v>
          </cell>
          <cell r="I324" t="str">
            <v xml:space="preserve">Oi </v>
          </cell>
          <cell r="J324" t="str">
            <v xml:space="preserve"> BO ATENDIMENTO</v>
          </cell>
        </row>
        <row r="325">
          <cell r="B325" t="str">
            <v>CTXRECSA-441525</v>
          </cell>
          <cell r="C325" t="str">
            <v>Projeto - "Migração POP 3 - Fale Conosco Conquista vs. Sto Amaro"</v>
          </cell>
          <cell r="D325" t="str">
            <v>Anderson Luiz Gon�alves de Alcantara</v>
          </cell>
          <cell r="E325" t="str">
            <v>Anderson Luiz Gon�alves de Alcantara</v>
          </cell>
          <cell r="F325" t="str">
            <v>Fechado</v>
          </cell>
          <cell r="G325">
            <v>42332.745833333334</v>
          </cell>
          <cell r="H325">
            <v>42384.661111111112</v>
          </cell>
          <cell r="I325" t="str">
            <v xml:space="preserve">Oi </v>
          </cell>
          <cell r="J325" t="str">
            <v xml:space="preserve"> BO ATENDIMENTO</v>
          </cell>
        </row>
        <row r="326">
          <cell r="B326" t="str">
            <v>CTXRECSA-441535</v>
          </cell>
          <cell r="C326" t="str">
            <v>Projeto - "Migração POP 3 - Ilha de Auditoria Conquista vs. Sto Amaro"</v>
          </cell>
          <cell r="D326" t="str">
            <v>Anderson Luiz Gon�alves de Alcantara</v>
          </cell>
          <cell r="E326" t="str">
            <v>Anderson Luiz Gon�alves de Alcantara</v>
          </cell>
          <cell r="F326" t="str">
            <v>Fechado</v>
          </cell>
          <cell r="G326">
            <v>42332.786805555559</v>
          </cell>
          <cell r="H326">
            <v>42384.661111111112</v>
          </cell>
          <cell r="I326" t="str">
            <v xml:space="preserve">Oi </v>
          </cell>
          <cell r="J326" t="str">
            <v xml:space="preserve"> BO ATENDIMENTO</v>
          </cell>
        </row>
        <row r="327">
          <cell r="B327" t="str">
            <v>CTXRECSA-441537</v>
          </cell>
          <cell r="C327" t="str">
            <v>Projeto - "Migração POP 3 - Lojista Conquista vs. Sto Amaro"</v>
          </cell>
          <cell r="D327" t="str">
            <v>Anderson Luiz Gon�alves de Alcantara</v>
          </cell>
          <cell r="E327" t="str">
            <v>Anderson Luiz Gon�alves de Alcantara</v>
          </cell>
          <cell r="F327" t="str">
            <v>Fechado</v>
          </cell>
          <cell r="G327">
            <v>42332.790972222225</v>
          </cell>
          <cell r="H327">
            <v>42384.661111111112</v>
          </cell>
          <cell r="I327" t="str">
            <v xml:space="preserve">Oi </v>
          </cell>
          <cell r="J327" t="str">
            <v xml:space="preserve"> BO ATENDIMENTO</v>
          </cell>
        </row>
        <row r="328">
          <cell r="B328" t="str">
            <v>CTXRECSA-441538</v>
          </cell>
          <cell r="C328" t="str">
            <v>Projeto - "Migração POP 3 - pendencia de Contas Conquista vs. Sto Amaro"</v>
          </cell>
          <cell r="D328" t="str">
            <v>Anderson Luiz Gon�alves de Alcantara</v>
          </cell>
          <cell r="E328" t="str">
            <v>Anderson Luiz Gon�alves de Alcantara</v>
          </cell>
          <cell r="F328" t="str">
            <v>Fechado</v>
          </cell>
          <cell r="G328">
            <v>42332.79583333333</v>
          </cell>
          <cell r="H328">
            <v>42384.660416666666</v>
          </cell>
          <cell r="I328" t="str">
            <v xml:space="preserve">Oi </v>
          </cell>
          <cell r="J328" t="str">
            <v xml:space="preserve"> BO ATENDIMENTO</v>
          </cell>
        </row>
        <row r="329">
          <cell r="B329" t="str">
            <v>CTXRECSA-441539</v>
          </cell>
          <cell r="C329" t="str">
            <v>Projeto - "Migração POP 3 - Pendencia de Serviços Conquista vs. Sto Amaro"</v>
          </cell>
          <cell r="D329" t="str">
            <v>Anderson Luiz Gon�alves de Alcantara</v>
          </cell>
          <cell r="E329" t="str">
            <v>Anderson Luiz Gon�alves de Alcantara</v>
          </cell>
          <cell r="F329" t="str">
            <v>Fechado</v>
          </cell>
          <cell r="G329">
            <v>42332.800000000003</v>
          </cell>
          <cell r="H329">
            <v>42384.660416666666</v>
          </cell>
          <cell r="I329" t="str">
            <v xml:space="preserve">Oi </v>
          </cell>
          <cell r="J329" t="str">
            <v xml:space="preserve"> BO ATENDIMENTO</v>
          </cell>
        </row>
        <row r="330">
          <cell r="B330" t="str">
            <v>CTXRECSA-441544</v>
          </cell>
          <cell r="C330" t="str">
            <v>Projeto - "Migração POP 3 - Posto PA Conquista vs. Sto Amaro"</v>
          </cell>
          <cell r="D330" t="str">
            <v>Anderson Luiz Gon�alves de Alcantara</v>
          </cell>
          <cell r="E330" t="str">
            <v>Anderson Luiz Gon�alves de Alcantara</v>
          </cell>
          <cell r="F330" t="str">
            <v>Fechado</v>
          </cell>
          <cell r="G330">
            <v>42332.822916666664</v>
          </cell>
          <cell r="H330">
            <v>42384.65902777778</v>
          </cell>
          <cell r="I330" t="str">
            <v xml:space="preserve">Oi </v>
          </cell>
          <cell r="J330" t="str">
            <v xml:space="preserve"> BO ATENDIMENTO</v>
          </cell>
        </row>
        <row r="331">
          <cell r="B331" t="str">
            <v>CTXRECSA-442185</v>
          </cell>
          <cell r="C331" t="str">
            <v>Projeto - Configurar 3 posições para a auditoria de vendas do Itaú</v>
          </cell>
          <cell r="D331" t="str">
            <v>Bruno Guerra Ferreira</v>
          </cell>
          <cell r="E331" t="str">
            <v>Mariana da Costa Mello</v>
          </cell>
          <cell r="F331" t="str">
            <v>Registrado</v>
          </cell>
          <cell r="G331">
            <v>42334.602083333331</v>
          </cell>
          <cell r="I331" t="str">
            <v xml:space="preserve">Contax </v>
          </cell>
          <cell r="J331" t="str">
            <v xml:space="preserve"> Outro</v>
          </cell>
        </row>
        <row r="332">
          <cell r="B332" t="str">
            <v>CTXRECSA-446175</v>
          </cell>
          <cell r="C332" t="str">
            <v>Projeto - "Demanda no Relatório Perfilador"</v>
          </cell>
          <cell r="D332" t="str">
            <v>Bruno Guerra Ferreira</v>
          </cell>
          <cell r="E332" t="str">
            <v>MILANE LINS DA SILVA</v>
          </cell>
          <cell r="F332" t="str">
            <v>Registrado</v>
          </cell>
          <cell r="G332">
            <v>42348.525694444441</v>
          </cell>
          <cell r="I332" t="str">
            <v xml:space="preserve">Oi </v>
          </cell>
          <cell r="J332" t="str">
            <v xml:space="preserve"> Oi Movél</v>
          </cell>
        </row>
        <row r="333">
          <cell r="B333" t="str">
            <v>CTXRECSA-446234</v>
          </cell>
          <cell r="C333" t="str">
            <v>SERVIDOR - TABULADOR DE VENDAS</v>
          </cell>
          <cell r="D333" t="str">
            <v>Bruno Guerra Ferreira</v>
          </cell>
          <cell r="E333" t="str">
            <v>Marco Aurelio Brandao Duarte</v>
          </cell>
          <cell r="F333" t="str">
            <v>Registrado</v>
          </cell>
          <cell r="G333">
            <v>42348.643750000003</v>
          </cell>
          <cell r="I333" t="str">
            <v xml:space="preserve">Itaú </v>
          </cell>
          <cell r="J333" t="str">
            <v xml:space="preserve"> Itaú Cartão</v>
          </cell>
        </row>
        <row r="334">
          <cell r="B334" t="str">
            <v>CTXRECSA-447220</v>
          </cell>
          <cell r="C334" t="str">
            <v>50 PAS DE CRESCIMENTO MAIS DO MESMO DA REDECARD</v>
          </cell>
          <cell r="D334" t="str">
            <v>Marco Aurelio Brandao Duarte</v>
          </cell>
          <cell r="E334" t="str">
            <v>Marco Aurelio Brandao Duarte</v>
          </cell>
          <cell r="F334" t="str">
            <v>Fechado</v>
          </cell>
          <cell r="G334">
            <v>42353.443749999999</v>
          </cell>
          <cell r="H334">
            <v>42380.760416666664</v>
          </cell>
          <cell r="I334" t="str">
            <v xml:space="preserve">Contax </v>
          </cell>
          <cell r="J334" t="str">
            <v xml:space="preserve"> Outro</v>
          </cell>
        </row>
        <row r="335">
          <cell r="B335" t="str">
            <v>CTXRECSA-448642</v>
          </cell>
          <cell r="C335" t="str">
            <v>Projeto - Migrar a Célula de Backoffice do Site Antártica para o Site Santo Amaro</v>
          </cell>
          <cell r="D335" t="str">
            <v>Carlos Batista Alves</v>
          </cell>
          <cell r="E335" t="str">
            <v>Carlos Batista Alves</v>
          </cell>
          <cell r="F335" t="str">
            <v>Resolvido</v>
          </cell>
          <cell r="G335">
            <v>42361.487500000003</v>
          </cell>
          <cell r="H335">
            <v>42419.677777777775</v>
          </cell>
          <cell r="I335" t="str">
            <v xml:space="preserve">Bradesco </v>
          </cell>
          <cell r="J335" t="str">
            <v xml:space="preserve"> Back office</v>
          </cell>
        </row>
        <row r="336">
          <cell r="B336" t="str">
            <v>CTXRECSA-452887</v>
          </cell>
          <cell r="C336" t="str">
            <v>Projeto - Integração URA CO x Ferramenta Automação</v>
          </cell>
          <cell r="D336" t="str">
            <v>Julio Cesar da Silva</v>
          </cell>
          <cell r="E336" t="str">
            <v>Anthonny Stallone Santos de Souza</v>
          </cell>
          <cell r="F336" t="str">
            <v>Registrado</v>
          </cell>
          <cell r="G336">
            <v>42380.842361111114</v>
          </cell>
          <cell r="I336" t="str">
            <v xml:space="preserve">Oi </v>
          </cell>
          <cell r="J336" t="str">
            <v xml:space="preserve"> Oi Movél</v>
          </cell>
        </row>
        <row r="337">
          <cell r="B337" t="str">
            <v>CTXRECSA-453800</v>
          </cell>
          <cell r="C337" t="str">
            <v>Projeto - "instalar google chrome na célula híbrda"</v>
          </cell>
          <cell r="D337" t="str">
            <v>Sem responsável</v>
          </cell>
          <cell r="E337" t="str">
            <v>Anthonny Stallone Santos de Souza</v>
          </cell>
          <cell r="F337" t="str">
            <v>Registrado</v>
          </cell>
          <cell r="G337">
            <v>42383.51666666667</v>
          </cell>
          <cell r="I337" t="str">
            <v xml:space="preserve">Oi </v>
          </cell>
          <cell r="J337" t="str">
            <v xml:space="preserve"> Oi Movél</v>
          </cell>
        </row>
        <row r="338">
          <cell r="B338" t="str">
            <v>CTXRECSA-454137</v>
          </cell>
          <cell r="C338" t="str">
            <v>Projeto - Crescimento de 50 posições</v>
          </cell>
          <cell r="D338" t="str">
            <v>Sem responsável</v>
          </cell>
          <cell r="E338" t="str">
            <v>George Silva Dimitrov</v>
          </cell>
          <cell r="F338" t="str">
            <v>Registrado</v>
          </cell>
          <cell r="G338">
            <v>42384.456250000003</v>
          </cell>
          <cell r="I338" t="str">
            <v xml:space="preserve">Santander </v>
          </cell>
          <cell r="J338" t="str">
            <v xml:space="preserve"> Santander</v>
          </cell>
        </row>
        <row r="339">
          <cell r="B339" t="str">
            <v>CTXRECSA-455203</v>
          </cell>
          <cell r="C339" t="str">
            <v>TLS: Protocolo de criptografia TLS 1.2</v>
          </cell>
          <cell r="D339" t="str">
            <v>Sem responsável</v>
          </cell>
          <cell r="E339" t="str">
            <v>Marco Aurelio Brandao Duarte</v>
          </cell>
          <cell r="F339" t="str">
            <v>Registrado</v>
          </cell>
          <cell r="G339">
            <v>42389.411805555559</v>
          </cell>
          <cell r="I339" t="str">
            <v xml:space="preserve">Contax </v>
          </cell>
          <cell r="J339" t="str">
            <v xml:space="preserve"> Outro</v>
          </cell>
        </row>
        <row r="340">
          <cell r="B340" t="str">
            <v>CTXRECSA-456620</v>
          </cell>
          <cell r="C340" t="str">
            <v>Projeto - Implantar ferramenta Evalyze no BO Fixa</v>
          </cell>
          <cell r="D340" t="str">
            <v>Erica Fernandes Cotrim</v>
          </cell>
          <cell r="E340" t="str">
            <v>Fernanda Nazario Menezes</v>
          </cell>
          <cell r="F340" t="str">
            <v>Registrado</v>
          </cell>
          <cell r="G340">
            <v>42395.459722222222</v>
          </cell>
          <cell r="I340" t="str">
            <v xml:space="preserve">Oi </v>
          </cell>
          <cell r="J340" t="str">
            <v xml:space="preserve"> Back Office</v>
          </cell>
        </row>
        <row r="341">
          <cell r="B341" t="str">
            <v>CTXRECSA-457626</v>
          </cell>
          <cell r="C341" t="str">
            <v>Projeto - Substituição do front end Ayty pelo Tguidance - Operação Santander Cartões</v>
          </cell>
          <cell r="D341" t="str">
            <v>Sem responsável</v>
          </cell>
          <cell r="E341" t="str">
            <v>George Silva Dimitrov</v>
          </cell>
          <cell r="F341" t="str">
            <v>Registrado</v>
          </cell>
          <cell r="G341">
            <v>42398.381249999999</v>
          </cell>
          <cell r="I341" t="str">
            <v xml:space="preserve">Santander </v>
          </cell>
          <cell r="J341" t="str">
            <v xml:space="preserve"> Cartões</v>
          </cell>
        </row>
        <row r="342">
          <cell r="B342" t="str">
            <v>CTXRECSA-460567</v>
          </cell>
          <cell r="C342" t="str">
            <v>Projeto - Sinergia célula híbrida + PDA URA com o CRV</v>
          </cell>
          <cell r="D342" t="str">
            <v>Sem responsável</v>
          </cell>
          <cell r="E342" t="str">
            <v>Anthonny Stallone Santos de Souza</v>
          </cell>
          <cell r="F342" t="str">
            <v>Registrado</v>
          </cell>
          <cell r="G342">
            <v>42405.806944444441</v>
          </cell>
          <cell r="I342" t="str">
            <v xml:space="preserve">Oi </v>
          </cell>
          <cell r="J342" t="str">
            <v xml:space="preserve"> Oi Movél</v>
          </cell>
        </row>
        <row r="343">
          <cell r="B343" t="str">
            <v>CTXRECSA-461741</v>
          </cell>
          <cell r="C343" t="str">
            <v>Expansão do Contas Oi Total em PE</v>
          </cell>
          <cell r="D343" t="str">
            <v>Paulo Roberto da Costa Cavalcante</v>
          </cell>
          <cell r="E343" t="str">
            <v>F�bio Prazeres da Silva</v>
          </cell>
          <cell r="F343" t="str">
            <v>Registrado</v>
          </cell>
          <cell r="G343">
            <v>42411.866666666669</v>
          </cell>
          <cell r="I343" t="str">
            <v xml:space="preserve">Contax </v>
          </cell>
          <cell r="J343" t="str">
            <v xml:space="preserve"> Ger Planejamento SAC</v>
          </cell>
        </row>
        <row r="344">
          <cell r="B344" t="str">
            <v>CTXRECSA-461808</v>
          </cell>
          <cell r="C344" t="str">
            <v>Projeto - Projeto - Implantação de licenças COTI - Monitoramento do NET SMS</v>
          </cell>
          <cell r="D344" t="str">
            <v>Bruno Guerra Ferreira</v>
          </cell>
          <cell r="E344" t="str">
            <v>Juliano Molina</v>
          </cell>
          <cell r="F344" t="str">
            <v>Registrado</v>
          </cell>
          <cell r="G344">
            <v>42412.402083333334</v>
          </cell>
          <cell r="I344" t="str">
            <v xml:space="preserve">Contax </v>
          </cell>
          <cell r="J344" t="str">
            <v xml:space="preserve"> Dir. Clientes Premium</v>
          </cell>
        </row>
        <row r="345">
          <cell r="B345" t="str">
            <v>CTXRECSA-461984</v>
          </cell>
          <cell r="C345" t="str">
            <v>Projeto - NET Madrugada 24hs - Migrar 80 PAs do Site Navegantes para o Sto Amaro</v>
          </cell>
          <cell r="D345" t="str">
            <v>Sem responsável</v>
          </cell>
          <cell r="E345" t="str">
            <v>Juliano Molina</v>
          </cell>
          <cell r="F345" t="str">
            <v>Registrado</v>
          </cell>
          <cell r="G345">
            <v>42412.624305555553</v>
          </cell>
          <cell r="I345" t="str">
            <v xml:space="preserve">Contax </v>
          </cell>
          <cell r="J345" t="str">
            <v xml:space="preserve"> Dir. Clientes Premium</v>
          </cell>
        </row>
        <row r="346">
          <cell r="B346" t="str">
            <v>CTXRECSA-462461</v>
          </cell>
          <cell r="C346" t="str">
            <v>Projeto - Inclusão do 9º digito na ferramenta Ayty</v>
          </cell>
          <cell r="D346" t="str">
            <v>Carlos Batista Alves</v>
          </cell>
          <cell r="E346" t="str">
            <v>George Silva Dimitrov</v>
          </cell>
          <cell r="F346" t="str">
            <v>Fechado</v>
          </cell>
          <cell r="G346">
            <v>42415.450694444444</v>
          </cell>
          <cell r="H346">
            <v>42418.732638888891</v>
          </cell>
          <cell r="I346" t="str">
            <v xml:space="preserve">Santander </v>
          </cell>
          <cell r="J346" t="str">
            <v xml:space="preserve"> Cartões</v>
          </cell>
        </row>
        <row r="347">
          <cell r="B347" t="str">
            <v>CTXRECSA-463298</v>
          </cell>
          <cell r="C347" t="str">
            <v>Movimentação Máquinas Suporte Técnico</v>
          </cell>
          <cell r="D347" t="str">
            <v>Sem responsável</v>
          </cell>
          <cell r="E347" t="str">
            <v>F�bio Prazeres da Silva</v>
          </cell>
          <cell r="F347" t="str">
            <v>Registrado</v>
          </cell>
          <cell r="G347">
            <v>42417.686111111114</v>
          </cell>
          <cell r="I347" t="str">
            <v xml:space="preserve">Contax </v>
          </cell>
          <cell r="J347" t="str">
            <v xml:space="preserve"> Dir. Oi</v>
          </cell>
        </row>
        <row r="348">
          <cell r="B348" t="str">
            <v>CTXRJOED-49497</v>
          </cell>
          <cell r="C348" t="str">
            <v>Projeto - Projeto</v>
          </cell>
          <cell r="D348" t="str">
            <v>Dalton Bondesan</v>
          </cell>
          <cell r="E348" t="str">
            <v>Marco Aurelio Chuim Cruz Filho</v>
          </cell>
          <cell r="F348" t="str">
            <v>Aberto</v>
          </cell>
          <cell r="G348">
            <v>42104.640277777777</v>
          </cell>
          <cell r="I348" t="str">
            <v xml:space="preserve">Prefeitura RJ </v>
          </cell>
          <cell r="J348" t="str">
            <v xml:space="preserve"> Atendimento Nivel 1</v>
          </cell>
        </row>
        <row r="349">
          <cell r="B349" t="str">
            <v>CTXRJOED-51677</v>
          </cell>
          <cell r="C349" t="str">
            <v>Sem acesso tprocess</v>
          </cell>
          <cell r="D349" t="str">
            <v>Sem responsável</v>
          </cell>
          <cell r="E349" t="str">
            <v>Alyne Souza Berriel</v>
          </cell>
          <cell r="F349" t="str">
            <v>Reaberto</v>
          </cell>
          <cell r="G349">
            <v>42165.742361111108</v>
          </cell>
          <cell r="I349" t="str">
            <v xml:space="preserve">Prefeitura RJ </v>
          </cell>
          <cell r="J349" t="str">
            <v xml:space="preserve"> Atendimento Nivel 1</v>
          </cell>
        </row>
        <row r="350">
          <cell r="B350" t="str">
            <v>CTXRJOED-54029</v>
          </cell>
          <cell r="C350" t="str">
            <v>Projeto - Projeto</v>
          </cell>
          <cell r="D350" t="str">
            <v>Marco Aurelio Chuim Cruz Filho</v>
          </cell>
          <cell r="E350" t="str">
            <v>Marco Aurelio Chuim Cruz Filho</v>
          </cell>
          <cell r="F350" t="str">
            <v>Fechado</v>
          </cell>
          <cell r="G350">
            <v>42234.481249999997</v>
          </cell>
          <cell r="H350">
            <v>42397.584722222222</v>
          </cell>
          <cell r="I350" t="str">
            <v xml:space="preserve">Prefeitura RJ </v>
          </cell>
          <cell r="J350" t="str">
            <v xml:space="preserve"> Atendimento Nivel 1</v>
          </cell>
        </row>
        <row r="351">
          <cell r="B351" t="str">
            <v>CTXRJOED-54040</v>
          </cell>
          <cell r="C351" t="str">
            <v>Projeto - Projeto - Discador GFE RJ</v>
          </cell>
          <cell r="D351" t="str">
            <v>Edison Nei Siqueira</v>
          </cell>
          <cell r="E351" t="str">
            <v>Elaine Fortunato da Silva</v>
          </cell>
          <cell r="F351" t="str">
            <v>Em Andamento</v>
          </cell>
          <cell r="G351">
            <v>42234.724305555559</v>
          </cell>
          <cell r="I351" t="str">
            <v xml:space="preserve">Contax </v>
          </cell>
          <cell r="J351" t="str">
            <v xml:space="preserve"> Dir. Oi</v>
          </cell>
        </row>
        <row r="352">
          <cell r="B352" t="str">
            <v>CTXRJOED-54399</v>
          </cell>
          <cell r="C352" t="str">
            <v>Projeto - Usabilidade SGRC</v>
          </cell>
          <cell r="D352" t="str">
            <v>Erica Fernandes Cotrim</v>
          </cell>
          <cell r="E352" t="str">
            <v>Kathleen Porto</v>
          </cell>
          <cell r="F352" t="str">
            <v>Registrado</v>
          </cell>
          <cell r="G352">
            <v>42243.744444444441</v>
          </cell>
          <cell r="I352" t="str">
            <v xml:space="preserve">Contax </v>
          </cell>
          <cell r="J352" t="str">
            <v xml:space="preserve"> Outro</v>
          </cell>
        </row>
        <row r="353">
          <cell r="B353" t="str">
            <v>CTXRJOED-55097</v>
          </cell>
          <cell r="C353" t="str">
            <v>Projeto - Projeto</v>
          </cell>
          <cell r="D353" t="str">
            <v>Kathleen Porto</v>
          </cell>
          <cell r="E353" t="str">
            <v>Marco Aurelio Chuim Cruz Filho</v>
          </cell>
          <cell r="F353" t="str">
            <v>Aberto</v>
          </cell>
          <cell r="G353">
            <v>42263.698611111111</v>
          </cell>
          <cell r="I353" t="str">
            <v xml:space="preserve">Prefeitura RJ </v>
          </cell>
          <cell r="J353" t="str">
            <v xml:space="preserve"> Atendimento Nivel 1</v>
          </cell>
        </row>
        <row r="354">
          <cell r="B354" t="str">
            <v>CTXRJOED-56989</v>
          </cell>
          <cell r="C354" t="str">
            <v>Projeto - Instalar Ferramenta de Automações Célula GFE - Engenho de Dentro</v>
          </cell>
          <cell r="D354" t="str">
            <v>Julio Cesar da Silva</v>
          </cell>
          <cell r="E354" t="str">
            <v>Elaine Fortunato da Silva</v>
          </cell>
          <cell r="F354" t="str">
            <v>Registrado</v>
          </cell>
          <cell r="G354">
            <v>42321.452777777777</v>
          </cell>
          <cell r="I354" t="str">
            <v xml:space="preserve">Contax </v>
          </cell>
          <cell r="J354" t="str">
            <v xml:space="preserve"> Dir. Oi</v>
          </cell>
        </row>
        <row r="355">
          <cell r="B355" t="str">
            <v>CTXRJOED-57427</v>
          </cell>
          <cell r="C355" t="str">
            <v>Implantação Gas Natural Fenosa</v>
          </cell>
          <cell r="D355" t="str">
            <v>Edison Nei Siqueira</v>
          </cell>
          <cell r="E355" t="str">
            <v>Robson da Costa</v>
          </cell>
          <cell r="F355" t="str">
            <v>Em Andamento</v>
          </cell>
          <cell r="G355">
            <v>42338.709722222222</v>
          </cell>
          <cell r="I355" t="str">
            <v xml:space="preserve">Contax </v>
          </cell>
          <cell r="J355" t="str">
            <v xml:space="preserve"> Ger Implantação</v>
          </cell>
        </row>
        <row r="356">
          <cell r="B356" t="str">
            <v>CTXRJOED-57907</v>
          </cell>
          <cell r="C356" t="str">
            <v>Projeto - "Por favor, usuário, utilizar este campo para informar o nome do Projeto"</v>
          </cell>
          <cell r="D356" t="str">
            <v>Kathleen Porto</v>
          </cell>
          <cell r="E356" t="str">
            <v>Marco Aurelio Chuim Cruz Filho</v>
          </cell>
          <cell r="F356" t="str">
            <v>Registrado</v>
          </cell>
          <cell r="G356">
            <v>42353.713888888888</v>
          </cell>
          <cell r="I356" t="str">
            <v xml:space="preserve">Prefeitura RJ </v>
          </cell>
          <cell r="J356" t="str">
            <v xml:space="preserve"> Atendimento Nivel 1</v>
          </cell>
        </row>
        <row r="357">
          <cell r="B357" t="str">
            <v>CTXRJOED-57908</v>
          </cell>
          <cell r="C357" t="str">
            <v>Projeto - "Por favor, usuário, utilizar este campo para informar o nome do Projeto"</v>
          </cell>
          <cell r="D357" t="str">
            <v>Kathleen Porto</v>
          </cell>
          <cell r="E357" t="str">
            <v>Marco Aurelio Chuim Cruz Filho</v>
          </cell>
          <cell r="F357" t="str">
            <v>Registrado</v>
          </cell>
          <cell r="G357">
            <v>42353.729166666664</v>
          </cell>
          <cell r="I357" t="str">
            <v xml:space="preserve">Prefeitura RJ </v>
          </cell>
          <cell r="J357" t="str">
            <v xml:space="preserve"> Atendimento Nivel 1</v>
          </cell>
        </row>
        <row r="358">
          <cell r="B358" t="str">
            <v>CTXRJOED-57910</v>
          </cell>
          <cell r="C358" t="str">
            <v>Projeto - "Relatorios SISO"</v>
          </cell>
          <cell r="D358" t="str">
            <v>Kathleen Porto</v>
          </cell>
          <cell r="E358" t="str">
            <v>Marco Aurelio Chuim Cruz Filho</v>
          </cell>
          <cell r="F358" t="str">
            <v>Registrado</v>
          </cell>
          <cell r="G358">
            <v>42353.753472222219</v>
          </cell>
          <cell r="I358" t="str">
            <v xml:space="preserve">Prefeitura RJ </v>
          </cell>
          <cell r="J358" t="str">
            <v xml:space="preserve"> Atendimento Nivel 1</v>
          </cell>
        </row>
        <row r="359">
          <cell r="B359" t="str">
            <v>CTXRJOMA-72849</v>
          </cell>
          <cell r="C359" t="str">
            <v>Projeto - Projeto - Evalyser Lista de Espera - SOC</v>
          </cell>
          <cell r="D359" t="str">
            <v>Edison Nei Siqueira</v>
          </cell>
          <cell r="E359" t="str">
            <v>Livia de Deus Henriques Rodrigues</v>
          </cell>
          <cell r="F359" t="str">
            <v>Em Andamento</v>
          </cell>
          <cell r="G359">
            <v>42178.690972222219</v>
          </cell>
          <cell r="I359" t="str">
            <v xml:space="preserve">Contax </v>
          </cell>
          <cell r="J359" t="str">
            <v xml:space="preserve"> Dir. Oi</v>
          </cell>
        </row>
        <row r="360">
          <cell r="B360" t="str">
            <v>CTXRJOMA-73573</v>
          </cell>
          <cell r="C360" t="str">
            <v>Projeto - Projeto - Melhoria TLV OFF Line</v>
          </cell>
          <cell r="D360" t="str">
            <v>Edison Nei Siqueira</v>
          </cell>
          <cell r="E360" t="str">
            <v>Elaine Fortunato da Silva</v>
          </cell>
          <cell r="F360" t="str">
            <v>Em Andamento</v>
          </cell>
          <cell r="G360">
            <v>42209.636805555558</v>
          </cell>
          <cell r="I360" t="str">
            <v xml:space="preserve">Contax </v>
          </cell>
          <cell r="J360" t="str">
            <v xml:space="preserve"> Dir. Oi</v>
          </cell>
        </row>
        <row r="361">
          <cell r="B361" t="str">
            <v>CTXRJOMA-73888</v>
          </cell>
          <cell r="C361" t="str">
            <v>Projeto - Projeto - Ferramenta de Automação OFF Line</v>
          </cell>
          <cell r="D361" t="str">
            <v>Julio Cesar da Silva</v>
          </cell>
          <cell r="E361" t="str">
            <v>Elaine Fortunato da Silva</v>
          </cell>
          <cell r="F361" t="str">
            <v>Registrado</v>
          </cell>
          <cell r="G361">
            <v>42226.526388888888</v>
          </cell>
          <cell r="I361" t="str">
            <v xml:space="preserve">Contax </v>
          </cell>
          <cell r="J361" t="str">
            <v xml:space="preserve"> Dir. Oi</v>
          </cell>
        </row>
        <row r="362">
          <cell r="B362" t="str">
            <v>CTXRJOMA-76819</v>
          </cell>
          <cell r="C362" t="str">
            <v>Permissão de leitura a Procedure</v>
          </cell>
          <cell r="D362" t="str">
            <v>Bruno Guerra Ferreira</v>
          </cell>
          <cell r="E362" t="str">
            <v>Joyce Faria Barbosa</v>
          </cell>
          <cell r="F362" t="str">
            <v>Registrado</v>
          </cell>
          <cell r="G362">
            <v>42353.625694444447</v>
          </cell>
          <cell r="I362" t="str">
            <v xml:space="preserve">Contax </v>
          </cell>
          <cell r="J362" t="str">
            <v xml:space="preserve"> Ger Planejamento SAC</v>
          </cell>
        </row>
        <row r="363">
          <cell r="B363" t="str">
            <v>CTXRJOMA-76875</v>
          </cell>
          <cell r="C363" t="str">
            <v>Mapeamento de IP por posição com localização em planta</v>
          </cell>
          <cell r="D363" t="str">
            <v>Joyce Faria Barbosa</v>
          </cell>
          <cell r="E363" t="str">
            <v>Joyce Faria Barbosa</v>
          </cell>
          <cell r="F363" t="str">
            <v>Fechado</v>
          </cell>
          <cell r="G363">
            <v>42355.792361111111</v>
          </cell>
          <cell r="H363">
            <v>42402.504166666666</v>
          </cell>
          <cell r="I363" t="str">
            <v xml:space="preserve">Contax </v>
          </cell>
          <cell r="J363" t="str">
            <v xml:space="preserve"> Ger Planejamento SAC</v>
          </cell>
        </row>
        <row r="364">
          <cell r="B364" t="str">
            <v>CTXRJOMA-76887</v>
          </cell>
          <cell r="C364" t="str">
            <v>Requisição de coleta de base TLV e Perfilcall</v>
          </cell>
          <cell r="D364" t="str">
            <v>Bruno Guerra Ferreira</v>
          </cell>
          <cell r="E364" t="str">
            <v>Joyce Faria Barbosa</v>
          </cell>
          <cell r="F364" t="str">
            <v>Registrado</v>
          </cell>
          <cell r="G364">
            <v>42356.651388888888</v>
          </cell>
          <cell r="I364" t="str">
            <v xml:space="preserve">Contax </v>
          </cell>
          <cell r="J364" t="str">
            <v xml:space="preserve"> Ger Planejamento SAC</v>
          </cell>
        </row>
        <row r="365">
          <cell r="B365" t="str">
            <v>CTXRJOMA-77042</v>
          </cell>
          <cell r="C365" t="str">
            <v>CATRACA - Desenvolvimento de coleta</v>
          </cell>
          <cell r="D365" t="str">
            <v>Joao Carlos Fadul Vilas Boas</v>
          </cell>
          <cell r="E365" t="str">
            <v>Joyce Faria Barbosa</v>
          </cell>
          <cell r="F365" t="str">
            <v>Aberto</v>
          </cell>
          <cell r="G365">
            <v>42367.678472222222</v>
          </cell>
          <cell r="I365" t="str">
            <v xml:space="preserve">Contax </v>
          </cell>
          <cell r="J365" t="str">
            <v xml:space="preserve"> Ger Planejamento SAC</v>
          </cell>
        </row>
        <row r="366">
          <cell r="B366" t="str">
            <v>CTXRJOMA-77272</v>
          </cell>
          <cell r="C366" t="str">
            <v>Reestruturação do DW, BIGDATA and ANALYTICS (RFP)</v>
          </cell>
          <cell r="D366" t="str">
            <v>Sem responsável</v>
          </cell>
          <cell r="E366" t="str">
            <v>Joyce Faria Barbosa</v>
          </cell>
          <cell r="F366" t="str">
            <v>Registrado</v>
          </cell>
          <cell r="G366">
            <v>42380.761111111111</v>
          </cell>
          <cell r="I366" t="str">
            <v xml:space="preserve">Contax </v>
          </cell>
          <cell r="J366" t="str">
            <v xml:space="preserve"> Ger Planejamento SAC</v>
          </cell>
        </row>
        <row r="367">
          <cell r="B367" t="str">
            <v>CTXRJOMA-77290</v>
          </cell>
          <cell r="C367" t="str">
            <v>Projeto - NICE Operações BO CONTRATOS</v>
          </cell>
          <cell r="D367" t="str">
            <v>Sem responsável</v>
          </cell>
          <cell r="E367" t="str">
            <v>Leonardo Pellegrini Vieira</v>
          </cell>
          <cell r="F367" t="str">
            <v>Registrado</v>
          </cell>
          <cell r="G367">
            <v>42381.770138888889</v>
          </cell>
          <cell r="I367" t="str">
            <v xml:space="preserve">Contax </v>
          </cell>
          <cell r="J367" t="str">
            <v xml:space="preserve"> Dir. Oi</v>
          </cell>
        </row>
        <row r="368">
          <cell r="B368" t="str">
            <v>CTXRJOMA-77291</v>
          </cell>
          <cell r="C368" t="str">
            <v>Projeto - Front End para BO CONTRATOS</v>
          </cell>
          <cell r="D368" t="str">
            <v>Sem responsável</v>
          </cell>
          <cell r="E368" t="str">
            <v>Leonardo Pellegrini Vieira</v>
          </cell>
          <cell r="F368" t="str">
            <v>Registrado</v>
          </cell>
          <cell r="G368">
            <v>42381.775694444441</v>
          </cell>
          <cell r="I368" t="str">
            <v xml:space="preserve">Contax </v>
          </cell>
          <cell r="J368" t="str">
            <v xml:space="preserve"> Dir. Oi</v>
          </cell>
        </row>
        <row r="369">
          <cell r="B369" t="str">
            <v>CTXRJOMA-77360</v>
          </cell>
          <cell r="C369" t="str">
            <v>Projeto_PassWork_integraçao_hierarquia</v>
          </cell>
          <cell r="D369" t="str">
            <v>Joyce Faria Barbosa</v>
          </cell>
          <cell r="E369" t="str">
            <v>Joyce Faria Barbosa</v>
          </cell>
          <cell r="F369" t="str">
            <v>Fechado</v>
          </cell>
          <cell r="G369">
            <v>42383.46597222222</v>
          </cell>
          <cell r="H369">
            <v>42402.504861111112</v>
          </cell>
          <cell r="I369" t="str">
            <v xml:space="preserve">Contax </v>
          </cell>
          <cell r="J369" t="str">
            <v xml:space="preserve"> Ger Planejamento SAC</v>
          </cell>
        </row>
        <row r="370">
          <cell r="B370" t="str">
            <v>CTXRJOMA-77361</v>
          </cell>
          <cell r="C370" t="str">
            <v>Projeto_PassWork_integraçao escala</v>
          </cell>
          <cell r="D370" t="str">
            <v>Joyce Faria Barbosa</v>
          </cell>
          <cell r="E370" t="str">
            <v>Joyce Faria Barbosa</v>
          </cell>
          <cell r="F370" t="str">
            <v>Fechado</v>
          </cell>
          <cell r="G370">
            <v>42383.46875</v>
          </cell>
          <cell r="H370">
            <v>42402.504861111112</v>
          </cell>
          <cell r="I370" t="str">
            <v xml:space="preserve">Contax </v>
          </cell>
          <cell r="J370" t="str">
            <v xml:space="preserve"> Ger Planejamento SAC</v>
          </cell>
        </row>
        <row r="371">
          <cell r="B371" t="str">
            <v>CTXRJOMA-77362</v>
          </cell>
          <cell r="C371" t="str">
            <v>Projeto_PassWork_interface telefonia</v>
          </cell>
          <cell r="D371" t="str">
            <v>Joyce Faria Barbosa</v>
          </cell>
          <cell r="E371" t="str">
            <v>Joyce Faria Barbosa</v>
          </cell>
          <cell r="F371" t="str">
            <v>Fechado</v>
          </cell>
          <cell r="G371">
            <v>42383.472222222219</v>
          </cell>
          <cell r="H371">
            <v>42402.505555555559</v>
          </cell>
          <cell r="I371" t="str">
            <v xml:space="preserve">Contax </v>
          </cell>
          <cell r="J371" t="str">
            <v xml:space="preserve"> Ger Planejamento SAC</v>
          </cell>
        </row>
        <row r="372">
          <cell r="B372" t="str">
            <v>CTXRJOMA-77615</v>
          </cell>
          <cell r="C372" t="str">
            <v>Projeto - Implantar Cochicho "Reajuste" nas operações da Cadeia Fixa</v>
          </cell>
          <cell r="D372" t="str">
            <v>Julio Cesar da Silva</v>
          </cell>
          <cell r="E372" t="str">
            <v>Fernanda Nazario Menezes</v>
          </cell>
          <cell r="F372" t="str">
            <v>Registrado</v>
          </cell>
          <cell r="G372">
            <v>42394.502083333333</v>
          </cell>
          <cell r="I372" t="str">
            <v xml:space="preserve">Oi </v>
          </cell>
          <cell r="J372" t="str">
            <v xml:space="preserve"> Atendimento</v>
          </cell>
        </row>
        <row r="373">
          <cell r="B373" t="str">
            <v>CTXRJOMA-77877</v>
          </cell>
          <cell r="C373" t="str">
            <v>Projeto Automações OI | RTI - REGISTRO AUTOMÁTICO DE REPARO DE VOZ (G1)</v>
          </cell>
          <cell r="D373" t="str">
            <v>Debora Gercke Dominas</v>
          </cell>
          <cell r="E373" t="str">
            <v>Wagner Mattos Ribeiro Pinto</v>
          </cell>
          <cell r="F373" t="str">
            <v>Em Andamento</v>
          </cell>
          <cell r="G373">
            <v>42403.619444444441</v>
          </cell>
          <cell r="I373" t="str">
            <v xml:space="preserve">Contax </v>
          </cell>
          <cell r="J373" t="str">
            <v xml:space="preserve"> Dir. Oi</v>
          </cell>
        </row>
        <row r="374">
          <cell r="B374" t="str">
            <v>CTXRJOMA-78043</v>
          </cell>
          <cell r="C374" t="str">
            <v>Projeto - Playground - Otimização da distribuição de chamadas</v>
          </cell>
          <cell r="D374" t="str">
            <v>Juliana Souza de Moraes</v>
          </cell>
          <cell r="E374" t="str">
            <v>Fabricio Hinein Peixoto Guimaraes</v>
          </cell>
          <cell r="F374" t="str">
            <v>Registrado</v>
          </cell>
          <cell r="G374">
            <v>42411.570138888892</v>
          </cell>
          <cell r="I374" t="str">
            <v xml:space="preserve">Contax </v>
          </cell>
          <cell r="J374" t="str">
            <v xml:space="preserve"> Dir. Oi</v>
          </cell>
        </row>
        <row r="375">
          <cell r="B375" t="str">
            <v>CTXRJOMA-78044</v>
          </cell>
          <cell r="C375" t="str">
            <v>Projeto Automações Oi | RTI - AUTOMAÇÃO CONSULTA HISTÓRICO TERMINAL</v>
          </cell>
          <cell r="D375" t="str">
            <v>Debora Gercke Dominas</v>
          </cell>
          <cell r="E375" t="str">
            <v>Wagner Mattos Ribeiro Pinto</v>
          </cell>
          <cell r="F375" t="str">
            <v>Registrado</v>
          </cell>
          <cell r="G375">
            <v>42411.595138888886</v>
          </cell>
          <cell r="I375" t="str">
            <v xml:space="preserve">Contax </v>
          </cell>
          <cell r="J375" t="str">
            <v xml:space="preserve"> Outro</v>
          </cell>
        </row>
        <row r="376">
          <cell r="B376" t="str">
            <v>CTXRJOMA-78045</v>
          </cell>
          <cell r="C376" t="str">
            <v>Projeto Automações Oi | FLUXO LIMITAÇÃO DA CHAMADA MANUAL</v>
          </cell>
          <cell r="D376" t="str">
            <v>Debora Gercke Dominas</v>
          </cell>
          <cell r="E376" t="str">
            <v>Wagner Mattos Ribeiro Pinto</v>
          </cell>
          <cell r="F376" t="str">
            <v>Registrado</v>
          </cell>
          <cell r="G376">
            <v>42411.598611111112</v>
          </cell>
          <cell r="I376" t="str">
            <v xml:space="preserve">Contax </v>
          </cell>
          <cell r="J376" t="str">
            <v xml:space="preserve"> Outro</v>
          </cell>
        </row>
        <row r="377">
          <cell r="B377" t="str">
            <v>CTXRJOMA-78208</v>
          </cell>
          <cell r="C377" t="str">
            <v>PROJETO AUTOMAÇÕES OI | PROCESSO ABERTURA E FECHAMENTO CONTESTAÇÃO</v>
          </cell>
          <cell r="D377" t="str">
            <v>Debora Gercke Dominas</v>
          </cell>
          <cell r="E377" t="str">
            <v>Wagner Mattos Ribeiro Pinto</v>
          </cell>
          <cell r="F377" t="str">
            <v>Registrado</v>
          </cell>
          <cell r="G377">
            <v>42417.434027777781</v>
          </cell>
          <cell r="I377" t="str">
            <v xml:space="preserve">Oi </v>
          </cell>
          <cell r="J377" t="str">
            <v xml:space="preserve"> Outras Atividades</v>
          </cell>
        </row>
        <row r="378">
          <cell r="B378" t="str">
            <v>CTXRJOMA-78210</v>
          </cell>
          <cell r="C378" t="str">
            <v>PROJETO AUTOMAÇÕES OI | PROCESSO ALTERAÇÃO DE VELOCIDADE VELOX</v>
          </cell>
          <cell r="D378" t="str">
            <v>Debora Gercke Dominas</v>
          </cell>
          <cell r="E378" t="str">
            <v>Wagner Mattos Ribeiro Pinto</v>
          </cell>
          <cell r="F378" t="str">
            <v>Registrado</v>
          </cell>
          <cell r="G378">
            <v>42417.439583333333</v>
          </cell>
          <cell r="I378" t="str">
            <v xml:space="preserve">Oi </v>
          </cell>
          <cell r="J378" t="str">
            <v xml:space="preserve"> Outras Atividades</v>
          </cell>
        </row>
        <row r="379">
          <cell r="B379" t="str">
            <v>CTXRJOMA-78212</v>
          </cell>
          <cell r="C379" t="str">
            <v>PROJETO AUTOMAÇÕES OI | PROCESSO INCLUSÃO DE DEPENDENTE OI MÓVEL</v>
          </cell>
          <cell r="D379" t="str">
            <v>Debora Gercke Dominas</v>
          </cell>
          <cell r="E379" t="str">
            <v>Wagner Mattos Ribeiro Pinto</v>
          </cell>
          <cell r="F379" t="str">
            <v>Registrado</v>
          </cell>
          <cell r="G379">
            <v>42417.442361111112</v>
          </cell>
          <cell r="I379" t="str">
            <v xml:space="preserve">Oi </v>
          </cell>
          <cell r="J379" t="str">
            <v xml:space="preserve"> Outras Atividades</v>
          </cell>
        </row>
        <row r="380">
          <cell r="B380" t="str">
            <v>CTXRJOMA-78215</v>
          </cell>
          <cell r="C380" t="str">
            <v>PROJETO AUTOMAÇÕES OI | PROCESSO VERIFICAÇÃO DE PROMOÇÕES PÓS-PAGO</v>
          </cell>
          <cell r="D380" t="str">
            <v>Debora Gercke Dominas</v>
          </cell>
          <cell r="E380" t="str">
            <v>Wagner Mattos Ribeiro Pinto</v>
          </cell>
          <cell r="F380" t="str">
            <v>Registrado</v>
          </cell>
          <cell r="G380">
            <v>42417.454861111109</v>
          </cell>
          <cell r="I380" t="str">
            <v xml:space="preserve">Oi </v>
          </cell>
          <cell r="J380" t="str">
            <v xml:space="preserve"> Outras Atividades</v>
          </cell>
        </row>
        <row r="381">
          <cell r="B381" t="str">
            <v>CTXRJOMA-78217</v>
          </cell>
          <cell r="C381" t="str">
            <v>PROJETO AUTOMAÇÕES OI | PROCESSO CHECKLIST DE MUDEND</v>
          </cell>
          <cell r="D381" t="str">
            <v>Debora Gercke Dominas</v>
          </cell>
          <cell r="E381" t="str">
            <v>Wagner Mattos Ribeiro Pinto</v>
          </cell>
          <cell r="F381" t="str">
            <v>Registrado</v>
          </cell>
          <cell r="G381">
            <v>42417.458333333336</v>
          </cell>
          <cell r="I381" t="str">
            <v xml:space="preserve">Oi </v>
          </cell>
          <cell r="J381" t="str">
            <v xml:space="preserve"> Outras Atividades</v>
          </cell>
        </row>
        <row r="382">
          <cell r="B382" t="str">
            <v>CTXRJOMA-78219</v>
          </cell>
          <cell r="C382" t="str">
            <v>PROJETO AUTOMAÇÕES OI | PROCESSO VERIFICAÇÃO DE CAMPANHAS PRÉ-PAGO</v>
          </cell>
          <cell r="D382" t="str">
            <v>Debora Gercke Dominas</v>
          </cell>
          <cell r="E382" t="str">
            <v>Wagner Mattos Ribeiro Pinto</v>
          </cell>
          <cell r="F382" t="str">
            <v>Registrado</v>
          </cell>
          <cell r="G382">
            <v>42417.461111111108</v>
          </cell>
          <cell r="I382" t="str">
            <v xml:space="preserve">Oi </v>
          </cell>
          <cell r="J382" t="str">
            <v xml:space="preserve"> Outras Atividades</v>
          </cell>
        </row>
        <row r="383">
          <cell r="B383" t="str">
            <v>CTXRJOMA-78220</v>
          </cell>
          <cell r="C383" t="str">
            <v>PROJETO AUTOMAÇÕES OI | PROCESSO CHECK LIST DE CRÉDITO POR INTERRUPÇÃO FIXO E VELOX (OCT CONTAS)</v>
          </cell>
          <cell r="D383" t="str">
            <v>Debora Gercke Dominas</v>
          </cell>
          <cell r="E383" t="str">
            <v>Wagner Mattos Ribeiro Pinto</v>
          </cell>
          <cell r="F383" t="str">
            <v>Registrado</v>
          </cell>
          <cell r="G383">
            <v>42417.464583333334</v>
          </cell>
          <cell r="I383" t="str">
            <v xml:space="preserve">Oi </v>
          </cell>
          <cell r="J383" t="str">
            <v xml:space="preserve"> Outras Atividades</v>
          </cell>
        </row>
        <row r="384">
          <cell r="B384" t="str">
            <v>CTXRJOMA-78224</v>
          </cell>
          <cell r="C384" t="str">
            <v>PROJETO AUTOMAÇÕES OI | PROCESSO CONTESTAÇÃO DE FATURA OI TV COM PAGAMENTO NO OI FIXO</v>
          </cell>
          <cell r="D384" t="str">
            <v>Debora Gercke Dominas</v>
          </cell>
          <cell r="E384" t="str">
            <v>Wagner Mattos Ribeiro Pinto</v>
          </cell>
          <cell r="F384" t="str">
            <v>Registrado</v>
          </cell>
          <cell r="G384">
            <v>42417.472222222219</v>
          </cell>
          <cell r="I384" t="str">
            <v xml:space="preserve">Oi </v>
          </cell>
          <cell r="J384" t="str">
            <v xml:space="preserve"> Outras Atividades</v>
          </cell>
        </row>
        <row r="385">
          <cell r="B385" t="str">
            <v>CTXRJOMA-78225</v>
          </cell>
          <cell r="C385" t="str">
            <v>PROJETO AUTOMAÇÕES OI | PROCESSO ALTERAÇÃO DE VELOCIDADE VELOX</v>
          </cell>
          <cell r="D385" t="str">
            <v>Debora Gercke Dominas</v>
          </cell>
          <cell r="E385" t="str">
            <v>Wagner Mattos Ribeiro Pinto</v>
          </cell>
          <cell r="F385" t="str">
            <v>Registrado</v>
          </cell>
          <cell r="G385">
            <v>42417.473611111112</v>
          </cell>
          <cell r="I385" t="str">
            <v xml:space="preserve">Oi </v>
          </cell>
          <cell r="J385" t="str">
            <v xml:space="preserve"> Outras Atividades</v>
          </cell>
        </row>
        <row r="386">
          <cell r="B386" t="str">
            <v>CTXRJOMK-102944</v>
          </cell>
          <cell r="C386" t="str">
            <v>Projeto - Projeto</v>
          </cell>
          <cell r="D386" t="str">
            <v>Leonardo Machado Anastacio</v>
          </cell>
          <cell r="E386" t="str">
            <v>Leonardo Machado Anastacio</v>
          </cell>
          <cell r="F386" t="str">
            <v>Fechado</v>
          </cell>
          <cell r="G386">
            <v>41983.499305555553</v>
          </cell>
          <cell r="H386">
            <v>42384.677083333336</v>
          </cell>
          <cell r="I386" t="str">
            <v xml:space="preserve">Contax </v>
          </cell>
          <cell r="J386" t="str">
            <v xml:space="preserve"> Ger Adm RH</v>
          </cell>
        </row>
        <row r="387">
          <cell r="B387" t="str">
            <v>CTXRJOMK-117938</v>
          </cell>
          <cell r="C387" t="str">
            <v>Projeto - Projeto</v>
          </cell>
          <cell r="D387" t="str">
            <v>Maria Carla Pereira dos Santos</v>
          </cell>
          <cell r="E387" t="str">
            <v>Eduardo Lima de Souza</v>
          </cell>
          <cell r="F387" t="str">
            <v>Em Andamento</v>
          </cell>
          <cell r="G387">
            <v>42198.461805555555</v>
          </cell>
          <cell r="I387" t="str">
            <v xml:space="preserve">Contax </v>
          </cell>
          <cell r="J387" t="str">
            <v xml:space="preserve"> Ger Adm RH</v>
          </cell>
        </row>
        <row r="388">
          <cell r="B388" t="str">
            <v>CTXRJOMK-118064</v>
          </cell>
          <cell r="C388" t="str">
            <v>Projeto - Projeto</v>
          </cell>
          <cell r="D388" t="str">
            <v>Dalton Bondesan</v>
          </cell>
          <cell r="E388" t="str">
            <v>Marco Aurelio Chuim Cruz Filho</v>
          </cell>
          <cell r="F388" t="str">
            <v>Registrado</v>
          </cell>
          <cell r="G388">
            <v>42199.604166666664</v>
          </cell>
          <cell r="I388" t="str">
            <v xml:space="preserve">BB Mapfre </v>
          </cell>
          <cell r="J388" t="str">
            <v xml:space="preserve"> BB Mapfre</v>
          </cell>
        </row>
        <row r="389">
          <cell r="B389" t="str">
            <v>CTXRJOMK-118558</v>
          </cell>
          <cell r="C389" t="str">
            <v>Projeto - Troca do parque de máquinas da operação Bradesco Seguros</v>
          </cell>
          <cell r="D389" t="str">
            <v>Dalton Bondesan</v>
          </cell>
          <cell r="E389" t="str">
            <v>Rogerio Luiz da Silva</v>
          </cell>
          <cell r="F389" t="str">
            <v>Em Andamento</v>
          </cell>
          <cell r="G389">
            <v>42205.445138888892</v>
          </cell>
          <cell r="I389" t="str">
            <v xml:space="preserve">Bradesco </v>
          </cell>
          <cell r="J389" t="str">
            <v xml:space="preserve"> Bradesco Seguros</v>
          </cell>
        </row>
        <row r="390">
          <cell r="B390" t="str">
            <v>CTXRJOMK-119586</v>
          </cell>
          <cell r="C390" t="str">
            <v>Projeto - Projeto</v>
          </cell>
          <cell r="D390" t="str">
            <v>Dalton Bondesan</v>
          </cell>
          <cell r="E390" t="str">
            <v>Lilian Bille Mesquita</v>
          </cell>
          <cell r="F390" t="str">
            <v>Registrado</v>
          </cell>
          <cell r="G390">
            <v>42219.607638888891</v>
          </cell>
          <cell r="I390" t="str">
            <v xml:space="preserve">Oi </v>
          </cell>
          <cell r="J390" t="str">
            <v xml:space="preserve"> Outras Atividades</v>
          </cell>
        </row>
        <row r="391">
          <cell r="B391" t="str">
            <v>CTXRJOMK-125309</v>
          </cell>
          <cell r="C391" t="str">
            <v>Projeto - "Por favor, usuário, utilizar este campo para informar o nome do Projeto"</v>
          </cell>
          <cell r="D391" t="str">
            <v>Bruno Guerra Ferreira</v>
          </cell>
          <cell r="E391" t="str">
            <v>Maria da Conceicao Paiva</v>
          </cell>
          <cell r="F391" t="str">
            <v>Registrado</v>
          </cell>
          <cell r="G391">
            <v>42296.625</v>
          </cell>
          <cell r="I391" t="str">
            <v xml:space="preserve">Contax </v>
          </cell>
          <cell r="J391" t="str">
            <v xml:space="preserve"> Dir. Oi</v>
          </cell>
        </row>
        <row r="392">
          <cell r="B392" t="str">
            <v>CTXRJOPF-69425</v>
          </cell>
          <cell r="C392" t="str">
            <v>Projeto - "Por favor, usuário, utilizar este campo para informar o nome do Projeto"</v>
          </cell>
          <cell r="D392" t="str">
            <v>Sem responsável</v>
          </cell>
          <cell r="E392" t="str">
            <v>Mariana de Araujo Paiva</v>
          </cell>
          <cell r="F392" t="str">
            <v>Registrado</v>
          </cell>
          <cell r="G392">
            <v>42415.667361111111</v>
          </cell>
          <cell r="I392" t="str">
            <v xml:space="preserve">Contax </v>
          </cell>
          <cell r="J392" t="str">
            <v xml:space="preserve"> Monitoria</v>
          </cell>
        </row>
        <row r="393">
          <cell r="B393" t="str">
            <v>CTXSALAS-149443</v>
          </cell>
          <cell r="C393" t="str">
            <v>Projeto - Projeto</v>
          </cell>
          <cell r="D393" t="str">
            <v>Dalton Bondesan</v>
          </cell>
          <cell r="E393" t="str">
            <v>Tiago dos Santos Fialho</v>
          </cell>
          <cell r="F393" t="str">
            <v>Aberto</v>
          </cell>
          <cell r="G393">
            <v>42088.557638888888</v>
          </cell>
          <cell r="I393" t="str">
            <v xml:space="preserve">Contax </v>
          </cell>
          <cell r="J393" t="str">
            <v xml:space="preserve"> Ger Processos, Metodologia e MIS</v>
          </cell>
        </row>
        <row r="394">
          <cell r="B394" t="str">
            <v>CTXSALAS-150015</v>
          </cell>
          <cell r="C394" t="str">
            <v>Projeto - Projeto</v>
          </cell>
          <cell r="D394" t="str">
            <v>Dalton Bondesan</v>
          </cell>
          <cell r="E394" t="str">
            <v>Tiago dos Santos Fialho</v>
          </cell>
          <cell r="F394" t="str">
            <v>Reaberto</v>
          </cell>
          <cell r="G394">
            <v>42100.466666666667</v>
          </cell>
          <cell r="I394" t="str">
            <v xml:space="preserve">Contax </v>
          </cell>
          <cell r="J394" t="str">
            <v xml:space="preserve"> Ger Processos, Metodologia e MIS</v>
          </cell>
        </row>
        <row r="395">
          <cell r="B395" t="str">
            <v>CTXSALAS-154241</v>
          </cell>
          <cell r="C395" t="str">
            <v>Projeto - Projeto</v>
          </cell>
          <cell r="D395" t="str">
            <v>Dalton Bondesan</v>
          </cell>
          <cell r="E395" t="str">
            <v>Tiago dos Santos Fialho</v>
          </cell>
          <cell r="F395" t="str">
            <v>Reaberto</v>
          </cell>
          <cell r="G395">
            <v>42167.669444444444</v>
          </cell>
          <cell r="I395" t="str">
            <v xml:space="preserve">Contax </v>
          </cell>
          <cell r="J395" t="str">
            <v xml:space="preserve"> Ger Processos, Metodologia e MIS</v>
          </cell>
        </row>
        <row r="396">
          <cell r="B396" t="str">
            <v>CTXSALAS-155279</v>
          </cell>
          <cell r="C396" t="str">
            <v>Projeto - Projeto</v>
          </cell>
          <cell r="D396" t="str">
            <v>Edison Nei Siqueira</v>
          </cell>
          <cell r="E396" t="str">
            <v>Cristiane Gon�alves Kuzuhara</v>
          </cell>
          <cell r="F396" t="str">
            <v>Aberto</v>
          </cell>
          <cell r="G396">
            <v>42187.679166666669</v>
          </cell>
          <cell r="I396" t="str">
            <v xml:space="preserve">Oi </v>
          </cell>
          <cell r="J396" t="str">
            <v xml:space="preserve"> Televendas Oi</v>
          </cell>
        </row>
        <row r="397">
          <cell r="B397" t="str">
            <v>CTXSALAS-156730</v>
          </cell>
          <cell r="C397" t="str">
            <v>Projeto - Projeto</v>
          </cell>
          <cell r="D397" t="str">
            <v>Dalton Bondesan</v>
          </cell>
          <cell r="E397" t="str">
            <v>Cristiane Gon�alves Kuzuhara</v>
          </cell>
          <cell r="F397" t="str">
            <v>Registrado</v>
          </cell>
          <cell r="G397">
            <v>42212.806250000001</v>
          </cell>
          <cell r="I397" t="str">
            <v xml:space="preserve">Oi </v>
          </cell>
          <cell r="J397" t="str">
            <v xml:space="preserve"> Televendas Oi</v>
          </cell>
        </row>
        <row r="398">
          <cell r="B398" t="str">
            <v>CTXSALAS-156916</v>
          </cell>
          <cell r="C398" t="str">
            <v>Projeto - Projeto</v>
          </cell>
          <cell r="D398" t="str">
            <v>Dalton Bondesan</v>
          </cell>
          <cell r="E398" t="str">
            <v>Tiago dos Santos Fialho</v>
          </cell>
          <cell r="F398" t="str">
            <v>Pendência Externa</v>
          </cell>
          <cell r="G398">
            <v>42216.731249999997</v>
          </cell>
          <cell r="I398" t="str">
            <v xml:space="preserve">Contax </v>
          </cell>
          <cell r="J398" t="str">
            <v xml:space="preserve"> Ger Processos, Metodologia e MIS</v>
          </cell>
        </row>
        <row r="399">
          <cell r="B399" t="str">
            <v>CTXSALAS-158599</v>
          </cell>
          <cell r="C399" t="str">
            <v>Projeto - Projeto</v>
          </cell>
          <cell r="D399" t="str">
            <v>Erica Fernandes Cotrim</v>
          </cell>
          <cell r="E399" t="str">
            <v>Cristiane Gon�alves Kuzuhara</v>
          </cell>
          <cell r="F399" t="str">
            <v>Pendência Externa</v>
          </cell>
          <cell r="G399">
            <v>42251.803472222222</v>
          </cell>
          <cell r="I399" t="str">
            <v xml:space="preserve">Oi </v>
          </cell>
          <cell r="J399" t="str">
            <v xml:space="preserve"> Televendas Oi</v>
          </cell>
        </row>
        <row r="400">
          <cell r="B400" t="str">
            <v>CTXSALAS-161797</v>
          </cell>
          <cell r="C400" t="str">
            <v>Projeto - "Por favor, usuário, utilizar este campo para informar o nome do Projeto"</v>
          </cell>
          <cell r="D400" t="str">
            <v>Bruno Guerra Ferreira</v>
          </cell>
          <cell r="E400" t="str">
            <v>Cristiane Gon�alves Kuzuhara</v>
          </cell>
          <cell r="F400" t="str">
            <v>Registrado</v>
          </cell>
          <cell r="G400">
            <v>42321.755555555559</v>
          </cell>
          <cell r="I400" t="str">
            <v xml:space="preserve">Oi </v>
          </cell>
          <cell r="J400" t="str">
            <v xml:space="preserve"> Televendas Oi</v>
          </cell>
        </row>
        <row r="401">
          <cell r="B401" t="str">
            <v>CTXSALLM-110995</v>
          </cell>
          <cell r="C401" t="str">
            <v>Projeto - Projeto - Novo Portal de Vendas_ Ezconet</v>
          </cell>
          <cell r="D401" t="str">
            <v>Priscila Menezes de Sousa Pinto</v>
          </cell>
          <cell r="E401" t="str">
            <v>Priscila Menezes de Sousa Pinto</v>
          </cell>
          <cell r="F401" t="str">
            <v>Fechado</v>
          </cell>
          <cell r="G401">
            <v>42100.42083333333</v>
          </cell>
          <cell r="H401">
            <v>42355.699305555558</v>
          </cell>
          <cell r="I401" t="str">
            <v xml:space="preserve">Contax </v>
          </cell>
          <cell r="J401" t="str">
            <v xml:space="preserve"> Ger Processos, Metodologia e MIS</v>
          </cell>
        </row>
        <row r="402">
          <cell r="B402" t="str">
            <v>CTXSALLM-115129</v>
          </cell>
          <cell r="C402" t="str">
            <v>Projeto - Adicionar VLAN para Atendimento do BBJapão</v>
          </cell>
          <cell r="D402" t="str">
            <v>Carlos Batista Alves</v>
          </cell>
          <cell r="E402" t="str">
            <v>Carlos Batista Alves</v>
          </cell>
          <cell r="F402" t="str">
            <v>Fechado</v>
          </cell>
          <cell r="G402">
            <v>42256.649305555555</v>
          </cell>
          <cell r="H402">
            <v>42373.390972222223</v>
          </cell>
          <cell r="I402" t="str">
            <v xml:space="preserve">Contax </v>
          </cell>
          <cell r="J402" t="str">
            <v xml:space="preserve"> Outro</v>
          </cell>
        </row>
        <row r="403">
          <cell r="B403" t="str">
            <v>CTXSALLM-115737</v>
          </cell>
          <cell r="C403" t="str">
            <v>Projeto - Projeto - Citibank - Nova operação de Ativação/Desbloqueio de Cartões</v>
          </cell>
          <cell r="D403" t="str">
            <v>Mariana da Costa Mello</v>
          </cell>
          <cell r="E403" t="str">
            <v>Mariana da Costa Mello</v>
          </cell>
          <cell r="F403" t="str">
            <v>Fechado</v>
          </cell>
          <cell r="G403">
            <v>42282.775000000001</v>
          </cell>
          <cell r="H403">
            <v>42367.59652777778</v>
          </cell>
          <cell r="I403" t="str">
            <v xml:space="preserve">Contax </v>
          </cell>
          <cell r="J403" t="str">
            <v xml:space="preserve"> Outro</v>
          </cell>
        </row>
        <row r="404">
          <cell r="B404" t="str">
            <v>CTXSALLM-117082</v>
          </cell>
          <cell r="C404" t="str">
            <v>Projeto - Migração POP 3 - OCT Out/Inb e Fonte Nova x Comércio</v>
          </cell>
          <cell r="D404" t="str">
            <v>Cristiane Gon�alves Kuzuhara</v>
          </cell>
          <cell r="E404" t="str">
            <v>Cristiane Gon�alves Kuzuhara</v>
          </cell>
          <cell r="F404" t="str">
            <v>Fechado</v>
          </cell>
          <cell r="G404">
            <v>42324.712500000001</v>
          </cell>
          <cell r="H404">
            <v>42374.511111111111</v>
          </cell>
          <cell r="I404" t="str">
            <v xml:space="preserve">Oi </v>
          </cell>
          <cell r="J404" t="str">
            <v xml:space="preserve"> Televendas Oi</v>
          </cell>
        </row>
        <row r="405">
          <cell r="B405" t="str">
            <v>CTXSALLM-117084</v>
          </cell>
          <cell r="C405" t="str">
            <v>Projeto - ""Migração POP 3 - BO TLV Varejo e Site Fonte Nova x Comércio".</v>
          </cell>
          <cell r="D405" t="str">
            <v>Cristiane Gon�alves Kuzuhara</v>
          </cell>
          <cell r="E405" t="str">
            <v>Cristiane Gon�alves Kuzuhara</v>
          </cell>
          <cell r="F405" t="str">
            <v>Fechado</v>
          </cell>
          <cell r="G405">
            <v>42324.717361111114</v>
          </cell>
          <cell r="H405">
            <v>42374.510416666664</v>
          </cell>
          <cell r="I405" t="str">
            <v xml:space="preserve">Oi </v>
          </cell>
          <cell r="J405" t="str">
            <v xml:space="preserve"> Televendas Oi</v>
          </cell>
        </row>
        <row r="406">
          <cell r="B406" t="str">
            <v>CTXSALLM-117664</v>
          </cell>
          <cell r="C406" t="str">
            <v>desenvolvimento front facil</v>
          </cell>
          <cell r="D406" t="str">
            <v>Bruno Guerra Ferreira</v>
          </cell>
          <cell r="E406" t="str">
            <v>JONAS SANTOS DO AMOR DIVINO</v>
          </cell>
          <cell r="F406" t="str">
            <v>Registrado</v>
          </cell>
          <cell r="G406">
            <v>42338.478472222225</v>
          </cell>
          <cell r="I406" t="str">
            <v xml:space="preserve">Citibank </v>
          </cell>
          <cell r="J406" t="str">
            <v xml:space="preserve"> Ilha Ativação</v>
          </cell>
        </row>
        <row r="407">
          <cell r="B407" t="str">
            <v>CTXSALLM-118598</v>
          </cell>
          <cell r="C407" t="str">
            <v>Crescimento de 3 Posições do Mega Ilha</v>
          </cell>
          <cell r="D407" t="str">
            <v>Marco Aurelio Brandao Duarte</v>
          </cell>
          <cell r="E407" t="str">
            <v>Marco Aurelio Brandao Duarte</v>
          </cell>
          <cell r="F407" t="str">
            <v>Fechado</v>
          </cell>
          <cell r="G407">
            <v>42360.459722222222</v>
          </cell>
          <cell r="H407">
            <v>42375.455555555556</v>
          </cell>
          <cell r="I407" t="str">
            <v xml:space="preserve">Citibank </v>
          </cell>
          <cell r="J407" t="str">
            <v xml:space="preserve"> Televendas PIL</v>
          </cell>
        </row>
        <row r="408">
          <cell r="B408" t="str">
            <v>CTXSALLM-118698</v>
          </cell>
          <cell r="C408" t="str">
            <v>Crescimento mais do mesmo para atender o forecast de Jan/16 do ATC Premium</v>
          </cell>
          <cell r="D408" t="str">
            <v>Marco Aurelio Brandao Duarte</v>
          </cell>
          <cell r="E408" t="str">
            <v>Marco Aurelio Brandao Duarte</v>
          </cell>
          <cell r="F408" t="str">
            <v>Fechado</v>
          </cell>
          <cell r="G408">
            <v>42361.705555555556</v>
          </cell>
          <cell r="H408">
            <v>42382.604861111111</v>
          </cell>
          <cell r="I408" t="str">
            <v xml:space="preserve">Citibank </v>
          </cell>
          <cell r="J408" t="str">
            <v xml:space="preserve"> SAC Citibank</v>
          </cell>
        </row>
        <row r="409">
          <cell r="B409" t="str">
            <v>CTXSALLM-118766</v>
          </cell>
          <cell r="C409" t="str">
            <v>Projeto - "Por favor, usuário, utilizar este campo para informar o nome do Projeto"</v>
          </cell>
          <cell r="D409" t="str">
            <v>JONAS SANTOS DO AMOR DIVINO</v>
          </cell>
          <cell r="E409" t="str">
            <v>JONAS SANTOS DO AMOR DIVINO</v>
          </cell>
          <cell r="F409" t="str">
            <v>Fechado</v>
          </cell>
          <cell r="G409">
            <v>42366.529861111114</v>
          </cell>
          <cell r="H409">
            <v>42380.775694444441</v>
          </cell>
          <cell r="I409" t="str">
            <v xml:space="preserve">Citibank </v>
          </cell>
          <cell r="J409" t="str">
            <v xml:space="preserve"> Ilha Ativação</v>
          </cell>
        </row>
        <row r="410">
          <cell r="B410" t="str">
            <v>CTXSALLM-119005</v>
          </cell>
          <cell r="C410" t="str">
            <v>Adequa</v>
          </cell>
          <cell r="D410" t="str">
            <v>Tiago dos Santos Fialho</v>
          </cell>
          <cell r="E410" t="str">
            <v>Tiago dos Santos Fialho</v>
          </cell>
          <cell r="F410" t="str">
            <v>Fechado</v>
          </cell>
          <cell r="G410">
            <v>42374.429861111108</v>
          </cell>
          <cell r="H410">
            <v>42391.352083333331</v>
          </cell>
          <cell r="I410" t="str">
            <v xml:space="preserve">Contax </v>
          </cell>
          <cell r="J410" t="str">
            <v xml:space="preserve"> Ger Processos, Metodologia e MIS</v>
          </cell>
        </row>
        <row r="411">
          <cell r="B411" t="str">
            <v>CTXSALLM-119760</v>
          </cell>
          <cell r="C411" t="str">
            <v>Projeto - "Alteração da gravação de outbound para inbound"</v>
          </cell>
          <cell r="D411" t="str">
            <v>Paulo Roberto da Costa Cavalcante</v>
          </cell>
          <cell r="E411" t="str">
            <v>Cristiane Gon�alves Kuzuhara</v>
          </cell>
          <cell r="F411" t="str">
            <v>Registrado</v>
          </cell>
          <cell r="G411">
            <v>42389.628472222219</v>
          </cell>
          <cell r="I411" t="str">
            <v xml:space="preserve">Oi </v>
          </cell>
          <cell r="J411" t="str">
            <v xml:space="preserve"> Televendas Oi</v>
          </cell>
        </row>
        <row r="412">
          <cell r="B412" t="str">
            <v>CTXSALLM-120345</v>
          </cell>
          <cell r="C412" t="str">
            <v>Projeto - Crescimento 30 PV´s de Outbound Pós</v>
          </cell>
          <cell r="D412" t="str">
            <v>Erica Fernandes Cotrim</v>
          </cell>
          <cell r="E412" t="str">
            <v>Cristiane Gon�alves Kuzuhara</v>
          </cell>
          <cell r="F412" t="str">
            <v>Registrado</v>
          </cell>
          <cell r="G412">
            <v>42401.851388888892</v>
          </cell>
          <cell r="I412" t="str">
            <v xml:space="preserve">Oi </v>
          </cell>
          <cell r="J412" t="str">
            <v xml:space="preserve"> Televendas Oi</v>
          </cell>
        </row>
        <row r="413">
          <cell r="B413" t="str">
            <v>CTXSALPB-31209</v>
          </cell>
          <cell r="C413" t="str">
            <v>Implantação APC + FF - Rentabilização</v>
          </cell>
          <cell r="D413" t="str">
            <v>Edison Nei Siqueira</v>
          </cell>
          <cell r="E413" t="str">
            <v>Alexandre Teixeira de Pinho</v>
          </cell>
          <cell r="F413" t="str">
            <v>Em Andamento</v>
          </cell>
          <cell r="G413">
            <v>42122.445138888892</v>
          </cell>
          <cell r="I413" t="str">
            <v xml:space="preserve">Oi </v>
          </cell>
          <cell r="J413" t="str">
            <v xml:space="preserve"> Rentabilização</v>
          </cell>
        </row>
        <row r="414">
          <cell r="B414" t="str">
            <v>CTXSALPB-38362</v>
          </cell>
          <cell r="C414" t="str">
            <v>Projeto - Projeto</v>
          </cell>
          <cell r="D414" t="str">
            <v>Dalton Bondesan</v>
          </cell>
          <cell r="E414" t="str">
            <v>Erika Andrade Miguel</v>
          </cell>
          <cell r="F414" t="str">
            <v>Registrado</v>
          </cell>
          <cell r="G414">
            <v>42206.522222222222</v>
          </cell>
          <cell r="I414" t="str">
            <v xml:space="preserve">Oi </v>
          </cell>
          <cell r="J414" t="str">
            <v xml:space="preserve"> OI TV</v>
          </cell>
        </row>
        <row r="415">
          <cell r="B415" t="str">
            <v>CTXSALPB-42304</v>
          </cell>
          <cell r="C415" t="str">
            <v>Projeto - Projeto Tetris Boa Viagem (Televendas e Rentabilização)</v>
          </cell>
          <cell r="D415" t="str">
            <v>Dalton Bondesan</v>
          </cell>
          <cell r="E415" t="str">
            <v>Alexandre Teixeira de Pinho</v>
          </cell>
          <cell r="F415" t="str">
            <v>Pendência Externa</v>
          </cell>
          <cell r="G415">
            <v>42258.415972222225</v>
          </cell>
          <cell r="I415" t="str">
            <v xml:space="preserve">Oi </v>
          </cell>
          <cell r="J415" t="str">
            <v xml:space="preserve"> Rentabilização</v>
          </cell>
        </row>
        <row r="416">
          <cell r="B416" t="str">
            <v>CTXSALPB-46921</v>
          </cell>
          <cell r="C416" t="str">
            <v>Projeto - Integração NBA x tGuidance! Inbound Rentabilização</v>
          </cell>
          <cell r="D416" t="str">
            <v>Julio Cesar da Silva</v>
          </cell>
          <cell r="E416" t="str">
            <v>Alexandre Teixeira de Pinho</v>
          </cell>
          <cell r="F416" t="str">
            <v>Registrado</v>
          </cell>
          <cell r="G416">
            <v>42320.727083333331</v>
          </cell>
          <cell r="I416" t="str">
            <v xml:space="preserve">Oi </v>
          </cell>
          <cell r="J416" t="str">
            <v xml:space="preserve"> Rentabilização</v>
          </cell>
        </row>
        <row r="417">
          <cell r="B417" t="str">
            <v>CTXSALPB-47135</v>
          </cell>
          <cell r="C417" t="str">
            <v>Projeto - "Migração POP 3 - TLV Empresarial e Site Fonte Nova x Boa Viagem".</v>
          </cell>
          <cell r="D417" t="str">
            <v>Cristiane Gon�alves Kuzuhara</v>
          </cell>
          <cell r="E417" t="str">
            <v>Cristiane Gon�alves Kuzuhara</v>
          </cell>
          <cell r="F417" t="str">
            <v>Fechado</v>
          </cell>
          <cell r="G417">
            <v>42324.724999999999</v>
          </cell>
          <cell r="H417">
            <v>42384.65902777778</v>
          </cell>
          <cell r="I417" t="str">
            <v xml:space="preserve">Oi </v>
          </cell>
          <cell r="J417" t="str">
            <v xml:space="preserve"> Televendas Oi</v>
          </cell>
        </row>
        <row r="418">
          <cell r="B418" t="str">
            <v>CTXSALPB-47141</v>
          </cell>
          <cell r="C418" t="str">
            <v>Projeto - "Migração POP 3 - Inbound OI TV e Site Fonte Nova x Boa Viagem"</v>
          </cell>
          <cell r="D418" t="str">
            <v>Cristiane Gon�alves Kuzuhara</v>
          </cell>
          <cell r="E418" t="str">
            <v>Cristiane Gon�alves Kuzuhara</v>
          </cell>
          <cell r="F418" t="str">
            <v>Fechado</v>
          </cell>
          <cell r="G418">
            <v>42324.794444444444</v>
          </cell>
          <cell r="H418">
            <v>42384.658333333333</v>
          </cell>
          <cell r="I418" t="str">
            <v xml:space="preserve">Oi </v>
          </cell>
          <cell r="J418" t="str">
            <v xml:space="preserve"> Televendas Oi</v>
          </cell>
        </row>
        <row r="419">
          <cell r="B419" t="str">
            <v>CTXSALPB-47142</v>
          </cell>
          <cell r="C419" t="str">
            <v>Projeto - "Migração POP 3 - Auditoria varejo e Site Fonte Nova x Boa Viagem"</v>
          </cell>
          <cell r="D419" t="str">
            <v>Cristiane Gon�alves Kuzuhara</v>
          </cell>
          <cell r="E419" t="str">
            <v>Cristiane Gon�alves Kuzuhara</v>
          </cell>
          <cell r="F419" t="str">
            <v>Fechado</v>
          </cell>
          <cell r="G419">
            <v>42324.798611111109</v>
          </cell>
          <cell r="H419">
            <v>42384.658333333333</v>
          </cell>
          <cell r="I419" t="str">
            <v xml:space="preserve">Oi </v>
          </cell>
          <cell r="J419" t="str">
            <v xml:space="preserve"> Televendas Oi</v>
          </cell>
        </row>
        <row r="420">
          <cell r="B420" t="str">
            <v>CTXSALPB-47935</v>
          </cell>
          <cell r="C420" t="str">
            <v>Projeto - Crescimento Rentabilização</v>
          </cell>
          <cell r="D420" t="str">
            <v>Edison Nei Siqueira</v>
          </cell>
          <cell r="E420" t="str">
            <v>Alexandre Teixeira de Pinho</v>
          </cell>
          <cell r="F420" t="str">
            <v>Em Andamento</v>
          </cell>
          <cell r="G420">
            <v>42333.762499999997</v>
          </cell>
          <cell r="I420" t="str">
            <v xml:space="preserve">Oi </v>
          </cell>
          <cell r="J420" t="str">
            <v xml:space="preserve"> Rentabilização</v>
          </cell>
        </row>
        <row r="421">
          <cell r="B421" t="str">
            <v>CTXSALPB-50670</v>
          </cell>
          <cell r="C421" t="str">
            <v>Projeto - "Crescimento de 50 PA´s de Velox/Fixo"</v>
          </cell>
          <cell r="D421" t="str">
            <v>Cristiane Gon�alves Kuzuhara</v>
          </cell>
          <cell r="E421" t="str">
            <v>Cristiane Gon�alves Kuzuhara</v>
          </cell>
          <cell r="F421" t="str">
            <v>Fechado</v>
          </cell>
          <cell r="G421">
            <v>42361.668749999997</v>
          </cell>
          <cell r="H421">
            <v>42397.404861111114</v>
          </cell>
          <cell r="I421" t="str">
            <v xml:space="preserve">Oi </v>
          </cell>
          <cell r="J421" t="str">
            <v xml:space="preserve"> Televendas Oi</v>
          </cell>
        </row>
        <row r="422">
          <cell r="B422" t="str">
            <v>CTXSALPB-51084</v>
          </cell>
          <cell r="C422" t="str">
            <v>Projeto - "Configuração de PV´s de incentivados Fixo"</v>
          </cell>
          <cell r="D422" t="str">
            <v>Julio Cesar da Silva</v>
          </cell>
          <cell r="E422" t="str">
            <v>Cristiane Gon�alves Kuzuhara</v>
          </cell>
          <cell r="F422" t="str">
            <v>Registrado</v>
          </cell>
          <cell r="G422">
            <v>42367.852777777778</v>
          </cell>
          <cell r="I422" t="str">
            <v xml:space="preserve">Oi </v>
          </cell>
          <cell r="J422" t="str">
            <v xml:space="preserve"> Televendas Oi</v>
          </cell>
        </row>
        <row r="423">
          <cell r="B423" t="str">
            <v>CTXSALPB-53141</v>
          </cell>
          <cell r="C423" t="str">
            <v>Projeto - Crescimento/Forecast</v>
          </cell>
          <cell r="D423" t="str">
            <v>Sem responsável</v>
          </cell>
          <cell r="E423" t="str">
            <v>Tatiana Melo Siquara Alonso</v>
          </cell>
          <cell r="F423" t="str">
            <v>Registrado</v>
          </cell>
          <cell r="G423">
            <v>42384.734722222223</v>
          </cell>
          <cell r="I423" t="str">
            <v xml:space="preserve">Claro </v>
          </cell>
          <cell r="J423" t="str">
            <v xml:space="preserve"> SAC Pré</v>
          </cell>
        </row>
        <row r="424">
          <cell r="B424" t="str">
            <v>CTXSALPB-53725</v>
          </cell>
          <cell r="C424" t="str">
            <v>Projeto - "Por favor, usuário, utilizar este campo para informar o nome do Projeto"</v>
          </cell>
          <cell r="D424" t="str">
            <v>Sem responsável</v>
          </cell>
          <cell r="E424" t="str">
            <v>Cristiane Gon�alves Kuzuhara</v>
          </cell>
          <cell r="F424" t="str">
            <v>Registrado</v>
          </cell>
          <cell r="G424">
            <v>42389.646527777775</v>
          </cell>
          <cell r="I424" t="str">
            <v xml:space="preserve">Oi </v>
          </cell>
          <cell r="J424" t="str">
            <v xml:space="preserve"> Televendas Oi</v>
          </cell>
        </row>
        <row r="425">
          <cell r="B425" t="str">
            <v>CTXSALPB-53727</v>
          </cell>
          <cell r="C425" t="str">
            <v>Projeto - "Por favor, usuário, utilizar este campo para informar o nome do Projeto"</v>
          </cell>
          <cell r="D425" t="str">
            <v>Sem responsável</v>
          </cell>
          <cell r="E425" t="str">
            <v>Cristiane Gon�alves Kuzuhara</v>
          </cell>
          <cell r="F425" t="str">
            <v>Registrado</v>
          </cell>
          <cell r="G425">
            <v>42389.65</v>
          </cell>
          <cell r="I425" t="str">
            <v xml:space="preserve">Oi </v>
          </cell>
          <cell r="J425" t="str">
            <v xml:space="preserve"> Televendas Oi</v>
          </cell>
        </row>
        <row r="426">
          <cell r="B426" t="str">
            <v>CTXSALPB-55459</v>
          </cell>
          <cell r="C426" t="str">
            <v>Projeto - "Gravação BO Empresarial"</v>
          </cell>
          <cell r="D426" t="str">
            <v>Sem responsável</v>
          </cell>
          <cell r="E426" t="str">
            <v>Cristiane Gon�alves Kuzuhara</v>
          </cell>
          <cell r="F426" t="str">
            <v>Registrado</v>
          </cell>
          <cell r="G426">
            <v>42401.802777777775</v>
          </cell>
          <cell r="I426" t="str">
            <v xml:space="preserve">Oi </v>
          </cell>
          <cell r="J426" t="str">
            <v xml:space="preserve"> Televendas Oi</v>
          </cell>
        </row>
        <row r="427">
          <cell r="B427" t="str">
            <v>CTXSALPB-55657</v>
          </cell>
          <cell r="C427" t="str">
            <v>Projeto - Crescimento/Forecast</v>
          </cell>
          <cell r="D427" t="str">
            <v>Sem responsável</v>
          </cell>
          <cell r="E427" t="str">
            <v>Cristiane Gon�alves Kuzuhara</v>
          </cell>
          <cell r="F427" t="str">
            <v>Registrado</v>
          </cell>
          <cell r="G427">
            <v>42402.713194444441</v>
          </cell>
          <cell r="I427" t="str">
            <v xml:space="preserve">Oi </v>
          </cell>
          <cell r="J427" t="str">
            <v xml:space="preserve"> Televendas Oi</v>
          </cell>
        </row>
        <row r="428">
          <cell r="B428" t="str">
            <v>CTXSALPB-55659</v>
          </cell>
          <cell r="C428" t="str">
            <v>Projeto - "Crescimento de 20 PV´s Velox Outbound"</v>
          </cell>
          <cell r="D428" t="str">
            <v>Erica Fernandes Cotrim</v>
          </cell>
          <cell r="E428" t="str">
            <v>Cristiane Gon�alves Kuzuhara</v>
          </cell>
          <cell r="F428" t="str">
            <v>Registrado</v>
          </cell>
          <cell r="G428">
            <v>42402.71875</v>
          </cell>
          <cell r="I428" t="str">
            <v xml:space="preserve">Oi </v>
          </cell>
          <cell r="J428" t="str">
            <v xml:space="preserve"> Televendas Oi</v>
          </cell>
        </row>
        <row r="429">
          <cell r="B429" t="str">
            <v>CTXSALPB-56789</v>
          </cell>
          <cell r="C429" t="str">
            <v>Projeto - Front Fácil + APC - Rentabilização Fixo</v>
          </cell>
          <cell r="D429" t="str">
            <v>Sem responsável</v>
          </cell>
          <cell r="E429" t="str">
            <v>Alexandre Teixeira de Pinho</v>
          </cell>
          <cell r="F429" t="str">
            <v>Registrado</v>
          </cell>
          <cell r="G429">
            <v>42412.789583333331</v>
          </cell>
          <cell r="I429" t="str">
            <v xml:space="preserve">Oi </v>
          </cell>
          <cell r="J429" t="str">
            <v xml:space="preserve"> Rentabilização</v>
          </cell>
        </row>
        <row r="430">
          <cell r="B430" t="str">
            <v>CTXSALSM-74754</v>
          </cell>
          <cell r="C430" t="str">
            <v>Troca do sistema WinXP para Win7 em todas as operações do Itaú BA</v>
          </cell>
          <cell r="D430" t="str">
            <v>Juliana Souza de Moraes</v>
          </cell>
          <cell r="E430" t="str">
            <v>Marco Aurelio Brandao Duarte</v>
          </cell>
          <cell r="F430" t="str">
            <v>Aberto</v>
          </cell>
          <cell r="G430">
            <v>42081.73333333333</v>
          </cell>
          <cell r="I430" t="str">
            <v xml:space="preserve">Itaú </v>
          </cell>
          <cell r="J430" t="str">
            <v xml:space="preserve"> Itaú Cartão</v>
          </cell>
        </row>
        <row r="431">
          <cell r="B431" t="str">
            <v>CTXSALSM-78582</v>
          </cell>
          <cell r="C431" t="str">
            <v>Projeto - Projeto</v>
          </cell>
          <cell r="D431" t="str">
            <v>Erica Fernandes Cotrim</v>
          </cell>
          <cell r="E431" t="str">
            <v>Tiago dos Santos Fialho</v>
          </cell>
          <cell r="F431" t="str">
            <v>Pendência Externa</v>
          </cell>
          <cell r="G431">
            <v>42188.760416666664</v>
          </cell>
          <cell r="I431" t="str">
            <v xml:space="preserve">Contax </v>
          </cell>
          <cell r="J431" t="str">
            <v xml:space="preserve"> Ger Processos, Metodologia e MIS</v>
          </cell>
        </row>
        <row r="432">
          <cell r="B432" t="str">
            <v>CTXSALSM-78825</v>
          </cell>
          <cell r="C432" t="str">
            <v>Contax - Liberação de Firewall - Novos Servidores NICE - BA</v>
          </cell>
          <cell r="D432" t="str">
            <v>Dalton Bondesan</v>
          </cell>
          <cell r="E432" t="str">
            <v>Marco Aurelio Brandao Duarte</v>
          </cell>
          <cell r="F432" t="str">
            <v>Registrado</v>
          </cell>
          <cell r="G432">
            <v>42192.69027777778</v>
          </cell>
          <cell r="I432" t="str">
            <v xml:space="preserve">Itaú </v>
          </cell>
          <cell r="J432" t="str">
            <v xml:space="preserve"> Venda de Cartões</v>
          </cell>
        </row>
        <row r="433">
          <cell r="B433" t="str">
            <v>CTXSALSM-79594</v>
          </cell>
          <cell r="C433" t="str">
            <v>Projeto - Projeto</v>
          </cell>
          <cell r="D433" t="str">
            <v>Dalton Bondesan</v>
          </cell>
          <cell r="E433" t="str">
            <v>Tiago dos Santos Fialho</v>
          </cell>
          <cell r="F433" t="str">
            <v>Em Andamento</v>
          </cell>
          <cell r="G433">
            <v>42206.511111111111</v>
          </cell>
          <cell r="I433" t="str">
            <v xml:space="preserve">Contax </v>
          </cell>
          <cell r="J433" t="str">
            <v xml:space="preserve"> Ger Processos, Metodologia e MIS</v>
          </cell>
        </row>
        <row r="434">
          <cell r="B434" t="str">
            <v>CTXSALSM-81593</v>
          </cell>
          <cell r="C434" t="str">
            <v>Implantação do novo pacote de PRC (Blindagem) nas operações de cartões de crédito do Itaú que são atendidas pela Contax.</v>
          </cell>
          <cell r="D434" t="str">
            <v>Debora Gercke Dominas</v>
          </cell>
          <cell r="E434" t="str">
            <v>Marco Aurelio Brandao Duarte</v>
          </cell>
          <cell r="F434" t="str">
            <v>Em Andamento</v>
          </cell>
          <cell r="G434">
            <v>42251.677777777775</v>
          </cell>
          <cell r="I434" t="str">
            <v xml:space="preserve">Itaú </v>
          </cell>
          <cell r="J434" t="str">
            <v xml:space="preserve"> Itaú Cartão</v>
          </cell>
        </row>
        <row r="435">
          <cell r="B435" t="str">
            <v>CTXSALSM-82024</v>
          </cell>
          <cell r="C435" t="str">
            <v>BASELINE: IMPLANTAÇÃO DO PROCESSO DE AUDITORIA PARA TODAS OPERAÇÕES DO ITAÚ e REDECARD: SAC / COBRANÇA / TLV</v>
          </cell>
          <cell r="D435" t="str">
            <v>Debora Gercke Dominas</v>
          </cell>
          <cell r="E435" t="str">
            <v>Marco Aurelio Brandao Duarte</v>
          </cell>
          <cell r="F435" t="str">
            <v>Aberto</v>
          </cell>
          <cell r="G435">
            <v>42262.451388888891</v>
          </cell>
          <cell r="I435" t="str">
            <v xml:space="preserve">Contax </v>
          </cell>
          <cell r="J435" t="str">
            <v xml:space="preserve"> Outro</v>
          </cell>
        </row>
        <row r="436">
          <cell r="B436" t="str">
            <v>CTXSALSM-83016</v>
          </cell>
          <cell r="C436" t="str">
            <v>AUDITORIA REMOTA: (Coleta de Dados Automatizada)</v>
          </cell>
          <cell r="D436" t="str">
            <v>Juliana Souza de Moraes</v>
          </cell>
          <cell r="E436" t="str">
            <v>Marco Aurelio Brandao Duarte</v>
          </cell>
          <cell r="F436" t="str">
            <v>Registrado</v>
          </cell>
          <cell r="G436">
            <v>42291.633333333331</v>
          </cell>
          <cell r="I436" t="str">
            <v xml:space="preserve">Contax </v>
          </cell>
          <cell r="J436" t="str">
            <v xml:space="preserve"> Outro</v>
          </cell>
        </row>
        <row r="437">
          <cell r="B437" t="str">
            <v>CTXSALSM-83029</v>
          </cell>
          <cell r="C437" t="str">
            <v>Aplicações de Hardenings : (Baseline Itaú)</v>
          </cell>
          <cell r="D437" t="str">
            <v>Juliana Souza de Moraes</v>
          </cell>
          <cell r="E437" t="str">
            <v>Marco Aurelio Brandao Duarte</v>
          </cell>
          <cell r="F437" t="str">
            <v>Registrado</v>
          </cell>
          <cell r="G437">
            <v>42291.729861111111</v>
          </cell>
          <cell r="I437" t="str">
            <v xml:space="preserve">Contax </v>
          </cell>
          <cell r="J437" t="str">
            <v xml:space="preserve"> Outro</v>
          </cell>
        </row>
        <row r="438">
          <cell r="B438" t="str">
            <v>CTXSALSM-83159</v>
          </cell>
          <cell r="C438" t="str">
            <v>Projeto Instalar Totem para Campanha da Fatura Digital nas operações Itaú Site Cabula</v>
          </cell>
          <cell r="D438" t="str">
            <v>Sem responsável</v>
          </cell>
          <cell r="E438" t="str">
            <v>Mariana da Costa Mello</v>
          </cell>
          <cell r="F438" t="str">
            <v>Registrado</v>
          </cell>
          <cell r="G438">
            <v>42296.658333333333</v>
          </cell>
          <cell r="I438" t="str">
            <v xml:space="preserve">Contax </v>
          </cell>
          <cell r="J438" t="str">
            <v xml:space="preserve"> Outro</v>
          </cell>
        </row>
        <row r="439">
          <cell r="B439" t="str">
            <v>CTXSALSM-84035</v>
          </cell>
          <cell r="C439" t="str">
            <v>Projeto - "Por favor, usuário, utilizar este campo para informar o nome do Projeto"</v>
          </cell>
          <cell r="D439" t="str">
            <v>Bruno Guerra Ferreira</v>
          </cell>
          <cell r="E439" t="str">
            <v>Tiago dos Santos Fialho</v>
          </cell>
          <cell r="F439" t="str">
            <v>Registrado</v>
          </cell>
          <cell r="G439">
            <v>42319.62222222222</v>
          </cell>
          <cell r="I439" t="str">
            <v xml:space="preserve">Contax </v>
          </cell>
          <cell r="J439" t="str">
            <v xml:space="preserve"> Ger Processos, Metodologia e MIS</v>
          </cell>
        </row>
        <row r="440">
          <cell r="B440" t="str">
            <v>CTXSALSM-84288</v>
          </cell>
          <cell r="C440" t="str">
            <v>Projeto - "Migração POP 3 - Velox OUtbound e Site Fonte Nova x Boa Viagem"</v>
          </cell>
          <cell r="D440" t="str">
            <v>Cristiane Gon�alves Kuzuhara</v>
          </cell>
          <cell r="E440" t="str">
            <v>Cristiane Gon�alves Kuzuhara</v>
          </cell>
          <cell r="F440" t="str">
            <v>Fechado</v>
          </cell>
          <cell r="G440">
            <v>42325.632638888892</v>
          </cell>
          <cell r="H440">
            <v>42384.657638888886</v>
          </cell>
          <cell r="I440" t="str">
            <v xml:space="preserve">Oi </v>
          </cell>
          <cell r="J440" t="str">
            <v xml:space="preserve"> Televendas Oi</v>
          </cell>
        </row>
        <row r="441">
          <cell r="B441" t="str">
            <v>CTXSALSM-84952</v>
          </cell>
          <cell r="C441" t="str">
            <v>Projeto - "Migração POP 3 - Operação Web Site Fonte Nova x Cabula</v>
          </cell>
          <cell r="D441" t="str">
            <v>Cristiane Gon�alves Kuzuhara</v>
          </cell>
          <cell r="E441" t="str">
            <v>Cristiane Gon�alves Kuzuhara</v>
          </cell>
          <cell r="F441" t="str">
            <v>Fechado</v>
          </cell>
          <cell r="G441">
            <v>42341.777083333334</v>
          </cell>
          <cell r="H441">
            <v>42384.657638888886</v>
          </cell>
          <cell r="I441" t="str">
            <v xml:space="preserve">Oi </v>
          </cell>
          <cell r="J441" t="str">
            <v xml:space="preserve"> Televendas Oi</v>
          </cell>
        </row>
        <row r="442">
          <cell r="B442" t="str">
            <v>CTXSALSM-85211</v>
          </cell>
          <cell r="C442" t="str">
            <v>Aplicação - Desenvolvimento Tabulador de Proposta para a Operação CAC</v>
          </cell>
          <cell r="D442" t="str">
            <v>Sem responsável</v>
          </cell>
          <cell r="E442" t="str">
            <v>Marco Aurelio Brandao Duarte</v>
          </cell>
          <cell r="F442" t="str">
            <v>Registrado</v>
          </cell>
          <cell r="G442">
            <v>42348.763888888891</v>
          </cell>
          <cell r="I442" t="str">
            <v xml:space="preserve">Itaú </v>
          </cell>
          <cell r="J442" t="str">
            <v xml:space="preserve"> Itaú Cartão</v>
          </cell>
        </row>
        <row r="443">
          <cell r="B443" t="str">
            <v>CTXSALSM-85949</v>
          </cell>
          <cell r="C443" t="str">
            <v>Projeto - Crescimento/Forecast</v>
          </cell>
          <cell r="D443" t="str">
            <v>Cristiane Gon�alves Kuzuhara</v>
          </cell>
          <cell r="E443" t="str">
            <v>Cristiane Gon�alves Kuzuhara</v>
          </cell>
          <cell r="F443" t="str">
            <v>Fechado</v>
          </cell>
          <cell r="G443">
            <v>42374.714583333334</v>
          </cell>
          <cell r="H443">
            <v>42398.645138888889</v>
          </cell>
          <cell r="I443" t="str">
            <v xml:space="preserve">Oi </v>
          </cell>
          <cell r="J443" t="str">
            <v xml:space="preserve"> Televendas Oi</v>
          </cell>
        </row>
        <row r="444">
          <cell r="B444" t="str">
            <v>CTXSALSM-87479</v>
          </cell>
          <cell r="C444" t="str">
            <v>Projeto - Aplicação/URA</v>
          </cell>
          <cell r="D444" t="str">
            <v>Bruno Guerra Ferreira</v>
          </cell>
          <cell r="E444" t="str">
            <v>Cristiane Gon�alves Kuzuhara</v>
          </cell>
          <cell r="F444" t="str">
            <v>Registrado</v>
          </cell>
          <cell r="G444">
            <v>42401.826388888891</v>
          </cell>
          <cell r="I444" t="str">
            <v xml:space="preserve">Oi </v>
          </cell>
          <cell r="J444" t="str">
            <v xml:space="preserve"> Televendas Oi</v>
          </cell>
        </row>
        <row r="445">
          <cell r="B445" t="str">
            <v>CTXSALSM-87997</v>
          </cell>
          <cell r="C445" t="str">
            <v>Projeto - Aplicação/URA</v>
          </cell>
          <cell r="D445" t="str">
            <v>Sem responsável</v>
          </cell>
          <cell r="E445" t="str">
            <v>Cristiane Gon�alves Kuzuhara</v>
          </cell>
          <cell r="F445" t="str">
            <v>Registrado</v>
          </cell>
          <cell r="G445">
            <v>42412.492361111108</v>
          </cell>
          <cell r="I445" t="str">
            <v xml:space="preserve">Oi </v>
          </cell>
          <cell r="J445" t="str">
            <v xml:space="preserve"> Televendas Oi</v>
          </cell>
        </row>
        <row r="446">
          <cell r="B446" t="str">
            <v>CTXSALSM-88005</v>
          </cell>
          <cell r="C446" t="str">
            <v>Projeto - Click To Call Ferramenta TI Contax</v>
          </cell>
          <cell r="D446" t="str">
            <v>Sem responsável</v>
          </cell>
          <cell r="E446" t="str">
            <v>Tiago dos Santos Fialho</v>
          </cell>
          <cell r="F446" t="str">
            <v>Registrado</v>
          </cell>
          <cell r="G446">
            <v>42412.535416666666</v>
          </cell>
          <cell r="I446" t="str">
            <v xml:space="preserve">Contax </v>
          </cell>
          <cell r="J446" t="str">
            <v xml:space="preserve"> Ger Processos, Metodologia e MIS</v>
          </cell>
        </row>
        <row r="447">
          <cell r="B447" t="str">
            <v>CTXSPOAL-100112</v>
          </cell>
          <cell r="C447" t="str">
            <v>Projeto - Troca do parque de máquinas da operação Intermédica</v>
          </cell>
          <cell r="D447" t="str">
            <v>Bruno Guerra Ferreira</v>
          </cell>
          <cell r="E447" t="str">
            <v>Flavio Reto</v>
          </cell>
          <cell r="F447" t="str">
            <v>Registrado</v>
          </cell>
          <cell r="G447">
            <v>42341.999305555553</v>
          </cell>
          <cell r="I447" t="str">
            <v xml:space="preserve">Intermédica </v>
          </cell>
          <cell r="J447" t="str">
            <v xml:space="preserve"> Marcação de Consultas</v>
          </cell>
        </row>
        <row r="448">
          <cell r="B448" t="str">
            <v>CTXSPOAL-100158</v>
          </cell>
          <cell r="C448" t="str">
            <v>Projeto - Ponto de rede para Wi-Fi</v>
          </cell>
          <cell r="D448" t="str">
            <v>Bruno Guerra Ferreira</v>
          </cell>
          <cell r="E448" t="str">
            <v>Giovana Ferreira de Souza</v>
          </cell>
          <cell r="F448" t="str">
            <v>Registrado</v>
          </cell>
          <cell r="G448">
            <v>42342.634722222225</v>
          </cell>
          <cell r="I448" t="str">
            <v xml:space="preserve">Santander </v>
          </cell>
          <cell r="J448" t="str">
            <v xml:space="preserve"> Santander</v>
          </cell>
        </row>
        <row r="449">
          <cell r="B449" t="str">
            <v>CTXSPOAL-101398</v>
          </cell>
          <cell r="C449" t="str">
            <v>Projeto - Cielo ARV/L5 - Implantação de Telefone HOT</v>
          </cell>
          <cell r="D449" t="str">
            <v>Expedito Sousa de Almeida</v>
          </cell>
          <cell r="E449" t="str">
            <v>George Silva Dimitrov</v>
          </cell>
          <cell r="F449" t="str">
            <v>Fechado</v>
          </cell>
          <cell r="G449">
            <v>42359.53402777778</v>
          </cell>
          <cell r="H449">
            <v>42405.691666666666</v>
          </cell>
          <cell r="I449" t="str">
            <v xml:space="preserve">Cielo </v>
          </cell>
          <cell r="J449" t="str">
            <v xml:space="preserve"> ARV</v>
          </cell>
        </row>
        <row r="450">
          <cell r="B450" t="str">
            <v>CTXSPOAL-101564</v>
          </cell>
          <cell r="C450" t="str">
            <v>Projeto - Substituição de links da IDT para colocar I360</v>
          </cell>
          <cell r="D450" t="str">
            <v>Sem responsável</v>
          </cell>
          <cell r="E450" t="str">
            <v>George Silva Dimitrov</v>
          </cell>
          <cell r="F450" t="str">
            <v>Registrado</v>
          </cell>
          <cell r="G450">
            <v>42361.699305555558</v>
          </cell>
          <cell r="I450" t="str">
            <v xml:space="preserve">Santander </v>
          </cell>
          <cell r="J450" t="str">
            <v xml:space="preserve"> Cartões</v>
          </cell>
        </row>
        <row r="451">
          <cell r="B451" t="str">
            <v>CTXSPOAL-101739</v>
          </cell>
          <cell r="C451" t="str">
            <v>Projeto - "Implantação de Crescimento 3 PAs Intermédica"</v>
          </cell>
          <cell r="D451" t="str">
            <v>Sem responsável</v>
          </cell>
          <cell r="E451" t="str">
            <v>Rogerio Luiz da Silva</v>
          </cell>
          <cell r="F451" t="str">
            <v>Registrado</v>
          </cell>
          <cell r="G451">
            <v>42367.467361111114</v>
          </cell>
          <cell r="I451" t="str">
            <v xml:space="preserve">Intermédica </v>
          </cell>
          <cell r="J451" t="str">
            <v xml:space="preserve"> Marcação de Consultas</v>
          </cell>
        </row>
        <row r="452">
          <cell r="B452" t="str">
            <v>CTXSPOAL-101987</v>
          </cell>
          <cell r="C452" t="str">
            <v>Projeto RTC x EPS Contax (ITAÚ CARTÕES) - TIVOLI</v>
          </cell>
          <cell r="D452" t="str">
            <v>Sem responsável</v>
          </cell>
          <cell r="E452" t="str">
            <v>Marco Aurelio Brandao Duarte</v>
          </cell>
          <cell r="F452" t="str">
            <v>Registrado</v>
          </cell>
          <cell r="G452">
            <v>42373.597916666666</v>
          </cell>
          <cell r="I452" t="str">
            <v xml:space="preserve">Itaú </v>
          </cell>
          <cell r="J452" t="str">
            <v xml:space="preserve"> Itaú Cartão</v>
          </cell>
        </row>
        <row r="453">
          <cell r="B453" t="str">
            <v>CTXSPOAL-103355</v>
          </cell>
          <cell r="C453" t="str">
            <v>Projeto - Monitorar ASPCTX100SPODA via SiteScope</v>
          </cell>
          <cell r="D453" t="str">
            <v>Sem responsável</v>
          </cell>
          <cell r="E453" t="str">
            <v>Diego Vivanco Fernandez</v>
          </cell>
          <cell r="F453" t="str">
            <v>Registrado</v>
          </cell>
          <cell r="G453">
            <v>42387.361805555556</v>
          </cell>
          <cell r="I453" t="str">
            <v xml:space="preserve">Contax </v>
          </cell>
          <cell r="J453" t="str">
            <v xml:space="preserve"> NOC</v>
          </cell>
        </row>
        <row r="454">
          <cell r="B454" t="str">
            <v>CTXSPOAL-104406</v>
          </cell>
          <cell r="C454" t="str">
            <v>Projeto - Crescimento Nova operação Intermédica (CAMO, CEMAC/SAS, CAMO SAC, SAC Ativo, PA Infra)</v>
          </cell>
          <cell r="D454" t="str">
            <v>BRUNO DIEGO ANTUNES RIBEIRO</v>
          </cell>
          <cell r="E454" t="str">
            <v>Mariana da Costa Mello</v>
          </cell>
          <cell r="F454" t="str">
            <v>Registrado</v>
          </cell>
          <cell r="G454">
            <v>42395.72152777778</v>
          </cell>
          <cell r="I454" t="str">
            <v xml:space="preserve">Contax </v>
          </cell>
          <cell r="J454" t="str">
            <v xml:space="preserve"> Outro</v>
          </cell>
        </row>
        <row r="455">
          <cell r="B455" t="str">
            <v>CTXSPOAL-57726</v>
          </cell>
          <cell r="C455" t="str">
            <v>Projeto - Projeto</v>
          </cell>
          <cell r="D455" t="str">
            <v>Dalton Bondesan</v>
          </cell>
          <cell r="E455" t="str">
            <v>Anderson Pinheiro Raposo</v>
          </cell>
          <cell r="F455" t="str">
            <v>Aberto</v>
          </cell>
          <cell r="G455">
            <v>41774.525000000001</v>
          </cell>
          <cell r="I455" t="str">
            <v xml:space="preserve">Bradesco </v>
          </cell>
          <cell r="J455" t="str">
            <v xml:space="preserve"> Bradesco Seguros</v>
          </cell>
        </row>
        <row r="456">
          <cell r="B456" t="str">
            <v>CTXSPOAL-57727</v>
          </cell>
          <cell r="C456" t="str">
            <v>Projeto - Projeto</v>
          </cell>
          <cell r="D456" t="str">
            <v>Dalton Bondesan</v>
          </cell>
          <cell r="E456" t="str">
            <v>Anderson Pinheiro Raposo</v>
          </cell>
          <cell r="F456" t="str">
            <v>Aberto</v>
          </cell>
          <cell r="G456">
            <v>41774.526388888888</v>
          </cell>
          <cell r="I456" t="str">
            <v xml:space="preserve">Bradesco </v>
          </cell>
          <cell r="J456" t="str">
            <v xml:space="preserve"> Bradesco Cap</v>
          </cell>
        </row>
        <row r="457">
          <cell r="B457" t="str">
            <v>CTXSPOAL-81007</v>
          </cell>
          <cell r="C457" t="str">
            <v>Projeto - Implantar t-Guidance Operação Banco Toyota</v>
          </cell>
          <cell r="D457" t="str">
            <v>Flavio Reto</v>
          </cell>
          <cell r="E457" t="str">
            <v>Flavio Reto</v>
          </cell>
          <cell r="F457" t="str">
            <v>Fechado</v>
          </cell>
          <cell r="G457">
            <v>42093.479166666664</v>
          </cell>
          <cell r="H457">
            <v>42417.765277777777</v>
          </cell>
          <cell r="I457" t="str">
            <v xml:space="preserve">Banco Toyota </v>
          </cell>
          <cell r="J457" t="str">
            <v xml:space="preserve"> Suporte ao Cliente</v>
          </cell>
        </row>
        <row r="458">
          <cell r="B458" t="str">
            <v>CTXSPOAL-81556</v>
          </cell>
          <cell r="C458" t="str">
            <v>Projeto - Sistema CW e Dashboard</v>
          </cell>
          <cell r="D458" t="str">
            <v>Dalton Bondesan</v>
          </cell>
          <cell r="E458" t="str">
            <v>Robson da Costa</v>
          </cell>
          <cell r="F458" t="str">
            <v>Aberto</v>
          </cell>
          <cell r="G458">
            <v>42101.479166666664</v>
          </cell>
          <cell r="I458" t="str">
            <v xml:space="preserve">Santander </v>
          </cell>
          <cell r="J458" t="str">
            <v xml:space="preserve"> Produção Assistida</v>
          </cell>
        </row>
        <row r="459">
          <cell r="B459" t="str">
            <v>CTXSPOAL-83138</v>
          </cell>
          <cell r="C459" t="str">
            <v>Projeto - Projeto - BO Anatel Jira 6</v>
          </cell>
          <cell r="D459" t="str">
            <v>Sem responsável</v>
          </cell>
          <cell r="E459" t="str">
            <v>Juliana Moretti Rovaris</v>
          </cell>
          <cell r="F459" t="str">
            <v>Reaberto</v>
          </cell>
          <cell r="G459">
            <v>42124.6</v>
          </cell>
          <cell r="I459" t="str">
            <v xml:space="preserve">Contax </v>
          </cell>
          <cell r="J459" t="str">
            <v xml:space="preserve"> Dir. Oi</v>
          </cell>
        </row>
        <row r="460">
          <cell r="B460" t="str">
            <v>CTXSPOAL-83724</v>
          </cell>
          <cell r="C460" t="str">
            <v>Projeto - Projeto</v>
          </cell>
          <cell r="D460" t="str">
            <v>Sem responsável</v>
          </cell>
          <cell r="E460" t="str">
            <v>Robson da Costa</v>
          </cell>
          <cell r="F460" t="str">
            <v>Reaberto</v>
          </cell>
          <cell r="G460">
            <v>42132.762499999997</v>
          </cell>
          <cell r="I460" t="str">
            <v xml:space="preserve">Nextel </v>
          </cell>
          <cell r="J460" t="str">
            <v xml:space="preserve"> Nextel URC</v>
          </cell>
        </row>
        <row r="461">
          <cell r="B461" t="str">
            <v>CTXSPOAL-86278</v>
          </cell>
          <cell r="C461" t="str">
            <v>Instalação Navigator - Cielo L5</v>
          </cell>
          <cell r="D461" t="str">
            <v>Sem responsável</v>
          </cell>
          <cell r="E461" t="str">
            <v>Jose Edson de Lima</v>
          </cell>
          <cell r="F461" t="str">
            <v>Reaberto</v>
          </cell>
          <cell r="G461">
            <v>42172.75</v>
          </cell>
          <cell r="I461" t="str">
            <v xml:space="preserve">Contax </v>
          </cell>
          <cell r="J461" t="str">
            <v xml:space="preserve"> Dir. Clientes Especiais</v>
          </cell>
        </row>
        <row r="462">
          <cell r="B462" t="str">
            <v>CTXSPOAL-88112</v>
          </cell>
          <cell r="C462" t="str">
            <v>Projeto - Projeto</v>
          </cell>
          <cell r="D462" t="str">
            <v>Dalton Bondesan</v>
          </cell>
          <cell r="E462" t="str">
            <v>Robson da Costa</v>
          </cell>
          <cell r="F462" t="str">
            <v>Pendência Externa</v>
          </cell>
          <cell r="G462">
            <v>42195.552083333336</v>
          </cell>
          <cell r="I462" t="str">
            <v xml:space="preserve">Santander </v>
          </cell>
          <cell r="J462" t="str">
            <v xml:space="preserve"> Santander</v>
          </cell>
        </row>
        <row r="463">
          <cell r="B463" t="str">
            <v>CTXSPOAL-89128</v>
          </cell>
          <cell r="C463" t="str">
            <v>Projeto - Projeto - Instalação de aparelhos Avaya | Nextel</v>
          </cell>
          <cell r="D463" t="str">
            <v>Leandro Tosto Cabral</v>
          </cell>
          <cell r="E463" t="str">
            <v>Fabiane Evangelista Cavalcante</v>
          </cell>
          <cell r="F463" t="str">
            <v>Aberto</v>
          </cell>
          <cell r="G463">
            <v>42208.453472222223</v>
          </cell>
          <cell r="I463" t="str">
            <v xml:space="preserve">Contax </v>
          </cell>
          <cell r="J463" t="str">
            <v xml:space="preserve"> Dir. Clientes Especiais</v>
          </cell>
        </row>
        <row r="464">
          <cell r="B464" t="str">
            <v>CTXSPOAL-89142</v>
          </cell>
          <cell r="C464" t="str">
            <v>Projeto - Projeto - Alteração na URA SAC | Volkswagen</v>
          </cell>
          <cell r="D464" t="str">
            <v>Dalton Bondesan</v>
          </cell>
          <cell r="E464" t="str">
            <v>Fabiane Evangelista Cavalcante</v>
          </cell>
          <cell r="F464" t="str">
            <v>Registrado</v>
          </cell>
          <cell r="G464">
            <v>42208.479166666664</v>
          </cell>
          <cell r="I464" t="str">
            <v xml:space="preserve">Contax </v>
          </cell>
          <cell r="J464" t="str">
            <v xml:space="preserve"> Dir. Clientes Especiais</v>
          </cell>
        </row>
        <row r="465">
          <cell r="B465" t="str">
            <v>CTXSPOAL-89502</v>
          </cell>
          <cell r="C465" t="str">
            <v>Projeto - Projeto</v>
          </cell>
          <cell r="D465" t="str">
            <v>Leandro Tosto Cabral</v>
          </cell>
          <cell r="E465" t="str">
            <v>José Ballock Neto</v>
          </cell>
          <cell r="F465" t="str">
            <v>Aberto</v>
          </cell>
          <cell r="G465">
            <v>42213.481249999997</v>
          </cell>
          <cell r="I465" t="str">
            <v xml:space="preserve">TAM </v>
          </cell>
          <cell r="J465" t="str">
            <v xml:space="preserve"> Fale com o Presidente</v>
          </cell>
        </row>
        <row r="466">
          <cell r="B466" t="str">
            <v>CTXSPOAL-89740</v>
          </cell>
          <cell r="C466" t="str">
            <v>Projeto - Projeto</v>
          </cell>
          <cell r="D466" t="str">
            <v>Cristina Rey Kamradt</v>
          </cell>
          <cell r="E466" t="str">
            <v>Cristina Rey Kamradt</v>
          </cell>
          <cell r="F466" t="str">
            <v>Fechado</v>
          </cell>
          <cell r="G466">
            <v>42215.737500000003</v>
          </cell>
          <cell r="H466">
            <v>42396.393055555556</v>
          </cell>
          <cell r="I466" t="str">
            <v xml:space="preserve">Nextel </v>
          </cell>
          <cell r="J466" t="str">
            <v xml:space="preserve"> Nextel TLV</v>
          </cell>
        </row>
        <row r="467">
          <cell r="B467" t="str">
            <v>CTXSPOAL-90727</v>
          </cell>
          <cell r="C467" t="str">
            <v>Implementação de Monitoração de Perda de Pacotes, QA e Capacity Links de Dados Contax através do HPOPENVIEW</v>
          </cell>
          <cell r="D467" t="str">
            <v>Dalton Bondesan</v>
          </cell>
          <cell r="E467" t="str">
            <v>Daniel Donaire</v>
          </cell>
          <cell r="F467" t="str">
            <v>Registrado</v>
          </cell>
          <cell r="G467">
            <v>42228.703472222223</v>
          </cell>
          <cell r="I467" t="str">
            <v xml:space="preserve">Contax </v>
          </cell>
          <cell r="J467" t="str">
            <v xml:space="preserve"> NOC</v>
          </cell>
        </row>
        <row r="468">
          <cell r="B468" t="str">
            <v>CTXSPOAL-91546</v>
          </cell>
          <cell r="C468" t="str">
            <v>Projeto Infraestrutura para implantação da Assinatura Digital no tClock Contax</v>
          </cell>
          <cell r="D468" t="str">
            <v>Dalton Bondesan</v>
          </cell>
          <cell r="E468" t="str">
            <v>Erika Andrade Miguel</v>
          </cell>
          <cell r="F468" t="str">
            <v>Registrado</v>
          </cell>
          <cell r="G468">
            <v>42237.421527777777</v>
          </cell>
          <cell r="I468" t="str">
            <v xml:space="preserve">Contax </v>
          </cell>
          <cell r="J468" t="str">
            <v xml:space="preserve"> RH</v>
          </cell>
        </row>
        <row r="469">
          <cell r="B469" t="str">
            <v>CTXSPOAL-91568</v>
          </cell>
          <cell r="C469" t="str">
            <v>Criação de servidor</v>
          </cell>
          <cell r="D469" t="str">
            <v>José Adriano Costa</v>
          </cell>
          <cell r="E469" t="str">
            <v>José Adriano Costa</v>
          </cell>
          <cell r="F469" t="str">
            <v>Fechado</v>
          </cell>
          <cell r="G469">
            <v>42237.590277777781</v>
          </cell>
          <cell r="H469">
            <v>42380.684027777781</v>
          </cell>
          <cell r="I469" t="str">
            <v xml:space="preserve">Contax </v>
          </cell>
          <cell r="J469" t="str">
            <v xml:space="preserve"> Outro</v>
          </cell>
        </row>
        <row r="470">
          <cell r="B470" t="str">
            <v>CTXSPOAL-91696</v>
          </cell>
          <cell r="C470" t="str">
            <v>Projeto - Implantar Link de Dados Cielo</v>
          </cell>
          <cell r="D470" t="str">
            <v>Dalton Bondesan</v>
          </cell>
          <cell r="E470" t="str">
            <v>Carlos Batista Alves</v>
          </cell>
          <cell r="F470" t="str">
            <v>Registrado</v>
          </cell>
          <cell r="G470">
            <v>42240.481944444444</v>
          </cell>
          <cell r="I470" t="str">
            <v xml:space="preserve">Cielo </v>
          </cell>
          <cell r="J470" t="str">
            <v xml:space="preserve"> ARV</v>
          </cell>
        </row>
        <row r="471">
          <cell r="B471" t="str">
            <v>CTXSPOAL-91736</v>
          </cell>
          <cell r="C471" t="str">
            <v>Projeto - Projeto</v>
          </cell>
          <cell r="D471" t="str">
            <v>Paulo Roberto da Costa Cavalcante</v>
          </cell>
          <cell r="E471" t="str">
            <v>MARIAMA POPPE COSTA</v>
          </cell>
          <cell r="F471" t="str">
            <v>Aberto</v>
          </cell>
          <cell r="G471">
            <v>42240.614583333336</v>
          </cell>
          <cell r="I471" t="str">
            <v xml:space="preserve">TAM </v>
          </cell>
          <cell r="J471" t="str">
            <v xml:space="preserve"> Multiplus</v>
          </cell>
        </row>
        <row r="472">
          <cell r="B472" t="str">
            <v>CTXSPOAL-92107</v>
          </cell>
          <cell r="C472" t="str">
            <v>Projeto - Implementar funcionalidade de atendimento preview no FE Ayty \ Discador Aspect da Cielo L5</v>
          </cell>
          <cell r="D472" t="str">
            <v>Dalton Bondesan</v>
          </cell>
          <cell r="E472" t="str">
            <v>Rogerio Luiz da Silva</v>
          </cell>
          <cell r="F472" t="str">
            <v>Em Andamento</v>
          </cell>
          <cell r="G472">
            <v>42243.638888888891</v>
          </cell>
          <cell r="I472" t="str">
            <v xml:space="preserve">Cielo </v>
          </cell>
          <cell r="J472" t="str">
            <v xml:space="preserve"> Campo</v>
          </cell>
        </row>
        <row r="473">
          <cell r="B473" t="str">
            <v>CTXSPOAL-92422</v>
          </cell>
          <cell r="C473" t="str">
            <v>Projeto - Alteração da URL atual do web service da URA Cielo Fidelidade (Fornecedor Exclusivo)</v>
          </cell>
          <cell r="D473" t="str">
            <v>Rogerio Luiz da Silva</v>
          </cell>
          <cell r="E473" t="str">
            <v>Rogerio Luiz da Silva</v>
          </cell>
          <cell r="F473" t="str">
            <v>Fechado</v>
          </cell>
          <cell r="G473">
            <v>42248.417361111111</v>
          </cell>
          <cell r="H473">
            <v>42415.438888888886</v>
          </cell>
          <cell r="I473" t="str">
            <v xml:space="preserve">Cielo </v>
          </cell>
          <cell r="J473" t="str">
            <v xml:space="preserve"> ARV</v>
          </cell>
        </row>
        <row r="474">
          <cell r="B474" t="str">
            <v>CTXSPOAL-93333</v>
          </cell>
          <cell r="C474" t="str">
            <v>Projeto - Projeto ERP - RH + Portal - Configuração Ambiente Produção</v>
          </cell>
          <cell r="D474" t="str">
            <v>Dalton Bondesan</v>
          </cell>
          <cell r="E474" t="str">
            <v>Erika Andrade Miguel</v>
          </cell>
          <cell r="F474" t="str">
            <v>Registrado</v>
          </cell>
          <cell r="G474">
            <v>42258.677083333336</v>
          </cell>
          <cell r="I474" t="str">
            <v xml:space="preserve">Contax </v>
          </cell>
          <cell r="J474" t="str">
            <v xml:space="preserve"> Ger Comunicação</v>
          </cell>
        </row>
        <row r="475">
          <cell r="B475" t="str">
            <v>CTXSPOAL-94114</v>
          </cell>
          <cell r="C475" t="str">
            <v>Projeto - Projeto</v>
          </cell>
          <cell r="D475" t="str">
            <v>Dalton Bondesan</v>
          </cell>
          <cell r="E475" t="str">
            <v>Diego Vivanco Fernandez</v>
          </cell>
          <cell r="F475" t="str">
            <v>Em Andamento</v>
          </cell>
          <cell r="G475">
            <v>42268.65347222222</v>
          </cell>
          <cell r="I475" t="str">
            <v xml:space="preserve">Contax </v>
          </cell>
          <cell r="J475" t="str">
            <v xml:space="preserve"> NOC</v>
          </cell>
        </row>
        <row r="476">
          <cell r="B476" t="str">
            <v>CTXSPOAL-94230</v>
          </cell>
          <cell r="C476" t="str">
            <v>Projeto - Desenvolvimento de tabulador Contax para substituição do DefyIT</v>
          </cell>
          <cell r="D476" t="str">
            <v>Bruno Guerra Ferreira</v>
          </cell>
          <cell r="E476" t="str">
            <v>Rogerio Luiz da Silva</v>
          </cell>
          <cell r="F476" t="str">
            <v>Em Andamento</v>
          </cell>
          <cell r="G476">
            <v>42269.671527777777</v>
          </cell>
          <cell r="I476" t="str">
            <v xml:space="preserve">Bradesco </v>
          </cell>
          <cell r="J476" t="str">
            <v xml:space="preserve"> Bradesco Seguros</v>
          </cell>
        </row>
        <row r="477">
          <cell r="B477" t="str">
            <v>CTXSPOAL-95026</v>
          </cell>
          <cell r="C477" t="str">
            <v>Projeto - Disponibilização de ferramenta de Chat (proposta comercial) para operação Volkwsagen prevendo integração com CRM (SAP) do Cliente</v>
          </cell>
          <cell r="D477" t="str">
            <v>Dalton Bondesan</v>
          </cell>
          <cell r="E477" t="str">
            <v>Rogerio Luiz da Silva</v>
          </cell>
          <cell r="F477" t="str">
            <v>Registrado</v>
          </cell>
          <cell r="G477">
            <v>42278.619444444441</v>
          </cell>
          <cell r="I477" t="str">
            <v xml:space="preserve">Contax </v>
          </cell>
          <cell r="J477" t="str">
            <v xml:space="preserve"> Dir. Clientes Especiais</v>
          </cell>
        </row>
        <row r="478">
          <cell r="B478" t="str">
            <v>CTXSPOAL-95566</v>
          </cell>
          <cell r="C478" t="str">
            <v>Projeto - Projeto</v>
          </cell>
          <cell r="D478" t="str">
            <v>BRUNO DIEGO ANTUNES RIBEIRO</v>
          </cell>
          <cell r="E478" t="str">
            <v>JONAS SANTOS DO AMOR DIVINO</v>
          </cell>
          <cell r="F478" t="str">
            <v>Pendência Externa</v>
          </cell>
          <cell r="G478">
            <v>42284.765972222223</v>
          </cell>
          <cell r="I478" t="str">
            <v xml:space="preserve">Nextel </v>
          </cell>
          <cell r="J478" t="str">
            <v xml:space="preserve"> Nextel TLV</v>
          </cell>
        </row>
        <row r="479">
          <cell r="B479" t="str">
            <v>CTXSPOAL-96094</v>
          </cell>
          <cell r="C479" t="str">
            <v>Projeto - Aquisição de 4 licenças da NetCallCenter para PA's de Chat da operação Volkswagen</v>
          </cell>
          <cell r="D479" t="str">
            <v>Rogerio Luiz da Silva</v>
          </cell>
          <cell r="E479" t="str">
            <v>Rogerio Luiz da Silva</v>
          </cell>
          <cell r="F479" t="str">
            <v>Fechado</v>
          </cell>
          <cell r="G479">
            <v>42292.515277777777</v>
          </cell>
          <cell r="H479">
            <v>42398.659722222219</v>
          </cell>
          <cell r="I479" t="str">
            <v xml:space="preserve">Contax </v>
          </cell>
          <cell r="J479" t="str">
            <v xml:space="preserve"> Dir. Clientes Especiais</v>
          </cell>
        </row>
        <row r="480">
          <cell r="B480" t="str">
            <v>CTXSPOAL-96174</v>
          </cell>
          <cell r="C480" t="str">
            <v>Projeto - Alteração dos Prompts da URA do Dealer e alteração dos áudios da operação Volkswagen</v>
          </cell>
          <cell r="D480" t="str">
            <v>Rogerio Luiz da Silva</v>
          </cell>
          <cell r="E480" t="str">
            <v>Rogerio Luiz da Silva</v>
          </cell>
          <cell r="F480" t="str">
            <v>Fechado</v>
          </cell>
          <cell r="G480">
            <v>42293.38958333333</v>
          </cell>
          <cell r="H480">
            <v>42389.635416666664</v>
          </cell>
          <cell r="I480" t="str">
            <v xml:space="preserve">Contax </v>
          </cell>
          <cell r="J480" t="str">
            <v xml:space="preserve"> Dir. Clientes Especiais</v>
          </cell>
        </row>
        <row r="481">
          <cell r="B481" t="str">
            <v>CTXSPOAL-96427</v>
          </cell>
          <cell r="C481" t="str">
            <v>Projeto - Implantar t!guidance na Operação Intermédica</v>
          </cell>
          <cell r="D481" t="str">
            <v>Bruno Guerra Ferreira</v>
          </cell>
          <cell r="E481" t="str">
            <v>Rogerio Luiz da Silva</v>
          </cell>
          <cell r="F481" t="str">
            <v>Registrado</v>
          </cell>
          <cell r="G481">
            <v>42297.51458333333</v>
          </cell>
          <cell r="I481" t="str">
            <v xml:space="preserve">Intermédica </v>
          </cell>
          <cell r="J481" t="str">
            <v xml:space="preserve"> Marcação de Consultas</v>
          </cell>
        </row>
        <row r="482">
          <cell r="B482" t="str">
            <v>CTXSPOAL-96495</v>
          </cell>
          <cell r="C482" t="str">
            <v>Projeto - Precificação de novo hardware para servido de banco de dados</v>
          </cell>
          <cell r="D482" t="str">
            <v>Bruno Guerra Ferreira</v>
          </cell>
          <cell r="E482" t="str">
            <v>Rogerio Luiz da Silva</v>
          </cell>
          <cell r="F482" t="str">
            <v>Registrado</v>
          </cell>
          <cell r="G482">
            <v>42297.688888888886</v>
          </cell>
          <cell r="I482" t="str">
            <v xml:space="preserve">BB Mapfre </v>
          </cell>
          <cell r="J482" t="str">
            <v xml:space="preserve"> BB Mapfre</v>
          </cell>
        </row>
        <row r="483">
          <cell r="B483" t="str">
            <v>CTXSPOAL-96574</v>
          </cell>
          <cell r="C483" t="str">
            <v>Projeto - Migração SKY para site Alegria</v>
          </cell>
          <cell r="D483" t="str">
            <v>Bruno Guerra Ferreira</v>
          </cell>
          <cell r="E483" t="str">
            <v>Robson da Costa</v>
          </cell>
          <cell r="F483" t="str">
            <v>Registrado</v>
          </cell>
          <cell r="G483">
            <v>42298.584027777775</v>
          </cell>
          <cell r="I483" t="str">
            <v xml:space="preserve">Contax </v>
          </cell>
          <cell r="J483" t="str">
            <v xml:space="preserve"> Cobrança</v>
          </cell>
        </row>
        <row r="484">
          <cell r="B484" t="str">
            <v>CTXSPOAL-96703</v>
          </cell>
          <cell r="C484" t="str">
            <v>Liberação software Innwinwiwn para os sites do Brasil</v>
          </cell>
          <cell r="D484" t="str">
            <v>Bruno Guerra Ferreira</v>
          </cell>
          <cell r="E484" t="str">
            <v>Vera Lucia Augusto de Azevedo</v>
          </cell>
          <cell r="F484" t="str">
            <v>Registrado</v>
          </cell>
          <cell r="G484">
            <v>42299.654861111114</v>
          </cell>
          <cell r="I484" t="str">
            <v xml:space="preserve">Contax </v>
          </cell>
          <cell r="J484" t="str">
            <v xml:space="preserve"> Outro</v>
          </cell>
        </row>
        <row r="485">
          <cell r="B485" t="str">
            <v>CTXSPOAL-97376</v>
          </cell>
          <cell r="C485" t="str">
            <v>Projeto - Migração POP3 - SKY Antartica - Alegria</v>
          </cell>
          <cell r="D485" t="str">
            <v>Robson da Costa</v>
          </cell>
          <cell r="E485" t="str">
            <v>Robson da Costa</v>
          </cell>
          <cell r="F485" t="str">
            <v>Fechado</v>
          </cell>
          <cell r="G485">
            <v>42307.70208333333</v>
          </cell>
          <cell r="H485">
            <v>42352.487500000003</v>
          </cell>
          <cell r="I485" t="str">
            <v xml:space="preserve">Contax </v>
          </cell>
          <cell r="J485" t="str">
            <v xml:space="preserve"> Cobrança</v>
          </cell>
        </row>
        <row r="486">
          <cell r="B486" t="str">
            <v>CTXSPOAL-98397</v>
          </cell>
          <cell r="C486" t="str">
            <v>Projeto - Crescimento/Forecast</v>
          </cell>
          <cell r="D486" t="str">
            <v>Bruno Guerra Ferreira</v>
          </cell>
          <cell r="E486" t="str">
            <v>Giovana Ferreira de Souza</v>
          </cell>
          <cell r="F486" t="str">
            <v>Registrado</v>
          </cell>
          <cell r="G486">
            <v>42319.684027777781</v>
          </cell>
          <cell r="I486" t="str">
            <v xml:space="preserve">Santander </v>
          </cell>
          <cell r="J486" t="str">
            <v xml:space="preserve"> Santander</v>
          </cell>
        </row>
        <row r="487">
          <cell r="B487" t="str">
            <v>CTXSPOAL-99303</v>
          </cell>
          <cell r="C487" t="str">
            <v>Projeto - Crescimento (mais do mesmo) de 13 PA's na operação Volkswagen</v>
          </cell>
          <cell r="D487" t="str">
            <v>Bruno Guerra Ferreira</v>
          </cell>
          <cell r="E487" t="str">
            <v>Rogerio Luiz da Silva</v>
          </cell>
          <cell r="F487" t="str">
            <v>Registrado</v>
          </cell>
          <cell r="G487">
            <v>42332.429166666669</v>
          </cell>
          <cell r="I487" t="str">
            <v xml:space="preserve">Contax </v>
          </cell>
          <cell r="J487" t="str">
            <v xml:space="preserve"> Dir. Clientes Especiais</v>
          </cell>
        </row>
        <row r="488">
          <cell r="B488" t="str">
            <v>CTXSPOAL-99867</v>
          </cell>
          <cell r="C488" t="str">
            <v>Projeto - Crescimento/Forecast</v>
          </cell>
          <cell r="D488" t="str">
            <v>Bruno Guerra Ferreira</v>
          </cell>
          <cell r="E488" t="str">
            <v>Anderson Frutuoso dos Santos</v>
          </cell>
          <cell r="F488" t="str">
            <v>Registrado</v>
          </cell>
          <cell r="G488">
            <v>42339.711111111108</v>
          </cell>
          <cell r="I488" t="str">
            <v xml:space="preserve">Intermédica </v>
          </cell>
          <cell r="J488" t="str">
            <v xml:space="preserve"> Marcação de Consultas</v>
          </cell>
        </row>
        <row r="489">
          <cell r="B489" t="str">
            <v>CTXSPOAL-99944</v>
          </cell>
          <cell r="C489" t="str">
            <v>Projeto - Migração BV Financeira (Lapa X Alegria)</v>
          </cell>
          <cell r="D489" t="str">
            <v>Bruno Guerra Ferreira</v>
          </cell>
          <cell r="E489" t="str">
            <v>Rogerio Luiz da Silva</v>
          </cell>
          <cell r="F489" t="str">
            <v>Registrado</v>
          </cell>
          <cell r="G489">
            <v>42340.621527777781</v>
          </cell>
          <cell r="I489" t="str">
            <v xml:space="preserve">BV Financeira </v>
          </cell>
          <cell r="J489" t="str">
            <v xml:space="preserve"> SAC</v>
          </cell>
        </row>
        <row r="490">
          <cell r="B490" t="str">
            <v>CTXSPOAP407-10019</v>
          </cell>
          <cell r="C490" t="str">
            <v>Projeto - Projeto</v>
          </cell>
          <cell r="D490" t="str">
            <v>Dalton Bondesan</v>
          </cell>
          <cell r="E490" t="str">
            <v>Jonathan Goya Nogiri</v>
          </cell>
          <cell r="F490" t="str">
            <v>Aberto</v>
          </cell>
          <cell r="G490">
            <v>42128.688194444447</v>
          </cell>
          <cell r="I490" t="str">
            <v xml:space="preserve">Contax </v>
          </cell>
          <cell r="J490" t="str">
            <v xml:space="preserve"> Ger Seg Inf e Fraude</v>
          </cell>
        </row>
        <row r="491">
          <cell r="B491" t="str">
            <v>CTXSPOAP407-10077</v>
          </cell>
          <cell r="C491" t="str">
            <v>Abertura de portas firewall antivirus local de todas as estações.</v>
          </cell>
          <cell r="D491" t="str">
            <v>Dalton Bondesan</v>
          </cell>
          <cell r="E491" t="str">
            <v>Wanderson Marques</v>
          </cell>
          <cell r="F491" t="str">
            <v>Aberto</v>
          </cell>
          <cell r="G491">
            <v>42132.431250000001</v>
          </cell>
          <cell r="I491" t="str">
            <v xml:space="preserve">Contax </v>
          </cell>
          <cell r="J491" t="str">
            <v xml:space="preserve"> Ger Implantação</v>
          </cell>
        </row>
        <row r="492">
          <cell r="B492" t="str">
            <v>CTXSPOAP407-10180</v>
          </cell>
          <cell r="C492" t="str">
            <v>Projeto - Projeto - Adequação URA SAC Volks - Lançamento de veículos</v>
          </cell>
          <cell r="D492" t="str">
            <v>Dalton Bondesan</v>
          </cell>
          <cell r="E492" t="str">
            <v>Fabiane Evangelista Cavalcante</v>
          </cell>
          <cell r="F492" t="str">
            <v>Aberto</v>
          </cell>
          <cell r="G492">
            <v>42138.716666666667</v>
          </cell>
          <cell r="I492" t="str">
            <v xml:space="preserve">Contax </v>
          </cell>
          <cell r="J492" t="str">
            <v xml:space="preserve"> Dir. Clientes Especiais</v>
          </cell>
        </row>
        <row r="493">
          <cell r="B493" t="str">
            <v>CTXSPOAP407-10289</v>
          </cell>
          <cell r="C493" t="str">
            <v>Projeto - Projeto - Alvará de resgate - DEMANDAS-1808</v>
          </cell>
          <cell r="D493" t="str">
            <v>Dalton Bondesan</v>
          </cell>
          <cell r="E493" t="str">
            <v>Cristiane Akiko Sasaki</v>
          </cell>
          <cell r="F493" t="str">
            <v>Aberto</v>
          </cell>
          <cell r="G493">
            <v>42144.618055555555</v>
          </cell>
          <cell r="I493" t="str">
            <v xml:space="preserve">Contax </v>
          </cell>
          <cell r="J493" t="str">
            <v xml:space="preserve"> Outro</v>
          </cell>
        </row>
        <row r="494">
          <cell r="B494" t="str">
            <v>CTXSPOAP407-10293</v>
          </cell>
          <cell r="C494" t="str">
            <v>Projeto - Projeto-[OI]; [RTI]; [ST VOZ] - Abertura dos registros automáticos pelo Front Fácil - Fase 2</v>
          </cell>
          <cell r="D494" t="str">
            <v>Erica Fernandes Cotrim</v>
          </cell>
          <cell r="E494" t="str">
            <v>Cristiane Akiko Sasaki</v>
          </cell>
          <cell r="F494" t="str">
            <v>Aberto</v>
          </cell>
          <cell r="G494">
            <v>42144.661805555559</v>
          </cell>
          <cell r="I494" t="str">
            <v xml:space="preserve">Oi </v>
          </cell>
          <cell r="J494" t="str">
            <v xml:space="preserve"> Suporte Técnico</v>
          </cell>
        </row>
        <row r="495">
          <cell r="B495" t="str">
            <v>CTXSPOAP407-10294</v>
          </cell>
          <cell r="C495" t="str">
            <v>Projeto - Projeto - [OI]; [RTI]; [ST VOZ] - 626 FASE 3 - Abertura dos registros automáticos</v>
          </cell>
          <cell r="D495" t="str">
            <v>Erica Fernandes Cotrim</v>
          </cell>
          <cell r="E495" t="str">
            <v>Cristiane Akiko Sasaki</v>
          </cell>
          <cell r="F495" t="str">
            <v>Aberto</v>
          </cell>
          <cell r="G495">
            <v>42144.665972222225</v>
          </cell>
          <cell r="I495" t="str">
            <v xml:space="preserve">Oi </v>
          </cell>
          <cell r="J495" t="str">
            <v xml:space="preserve"> Suporte Técnico</v>
          </cell>
        </row>
        <row r="496">
          <cell r="B496" t="str">
            <v>CTXSPOAP407-10295</v>
          </cell>
          <cell r="C496" t="str">
            <v>Projeto - Projeto - [OI]; [RTI]; [ST VOZ] - 626 FASE 4 - Abertura dos registros automáticos</v>
          </cell>
          <cell r="D496" t="str">
            <v>Erica Fernandes Cotrim</v>
          </cell>
          <cell r="E496" t="str">
            <v>Cristiane Akiko Sasaki</v>
          </cell>
          <cell r="F496" t="str">
            <v>Aberto</v>
          </cell>
          <cell r="G496">
            <v>42144.668055555558</v>
          </cell>
          <cell r="I496" t="str">
            <v xml:space="preserve">Oi </v>
          </cell>
          <cell r="J496" t="str">
            <v xml:space="preserve"> Suporte Técnico</v>
          </cell>
        </row>
        <row r="497">
          <cell r="B497" t="str">
            <v>CTXSPOAP407-10381</v>
          </cell>
          <cell r="C497" t="str">
            <v>Projeto - Projeto - Teste de Acesso</v>
          </cell>
          <cell r="D497" t="str">
            <v>Dalton Bondesan</v>
          </cell>
          <cell r="E497" t="str">
            <v>Cristiane Akiko Sasaki</v>
          </cell>
          <cell r="F497" t="str">
            <v>Aberto</v>
          </cell>
          <cell r="G497">
            <v>42150.600694444445</v>
          </cell>
          <cell r="I497" t="str">
            <v xml:space="preserve">Contax </v>
          </cell>
          <cell r="J497" t="str">
            <v xml:space="preserve"> Ger Adm RH</v>
          </cell>
        </row>
        <row r="498">
          <cell r="B498" t="str">
            <v>CTXSPOAP407-10407</v>
          </cell>
          <cell r="C498" t="str">
            <v>Projeto - Projeto TAM - tReports! / Call Center</v>
          </cell>
          <cell r="D498" t="str">
            <v>Flavio Reto</v>
          </cell>
          <cell r="E498" t="str">
            <v>Cristiane Akiko Sasaki</v>
          </cell>
          <cell r="F498" t="str">
            <v>Fechado</v>
          </cell>
          <cell r="G498">
            <v>42151.508333333331</v>
          </cell>
          <cell r="H498">
            <v>42354.713888888888</v>
          </cell>
          <cell r="I498" t="str">
            <v xml:space="preserve">TAM </v>
          </cell>
          <cell r="J498" t="str">
            <v xml:space="preserve"> TAM Viagens</v>
          </cell>
        </row>
        <row r="499">
          <cell r="B499" t="str">
            <v>CTXSPOAP407-10410</v>
          </cell>
          <cell r="C499" t="str">
            <v>Projeto - Projeto - [Vivo], [RTI] - Projeto RTI Vivo - Integração TClock x Logon no vivo 360</v>
          </cell>
          <cell r="D499" t="str">
            <v>Debora Gercke Dominas</v>
          </cell>
          <cell r="E499" t="str">
            <v>Cristiane Akiko Sasaki</v>
          </cell>
          <cell r="F499" t="str">
            <v>Aberto</v>
          </cell>
          <cell r="G499">
            <v>42151.527777777781</v>
          </cell>
          <cell r="I499" t="str">
            <v xml:space="preserve">VIVO </v>
          </cell>
          <cell r="J499" t="str">
            <v xml:space="preserve"> VIVO</v>
          </cell>
        </row>
        <row r="500">
          <cell r="B500" t="str">
            <v>CTXSPOAP407-10421</v>
          </cell>
          <cell r="C500" t="str">
            <v>Projeto - Projeto - [VIVO] - Integrar tGuidance! com Genesys diretamente</v>
          </cell>
          <cell r="D500" t="str">
            <v>Bruno Guerra Ferreira</v>
          </cell>
          <cell r="E500" t="str">
            <v>Cristiane Akiko Sasaki</v>
          </cell>
          <cell r="F500" t="str">
            <v>Aberto</v>
          </cell>
          <cell r="G500">
            <v>42151.643750000003</v>
          </cell>
          <cell r="I500" t="str">
            <v xml:space="preserve">VIVO </v>
          </cell>
          <cell r="J500" t="str">
            <v xml:space="preserve"> VIVO</v>
          </cell>
        </row>
        <row r="501">
          <cell r="B501" t="str">
            <v>CTXSPOAP407-10422</v>
          </cell>
          <cell r="C501" t="str">
            <v>Projeto - Projeto - [VIVO] - Fazer com o que tGuidance! lite passe a senha do ramal para se autenticar com o One-x (Registrar Ramal)</v>
          </cell>
          <cell r="D501" t="str">
            <v>Bruno Guerra Ferreira</v>
          </cell>
          <cell r="E501" t="str">
            <v>Cristiane Akiko Sasaki</v>
          </cell>
          <cell r="F501" t="str">
            <v>Aberto</v>
          </cell>
          <cell r="G501">
            <v>42151.646527777775</v>
          </cell>
          <cell r="I501" t="str">
            <v xml:space="preserve">VIVO </v>
          </cell>
          <cell r="J501" t="str">
            <v xml:space="preserve"> VIVO</v>
          </cell>
        </row>
        <row r="502">
          <cell r="B502" t="str">
            <v>CTXSPOAP407-10423</v>
          </cell>
          <cell r="C502" t="str">
            <v>Projeto - Projeto - [VIVO];Ajustes tGuidance Lite</v>
          </cell>
          <cell r="D502" t="str">
            <v>Bruno Guerra Ferreira</v>
          </cell>
          <cell r="E502" t="str">
            <v>Cristiane Akiko Sasaki</v>
          </cell>
          <cell r="F502" t="str">
            <v>Aberto</v>
          </cell>
          <cell r="G502">
            <v>42151.650694444441</v>
          </cell>
          <cell r="I502" t="str">
            <v xml:space="preserve">VIVO </v>
          </cell>
          <cell r="J502" t="str">
            <v xml:space="preserve"> VIVO</v>
          </cell>
        </row>
        <row r="503">
          <cell r="B503" t="str">
            <v>CTXSPOAP407-10425</v>
          </cell>
          <cell r="C503" t="str">
            <v>Projeto - Projeto - [VIVO MASSIVO] - Automação do Saldo de Recarga e Bônus</v>
          </cell>
          <cell r="D503" t="str">
            <v>Debora Gercke Dominas</v>
          </cell>
          <cell r="E503" t="str">
            <v>Cristiane Akiko Sasaki</v>
          </cell>
          <cell r="F503" t="str">
            <v>Em Andamento</v>
          </cell>
          <cell r="G503">
            <v>42151.654861111114</v>
          </cell>
          <cell r="I503" t="str">
            <v xml:space="preserve">VIVO </v>
          </cell>
          <cell r="J503" t="str">
            <v xml:space="preserve"> VIVO</v>
          </cell>
        </row>
        <row r="504">
          <cell r="B504" t="str">
            <v>CTXSPOAP407-10428</v>
          </cell>
          <cell r="C504" t="str">
            <v>Projeto - Projeto - [SANTANDER]; Implantação tFamily</v>
          </cell>
          <cell r="D504" t="str">
            <v>Bruno Guerra Ferreira</v>
          </cell>
          <cell r="E504" t="str">
            <v>Cristiane Akiko Sasaki</v>
          </cell>
          <cell r="F504" t="str">
            <v>Aberto</v>
          </cell>
          <cell r="G504">
            <v>42151.713194444441</v>
          </cell>
          <cell r="I504" t="str">
            <v xml:space="preserve">Santander </v>
          </cell>
          <cell r="J504" t="str">
            <v xml:space="preserve"> Santander</v>
          </cell>
        </row>
        <row r="505">
          <cell r="B505" t="str">
            <v>CTXSPOAP407-10430</v>
          </cell>
          <cell r="C505" t="str">
            <v>Projeto - Projeto - [ITAU]; [RTI] - Desenvolvimento das Integrações para operação CAC - Fase 2</v>
          </cell>
          <cell r="D505" t="str">
            <v>Debora Gercke Dominas</v>
          </cell>
          <cell r="E505" t="str">
            <v>Cristiane Akiko Sasaki</v>
          </cell>
          <cell r="F505" t="str">
            <v>Aberto</v>
          </cell>
          <cell r="G505">
            <v>42151.729861111111</v>
          </cell>
          <cell r="I505" t="str">
            <v xml:space="preserve">Itaú </v>
          </cell>
          <cell r="J505" t="str">
            <v xml:space="preserve"> Itaú Nacional</v>
          </cell>
        </row>
        <row r="506">
          <cell r="B506" t="str">
            <v>CTXSPOAP407-10432</v>
          </cell>
          <cell r="C506" t="str">
            <v>Projeto - Projeto - [NET] [TGUIDANCE] - Envio de bilhete para URA - FASE 2</v>
          </cell>
          <cell r="D506" t="str">
            <v>Bruno Guerra Ferreira</v>
          </cell>
          <cell r="E506" t="str">
            <v>Cristiane Akiko Sasaki</v>
          </cell>
          <cell r="F506" t="str">
            <v>Aberto</v>
          </cell>
          <cell r="G506">
            <v>42151.742361111108</v>
          </cell>
          <cell r="I506" t="str">
            <v xml:space="preserve">Net </v>
          </cell>
          <cell r="J506" t="str">
            <v xml:space="preserve"> Ura</v>
          </cell>
        </row>
        <row r="507">
          <cell r="B507" t="str">
            <v>CTXSPOAP407-10434</v>
          </cell>
          <cell r="C507" t="str">
            <v>Projeto - Projeto - [NET] - Migração da solução para a versão 4.9.3 de RTI</v>
          </cell>
          <cell r="D507" t="str">
            <v>Bruno Guerra Ferreira</v>
          </cell>
          <cell r="E507" t="str">
            <v>Cristiane Akiko Sasaki</v>
          </cell>
          <cell r="F507" t="str">
            <v>Aberto</v>
          </cell>
          <cell r="G507">
            <v>42151.745138888888</v>
          </cell>
          <cell r="I507" t="str">
            <v xml:space="preserve">Net </v>
          </cell>
          <cell r="J507" t="str">
            <v xml:space="preserve"> Net Fone</v>
          </cell>
        </row>
        <row r="508">
          <cell r="B508" t="str">
            <v>CTXSPOAP407-10493</v>
          </cell>
          <cell r="C508" t="str">
            <v>Projeto - Projeto - Projeto para implantar a nova versão do tSupervisor em todas as operações da OI.</v>
          </cell>
          <cell r="D508" t="str">
            <v>Edison Nei Siqueira</v>
          </cell>
          <cell r="E508" t="str">
            <v>Cristiane Akiko Sasaki</v>
          </cell>
          <cell r="F508" t="str">
            <v>Em Andamento</v>
          </cell>
          <cell r="G508">
            <v>42156.440972222219</v>
          </cell>
          <cell r="I508" t="str">
            <v xml:space="preserve">Oi </v>
          </cell>
          <cell r="J508" t="str">
            <v xml:space="preserve"> Outras Atividades</v>
          </cell>
        </row>
        <row r="509">
          <cell r="B509" t="str">
            <v>CTXSPOAP407-10497</v>
          </cell>
          <cell r="C509" t="str">
            <v>Projeto - Projeto - [Oi] - Criar URL para Integração com o Fornecedor CLOSER</v>
          </cell>
          <cell r="D509" t="str">
            <v>Erica Fernandes Cotrim</v>
          </cell>
          <cell r="E509" t="str">
            <v>Cristiane Akiko Sasaki</v>
          </cell>
          <cell r="F509" t="str">
            <v>Aberto</v>
          </cell>
          <cell r="G509">
            <v>42156.470138888886</v>
          </cell>
          <cell r="I509" t="str">
            <v xml:space="preserve">Oi </v>
          </cell>
          <cell r="J509" t="str">
            <v xml:space="preserve"> Cobrança</v>
          </cell>
        </row>
        <row r="510">
          <cell r="B510" t="str">
            <v>CTXSPOAP407-10513</v>
          </cell>
          <cell r="C510" t="str">
            <v>Projeto - Projeto - Criar ferramenta Disca Fácil</v>
          </cell>
          <cell r="D510" t="str">
            <v>Bruno Guerra Ferreira</v>
          </cell>
          <cell r="E510" t="str">
            <v>Cristiane Akiko Sasaki</v>
          </cell>
          <cell r="F510" t="str">
            <v>Aberto</v>
          </cell>
          <cell r="G510">
            <v>42157.445138888892</v>
          </cell>
          <cell r="I510" t="str">
            <v xml:space="preserve">Oi </v>
          </cell>
          <cell r="J510" t="str">
            <v xml:space="preserve"> SAC</v>
          </cell>
        </row>
        <row r="511">
          <cell r="B511" t="str">
            <v>CTXSPOAP407-10523</v>
          </cell>
          <cell r="C511" t="str">
            <v>Projeto - Projeto - RFI Everis</v>
          </cell>
          <cell r="D511" t="str">
            <v>Joice Pereira De Souza</v>
          </cell>
          <cell r="E511" t="str">
            <v>Cristiane Akiko Sasaki</v>
          </cell>
          <cell r="F511" t="str">
            <v>Aberto</v>
          </cell>
          <cell r="G511">
            <v>42157.595138888886</v>
          </cell>
          <cell r="I511" t="str">
            <v xml:space="preserve">Contax </v>
          </cell>
          <cell r="J511" t="str">
            <v xml:space="preserve"> Outro</v>
          </cell>
        </row>
        <row r="512">
          <cell r="B512" t="str">
            <v>CTXSPOAP407-10546</v>
          </cell>
          <cell r="C512" t="str">
            <v>Projeto - Projeto - [Engenharia - Infra e Plataforma] - PRJ-ENG-012-15 Exadata</v>
          </cell>
          <cell r="D512" t="str">
            <v>Bruno Guerra Ferreira</v>
          </cell>
          <cell r="E512" t="str">
            <v>Cristiane Akiko Sasaki</v>
          </cell>
          <cell r="F512" t="str">
            <v>Aberto</v>
          </cell>
          <cell r="G512">
            <v>42158.538888888892</v>
          </cell>
          <cell r="I512" t="str">
            <v xml:space="preserve">Contax </v>
          </cell>
          <cell r="J512" t="str">
            <v xml:space="preserve"> Outro</v>
          </cell>
        </row>
        <row r="513">
          <cell r="B513" t="str">
            <v>CTXSPOAP407-10550</v>
          </cell>
          <cell r="C513" t="str">
            <v>Projeto - Projeto - [Engenharia - Infra e Plataforma] - PRJ-ENG-050-15 Mcafee DLP</v>
          </cell>
          <cell r="D513" t="str">
            <v>Bruno Guerra Ferreira</v>
          </cell>
          <cell r="E513" t="str">
            <v>Cristiane Akiko Sasaki</v>
          </cell>
          <cell r="F513" t="str">
            <v>Aberto</v>
          </cell>
          <cell r="G513">
            <v>42158.606944444444</v>
          </cell>
          <cell r="I513" t="str">
            <v xml:space="preserve">Contax </v>
          </cell>
          <cell r="J513" t="str">
            <v xml:space="preserve"> Outro</v>
          </cell>
        </row>
        <row r="514">
          <cell r="B514" t="str">
            <v>CTXSPOAP407-10551</v>
          </cell>
          <cell r="C514" t="str">
            <v>Projeto - Projeto - [Engenharia - Infra e Plataforma] - PRJ-ENG-051-15 Ajuste NAS HP X9730</v>
          </cell>
          <cell r="D514" t="str">
            <v>Bruno Guerra Ferreira</v>
          </cell>
          <cell r="E514" t="str">
            <v>Cristiane Akiko Sasaki</v>
          </cell>
          <cell r="F514" t="str">
            <v>Aberto</v>
          </cell>
          <cell r="G514">
            <v>42158.609722222223</v>
          </cell>
          <cell r="I514" t="str">
            <v xml:space="preserve">Contax </v>
          </cell>
          <cell r="J514" t="str">
            <v xml:space="preserve"> Outro</v>
          </cell>
        </row>
        <row r="515">
          <cell r="B515" t="str">
            <v>CTXSPOAP407-10552</v>
          </cell>
          <cell r="C515" t="str">
            <v>Projeto - Projeto - [Orbitall] - Integração do tGuidance com Cyber</v>
          </cell>
          <cell r="D515" t="str">
            <v>Bruno Guerra Ferreira</v>
          </cell>
          <cell r="E515" t="str">
            <v>Cristiane Akiko Sasaki</v>
          </cell>
          <cell r="F515" t="str">
            <v>Aberto</v>
          </cell>
          <cell r="G515">
            <v>42158.615277777775</v>
          </cell>
          <cell r="I515" t="str">
            <v xml:space="preserve">Orbitall </v>
          </cell>
          <cell r="J515" t="str">
            <v xml:space="preserve"> SAC Central Bancos (C)</v>
          </cell>
        </row>
        <row r="516">
          <cell r="B516" t="str">
            <v>CTXSPOAP407-10900</v>
          </cell>
          <cell r="C516" t="str">
            <v>Projeto - Projeto</v>
          </cell>
          <cell r="D516" t="str">
            <v>Bruno Guerra Ferreira</v>
          </cell>
          <cell r="E516" t="str">
            <v>Lucas Francisco de Oliveira</v>
          </cell>
          <cell r="F516" t="str">
            <v>Pendência Externa</v>
          </cell>
          <cell r="G516">
            <v>42180.467361111114</v>
          </cell>
          <cell r="I516" t="str">
            <v xml:space="preserve">Contax </v>
          </cell>
          <cell r="J516" t="str">
            <v xml:space="preserve"> Ger Segurança Patrimonial</v>
          </cell>
        </row>
        <row r="517">
          <cell r="B517" t="str">
            <v>CTXSPOAP407-10905</v>
          </cell>
          <cell r="C517" t="str">
            <v>Projeto - Projeto</v>
          </cell>
          <cell r="D517" t="str">
            <v>Bruno Guerra Ferreira</v>
          </cell>
          <cell r="E517" t="str">
            <v>Lucas Francisco de Oliveira</v>
          </cell>
          <cell r="F517" t="str">
            <v>Pendência Externa</v>
          </cell>
          <cell r="G517">
            <v>42180.524305555555</v>
          </cell>
          <cell r="I517" t="str">
            <v xml:space="preserve">Contax </v>
          </cell>
          <cell r="J517" t="str">
            <v xml:space="preserve"> Ger Segurança Patrimonial</v>
          </cell>
        </row>
        <row r="518">
          <cell r="B518" t="str">
            <v>CTXSPOAP407-10991</v>
          </cell>
          <cell r="C518" t="str">
            <v>Projeto - Crescimento/Forecast</v>
          </cell>
          <cell r="D518" t="str">
            <v>Fabiana Olivo</v>
          </cell>
          <cell r="E518" t="str">
            <v>Juliana Brandao</v>
          </cell>
          <cell r="F518" t="str">
            <v>Fechado</v>
          </cell>
          <cell r="G518">
            <v>42185.779166666667</v>
          </cell>
          <cell r="H518">
            <v>42396.620833333334</v>
          </cell>
          <cell r="I518" t="str">
            <v xml:space="preserve">Contax </v>
          </cell>
          <cell r="J518" t="str">
            <v xml:space="preserve"> Ger Implantação</v>
          </cell>
        </row>
        <row r="519">
          <cell r="B519" t="str">
            <v>CTXSPOAP407-11039</v>
          </cell>
          <cell r="C519" t="str">
            <v>Projeto - Projeto</v>
          </cell>
          <cell r="D519" t="str">
            <v>Bruno Guerra Ferreira</v>
          </cell>
          <cell r="E519" t="str">
            <v>Lucas Francisco de Oliveira</v>
          </cell>
          <cell r="F519" t="str">
            <v>Aberto</v>
          </cell>
          <cell r="G519">
            <v>42187.531944444447</v>
          </cell>
          <cell r="I519" t="str">
            <v xml:space="preserve">Contax </v>
          </cell>
          <cell r="J519" t="str">
            <v xml:space="preserve"> Ger Segurança Patrimonial</v>
          </cell>
        </row>
        <row r="520">
          <cell r="B520" t="str">
            <v>CTXSPOAP407-11089</v>
          </cell>
          <cell r="C520" t="str">
            <v>Projeto - Projeto</v>
          </cell>
          <cell r="D520" t="str">
            <v>Dalton Bondesan</v>
          </cell>
          <cell r="E520" t="str">
            <v>Lucas Francisco de Oliveira</v>
          </cell>
          <cell r="F520" t="str">
            <v>Em Andamento</v>
          </cell>
          <cell r="G520">
            <v>42191.456944444442</v>
          </cell>
          <cell r="I520" t="str">
            <v xml:space="preserve">Contax </v>
          </cell>
          <cell r="J520" t="str">
            <v xml:space="preserve"> Ger Segurança Patrimonial</v>
          </cell>
        </row>
        <row r="521">
          <cell r="B521" t="str">
            <v>CTXSPOAP407-11140</v>
          </cell>
          <cell r="C521" t="str">
            <v>Projeto - Projeto</v>
          </cell>
          <cell r="D521" t="str">
            <v>Bruno Guerra Ferreira</v>
          </cell>
          <cell r="E521" t="str">
            <v>Frederico Crespo Henriques de Paula Aguiar</v>
          </cell>
          <cell r="F521" t="str">
            <v>Aberto</v>
          </cell>
          <cell r="G521">
            <v>42192.793055555558</v>
          </cell>
          <cell r="I521" t="str">
            <v xml:space="preserve">Contax </v>
          </cell>
          <cell r="J521" t="str">
            <v xml:space="preserve"> Ger Seg Inf e Fraude</v>
          </cell>
        </row>
        <row r="522">
          <cell r="B522" t="str">
            <v>CTXSPOAP407-11421</v>
          </cell>
          <cell r="C522" t="str">
            <v>Projeto - Projeto</v>
          </cell>
          <cell r="D522" t="str">
            <v>Bruno Guerra Ferreira</v>
          </cell>
          <cell r="E522" t="str">
            <v>Jonathan Goya Nogiri</v>
          </cell>
          <cell r="F522" t="str">
            <v>Pendência Externa</v>
          </cell>
          <cell r="G522">
            <v>42207.728472222225</v>
          </cell>
          <cell r="I522" t="str">
            <v xml:space="preserve">Contax </v>
          </cell>
          <cell r="J522" t="str">
            <v xml:space="preserve"> Ger Seg Inf e Fraude</v>
          </cell>
        </row>
        <row r="523">
          <cell r="B523" t="str">
            <v>CTXSPOAP407-11630</v>
          </cell>
          <cell r="C523" t="str">
            <v>Tabulador - Motivos de Contato Operações Movel</v>
          </cell>
          <cell r="D523" t="str">
            <v>Bruno Guerra Ferreira</v>
          </cell>
          <cell r="E523" t="str">
            <v>Vania de Moraes Colella</v>
          </cell>
          <cell r="F523" t="str">
            <v>Aberto</v>
          </cell>
          <cell r="G523">
            <v>42216.699305555558</v>
          </cell>
          <cell r="I523" t="str">
            <v xml:space="preserve">VIVO </v>
          </cell>
          <cell r="J523" t="str">
            <v xml:space="preserve"> VIVO</v>
          </cell>
        </row>
        <row r="524">
          <cell r="B524" t="str">
            <v>CTXSPOAP407-11965</v>
          </cell>
          <cell r="C524" t="str">
            <v>Projeto - Projeto</v>
          </cell>
          <cell r="D524" t="str">
            <v>Bruno Guerra Ferreira</v>
          </cell>
          <cell r="E524" t="str">
            <v>Daniela Mesquita Monteiro</v>
          </cell>
          <cell r="F524" t="str">
            <v>Aberto</v>
          </cell>
          <cell r="G524">
            <v>42233.49722222222</v>
          </cell>
          <cell r="I524" t="str">
            <v xml:space="preserve">Contax </v>
          </cell>
          <cell r="J524" t="str">
            <v xml:space="preserve"> Ger Produtos</v>
          </cell>
        </row>
        <row r="525">
          <cell r="B525" t="str">
            <v>CTXSPOAP407-12001</v>
          </cell>
          <cell r="C525" t="str">
            <v>Implementação ACI em todos os prédios</v>
          </cell>
          <cell r="D525" t="str">
            <v>Bruno Guerra Ferreira</v>
          </cell>
          <cell r="E525" t="str">
            <v>Paulo Roberto Sim�es</v>
          </cell>
          <cell r="F525" t="str">
            <v>Registrado</v>
          </cell>
          <cell r="G525">
            <v>42234.657638888886</v>
          </cell>
          <cell r="I525" t="str">
            <v xml:space="preserve">Contax </v>
          </cell>
          <cell r="J525" t="str">
            <v xml:space="preserve"> Outro</v>
          </cell>
        </row>
        <row r="526">
          <cell r="B526" t="str">
            <v>CTXSPOAP407-12030</v>
          </cell>
          <cell r="C526" t="str">
            <v>Desmobilização CTC D. Pedro</v>
          </cell>
          <cell r="D526" t="str">
            <v>BRUNO DIEGO ANTUNES RIBEIRO</v>
          </cell>
          <cell r="E526" t="str">
            <v>Paulo Roberto Sim�es</v>
          </cell>
          <cell r="F526" t="str">
            <v>Pendência Externa</v>
          </cell>
          <cell r="G526">
            <v>42235.625</v>
          </cell>
          <cell r="I526" t="str">
            <v xml:space="preserve">Contax </v>
          </cell>
          <cell r="J526" t="str">
            <v xml:space="preserve"> Outro</v>
          </cell>
        </row>
        <row r="527">
          <cell r="B527" t="str">
            <v>CTXSPOAP407-12031</v>
          </cell>
          <cell r="C527" t="str">
            <v>Desmobilização CTC Fortaleza</v>
          </cell>
          <cell r="D527" t="str">
            <v>BRUNO DIEGO ANTUNES RIBEIRO</v>
          </cell>
          <cell r="E527" t="str">
            <v>Paulo Roberto Sim�es</v>
          </cell>
          <cell r="F527" t="str">
            <v>Pendência Externa</v>
          </cell>
          <cell r="G527">
            <v>42235.628472222219</v>
          </cell>
          <cell r="I527" t="str">
            <v xml:space="preserve">Contax </v>
          </cell>
          <cell r="J527" t="str">
            <v xml:space="preserve"> Outro</v>
          </cell>
        </row>
        <row r="528">
          <cell r="B528" t="str">
            <v>CTXSPOAP407-12033</v>
          </cell>
          <cell r="C528" t="str">
            <v>Desmobilização site Joinville</v>
          </cell>
          <cell r="D528" t="str">
            <v>BRUNO DIEGO ANTUNES RIBEIRO</v>
          </cell>
          <cell r="E528" t="str">
            <v>Paulo Roberto Sim�es</v>
          </cell>
          <cell r="F528" t="str">
            <v>Em Andamento</v>
          </cell>
          <cell r="G528">
            <v>42235.631944444445</v>
          </cell>
          <cell r="I528" t="str">
            <v xml:space="preserve">Contax </v>
          </cell>
          <cell r="J528" t="str">
            <v xml:space="preserve"> Outro</v>
          </cell>
        </row>
        <row r="529">
          <cell r="B529" t="str">
            <v>CTXSPOAP407-12185</v>
          </cell>
          <cell r="C529" t="str">
            <v>RTI - Direcionamento ao Portal de informações da Vivo (AJUSTES)</v>
          </cell>
          <cell r="D529" t="str">
            <v>Debora Gercke Dominas</v>
          </cell>
          <cell r="E529" t="str">
            <v>Wagner Mattos Ribeiro Pinto</v>
          </cell>
          <cell r="F529" t="str">
            <v>Em Andamento</v>
          </cell>
          <cell r="G529">
            <v>42243.505555555559</v>
          </cell>
          <cell r="I529" t="str">
            <v xml:space="preserve">VIVO </v>
          </cell>
          <cell r="J529" t="str">
            <v xml:space="preserve"> VIVO</v>
          </cell>
        </row>
        <row r="530">
          <cell r="B530" t="str">
            <v>CTXSPOAP407-12306</v>
          </cell>
          <cell r="C530" t="str">
            <v>Projeto - Projeto</v>
          </cell>
          <cell r="D530" t="str">
            <v>Paulo Roberto da Costa Cavalcante</v>
          </cell>
          <cell r="E530" t="str">
            <v>José Ballock Neto</v>
          </cell>
          <cell r="F530" t="str">
            <v>Aberto</v>
          </cell>
          <cell r="G530">
            <v>42249.685416666667</v>
          </cell>
          <cell r="I530" t="str">
            <v xml:space="preserve">Contax </v>
          </cell>
          <cell r="J530" t="str">
            <v xml:space="preserve"> Ger Planejamento SAC</v>
          </cell>
        </row>
        <row r="531">
          <cell r="B531" t="str">
            <v>CTXSPOAP407-12333</v>
          </cell>
          <cell r="C531" t="str">
            <v>Projeto - Projeto</v>
          </cell>
          <cell r="D531" t="str">
            <v>Paulo Roberto da Costa Cavalcante</v>
          </cell>
          <cell r="E531" t="str">
            <v>José Ballock Neto</v>
          </cell>
          <cell r="F531" t="str">
            <v>Aberto</v>
          </cell>
          <cell r="G531">
            <v>42250.698611111111</v>
          </cell>
          <cell r="I531" t="str">
            <v xml:space="preserve">Contax </v>
          </cell>
          <cell r="J531" t="str">
            <v xml:space="preserve"> Ger Planejamento SAC</v>
          </cell>
        </row>
        <row r="532">
          <cell r="B532" t="str">
            <v>CTXSPOAP407-12457</v>
          </cell>
          <cell r="C532" t="str">
            <v>Projeto - Aplicação/URA - Fraseologia Central Lojista e Operador</v>
          </cell>
          <cell r="D532" t="str">
            <v>Expedito Sousa de Almeida</v>
          </cell>
          <cell r="E532" t="str">
            <v>George Silva Dimitrov</v>
          </cell>
          <cell r="F532" t="str">
            <v>Fechado</v>
          </cell>
          <cell r="G532">
            <v>42256.675000000003</v>
          </cell>
          <cell r="H532">
            <v>42352.574305555558</v>
          </cell>
          <cell r="I532" t="str">
            <v xml:space="preserve">Santander </v>
          </cell>
          <cell r="J532" t="str">
            <v xml:space="preserve"> Multiprodutos</v>
          </cell>
        </row>
        <row r="533">
          <cell r="B533" t="str">
            <v>CTXSPOAP407-12458</v>
          </cell>
          <cell r="C533" t="str">
            <v>Projeto - Aplicação/URA - Implantar pesquisa automática para mensurar a Satisfação do Atendimento</v>
          </cell>
          <cell r="D533" t="str">
            <v>Bruno Guerra Ferreira</v>
          </cell>
          <cell r="E533" t="str">
            <v>George Silva Dimitrov</v>
          </cell>
          <cell r="F533" t="str">
            <v>Em Andamento</v>
          </cell>
          <cell r="G533">
            <v>42256.684027777781</v>
          </cell>
          <cell r="I533" t="str">
            <v xml:space="preserve">Santander </v>
          </cell>
          <cell r="J533" t="str">
            <v xml:space="preserve"> Capitalização</v>
          </cell>
        </row>
        <row r="534">
          <cell r="B534" t="str">
            <v>CTXSPOAP407-12466</v>
          </cell>
          <cell r="C534" t="str">
            <v>Insumos TI e Aplicações - Prefeitura de Porto Alegre</v>
          </cell>
          <cell r="D534" t="str">
            <v>Bruno Guerra Ferreira</v>
          </cell>
          <cell r="E534" t="str">
            <v>Agnaldo Jose de Freitas Caetano</v>
          </cell>
          <cell r="F534" t="str">
            <v>Aberto</v>
          </cell>
          <cell r="G534">
            <v>42256.786111111112</v>
          </cell>
          <cell r="I534" t="str">
            <v xml:space="preserve">Contax </v>
          </cell>
          <cell r="J534" t="str">
            <v xml:space="preserve"> Ger Pré</v>
          </cell>
        </row>
        <row r="535">
          <cell r="B535" t="str">
            <v>CTXSPOAP407-12490</v>
          </cell>
          <cell r="C535" t="str">
            <v>Projeto - Projeto</v>
          </cell>
          <cell r="D535" t="str">
            <v>Bruno Guerra Ferreira</v>
          </cell>
          <cell r="E535" t="str">
            <v>Daniela Mesquita Monteiro</v>
          </cell>
          <cell r="F535" t="str">
            <v>Pendência Externa</v>
          </cell>
          <cell r="G535">
            <v>42257.688888888886</v>
          </cell>
          <cell r="I535" t="str">
            <v xml:space="preserve">Contax </v>
          </cell>
          <cell r="J535" t="str">
            <v xml:space="preserve"> Ger Produtos</v>
          </cell>
        </row>
        <row r="536">
          <cell r="B536" t="str">
            <v>CTXSPOAP407-12854</v>
          </cell>
          <cell r="C536" t="str">
            <v>Projeto Separação URA Multiplus da TAM</v>
          </cell>
          <cell r="D536" t="str">
            <v>Paulo Roberto da Costa Cavalcante</v>
          </cell>
          <cell r="E536" t="str">
            <v>Cleonice de Andrade Oliveira Ferreira</v>
          </cell>
          <cell r="F536" t="str">
            <v>Aberto</v>
          </cell>
          <cell r="G536">
            <v>42277.496527777781</v>
          </cell>
          <cell r="I536" t="str">
            <v xml:space="preserve">TAM </v>
          </cell>
          <cell r="J536" t="str">
            <v xml:space="preserve"> Apoio</v>
          </cell>
        </row>
        <row r="537">
          <cell r="B537" t="str">
            <v>CTXSPOAP407-12991</v>
          </cell>
          <cell r="C537" t="str">
            <v>Projeto - Projeto</v>
          </cell>
          <cell r="D537" t="str">
            <v>Bruno Guerra Ferreira</v>
          </cell>
          <cell r="E537" t="str">
            <v>Daniela Mesquita Monteiro</v>
          </cell>
          <cell r="F537" t="str">
            <v>Aberto</v>
          </cell>
          <cell r="G537">
            <v>42283.517361111109</v>
          </cell>
          <cell r="I537" t="str">
            <v xml:space="preserve">Contax </v>
          </cell>
          <cell r="J537" t="str">
            <v xml:space="preserve"> Ger Produtos</v>
          </cell>
        </row>
        <row r="538">
          <cell r="B538" t="str">
            <v>CTXSPOAP407-13114</v>
          </cell>
          <cell r="C538" t="str">
            <v>Projeto - Pré Projeto LATAM TAM JOAO PESSOA</v>
          </cell>
          <cell r="D538" t="str">
            <v>Bruno Guerra Ferreira</v>
          </cell>
          <cell r="E538" t="str">
            <v>Robson da Costa</v>
          </cell>
          <cell r="F538" t="str">
            <v>Aberto</v>
          </cell>
          <cell r="G538">
            <v>42290.72152777778</v>
          </cell>
          <cell r="I538" t="str">
            <v xml:space="preserve">TAM </v>
          </cell>
          <cell r="J538" t="str">
            <v xml:space="preserve"> TAM Cargo</v>
          </cell>
        </row>
        <row r="539">
          <cell r="B539" t="str">
            <v>CTXSPOAP407-13150</v>
          </cell>
          <cell r="C539" t="str">
            <v>Projeto Total View 2a Fase</v>
          </cell>
          <cell r="D539" t="str">
            <v>BRUNO DIEGO ANTUNES RIBEIRO</v>
          </cell>
          <cell r="E539" t="str">
            <v>Wagner Mattos Ribeiro Pinto</v>
          </cell>
          <cell r="F539" t="str">
            <v>Aberto</v>
          </cell>
          <cell r="G539">
            <v>42292.648611111108</v>
          </cell>
          <cell r="I539" t="str">
            <v xml:space="preserve">VIVO </v>
          </cell>
          <cell r="J539" t="str">
            <v xml:space="preserve"> VIVO</v>
          </cell>
        </row>
        <row r="540">
          <cell r="B540" t="str">
            <v>CTXSPOAP407-13166</v>
          </cell>
          <cell r="C540" t="str">
            <v>Ticket B2B - Ferramenta de acompanhamento de produtividade</v>
          </cell>
          <cell r="D540" t="str">
            <v>Bruno Guerra Ferreira</v>
          </cell>
          <cell r="E540" t="str">
            <v>Agnaldo Jose de Freitas Caetano</v>
          </cell>
          <cell r="F540" t="str">
            <v>Registrado</v>
          </cell>
          <cell r="G540">
            <v>42293.477083333331</v>
          </cell>
          <cell r="I540" t="str">
            <v xml:space="preserve">Contax </v>
          </cell>
          <cell r="J540" t="str">
            <v xml:space="preserve"> Ger Pré</v>
          </cell>
        </row>
        <row r="541">
          <cell r="B541" t="str">
            <v>CTXSPOAP407-13197</v>
          </cell>
          <cell r="C541" t="str">
            <v>Lenvantamento de Insumos para nova oportunidade - Infoglobo Infraestrutura</v>
          </cell>
          <cell r="D541" t="str">
            <v>Agnaldo Jose de Freitas Caetano</v>
          </cell>
          <cell r="E541" t="str">
            <v>Agnaldo Jose de Freitas Caetano</v>
          </cell>
          <cell r="F541" t="str">
            <v>Fechado</v>
          </cell>
          <cell r="G541">
            <v>42296.546527777777</v>
          </cell>
          <cell r="H541">
            <v>42388.679166666669</v>
          </cell>
          <cell r="I541" t="str">
            <v xml:space="preserve">Contax </v>
          </cell>
          <cell r="J541" t="str">
            <v xml:space="preserve"> Ger Pré</v>
          </cell>
        </row>
        <row r="542">
          <cell r="B542" t="str">
            <v>CTXSPOAP407-13231</v>
          </cell>
          <cell r="C542" t="str">
            <v>Pré Venda - cliente Omni</v>
          </cell>
          <cell r="D542" t="str">
            <v>Bruno Guerra Ferreira</v>
          </cell>
          <cell r="E542" t="str">
            <v>Fernanda Esteves Zujenas</v>
          </cell>
          <cell r="F542" t="str">
            <v>Registrado</v>
          </cell>
          <cell r="G542">
            <v>42297.695833333331</v>
          </cell>
          <cell r="I542" t="str">
            <v xml:space="preserve">Contax </v>
          </cell>
          <cell r="J542" t="str">
            <v xml:space="preserve"> Ger Pré</v>
          </cell>
        </row>
        <row r="543">
          <cell r="B543" t="str">
            <v>CTXSPOAP407-13236</v>
          </cell>
          <cell r="C543" t="str">
            <v>Projeto - Solução infraestrutura (servidor e link) para relatórios de Televendas</v>
          </cell>
          <cell r="D543" t="str">
            <v>Bruno Guerra Ferreira</v>
          </cell>
          <cell r="E543" t="str">
            <v>Carolina Akemi Kakazu Arakaki</v>
          </cell>
          <cell r="F543" t="str">
            <v>Registrado</v>
          </cell>
          <cell r="G543">
            <v>42297.761805555558</v>
          </cell>
          <cell r="I543" t="str">
            <v xml:space="preserve">Contax </v>
          </cell>
          <cell r="J543" t="str">
            <v xml:space="preserve"> Outro</v>
          </cell>
        </row>
        <row r="544">
          <cell r="B544" t="str">
            <v>CTXSPOAP407-13330</v>
          </cell>
          <cell r="C544" t="str">
            <v>Projeto - Implantação Nova Operação - Santander CP</v>
          </cell>
          <cell r="D544" t="str">
            <v>BRUNO DIEGO ANTUNES RIBEIRO</v>
          </cell>
          <cell r="E544" t="str">
            <v>Bruno Guerra Ferreira</v>
          </cell>
          <cell r="F544" t="str">
            <v>Registrado</v>
          </cell>
          <cell r="G544">
            <v>42300.7</v>
          </cell>
          <cell r="I544" t="str">
            <v xml:space="preserve">Santander </v>
          </cell>
          <cell r="J544" t="str">
            <v xml:space="preserve"> Crédito Pessoal</v>
          </cell>
        </row>
        <row r="545">
          <cell r="B545" t="str">
            <v>CTXSPOAP407-13610</v>
          </cell>
          <cell r="C545" t="str">
            <v>Cotação Link de Dados 10 MBPS ponto a ponto</v>
          </cell>
          <cell r="D545" t="str">
            <v>Bruno Guerra Ferreira</v>
          </cell>
          <cell r="E545" t="str">
            <v>Agnaldo Jose de Freitas Caetano</v>
          </cell>
          <cell r="F545" t="str">
            <v>Registrado</v>
          </cell>
          <cell r="G545">
            <v>42313.588888888888</v>
          </cell>
          <cell r="I545" t="str">
            <v xml:space="preserve">Contax </v>
          </cell>
          <cell r="J545" t="str">
            <v xml:space="preserve"> Ger Pré</v>
          </cell>
        </row>
        <row r="546">
          <cell r="B546" t="str">
            <v>CTXSPOAP407-13720</v>
          </cell>
          <cell r="C546" t="str">
            <v>Projeto McKinsey - Cobrança - 100 PAs Discador Aspect</v>
          </cell>
          <cell r="D546" t="str">
            <v>Bruno Guerra Ferreira</v>
          </cell>
          <cell r="E546" t="str">
            <v>Agnaldo Jose de Freitas Caetano</v>
          </cell>
          <cell r="F546" t="str">
            <v>Registrado</v>
          </cell>
          <cell r="G546">
            <v>42320.511111111111</v>
          </cell>
          <cell r="I546" t="str">
            <v xml:space="preserve">Contax </v>
          </cell>
          <cell r="J546" t="str">
            <v xml:space="preserve"> Ger Pré</v>
          </cell>
        </row>
        <row r="547">
          <cell r="B547" t="str">
            <v>CTXSPOAP407-13781</v>
          </cell>
          <cell r="C547" t="str">
            <v>Projeto - Piloto Indigo</v>
          </cell>
          <cell r="D547" t="str">
            <v>Debora Gercke Dominas</v>
          </cell>
          <cell r="E547" t="str">
            <v>Wagner Mattos Ribeiro Pinto</v>
          </cell>
          <cell r="F547" t="str">
            <v>Registrado</v>
          </cell>
          <cell r="G547">
            <v>42324.737500000003</v>
          </cell>
          <cell r="I547" t="str">
            <v xml:space="preserve">VIVO </v>
          </cell>
          <cell r="J547" t="str">
            <v xml:space="preserve"> VIVO</v>
          </cell>
        </row>
        <row r="548">
          <cell r="B548" t="str">
            <v>CTXSPOAP407-13802</v>
          </cell>
          <cell r="C548" t="str">
            <v>Insumos para URA Multiplus</v>
          </cell>
          <cell r="D548" t="str">
            <v>Bruno Guerra Ferreira</v>
          </cell>
          <cell r="E548" t="str">
            <v>Agnaldo Jose de Freitas Caetano</v>
          </cell>
          <cell r="F548" t="str">
            <v>Registrado</v>
          </cell>
          <cell r="G548">
            <v>42325.727083333331</v>
          </cell>
          <cell r="I548" t="str">
            <v xml:space="preserve">Contax </v>
          </cell>
          <cell r="J548" t="str">
            <v xml:space="preserve"> Ger Pré</v>
          </cell>
        </row>
        <row r="549">
          <cell r="B549" t="str">
            <v>CTXSPOAP407-14134</v>
          </cell>
          <cell r="C549" t="str">
            <v>Insumos de TI - Claro TLV</v>
          </cell>
          <cell r="D549" t="str">
            <v>Bruno Guerra Ferreira</v>
          </cell>
          <cell r="E549" t="str">
            <v>Fernanda Esteves Zujenas</v>
          </cell>
          <cell r="F549" t="str">
            <v>Registrado</v>
          </cell>
          <cell r="G549">
            <v>42340.545138888891</v>
          </cell>
          <cell r="I549" t="str">
            <v xml:space="preserve">Contax </v>
          </cell>
          <cell r="J549" t="str">
            <v xml:space="preserve"> Ger Pré</v>
          </cell>
        </row>
        <row r="550">
          <cell r="B550" t="str">
            <v>CTXSPOAP407-14449</v>
          </cell>
          <cell r="C550" t="str">
            <v>Projeto - célula de ativo GNF</v>
          </cell>
          <cell r="D550" t="str">
            <v>Bruno Guerra Ferreira</v>
          </cell>
          <cell r="E550" t="str">
            <v>Renata Varkala Sanchez</v>
          </cell>
          <cell r="F550" t="str">
            <v>Registrado</v>
          </cell>
          <cell r="G550">
            <v>42359.501388888886</v>
          </cell>
          <cell r="I550" t="str">
            <v xml:space="preserve">Contax </v>
          </cell>
          <cell r="J550" t="str">
            <v xml:space="preserve"> Ger Pré</v>
          </cell>
        </row>
        <row r="551">
          <cell r="B551" t="str">
            <v>CTXSPOAP407-14478</v>
          </cell>
          <cell r="C551" t="str">
            <v>Projeto - Parametrização de SLA no Pentaho</v>
          </cell>
          <cell r="D551" t="str">
            <v>Mauricio Teixeira da Fonseca</v>
          </cell>
          <cell r="E551" t="str">
            <v>Mauricio Teixeira da Fonseca</v>
          </cell>
          <cell r="F551" t="str">
            <v>Reaberto</v>
          </cell>
          <cell r="G551">
            <v>42360.802083333336</v>
          </cell>
          <cell r="I551" t="str">
            <v xml:space="preserve">Contax </v>
          </cell>
          <cell r="J551" t="str">
            <v xml:space="preserve"> Ger Manutenção</v>
          </cell>
        </row>
        <row r="552">
          <cell r="B552" t="str">
            <v>CTXSPOAP407-14490</v>
          </cell>
          <cell r="C552" t="str">
            <v>Insumos de Pré-Vendas</v>
          </cell>
          <cell r="D552" t="str">
            <v>Sem responsável</v>
          </cell>
          <cell r="E552" t="str">
            <v>Agnaldo Jose de Freitas Caetano</v>
          </cell>
          <cell r="F552" t="str">
            <v>Registrado</v>
          </cell>
          <cell r="G552">
            <v>42361.65902777778</v>
          </cell>
          <cell r="I552" t="str">
            <v xml:space="preserve">Contax </v>
          </cell>
          <cell r="J552" t="str">
            <v xml:space="preserve"> Ger Pré</v>
          </cell>
        </row>
        <row r="553">
          <cell r="B553" t="str">
            <v>CTXSPOAP407-14530</v>
          </cell>
          <cell r="C553" t="str">
            <v>Projeto - Magazine Luiza</v>
          </cell>
          <cell r="D553" t="str">
            <v>Sem responsável</v>
          </cell>
          <cell r="E553" t="str">
            <v>Adilson Pires Cerveira Junior</v>
          </cell>
          <cell r="F553" t="str">
            <v>Registrado</v>
          </cell>
          <cell r="G553">
            <v>42367.756944444445</v>
          </cell>
          <cell r="I553" t="str">
            <v xml:space="preserve">Contax </v>
          </cell>
          <cell r="J553" t="str">
            <v xml:space="preserve"> Ger Pré</v>
          </cell>
        </row>
        <row r="554">
          <cell r="B554" t="str">
            <v>CTXSPOAP407-14651</v>
          </cell>
          <cell r="C554" t="str">
            <v>Projeto - ACL Analytics - Workstation</v>
          </cell>
          <cell r="D554" t="str">
            <v>Debora Gercke Dominas</v>
          </cell>
          <cell r="E554" t="str">
            <v>Frederico Crespo Henriques de Paula Aguiar</v>
          </cell>
          <cell r="F554" t="str">
            <v>Em Andamento</v>
          </cell>
          <cell r="G554">
            <v>42376.676388888889</v>
          </cell>
          <cell r="I554" t="str">
            <v xml:space="preserve">Contax </v>
          </cell>
          <cell r="J554" t="str">
            <v xml:space="preserve"> Ger Seg Inf e Fraude</v>
          </cell>
        </row>
        <row r="555">
          <cell r="B555" t="str">
            <v>CTXSPOAP407-14658</v>
          </cell>
          <cell r="C555" t="str">
            <v>Projeto - "Por favor, usuário, utilizar este campo para informar o nome do Projeto"</v>
          </cell>
          <cell r="D555" t="str">
            <v>Sem responsável</v>
          </cell>
          <cell r="E555" t="str">
            <v>Adilson Pires Cerveira Junior</v>
          </cell>
          <cell r="F555" t="str">
            <v>Registrado</v>
          </cell>
          <cell r="G555">
            <v>42377.421527777777</v>
          </cell>
          <cell r="I555" t="str">
            <v xml:space="preserve">Contax </v>
          </cell>
          <cell r="J555" t="str">
            <v xml:space="preserve"> Ger Pré</v>
          </cell>
        </row>
        <row r="556">
          <cell r="B556" t="str">
            <v>CTXSPOAP407-14689</v>
          </cell>
          <cell r="C556" t="str">
            <v>Projeto - Licitação ENEL</v>
          </cell>
          <cell r="D556" t="str">
            <v>Sem responsável</v>
          </cell>
          <cell r="E556" t="str">
            <v>Renata Varkala Sanchez</v>
          </cell>
          <cell r="F556" t="str">
            <v>Registrado</v>
          </cell>
          <cell r="G556">
            <v>42381.430555555555</v>
          </cell>
          <cell r="I556" t="str">
            <v xml:space="preserve">Contax </v>
          </cell>
          <cell r="J556" t="str">
            <v xml:space="preserve"> Ger Pré</v>
          </cell>
        </row>
        <row r="557">
          <cell r="B557" t="str">
            <v>CTXSPOAP407-14745</v>
          </cell>
          <cell r="C557" t="str">
            <v>IMPLANTAÇÃO TAM VIAGENS - INFRA - SITE AUGUSTA</v>
          </cell>
          <cell r="D557" t="str">
            <v>BRUNO DIEGO ANTUNES RIBEIRO</v>
          </cell>
          <cell r="E557" t="str">
            <v>Cleonice de Andrade Oliveira Ferreira</v>
          </cell>
          <cell r="F557" t="str">
            <v>Registrado</v>
          </cell>
          <cell r="G557">
            <v>42383.706250000003</v>
          </cell>
          <cell r="I557" t="str">
            <v xml:space="preserve">TAM </v>
          </cell>
          <cell r="J557" t="str">
            <v xml:space="preserve"> Viagens</v>
          </cell>
        </row>
        <row r="558">
          <cell r="B558" t="str">
            <v>CTXSPOAP407-14828</v>
          </cell>
          <cell r="C558" t="str">
            <v>VIVO RFP - Novo Contrato de Atendimento 2016</v>
          </cell>
          <cell r="D558" t="str">
            <v>Sem responsável</v>
          </cell>
          <cell r="E558" t="str">
            <v>Adilson Pires Cerveira Junior</v>
          </cell>
          <cell r="F558" t="str">
            <v>Registrado</v>
          </cell>
          <cell r="G558">
            <v>42388.65347222222</v>
          </cell>
          <cell r="I558" t="str">
            <v xml:space="preserve">Contax </v>
          </cell>
          <cell r="J558" t="str">
            <v xml:space="preserve"> Ger Pré</v>
          </cell>
        </row>
        <row r="559">
          <cell r="B559" t="str">
            <v>CTXSPOAP407-14854</v>
          </cell>
          <cell r="C559" t="str">
            <v>Projeto - MIGRAÇÃO TAM SP PARA JP</v>
          </cell>
          <cell r="D559" t="str">
            <v>BRUNO DIEGO ANTUNES RIBEIRO</v>
          </cell>
          <cell r="E559" t="str">
            <v>Cleonice de Andrade Oliveira Ferreira</v>
          </cell>
          <cell r="F559" t="str">
            <v>Registrado</v>
          </cell>
          <cell r="G559">
            <v>42389.620138888888</v>
          </cell>
          <cell r="I559" t="str">
            <v xml:space="preserve">TAM </v>
          </cell>
          <cell r="J559" t="str">
            <v xml:space="preserve"> TAM Cargo</v>
          </cell>
        </row>
        <row r="560">
          <cell r="B560" t="str">
            <v>CTXSPOAP407-14879</v>
          </cell>
          <cell r="C560" t="str">
            <v>Insumos para Pre-Vendas RFP Vale</v>
          </cell>
          <cell r="D560" t="str">
            <v>Sem responsável</v>
          </cell>
          <cell r="E560" t="str">
            <v>Agnaldo Jose de Freitas Caetano</v>
          </cell>
          <cell r="F560" t="str">
            <v>Registrado</v>
          </cell>
          <cell r="G560">
            <v>42390.537499999999</v>
          </cell>
          <cell r="I560" t="str">
            <v xml:space="preserve">Contax </v>
          </cell>
          <cell r="J560" t="str">
            <v xml:space="preserve"> Ger Pré</v>
          </cell>
        </row>
        <row r="561">
          <cell r="B561" t="str">
            <v>CTXSPOAP407-14886</v>
          </cell>
          <cell r="C561" t="str">
            <v>Projeto - Disponbilizar 01 Servidor de Gravação para Claro</v>
          </cell>
          <cell r="D561" t="str">
            <v>Sem responsável</v>
          </cell>
          <cell r="E561" t="str">
            <v>Cleonice de Andrade Oliveira Ferreira</v>
          </cell>
          <cell r="F561" t="str">
            <v>Registrado</v>
          </cell>
          <cell r="G561">
            <v>42390.657638888886</v>
          </cell>
          <cell r="I561" t="str">
            <v xml:space="preserve">Claro </v>
          </cell>
          <cell r="J561" t="str">
            <v xml:space="preserve"> Claro</v>
          </cell>
        </row>
        <row r="562">
          <cell r="B562" t="str">
            <v>CTXSPOAP407-14925</v>
          </cell>
          <cell r="C562" t="str">
            <v>Projeto - "Por favor, usuário, utilizar este campo para informar o nome do Projeto"</v>
          </cell>
          <cell r="D562" t="str">
            <v>Mauricio Teixeira da Fonseca</v>
          </cell>
          <cell r="E562" t="str">
            <v>Mauricio Teixeira da Fonseca</v>
          </cell>
          <cell r="F562" t="str">
            <v>Aberto</v>
          </cell>
          <cell r="G562">
            <v>42395.418749999997</v>
          </cell>
          <cell r="I562" t="str">
            <v xml:space="preserve">Contax </v>
          </cell>
          <cell r="J562" t="str">
            <v xml:space="preserve"> Ger Manutenção</v>
          </cell>
        </row>
        <row r="563">
          <cell r="B563" t="str">
            <v>CTXSPOAP407-14972</v>
          </cell>
          <cell r="C563" t="str">
            <v>Projeto - "Por favor, usuário, utilizar este campo para informar o nome do Projeto"</v>
          </cell>
          <cell r="D563" t="str">
            <v>Sem responsável</v>
          </cell>
          <cell r="E563" t="str">
            <v>Renata Varkala Sanchez</v>
          </cell>
          <cell r="F563" t="str">
            <v>Registrado</v>
          </cell>
          <cell r="G563">
            <v>42396.617361111108</v>
          </cell>
          <cell r="I563" t="str">
            <v xml:space="preserve">Contax </v>
          </cell>
          <cell r="J563" t="str">
            <v xml:space="preserve"> Ger Pré</v>
          </cell>
        </row>
        <row r="564">
          <cell r="B564" t="str">
            <v>CTXSPOAP407-14993</v>
          </cell>
          <cell r="C564" t="str">
            <v>Insumos Pré-Vendas - Qui Group solução de URA e Workflow</v>
          </cell>
          <cell r="D564" t="str">
            <v>Sem responsável</v>
          </cell>
          <cell r="E564" t="str">
            <v>Agnaldo Jose de Freitas Caetano</v>
          </cell>
          <cell r="F564" t="str">
            <v>Registrado</v>
          </cell>
          <cell r="G564">
            <v>42397.506944444445</v>
          </cell>
          <cell r="I564" t="str">
            <v xml:space="preserve">Contax </v>
          </cell>
          <cell r="J564" t="str">
            <v xml:space="preserve"> Ger Pré</v>
          </cell>
        </row>
        <row r="565">
          <cell r="B565" t="str">
            <v>CTXSPOAP407-14995</v>
          </cell>
          <cell r="C565" t="str">
            <v>SAMSUNG - RFP SUPORTE TECNICO</v>
          </cell>
          <cell r="D565" t="str">
            <v>Sem responsável</v>
          </cell>
          <cell r="E565" t="str">
            <v>Renata Varkala Sanchez</v>
          </cell>
          <cell r="F565" t="str">
            <v>Registrado</v>
          </cell>
          <cell r="G565">
            <v>42397.556944444441</v>
          </cell>
          <cell r="I565" t="str">
            <v xml:space="preserve">Contax </v>
          </cell>
          <cell r="J565" t="str">
            <v xml:space="preserve"> Ger Pré</v>
          </cell>
        </row>
        <row r="566">
          <cell r="B566" t="str">
            <v>CTXSPOAP407-15089</v>
          </cell>
          <cell r="C566" t="str">
            <v>PROJETO - DEFENSORIA PUBLICA DO ESTADO DE SP</v>
          </cell>
          <cell r="D566" t="str">
            <v>Sem responsável</v>
          </cell>
          <cell r="E566" t="str">
            <v>Renata Varkala Sanchez</v>
          </cell>
          <cell r="F566" t="str">
            <v>Registrado</v>
          </cell>
          <cell r="G566">
            <v>42402.484722222223</v>
          </cell>
          <cell r="I566" t="str">
            <v xml:space="preserve">Contax </v>
          </cell>
          <cell r="J566" t="str">
            <v xml:space="preserve"> Ger Pré</v>
          </cell>
        </row>
        <row r="567">
          <cell r="B567" t="str">
            <v>CTXSPOAP407-15140</v>
          </cell>
          <cell r="C567" t="str">
            <v>Projeto - POC F5 WebSense</v>
          </cell>
          <cell r="D567" t="str">
            <v>Sem responsável</v>
          </cell>
          <cell r="E567" t="str">
            <v>Frederico Crespo Henriques de Paula Aguiar</v>
          </cell>
          <cell r="F567" t="str">
            <v>Registrado</v>
          </cell>
          <cell r="G567">
            <v>42404.681250000001</v>
          </cell>
          <cell r="I567" t="str">
            <v xml:space="preserve">Contax </v>
          </cell>
          <cell r="J567" t="str">
            <v xml:space="preserve"> Ger Seg Inf e Fraude</v>
          </cell>
        </row>
        <row r="568">
          <cell r="B568" t="str">
            <v>CTXSPOAP407-15194</v>
          </cell>
          <cell r="C568" t="str">
            <v>Expansão do NGR Monitor - Cliente Oi</v>
          </cell>
          <cell r="D568" t="str">
            <v>Sem responsável</v>
          </cell>
          <cell r="E568" t="str">
            <v>Adilson Pires Cerveira Junior</v>
          </cell>
          <cell r="F568" t="str">
            <v>Registrado</v>
          </cell>
          <cell r="G568">
            <v>42410.65625</v>
          </cell>
          <cell r="I568" t="str">
            <v xml:space="preserve">Contax </v>
          </cell>
          <cell r="J568" t="str">
            <v xml:space="preserve"> Ger Pré</v>
          </cell>
        </row>
        <row r="569">
          <cell r="B569" t="str">
            <v>CTXSPOAP407-15198</v>
          </cell>
          <cell r="C569" t="str">
            <v>Insumos projeto (pré-vendas) PROMED</v>
          </cell>
          <cell r="D569" t="str">
            <v>Sem responsável</v>
          </cell>
          <cell r="E569" t="str">
            <v>Agnaldo Jose de Freitas Caetano</v>
          </cell>
          <cell r="F569" t="str">
            <v>Registrado</v>
          </cell>
          <cell r="G569">
            <v>42410.728472222225</v>
          </cell>
          <cell r="I569" t="str">
            <v xml:space="preserve">Contax </v>
          </cell>
          <cell r="J569" t="str">
            <v xml:space="preserve"> Ger Pré</v>
          </cell>
        </row>
        <row r="570">
          <cell r="B570" t="str">
            <v>CTXSPOAP407-15208</v>
          </cell>
          <cell r="C570" t="str">
            <v>Projeto - Santander CP</v>
          </cell>
          <cell r="D570" t="str">
            <v>Sem responsável</v>
          </cell>
          <cell r="E570" t="str">
            <v>Renata Varkala Sanchez</v>
          </cell>
          <cell r="F570" t="str">
            <v>Registrado</v>
          </cell>
          <cell r="G570">
            <v>42411.430555555555</v>
          </cell>
          <cell r="I570" t="str">
            <v xml:space="preserve">Contax </v>
          </cell>
          <cell r="J570" t="str">
            <v xml:space="preserve"> Ger Pré</v>
          </cell>
        </row>
        <row r="571">
          <cell r="B571" t="str">
            <v>CTXSPOAP407-15270</v>
          </cell>
          <cell r="C571" t="str">
            <v>PROJETO COTI - INSTALAÇÃO DE LICENÇA - CONTAX</v>
          </cell>
          <cell r="D571" t="str">
            <v>Bruno Guerra Ferreira</v>
          </cell>
          <cell r="E571" t="str">
            <v>Cleonice de Andrade Oliveira Ferreira</v>
          </cell>
          <cell r="F571" t="str">
            <v>Registrado</v>
          </cell>
          <cell r="G571">
            <v>42415.504166666666</v>
          </cell>
          <cell r="I571" t="str">
            <v xml:space="preserve">Claro </v>
          </cell>
          <cell r="J571" t="str">
            <v xml:space="preserve"> Claro</v>
          </cell>
        </row>
        <row r="572">
          <cell r="B572" t="str">
            <v>CTXSPOAP407-15301</v>
          </cell>
          <cell r="C572" t="str">
            <v>NEXTEL - INFRAESTRUTURA</v>
          </cell>
          <cell r="D572" t="str">
            <v>Sem responsável</v>
          </cell>
          <cell r="E572" t="str">
            <v>Adilson Pires Cerveira Junior</v>
          </cell>
          <cell r="F572" t="str">
            <v>Registrado</v>
          </cell>
          <cell r="G572">
            <v>42416.453472222223</v>
          </cell>
          <cell r="I572" t="str">
            <v xml:space="preserve">Contax </v>
          </cell>
          <cell r="J572" t="str">
            <v xml:space="preserve"> Ger Pré</v>
          </cell>
        </row>
        <row r="573">
          <cell r="B573" t="str">
            <v>CTXSPOAP407-15329</v>
          </cell>
          <cell r="C573" t="str">
            <v>Custos/Insumos para Oportunidade Magazine Luiza - Ativo</v>
          </cell>
          <cell r="D573" t="str">
            <v>Sem responsável</v>
          </cell>
          <cell r="E573" t="str">
            <v>Agnaldo Jose de Freitas Caetano</v>
          </cell>
          <cell r="F573" t="str">
            <v>Registrado</v>
          </cell>
          <cell r="G573">
            <v>42417.499305555553</v>
          </cell>
          <cell r="I573" t="str">
            <v xml:space="preserve">Contax </v>
          </cell>
          <cell r="J573" t="str">
            <v xml:space="preserve"> Ger Pré</v>
          </cell>
        </row>
        <row r="574">
          <cell r="B574" t="str">
            <v>CTXSPOAP407-15345</v>
          </cell>
          <cell r="C574" t="str">
            <v>AMÉRICA MÓVIL - REFP E2E</v>
          </cell>
          <cell r="D574" t="str">
            <v>Sem responsável</v>
          </cell>
          <cell r="E574" t="str">
            <v>Adilson Pires Cerveira Junior</v>
          </cell>
          <cell r="F574" t="str">
            <v>Registrado</v>
          </cell>
          <cell r="G574">
            <v>42417.629861111112</v>
          </cell>
          <cell r="I574" t="str">
            <v xml:space="preserve">Contax </v>
          </cell>
          <cell r="J574" t="str">
            <v xml:space="preserve"> Ger Pré</v>
          </cell>
        </row>
        <row r="575">
          <cell r="B575" t="str">
            <v>CTXSPOAP407-15356</v>
          </cell>
          <cell r="C575" t="str">
            <v>Oportunidade PROMED Levantamento de Custos</v>
          </cell>
          <cell r="D575" t="str">
            <v>Sem responsável</v>
          </cell>
          <cell r="E575" t="str">
            <v>Agnaldo Jose de Freitas Caetano</v>
          </cell>
          <cell r="F575" t="str">
            <v>Registrado</v>
          </cell>
          <cell r="G575">
            <v>42417.818055555559</v>
          </cell>
          <cell r="I575" t="str">
            <v xml:space="preserve">Contax </v>
          </cell>
          <cell r="J575" t="str">
            <v xml:space="preserve"> Ger Pré</v>
          </cell>
        </row>
        <row r="576">
          <cell r="B576" t="str">
            <v>CTXSPOAP407-15367</v>
          </cell>
          <cell r="C576" t="str">
            <v>Insumos/Custo Oportunidade Danone</v>
          </cell>
          <cell r="D576" t="str">
            <v>Sem responsável</v>
          </cell>
          <cell r="E576" t="str">
            <v>Agnaldo Jose de Freitas Caetano</v>
          </cell>
          <cell r="F576" t="str">
            <v>Registrado</v>
          </cell>
          <cell r="G576">
            <v>42418.445833333331</v>
          </cell>
          <cell r="I576" t="str">
            <v xml:space="preserve">Contax </v>
          </cell>
          <cell r="J576" t="str">
            <v xml:space="preserve"> Ger Pré</v>
          </cell>
        </row>
        <row r="577">
          <cell r="B577" t="str">
            <v>CTXSPOAP407-15391</v>
          </cell>
          <cell r="C577" t="str">
            <v>RFP AMÉRICA MÓVEL - E2E</v>
          </cell>
          <cell r="D577" t="str">
            <v>Sem responsável</v>
          </cell>
          <cell r="E577" t="str">
            <v>Adilson Pires Cerveira Junior</v>
          </cell>
          <cell r="F577" t="str">
            <v>Registrado</v>
          </cell>
          <cell r="G577">
            <v>42419.661111111112</v>
          </cell>
          <cell r="I577" t="str">
            <v xml:space="preserve">Contax </v>
          </cell>
          <cell r="J577" t="str">
            <v xml:space="preserve"> Ger Pré</v>
          </cell>
        </row>
        <row r="578">
          <cell r="B578" t="str">
            <v>CTXSPOAP407-7761</v>
          </cell>
          <cell r="C578" t="str">
            <v>Projeto - Projeto - Instalação de 2 E1's - Ticket</v>
          </cell>
          <cell r="D578" t="str">
            <v>Sem responsável</v>
          </cell>
          <cell r="E578" t="str">
            <v>Fabiane Evangelista Cavalcante</v>
          </cell>
          <cell r="F578" t="str">
            <v>Reaberto</v>
          </cell>
          <cell r="G578">
            <v>41957.731944444444</v>
          </cell>
          <cell r="I578" t="str">
            <v xml:space="preserve">Contax </v>
          </cell>
          <cell r="J578" t="str">
            <v xml:space="preserve"> Dir. Clientes Especiais</v>
          </cell>
        </row>
        <row r="579">
          <cell r="B579" t="str">
            <v>CTXSPOAP407-9433</v>
          </cell>
          <cell r="C579" t="str">
            <v>Projeto - Projeto</v>
          </cell>
          <cell r="D579" t="str">
            <v>Sem responsável</v>
          </cell>
          <cell r="E579" t="str">
            <v>Lucas Francisco de Oliveira</v>
          </cell>
          <cell r="F579" t="str">
            <v>Reaberto</v>
          </cell>
          <cell r="G579">
            <v>42087.76458333333</v>
          </cell>
          <cell r="I579" t="str">
            <v xml:space="preserve">Contax </v>
          </cell>
          <cell r="J579" t="str">
            <v xml:space="preserve"> Ger Segurança Patrimonial</v>
          </cell>
        </row>
        <row r="580">
          <cell r="B580" t="str">
            <v>CTXSPOAP407-9908</v>
          </cell>
          <cell r="C580" t="str">
            <v>Projeto - Projeto - Colocation de URA DNK_Ticket</v>
          </cell>
          <cell r="D580" t="str">
            <v>Dalton Bondesan</v>
          </cell>
          <cell r="E580" t="str">
            <v>Fabiane Evangelista Cavalcante</v>
          </cell>
          <cell r="F580" t="str">
            <v>Aberto</v>
          </cell>
          <cell r="G580">
            <v>42121.693749999999</v>
          </cell>
          <cell r="I580" t="str">
            <v xml:space="preserve">Contax </v>
          </cell>
          <cell r="J580" t="str">
            <v xml:space="preserve"> Dir. Clientes Especiais</v>
          </cell>
        </row>
        <row r="581">
          <cell r="B581" t="str">
            <v>CTXSPOAS-4228</v>
          </cell>
          <cell r="C581" t="str">
            <v>Projeto - Projeto</v>
          </cell>
          <cell r="D581" t="str">
            <v>Sem responsável</v>
          </cell>
          <cell r="E581" t="str">
            <v>DANIELLE BOAVENTURA FREIRE BELEM</v>
          </cell>
          <cell r="F581" t="str">
            <v>Reaberto</v>
          </cell>
          <cell r="G581">
            <v>42136.745138888888</v>
          </cell>
          <cell r="I581" t="str">
            <v xml:space="preserve">Contax </v>
          </cell>
          <cell r="J581" t="str">
            <v xml:space="preserve"> Auditoria</v>
          </cell>
        </row>
        <row r="582">
          <cell r="B582" t="str">
            <v>CTXSPOAS-4345</v>
          </cell>
          <cell r="C582" t="str">
            <v>Criação SFTP de compartilhamento de Materiais</v>
          </cell>
          <cell r="D582" t="str">
            <v>Bruno Guerra Ferreira</v>
          </cell>
          <cell r="E582" t="str">
            <v>Daniela de Freitas Pereira</v>
          </cell>
          <cell r="F582" t="str">
            <v>Registrado</v>
          </cell>
          <cell r="G582">
            <v>42220.668749999997</v>
          </cell>
          <cell r="I582" t="str">
            <v xml:space="preserve">Contax </v>
          </cell>
          <cell r="J582" t="str">
            <v xml:space="preserve"> RH</v>
          </cell>
        </row>
        <row r="583">
          <cell r="B583" t="str">
            <v>CTXSPOAS-4365</v>
          </cell>
          <cell r="C583" t="str">
            <v>Projeto - Teteton - AACD</v>
          </cell>
          <cell r="D583" t="str">
            <v>Cleverson Inhota Nunes</v>
          </cell>
          <cell r="E583" t="str">
            <v>Joice Pereira De Souza</v>
          </cell>
          <cell r="F583" t="str">
            <v>Registrado</v>
          </cell>
          <cell r="G583">
            <v>42226.741666666669</v>
          </cell>
          <cell r="I583" t="str">
            <v xml:space="preserve">Contax </v>
          </cell>
          <cell r="J583" t="str">
            <v xml:space="preserve"> Outro</v>
          </cell>
        </row>
        <row r="584">
          <cell r="B584" t="str">
            <v>CTXSPOAS-4623</v>
          </cell>
          <cell r="C584" t="str">
            <v>Projeto - Inclusão de Serviço de Roteamento de Chamadas no Novo LAB (NGR)</v>
          </cell>
          <cell r="D584" t="str">
            <v>Bruno Guerra Ferreira</v>
          </cell>
          <cell r="E584" t="str">
            <v>Olins Jacques dos Santos</v>
          </cell>
          <cell r="F584" t="str">
            <v>Aberto</v>
          </cell>
          <cell r="G584">
            <v>42275.520138888889</v>
          </cell>
          <cell r="I584" t="str">
            <v xml:space="preserve">Contax </v>
          </cell>
          <cell r="J584" t="str">
            <v xml:space="preserve"> Ger Soluções</v>
          </cell>
        </row>
        <row r="585">
          <cell r="B585" t="str">
            <v>CTXSPOAS-4642</v>
          </cell>
          <cell r="C585" t="str">
            <v>Adequação do tProcess - Criação de fluxo de atendimento e controle de projetos</v>
          </cell>
          <cell r="D585" t="str">
            <v>Joice Pereira De Souza</v>
          </cell>
          <cell r="E585" t="str">
            <v>Alexandre Batista dos Anjos</v>
          </cell>
          <cell r="F585" t="str">
            <v>Fechado</v>
          </cell>
          <cell r="G585">
            <v>42277.445138888892</v>
          </cell>
          <cell r="H585">
            <v>42416.479861111111</v>
          </cell>
          <cell r="I585" t="str">
            <v xml:space="preserve">Contax </v>
          </cell>
          <cell r="J585" t="str">
            <v xml:space="preserve"> Ger Sistemas Corporativos</v>
          </cell>
        </row>
        <row r="586">
          <cell r="B586" t="str">
            <v>CTXSPOAS-5212</v>
          </cell>
          <cell r="C586" t="str">
            <v>CRIAÇÃO DE UM BD PARA PROJETO DE INTEGRAÇÃO DA URA PAP</v>
          </cell>
          <cell r="D586" t="str">
            <v>Danilo Rodrigues de Jesus</v>
          </cell>
          <cell r="E586" t="str">
            <v>Danilo Rodrigues de Jesus</v>
          </cell>
          <cell r="F586" t="str">
            <v>Fechado</v>
          </cell>
          <cell r="G586">
            <v>42356.62222222222</v>
          </cell>
          <cell r="H586">
            <v>42360.646527777775</v>
          </cell>
          <cell r="I586" t="str">
            <v xml:space="preserve">Oi </v>
          </cell>
          <cell r="J586" t="str">
            <v xml:space="preserve"> Outras Atividades</v>
          </cell>
        </row>
        <row r="587">
          <cell r="B587" t="str">
            <v>CTXSPOBF-100889</v>
          </cell>
          <cell r="C587" t="str">
            <v>Projeto - Front End Ayty Cross Sell Citibank</v>
          </cell>
          <cell r="D587" t="str">
            <v>Bruno Guerra Ferreira</v>
          </cell>
          <cell r="E587" t="str">
            <v>Priscila Roberta dos S. Freitas</v>
          </cell>
          <cell r="F587" t="str">
            <v>Aberto</v>
          </cell>
          <cell r="G587">
            <v>41866.427777777775</v>
          </cell>
          <cell r="I587" t="str">
            <v xml:space="preserve">Citibank </v>
          </cell>
          <cell r="J587" t="str">
            <v xml:space="preserve"> Cross Sell</v>
          </cell>
        </row>
        <row r="588">
          <cell r="B588" t="str">
            <v>CTXSPOBF-112688</v>
          </cell>
          <cell r="C588" t="str">
            <v>Projeto - Projeto - Migração Bradesco (Site Lapa x Antartica)</v>
          </cell>
          <cell r="D588" t="str">
            <v>Fabiane Evangelista Cavalcante</v>
          </cell>
          <cell r="E588" t="str">
            <v>Fabiane Evangelista Cavalcante</v>
          </cell>
          <cell r="F588" t="str">
            <v>Fechado</v>
          </cell>
          <cell r="G588">
            <v>42048.682638888888</v>
          </cell>
          <cell r="H588">
            <v>42384.665972222225</v>
          </cell>
          <cell r="I588" t="str">
            <v xml:space="preserve">Contax </v>
          </cell>
          <cell r="J588" t="str">
            <v xml:space="preserve"> Dir. Clientes Especiais</v>
          </cell>
        </row>
        <row r="589">
          <cell r="B589" t="str">
            <v>CTXSPOBF-114042</v>
          </cell>
          <cell r="C589" t="str">
            <v>Projeto - Projeto - Incluir um Pesquisa no Final da Ligação URA FINAUTO</v>
          </cell>
          <cell r="D589" t="str">
            <v>Bruno Guerra Ferreira</v>
          </cell>
          <cell r="E589" t="str">
            <v>Sergio Franca Souza</v>
          </cell>
          <cell r="F589" t="str">
            <v>Aberto</v>
          </cell>
          <cell r="G589">
            <v>42072.802777777775</v>
          </cell>
          <cell r="I589" t="str">
            <v xml:space="preserve">Contax </v>
          </cell>
          <cell r="J589" t="str">
            <v xml:space="preserve"> Projetos Telecom</v>
          </cell>
        </row>
        <row r="590">
          <cell r="B590" t="str">
            <v>CTXSPOBF-114642</v>
          </cell>
          <cell r="C590" t="str">
            <v>Projeto - Projeto - Pesquisa Final de Atendimento URA - Santander Financiamentos</v>
          </cell>
          <cell r="D590" t="str">
            <v>Bruno Guerra Ferreira</v>
          </cell>
          <cell r="E590" t="str">
            <v>Sergio Franca Souza</v>
          </cell>
          <cell r="F590" t="str">
            <v>Aberto</v>
          </cell>
          <cell r="G590">
            <v>42080.756249999999</v>
          </cell>
          <cell r="I590" t="str">
            <v xml:space="preserve">Contax </v>
          </cell>
          <cell r="J590" t="str">
            <v xml:space="preserve"> Projetos Telecom</v>
          </cell>
        </row>
        <row r="591">
          <cell r="B591" t="str">
            <v>CTXSPOBF-114650</v>
          </cell>
          <cell r="C591" t="str">
            <v>Projeto - Projeto - Vocalização de CPF para Identificação do Cliente - Santander Financiamentos</v>
          </cell>
          <cell r="D591" t="str">
            <v>Bruno Guerra Ferreira</v>
          </cell>
          <cell r="E591" t="str">
            <v>Sergio Franca Souza</v>
          </cell>
          <cell r="F591" t="str">
            <v>Aberto</v>
          </cell>
          <cell r="G591">
            <v>42080.780555555553</v>
          </cell>
          <cell r="I591" t="str">
            <v xml:space="preserve">Contax </v>
          </cell>
          <cell r="J591" t="str">
            <v xml:space="preserve"> Projetos Telecom</v>
          </cell>
        </row>
        <row r="592">
          <cell r="B592" t="str">
            <v>CTXSPOBF-115489</v>
          </cell>
          <cell r="C592" t="str">
            <v>Projeto - Projeto - Excluir Opção 5 Web Motors - Santander Financiamentos</v>
          </cell>
          <cell r="D592" t="str">
            <v>Bruno Guerra Ferreira</v>
          </cell>
          <cell r="E592" t="str">
            <v>Sergio Franca Souza</v>
          </cell>
          <cell r="F592" t="str">
            <v>Aberto</v>
          </cell>
          <cell r="G592">
            <v>42093.758333333331</v>
          </cell>
          <cell r="I592" t="str">
            <v xml:space="preserve">Contax </v>
          </cell>
          <cell r="J592" t="str">
            <v xml:space="preserve"> Projetos Telecom</v>
          </cell>
        </row>
        <row r="593">
          <cell r="B593" t="str">
            <v>CTXSPOBF-115988</v>
          </cell>
          <cell r="C593" t="str">
            <v>Projeto - Projeto - SMS SANTANDER - ENVIO DA LINHA DIGITÁVEL (OPÇÃO NA URA A SER IMPLEMENTADA)</v>
          </cell>
          <cell r="D593" t="str">
            <v>Bruno Guerra Ferreira</v>
          </cell>
          <cell r="E593" t="str">
            <v>Sergio Franca Souza</v>
          </cell>
          <cell r="F593" t="str">
            <v>Aberto</v>
          </cell>
          <cell r="G593">
            <v>42102.748611111114</v>
          </cell>
          <cell r="I593" t="str">
            <v xml:space="preserve">Contax </v>
          </cell>
          <cell r="J593" t="str">
            <v xml:space="preserve"> Ger Planejamento Outbound</v>
          </cell>
        </row>
        <row r="594">
          <cell r="B594" t="str">
            <v>CTXSPOBF-116380</v>
          </cell>
          <cell r="C594" t="str">
            <v>Projeto - Implantação das Ilhas</v>
          </cell>
          <cell r="D594" t="str">
            <v>BRUNO DIEGO ANTUNES RIBEIRO</v>
          </cell>
          <cell r="E594" t="str">
            <v>Joice Pereira De Souza</v>
          </cell>
          <cell r="F594" t="str">
            <v>Aberto</v>
          </cell>
          <cell r="G594">
            <v>42109.611111111109</v>
          </cell>
          <cell r="I594" t="str">
            <v xml:space="preserve">Vivo </v>
          </cell>
          <cell r="J594" t="str">
            <v xml:space="preserve"> Vivo</v>
          </cell>
        </row>
        <row r="595">
          <cell r="B595" t="str">
            <v>CTXSPOBF-116397</v>
          </cell>
          <cell r="C595" t="str">
            <v>Projeto - Projeto</v>
          </cell>
          <cell r="D595" t="str">
            <v>JONAS SANTOS DO AMOR DIVINO</v>
          </cell>
          <cell r="E595" t="str">
            <v>JONAS SANTOS DO AMOR DIVINO</v>
          </cell>
          <cell r="F595" t="str">
            <v>Fechado</v>
          </cell>
          <cell r="G595">
            <v>42109.753472222219</v>
          </cell>
          <cell r="H595">
            <v>42384.665277777778</v>
          </cell>
          <cell r="I595" t="str">
            <v xml:space="preserve">Contax </v>
          </cell>
          <cell r="J595" t="str">
            <v xml:space="preserve"> Outro</v>
          </cell>
        </row>
        <row r="596">
          <cell r="B596" t="str">
            <v>CTXSPOBF-117894</v>
          </cell>
          <cell r="C596" t="str">
            <v>Projeto - Projeto - Desmobilização Paulista 07</v>
          </cell>
          <cell r="D596" t="str">
            <v>BRUNO DIEGO ANTUNES RIBEIRO</v>
          </cell>
          <cell r="E596" t="str">
            <v>Cleonice de Andrade Oliveira Ferreira</v>
          </cell>
          <cell r="F596" t="str">
            <v>Aberto</v>
          </cell>
          <cell r="G596">
            <v>42135.765277777777</v>
          </cell>
          <cell r="I596" t="str">
            <v xml:space="preserve">Contax </v>
          </cell>
          <cell r="J596" t="str">
            <v xml:space="preserve"> Ger Governança de TI</v>
          </cell>
        </row>
        <row r="597">
          <cell r="B597" t="str">
            <v>CTXSPOBF-119509</v>
          </cell>
          <cell r="C597" t="str">
            <v>Projeto - Projeto - Conectar equipamento de ponto Ticket infra</v>
          </cell>
          <cell r="D597" t="str">
            <v>Sem responsável</v>
          </cell>
          <cell r="E597" t="str">
            <v>Fabiane Evangelista Cavalcante</v>
          </cell>
          <cell r="F597" t="str">
            <v>Reaberto</v>
          </cell>
          <cell r="G597">
            <v>42163.645833333336</v>
          </cell>
          <cell r="I597" t="str">
            <v xml:space="preserve">Contax </v>
          </cell>
          <cell r="J597" t="str">
            <v xml:space="preserve"> Dir. Clientes Especiais</v>
          </cell>
        </row>
        <row r="598">
          <cell r="B598" t="str">
            <v>CTXSPOBF-119863</v>
          </cell>
          <cell r="C598" t="str">
            <v>Melhoria Relatório Screen Pop</v>
          </cell>
          <cell r="D598" t="str">
            <v>Bruno Guerra Ferreira</v>
          </cell>
          <cell r="E598" t="str">
            <v>Fabio Pereira da Nobrega</v>
          </cell>
          <cell r="F598" t="str">
            <v>Aberto</v>
          </cell>
          <cell r="G598">
            <v>42167.658333333333</v>
          </cell>
          <cell r="I598" t="str">
            <v xml:space="preserve">Santander </v>
          </cell>
          <cell r="J598" t="str">
            <v xml:space="preserve"> Santander</v>
          </cell>
        </row>
        <row r="599">
          <cell r="B599" t="str">
            <v>CTXSPOBF-120102</v>
          </cell>
          <cell r="C599" t="str">
            <v>Projeto - Projeto - Instalação de Fax - VIVO</v>
          </cell>
          <cell r="D599" t="str">
            <v>Sem responsável</v>
          </cell>
          <cell r="E599" t="str">
            <v>Vania de Moraes Colella</v>
          </cell>
          <cell r="F599" t="str">
            <v>Reaberto</v>
          </cell>
          <cell r="G599">
            <v>42171.699305555558</v>
          </cell>
          <cell r="I599" t="str">
            <v xml:space="preserve">Vivo </v>
          </cell>
          <cell r="J599" t="str">
            <v xml:space="preserve"> Vivo</v>
          </cell>
        </row>
        <row r="600">
          <cell r="B600" t="str">
            <v>CTXSPOBF-121132</v>
          </cell>
          <cell r="C600" t="str">
            <v>Projeto - Projeto</v>
          </cell>
          <cell r="D600" t="str">
            <v>Bruno Guerra Ferreira</v>
          </cell>
          <cell r="E600" t="str">
            <v>Elaine Aparecida de Lima Luzio</v>
          </cell>
          <cell r="F600" t="str">
            <v>Pendência Externa</v>
          </cell>
          <cell r="G600">
            <v>42186.584722222222</v>
          </cell>
          <cell r="I600" t="str">
            <v xml:space="preserve">Vivo </v>
          </cell>
          <cell r="J600" t="str">
            <v xml:space="preserve"> Vivo</v>
          </cell>
        </row>
        <row r="601">
          <cell r="B601" t="str">
            <v>CTXSPOBF-121133</v>
          </cell>
          <cell r="C601" t="str">
            <v>Projeto - Projeto</v>
          </cell>
          <cell r="D601" t="str">
            <v>Bruno Guerra Ferreira</v>
          </cell>
          <cell r="E601" t="str">
            <v>Elaine Aparecida de Lima Luzio</v>
          </cell>
          <cell r="F601" t="str">
            <v>Aberto</v>
          </cell>
          <cell r="G601">
            <v>42186.588194444441</v>
          </cell>
          <cell r="I601" t="str">
            <v xml:space="preserve">Vivo </v>
          </cell>
          <cell r="J601" t="str">
            <v xml:space="preserve"> Vivo</v>
          </cell>
        </row>
        <row r="602">
          <cell r="B602" t="str">
            <v>CTXSPOBF-121148</v>
          </cell>
          <cell r="C602" t="str">
            <v>Projeto - Projeto - Implantar ferramenta RTI - Ticket B2B</v>
          </cell>
          <cell r="D602" t="str">
            <v>Bruno Guerra Ferreira</v>
          </cell>
          <cell r="E602" t="str">
            <v>Fabiane Evangelista Cavalcante</v>
          </cell>
          <cell r="F602" t="str">
            <v>Aberto</v>
          </cell>
          <cell r="G602">
            <v>42186.645833333336</v>
          </cell>
          <cell r="I602" t="str">
            <v xml:space="preserve">Contax </v>
          </cell>
          <cell r="J602" t="str">
            <v xml:space="preserve"> Dir. Clientes Especiais</v>
          </cell>
        </row>
        <row r="603">
          <cell r="B603" t="str">
            <v>CTXSPOBF-121472</v>
          </cell>
          <cell r="C603" t="str">
            <v>Projeto - Amplicação de circuito de voz de 30 para 60 canais</v>
          </cell>
          <cell r="D603" t="str">
            <v>Expedito Sousa de Almeida</v>
          </cell>
          <cell r="E603" t="str">
            <v>Rogerio Luiz da Silva</v>
          </cell>
          <cell r="F603" t="str">
            <v>Registrado</v>
          </cell>
          <cell r="G603">
            <v>42192.495833333334</v>
          </cell>
          <cell r="I603" t="str">
            <v xml:space="preserve">Banco Toyota </v>
          </cell>
          <cell r="J603" t="str">
            <v xml:space="preserve"> Suporte ao Cliente</v>
          </cell>
        </row>
        <row r="604">
          <cell r="B604" t="str">
            <v>CTXSPOBF-121810</v>
          </cell>
          <cell r="C604" t="str">
            <v>Projeto - Projeto - Troca de máquinas operação Ticket</v>
          </cell>
          <cell r="D604" t="str">
            <v>Mauricio Guiel Marques</v>
          </cell>
          <cell r="E604" t="str">
            <v>Fabiane Evangelista Cavalcante</v>
          </cell>
          <cell r="F604" t="str">
            <v>Registrado</v>
          </cell>
          <cell r="G604">
            <v>42198.768750000003</v>
          </cell>
          <cell r="I604" t="str">
            <v xml:space="preserve">Contax </v>
          </cell>
          <cell r="J604" t="str">
            <v xml:space="preserve"> Dir. Clientes Especiais</v>
          </cell>
        </row>
        <row r="605">
          <cell r="B605" t="str">
            <v>CTXSPOBF-122472</v>
          </cell>
          <cell r="C605" t="str">
            <v>TLS, Transport Layer Security : Email Blocking Notification from the Content Monitoring Program</v>
          </cell>
          <cell r="D605" t="str">
            <v>Bruno Guerra Ferreira</v>
          </cell>
          <cell r="E605" t="str">
            <v>Marco Aurelio Brandao Duarte</v>
          </cell>
          <cell r="F605" t="str">
            <v>Registrado</v>
          </cell>
          <cell r="G605">
            <v>42208.63958333333</v>
          </cell>
          <cell r="I605" t="str">
            <v xml:space="preserve">Citibank </v>
          </cell>
          <cell r="J605" t="str">
            <v xml:space="preserve"> SAC Citibank</v>
          </cell>
        </row>
        <row r="606">
          <cell r="B606" t="str">
            <v>CTXSPOBF-123499</v>
          </cell>
          <cell r="C606" t="str">
            <v>Projeto - Configurar infraestrutura de DAC Contax para integração do SACL (automatização de protocolo)</v>
          </cell>
          <cell r="D606" t="str">
            <v>Bruno Guerra Ferreira</v>
          </cell>
          <cell r="E606" t="str">
            <v>Rogerio Luiz da Silva</v>
          </cell>
          <cell r="F606" t="str">
            <v>Registrado</v>
          </cell>
          <cell r="G606">
            <v>42226.500694444447</v>
          </cell>
          <cell r="I606" t="str">
            <v xml:space="preserve">Bradesco </v>
          </cell>
          <cell r="J606" t="str">
            <v xml:space="preserve"> Outros Assuntos</v>
          </cell>
        </row>
        <row r="607">
          <cell r="B607" t="str">
            <v>CTXSPOBF-123720</v>
          </cell>
          <cell r="C607" t="str">
            <v>Troca de Máquinas Grupo Gestão de Acessos</v>
          </cell>
          <cell r="D607" t="str">
            <v>Bruno Guerra Ferreira</v>
          </cell>
          <cell r="E607" t="str">
            <v>Vania de Moraes Colella</v>
          </cell>
          <cell r="F607" t="str">
            <v>Aberto</v>
          </cell>
          <cell r="G607">
            <v>42228.754861111112</v>
          </cell>
          <cell r="I607" t="str">
            <v xml:space="preserve">Vivo </v>
          </cell>
          <cell r="J607" t="str">
            <v xml:space="preserve"> Vivo</v>
          </cell>
        </row>
        <row r="608">
          <cell r="B608" t="str">
            <v>CTXSPOBF-124602</v>
          </cell>
          <cell r="C608" t="str">
            <v>Projeto - Projeto - Discador para Ciclo de Vida e Finauto</v>
          </cell>
          <cell r="D608" t="str">
            <v>Paulo Roberto da Costa Cavalcante</v>
          </cell>
          <cell r="E608" t="str">
            <v>Luciana da Silva Cardoso</v>
          </cell>
          <cell r="F608" t="str">
            <v>Aberto</v>
          </cell>
          <cell r="G608">
            <v>42247.609722222223</v>
          </cell>
          <cell r="I608" t="str">
            <v xml:space="preserve">Santander </v>
          </cell>
          <cell r="J608" t="str">
            <v xml:space="preserve"> Santander</v>
          </cell>
        </row>
        <row r="609">
          <cell r="B609" t="str">
            <v>CTXSPOBF-125012</v>
          </cell>
          <cell r="C609" t="str">
            <v>Projeto - Alterar Papel de Parede de E-mail Customizado</v>
          </cell>
          <cell r="D609" t="str">
            <v>Bruno Guerra Ferreira</v>
          </cell>
          <cell r="E609" t="str">
            <v>Carlos Batista Alves</v>
          </cell>
          <cell r="F609" t="str">
            <v>Aberto</v>
          </cell>
          <cell r="G609">
            <v>42255.522222222222</v>
          </cell>
          <cell r="I609" t="str">
            <v xml:space="preserve">Serasa </v>
          </cell>
          <cell r="J609" t="str">
            <v xml:space="preserve"> Célula Inadimplência</v>
          </cell>
        </row>
        <row r="610">
          <cell r="B610" t="str">
            <v>CTXSPOBF-125417</v>
          </cell>
          <cell r="C610" t="str">
            <v>Projeto - Alterar o valor NÃO IDENTIFICADO para um texto genérico no Screen Pop</v>
          </cell>
          <cell r="D610" t="str">
            <v>Bruno Guerra Ferreira</v>
          </cell>
          <cell r="E610" t="str">
            <v>George Silva Dimitrov</v>
          </cell>
          <cell r="F610" t="str">
            <v>Pendência Externa</v>
          </cell>
          <cell r="G610">
            <v>42261.665972222225</v>
          </cell>
          <cell r="I610" t="str">
            <v xml:space="preserve">Santander </v>
          </cell>
          <cell r="J610" t="str">
            <v xml:space="preserve"> Atendimento Empresarial</v>
          </cell>
        </row>
        <row r="611">
          <cell r="B611" t="str">
            <v>CTXSPOBF-125608</v>
          </cell>
          <cell r="C611" t="str">
            <v>Projeto Proposta Chat Online RCI</v>
          </cell>
          <cell r="D611" t="str">
            <v>Bruno Guerra Ferreira</v>
          </cell>
          <cell r="E611" t="str">
            <v>George Silva Dimitrov</v>
          </cell>
          <cell r="F611" t="str">
            <v>Pendência Externa</v>
          </cell>
          <cell r="G611">
            <v>42264.432638888888</v>
          </cell>
          <cell r="I611" t="str">
            <v xml:space="preserve">Santander </v>
          </cell>
          <cell r="J611" t="str">
            <v xml:space="preserve"> Atendimento Empresarial</v>
          </cell>
        </row>
        <row r="612">
          <cell r="B612" t="str">
            <v>CTXSPOBF-125921</v>
          </cell>
          <cell r="C612" t="str">
            <v>Projeto - Instalação do Tsupervisor na Operação Santander nos Sites Antártica e Mackenzie</v>
          </cell>
          <cell r="D612" t="str">
            <v>Bruno Guerra Ferreira</v>
          </cell>
          <cell r="E612" t="str">
            <v>George Silva Dimitrov</v>
          </cell>
          <cell r="F612" t="str">
            <v>Aberto</v>
          </cell>
          <cell r="G612">
            <v>42269.446527777778</v>
          </cell>
          <cell r="I612" t="str">
            <v xml:space="preserve">Santander </v>
          </cell>
          <cell r="J612" t="str">
            <v xml:space="preserve"> Santander</v>
          </cell>
        </row>
        <row r="613">
          <cell r="B613" t="str">
            <v>CTXSPOBF-125971</v>
          </cell>
          <cell r="C613" t="str">
            <v>TETRIS VIVO - RETENÇÃO PJ</v>
          </cell>
          <cell r="D613" t="str">
            <v>Vania de Moraes Colella</v>
          </cell>
          <cell r="E613" t="str">
            <v>Vania de Moraes Colella</v>
          </cell>
          <cell r="F613" t="str">
            <v>Fechado</v>
          </cell>
          <cell r="G613">
            <v>42269.701388888891</v>
          </cell>
          <cell r="H613">
            <v>42359.443055555559</v>
          </cell>
          <cell r="I613" t="str">
            <v xml:space="preserve">Vivo </v>
          </cell>
          <cell r="J613" t="str">
            <v xml:space="preserve"> Vivo</v>
          </cell>
        </row>
        <row r="614">
          <cell r="B614" t="str">
            <v>CTXSPOBF-125974</v>
          </cell>
          <cell r="C614" t="str">
            <v>TETRIS VIVO - PROCON 0800 - FIXA</v>
          </cell>
          <cell r="D614" t="str">
            <v>BRUNO DIEGO ANTUNES RIBEIRO</v>
          </cell>
          <cell r="E614" t="str">
            <v>Vania de Moraes Colella</v>
          </cell>
          <cell r="F614" t="str">
            <v>Registrado</v>
          </cell>
          <cell r="G614">
            <v>42269.710416666669</v>
          </cell>
          <cell r="I614" t="str">
            <v xml:space="preserve">Vivo </v>
          </cell>
          <cell r="J614" t="str">
            <v xml:space="preserve"> Vivo</v>
          </cell>
        </row>
        <row r="615">
          <cell r="B615" t="str">
            <v>CTXSPOBF-125979</v>
          </cell>
          <cell r="C615" t="str">
            <v>VIVO TETRIS - PROCON OFF LINE (FIXA )</v>
          </cell>
          <cell r="D615" t="str">
            <v>BRUNO DIEGO ANTUNES RIBEIRO</v>
          </cell>
          <cell r="E615" t="str">
            <v>Vania de Moraes Colella</v>
          </cell>
          <cell r="F615" t="str">
            <v>Registrado</v>
          </cell>
          <cell r="G615">
            <v>42269.736805555556</v>
          </cell>
          <cell r="I615" t="str">
            <v xml:space="preserve">Vivo </v>
          </cell>
          <cell r="J615" t="str">
            <v xml:space="preserve"> Vivo</v>
          </cell>
        </row>
        <row r="616">
          <cell r="B616" t="str">
            <v>CTXSPOBF-125980</v>
          </cell>
          <cell r="C616" t="str">
            <v>VIVO TETRIS - PROCON OFF LINE FIXA</v>
          </cell>
          <cell r="D616" t="str">
            <v>BRUNO DIEGO ANTUNES RIBEIRO</v>
          </cell>
          <cell r="E616" t="str">
            <v>Vania de Moraes Colella</v>
          </cell>
          <cell r="F616" t="str">
            <v>Registrado</v>
          </cell>
          <cell r="G616">
            <v>42269.738194444442</v>
          </cell>
          <cell r="I616" t="str">
            <v xml:space="preserve">Vivo </v>
          </cell>
          <cell r="J616" t="str">
            <v xml:space="preserve"> Vivo</v>
          </cell>
        </row>
        <row r="617">
          <cell r="B617" t="str">
            <v>CTXSPOBF-125983</v>
          </cell>
          <cell r="C617" t="str">
            <v>TETRIS VIVO - FALE CONOSCO FIXA</v>
          </cell>
          <cell r="D617" t="str">
            <v>BRUNO DIEGO ANTUNES RIBEIRO</v>
          </cell>
          <cell r="E617" t="str">
            <v>Vania de Moraes Colella</v>
          </cell>
          <cell r="F617" t="str">
            <v>Registrado</v>
          </cell>
          <cell r="G617">
            <v>42269.743055555555</v>
          </cell>
          <cell r="I617" t="str">
            <v xml:space="preserve">Vivo </v>
          </cell>
          <cell r="J617" t="str">
            <v xml:space="preserve"> Vivo</v>
          </cell>
        </row>
        <row r="618">
          <cell r="B618" t="str">
            <v>CTXSPOBF-125985</v>
          </cell>
          <cell r="C618" t="str">
            <v>TETRIS VIVO - ILHA PORTABILIDADE DE EMAIL BKO</v>
          </cell>
          <cell r="D618" t="str">
            <v>BRUNO DIEGO ANTUNES RIBEIRO</v>
          </cell>
          <cell r="E618" t="str">
            <v>Vania de Moraes Colella</v>
          </cell>
          <cell r="F618" t="str">
            <v>Registrado</v>
          </cell>
          <cell r="G618">
            <v>42269.74722222222</v>
          </cell>
          <cell r="I618" t="str">
            <v xml:space="preserve">Vivo </v>
          </cell>
          <cell r="J618" t="str">
            <v xml:space="preserve"> Vivo</v>
          </cell>
        </row>
        <row r="619">
          <cell r="B619" t="str">
            <v>CTXSPOBF-125990</v>
          </cell>
          <cell r="C619" t="str">
            <v>TETRIS VIVO - PORTABILIDADE ILHA DE EMAIL</v>
          </cell>
          <cell r="D619" t="str">
            <v>BRUNO DIEGO ANTUNES RIBEIRO</v>
          </cell>
          <cell r="E619" t="str">
            <v>Vania de Moraes Colella</v>
          </cell>
          <cell r="F619" t="str">
            <v>Registrado</v>
          </cell>
          <cell r="G619">
            <v>42269.765972222223</v>
          </cell>
          <cell r="I619" t="str">
            <v xml:space="preserve">Vivo </v>
          </cell>
          <cell r="J619" t="str">
            <v xml:space="preserve"> Vivo</v>
          </cell>
        </row>
        <row r="620">
          <cell r="B620" t="str">
            <v>CTXSPOBF-125991</v>
          </cell>
          <cell r="C620" t="str">
            <v>TETRIS VIVO - COMERCIAL GRE ANATEL FIXA</v>
          </cell>
          <cell r="D620" t="str">
            <v>BRUNO DIEGO ANTUNES RIBEIRO</v>
          </cell>
          <cell r="E620" t="str">
            <v>Vania de Moraes Colella</v>
          </cell>
          <cell r="F620" t="str">
            <v>Registrado</v>
          </cell>
          <cell r="G620">
            <v>42269.768750000003</v>
          </cell>
          <cell r="I620" t="str">
            <v xml:space="preserve">Vivo </v>
          </cell>
          <cell r="J620" t="str">
            <v xml:space="preserve"> Vivo</v>
          </cell>
        </row>
        <row r="621">
          <cell r="B621" t="str">
            <v>CTXSPOBF-125992</v>
          </cell>
          <cell r="C621" t="str">
            <v>TETRIS VIVO - GRE ANATEL MOVEL</v>
          </cell>
          <cell r="D621" t="str">
            <v>BRUNO DIEGO ANTUNES RIBEIRO</v>
          </cell>
          <cell r="E621" t="str">
            <v>Vania de Moraes Colella</v>
          </cell>
          <cell r="F621" t="str">
            <v>Registrado</v>
          </cell>
          <cell r="G621">
            <v>42269.772916666669</v>
          </cell>
          <cell r="I621" t="str">
            <v xml:space="preserve">Vivo </v>
          </cell>
          <cell r="J621" t="str">
            <v xml:space="preserve"> Vivo</v>
          </cell>
        </row>
        <row r="622">
          <cell r="B622" t="str">
            <v>CTXSPOBF-126151</v>
          </cell>
          <cell r="C622" t="str">
            <v>Projeto: Implantar Ferramenta RTI - Ticket B2C Usuários</v>
          </cell>
          <cell r="D622" t="str">
            <v>Bruno Guerra Ferreira</v>
          </cell>
          <cell r="E622" t="str">
            <v>Priscila Roberta dos S. Freitas</v>
          </cell>
          <cell r="F622" t="str">
            <v>Aberto</v>
          </cell>
          <cell r="G622">
            <v>42271.493055555555</v>
          </cell>
          <cell r="I622" t="str">
            <v xml:space="preserve">Ticket Serviços S/A </v>
          </cell>
          <cell r="J622" t="str">
            <v xml:space="preserve"> Usuários/Autorizações</v>
          </cell>
        </row>
        <row r="623">
          <cell r="B623" t="str">
            <v>CTXSPOBF-126223</v>
          </cell>
          <cell r="C623" t="str">
            <v>Projeto - Implantar Total View na Operação Interodonto</v>
          </cell>
          <cell r="D623" t="str">
            <v>Bruno Guerra Ferreira</v>
          </cell>
          <cell r="E623" t="str">
            <v>Carlos Batista Alves</v>
          </cell>
          <cell r="F623" t="str">
            <v>Aberto</v>
          </cell>
          <cell r="G623">
            <v>42272.505555555559</v>
          </cell>
          <cell r="I623" t="str">
            <v xml:space="preserve">Contax </v>
          </cell>
          <cell r="J623" t="str">
            <v xml:space="preserve"> Outro</v>
          </cell>
        </row>
        <row r="624">
          <cell r="B624" t="str">
            <v>CTXSPOBF-126235</v>
          </cell>
          <cell r="C624" t="str">
            <v>Migração equipe de Suporte Vivo - De Pta para Antartica</v>
          </cell>
          <cell r="D624" t="str">
            <v>BRUNO DIEGO ANTUNES RIBEIRO</v>
          </cell>
          <cell r="E624" t="str">
            <v>Vania de Moraes Colella</v>
          </cell>
          <cell r="F624" t="str">
            <v>Em Andamento</v>
          </cell>
          <cell r="G624">
            <v>42272.561805555553</v>
          </cell>
          <cell r="I624" t="str">
            <v xml:space="preserve">Vivo </v>
          </cell>
          <cell r="J624" t="str">
            <v xml:space="preserve"> Vivo</v>
          </cell>
        </row>
        <row r="625">
          <cell r="B625" t="str">
            <v>CTXSPOBF-126487</v>
          </cell>
          <cell r="C625" t="str">
            <v>Projeto: Alteração do Arquivo RAW - Operação Serasa Cobrança</v>
          </cell>
          <cell r="D625" t="str">
            <v>Bruno Guerra Ferreira</v>
          </cell>
          <cell r="E625" t="str">
            <v>Priscila Roberta dos S. Freitas</v>
          </cell>
          <cell r="F625" t="str">
            <v>Aberto</v>
          </cell>
          <cell r="G625">
            <v>42277.65</v>
          </cell>
          <cell r="I625" t="str">
            <v xml:space="preserve">Serasa </v>
          </cell>
          <cell r="J625" t="str">
            <v xml:space="preserve"> Célula Inadimplência</v>
          </cell>
        </row>
        <row r="626">
          <cell r="B626" t="str">
            <v>CTXSPOBF-126597</v>
          </cell>
          <cell r="C626" t="str">
            <v>Implantação Basico Comercial Antartica - TETRIS VIVO</v>
          </cell>
          <cell r="D626" t="str">
            <v>Vania de Moraes Colella</v>
          </cell>
          <cell r="E626" t="str">
            <v>Vania de Moraes Colella</v>
          </cell>
          <cell r="F626" t="str">
            <v>Fechado</v>
          </cell>
          <cell r="G626">
            <v>42278.859027777777</v>
          </cell>
          <cell r="H626">
            <v>42361.432638888888</v>
          </cell>
          <cell r="I626" t="str">
            <v xml:space="preserve">Vivo </v>
          </cell>
          <cell r="J626" t="str">
            <v xml:space="preserve"> Vivo</v>
          </cell>
        </row>
        <row r="627">
          <cell r="B627" t="str">
            <v>CTXSPOBF-128300</v>
          </cell>
          <cell r="C627" t="str">
            <v>DESMOBILIZAÇÃO DE PARTE DA OPERAÇÃO CITIBANK NO SITE ANTÁRTICA</v>
          </cell>
          <cell r="D627" t="str">
            <v>Bruno Guerra Ferreira</v>
          </cell>
          <cell r="E627" t="str">
            <v>Marco Aurelio Brandao Duarte</v>
          </cell>
          <cell r="F627" t="str">
            <v>Registrado</v>
          </cell>
          <cell r="G627">
            <v>42305.435416666667</v>
          </cell>
          <cell r="I627" t="str">
            <v xml:space="preserve">Citibank </v>
          </cell>
          <cell r="J627" t="str">
            <v xml:space="preserve"> SAC Citibank</v>
          </cell>
        </row>
        <row r="628">
          <cell r="B628" t="str">
            <v>CTXSPOBF-128396</v>
          </cell>
          <cell r="C628" t="str">
            <v>Projeto - Geração de boletagem massiva pela front end da SKY.</v>
          </cell>
          <cell r="D628" t="str">
            <v>Expedito Sousa de Almeida</v>
          </cell>
          <cell r="E628" t="str">
            <v>George Silva Dimitrov</v>
          </cell>
          <cell r="F628" t="str">
            <v>Fechado</v>
          </cell>
          <cell r="G628">
            <v>42306.353472222225</v>
          </cell>
          <cell r="H628">
            <v>42356.70416666667</v>
          </cell>
          <cell r="I628" t="str">
            <v xml:space="preserve">Credsystem </v>
          </cell>
          <cell r="J628" t="str">
            <v xml:space="preserve"> Cobrança de 05 a 90</v>
          </cell>
        </row>
        <row r="629">
          <cell r="B629" t="str">
            <v>CTXSPOBF-128684</v>
          </cell>
          <cell r="C629" t="str">
            <v>Migração POP 3 - GRE_FALE_CONOSCO - LAPA vs. ANTÁRTICA</v>
          </cell>
          <cell r="D629" t="str">
            <v>Vania de Moraes Colella</v>
          </cell>
          <cell r="E629" t="str">
            <v>Vania de Moraes Colella</v>
          </cell>
          <cell r="F629" t="str">
            <v>Fechado</v>
          </cell>
          <cell r="G629">
            <v>42311.508333333331</v>
          </cell>
          <cell r="H629">
            <v>42388.680555555555</v>
          </cell>
          <cell r="I629" t="str">
            <v xml:space="preserve">Vivo </v>
          </cell>
          <cell r="J629" t="str">
            <v xml:space="preserve"> Vivo</v>
          </cell>
        </row>
        <row r="630">
          <cell r="B630" t="str">
            <v>CTXSPOBF-128685</v>
          </cell>
          <cell r="C630" t="str">
            <v>Migração POP 3 - RETENCAO_PJ - LAPA vs. ANTÁRTICA</v>
          </cell>
          <cell r="D630" t="str">
            <v>Vania de Moraes Colella</v>
          </cell>
          <cell r="E630" t="str">
            <v>Vania de Moraes Colella</v>
          </cell>
          <cell r="F630" t="str">
            <v>Fechado</v>
          </cell>
          <cell r="G630">
            <v>42311.518055555556</v>
          </cell>
          <cell r="H630">
            <v>42388.681250000001</v>
          </cell>
          <cell r="I630" t="str">
            <v xml:space="preserve">Vivo </v>
          </cell>
          <cell r="J630" t="str">
            <v xml:space="preserve"> Vivo</v>
          </cell>
        </row>
        <row r="631">
          <cell r="B631" t="str">
            <v>CTXSPOBF-128686</v>
          </cell>
          <cell r="C631" t="str">
            <v>Migração POP 3 - GT_REGISTRO_APARELHOS - LAPA vs. ANTÁRTICA</v>
          </cell>
          <cell r="D631" t="str">
            <v>Vania de Moraes Colella</v>
          </cell>
          <cell r="E631" t="str">
            <v>Vania de Moraes Colella</v>
          </cell>
          <cell r="F631" t="str">
            <v>Fechado</v>
          </cell>
          <cell r="G631">
            <v>42311.526388888888</v>
          </cell>
          <cell r="H631">
            <v>42359.64166666667</v>
          </cell>
          <cell r="I631" t="str">
            <v xml:space="preserve">Vivo </v>
          </cell>
          <cell r="J631" t="str">
            <v xml:space="preserve"> Vivo</v>
          </cell>
        </row>
        <row r="632">
          <cell r="B632" t="str">
            <v>CTXSPOBF-128688</v>
          </cell>
          <cell r="C632" t="str">
            <v>Migração POP 3 - VPR - LAPA vs. ANTÁRTICA</v>
          </cell>
          <cell r="D632" t="str">
            <v>Vania de Moraes Colella</v>
          </cell>
          <cell r="E632" t="str">
            <v>Vania de Moraes Colella</v>
          </cell>
          <cell r="F632" t="str">
            <v>Fechado</v>
          </cell>
          <cell r="G632">
            <v>42311.532638888886</v>
          </cell>
          <cell r="H632">
            <v>42388.681944444441</v>
          </cell>
          <cell r="I632" t="str">
            <v xml:space="preserve">Vivo </v>
          </cell>
          <cell r="J632" t="str">
            <v xml:space="preserve"> Vivo</v>
          </cell>
        </row>
        <row r="633">
          <cell r="B633" t="str">
            <v>CTXSPOBF-128690</v>
          </cell>
          <cell r="C633" t="str">
            <v>Migração POP 3 - GT_RURAL_CEL - LAPA vs. ANTÁRTICA</v>
          </cell>
          <cell r="D633" t="str">
            <v>Vania de Moraes Colella</v>
          </cell>
          <cell r="E633" t="str">
            <v>Vania de Moraes Colella</v>
          </cell>
          <cell r="F633" t="str">
            <v>Fechado</v>
          </cell>
          <cell r="G633">
            <v>42311.536805555559</v>
          </cell>
          <cell r="H633">
            <v>42359.642361111109</v>
          </cell>
          <cell r="I633" t="str">
            <v xml:space="preserve">Vivo </v>
          </cell>
          <cell r="J633" t="str">
            <v xml:space="preserve"> Vivo</v>
          </cell>
        </row>
        <row r="634">
          <cell r="B634" t="str">
            <v>CTXSPOBF-128691</v>
          </cell>
          <cell r="C634" t="str">
            <v>Migração POP 3 - ROTEIRO_DINÂMICO - LAPA vs. ANTÁRTICA</v>
          </cell>
          <cell r="D634" t="str">
            <v>Vania de Moraes Colella</v>
          </cell>
          <cell r="E634" t="str">
            <v>Vania de Moraes Colella</v>
          </cell>
          <cell r="F634" t="str">
            <v>Fechado</v>
          </cell>
          <cell r="G634">
            <v>42311.538888888892</v>
          </cell>
          <cell r="H634">
            <v>42359.643750000003</v>
          </cell>
          <cell r="I634" t="str">
            <v xml:space="preserve">Vivo </v>
          </cell>
          <cell r="J634" t="str">
            <v xml:space="preserve"> Vivo</v>
          </cell>
        </row>
        <row r="635">
          <cell r="B635" t="str">
            <v>CTXSPOBF-128692</v>
          </cell>
          <cell r="C635" t="str">
            <v>Migração POP 3 - COMUNICACAO_TREINAMENTO - LAPA vs. ANTÁRTICA</v>
          </cell>
          <cell r="D635" t="str">
            <v>Vania de Moraes Colella</v>
          </cell>
          <cell r="E635" t="str">
            <v>Vania de Moraes Colella</v>
          </cell>
          <cell r="F635" t="str">
            <v>Fechado</v>
          </cell>
          <cell r="G635">
            <v>42311.543055555558</v>
          </cell>
          <cell r="H635">
            <v>42388.681944444441</v>
          </cell>
          <cell r="I635" t="str">
            <v xml:space="preserve">Vivo </v>
          </cell>
          <cell r="J635" t="str">
            <v xml:space="preserve"> Vivo</v>
          </cell>
        </row>
        <row r="636">
          <cell r="B636" t="str">
            <v>CTXSPOBF-128701</v>
          </cell>
          <cell r="C636" t="str">
            <v>Migração POP 3 - ILHA_DIAGNOSTICO - LAPA vs. ANTÁRTICA</v>
          </cell>
          <cell r="D636" t="str">
            <v>Vania de Moraes Colella</v>
          </cell>
          <cell r="E636" t="str">
            <v>Vania de Moraes Colella</v>
          </cell>
          <cell r="F636" t="str">
            <v>Fechado</v>
          </cell>
          <cell r="G636">
            <v>42311.619444444441</v>
          </cell>
          <cell r="H636">
            <v>42388.681944444441</v>
          </cell>
          <cell r="I636" t="str">
            <v xml:space="preserve">Vivo </v>
          </cell>
          <cell r="J636" t="str">
            <v xml:space="preserve"> Vivo</v>
          </cell>
        </row>
        <row r="637">
          <cell r="B637" t="str">
            <v>CTXSPOBF-128702</v>
          </cell>
          <cell r="C637" t="str">
            <v>Migração POP 3 - GRE_FATURAMENTO - LAPA vs. ANTÁRTICA</v>
          </cell>
          <cell r="D637" t="str">
            <v>Vania de Moraes Colella</v>
          </cell>
          <cell r="E637" t="str">
            <v>Vania de Moraes Colella</v>
          </cell>
          <cell r="F637" t="str">
            <v>Fechado</v>
          </cell>
          <cell r="G637">
            <v>42311.624305555553</v>
          </cell>
          <cell r="H637">
            <v>42388.681944444441</v>
          </cell>
          <cell r="I637" t="str">
            <v xml:space="preserve">Vivo </v>
          </cell>
          <cell r="J637" t="str">
            <v xml:space="preserve"> Vivo</v>
          </cell>
        </row>
        <row r="638">
          <cell r="B638" t="str">
            <v>CTXSPOBF-128711</v>
          </cell>
          <cell r="C638" t="str">
            <v>Migração POP 3 - CORREÇÃO_CADASTRAL_EXECUTORES - LAPA vs. ANTÁRTICA</v>
          </cell>
          <cell r="D638" t="str">
            <v>Vania de Moraes Colella</v>
          </cell>
          <cell r="E638" t="str">
            <v>Vania de Moraes Colella</v>
          </cell>
          <cell r="F638" t="str">
            <v>Fechado</v>
          </cell>
          <cell r="G638">
            <v>42311.71597222222</v>
          </cell>
          <cell r="H638">
            <v>42388.681944444441</v>
          </cell>
          <cell r="I638" t="str">
            <v xml:space="preserve">Vivo </v>
          </cell>
          <cell r="J638" t="str">
            <v xml:space="preserve"> Vivo</v>
          </cell>
        </row>
        <row r="639">
          <cell r="B639" t="str">
            <v>CTXSPOBF-128712</v>
          </cell>
          <cell r="C639" t="str">
            <v>Migração POP 3 - CORREÇÃO_CADASTRAL_ESPECIALISTA - LAPA vs. ANTÁRTICA</v>
          </cell>
          <cell r="D639" t="str">
            <v>Vania de Moraes Colella</v>
          </cell>
          <cell r="E639" t="str">
            <v>Vania de Moraes Colella</v>
          </cell>
          <cell r="F639" t="str">
            <v>Fechado</v>
          </cell>
          <cell r="G639">
            <v>42311.71875</v>
          </cell>
          <cell r="H639">
            <v>42388.682638888888</v>
          </cell>
          <cell r="I639" t="str">
            <v xml:space="preserve">Vivo </v>
          </cell>
          <cell r="J639" t="str">
            <v xml:space="preserve"> Vivo</v>
          </cell>
        </row>
        <row r="640">
          <cell r="B640" t="str">
            <v>CTXSPOBF-128713</v>
          </cell>
          <cell r="C640" t="str">
            <v>Migração POP 3 - CONSULT MANAGER - LAPA vs. ANTÁRTICA</v>
          </cell>
          <cell r="D640" t="str">
            <v>Vania de Moraes Colella</v>
          </cell>
          <cell r="E640" t="str">
            <v>Vania de Moraes Colella</v>
          </cell>
          <cell r="F640" t="str">
            <v>Fechado</v>
          </cell>
          <cell r="G640">
            <v>42311.72152777778</v>
          </cell>
          <cell r="H640">
            <v>42388.682638888888</v>
          </cell>
          <cell r="I640" t="str">
            <v xml:space="preserve">Vivo </v>
          </cell>
          <cell r="J640" t="str">
            <v xml:space="preserve"> Vivo</v>
          </cell>
        </row>
        <row r="641">
          <cell r="B641" t="str">
            <v>CTXSPOBF-128714</v>
          </cell>
          <cell r="C641" t="str">
            <v>Migração POP 3 - AUDITORIA (QUALITY ASSURANCE) - LAPA vs. ANTÁRTICA</v>
          </cell>
          <cell r="D641" t="str">
            <v>Vania de Moraes Colella</v>
          </cell>
          <cell r="E641" t="str">
            <v>Vania de Moraes Colella</v>
          </cell>
          <cell r="F641" t="str">
            <v>Fechado</v>
          </cell>
          <cell r="G641">
            <v>42311.725694444445</v>
          </cell>
          <cell r="H641">
            <v>42388.682638888888</v>
          </cell>
          <cell r="I641" t="str">
            <v xml:space="preserve">Vivo </v>
          </cell>
          <cell r="J641" t="str">
            <v xml:space="preserve"> Vivo</v>
          </cell>
        </row>
        <row r="642">
          <cell r="B642" t="str">
            <v>CTXSPOBF-128715</v>
          </cell>
          <cell r="C642" t="str">
            <v>Migração POP 3 - AUDITORIA (QUALITY ASSURANCE) - LAPA vs. ANTÁRTICA</v>
          </cell>
          <cell r="D642" t="str">
            <v>Vania de Moraes Colella</v>
          </cell>
          <cell r="E642" t="str">
            <v>Vania de Moraes Colella</v>
          </cell>
          <cell r="F642" t="str">
            <v>Fechado</v>
          </cell>
          <cell r="G642">
            <v>42311.727777777778</v>
          </cell>
          <cell r="H642">
            <v>42388.683333333334</v>
          </cell>
          <cell r="I642" t="str">
            <v xml:space="preserve">Vivo </v>
          </cell>
          <cell r="J642" t="str">
            <v xml:space="preserve"> Vivo</v>
          </cell>
        </row>
        <row r="643">
          <cell r="B643" t="str">
            <v>CTXSPOBF-128717</v>
          </cell>
          <cell r="C643" t="str">
            <v>Migração POP 3 - GT_FILTRO - LAPA vs. ANTÁRTICA</v>
          </cell>
          <cell r="D643" t="str">
            <v>Vania de Moraes Colella</v>
          </cell>
          <cell r="E643" t="str">
            <v>Vania de Moraes Colella</v>
          </cell>
          <cell r="F643" t="str">
            <v>Fechado</v>
          </cell>
          <cell r="G643">
            <v>42311.729861111111</v>
          </cell>
          <cell r="H643">
            <v>42388.683333333334</v>
          </cell>
          <cell r="I643" t="str">
            <v xml:space="preserve">Vivo </v>
          </cell>
          <cell r="J643" t="str">
            <v xml:space="preserve"> Vivo</v>
          </cell>
        </row>
        <row r="644">
          <cell r="B644" t="str">
            <v>CTXSPOBF-128718</v>
          </cell>
          <cell r="C644" t="str">
            <v>Migração POP 3 - M2M_VPG - LAPA vs. ANTÁRTICA</v>
          </cell>
          <cell r="D644" t="str">
            <v>Vania de Moraes Colella</v>
          </cell>
          <cell r="E644" t="str">
            <v>Vania de Moraes Colella</v>
          </cell>
          <cell r="F644" t="str">
            <v>Fechado</v>
          </cell>
          <cell r="G644">
            <v>42311.732638888891</v>
          </cell>
          <cell r="H644">
            <v>42388.683333333334</v>
          </cell>
          <cell r="I644" t="str">
            <v xml:space="preserve">Vivo </v>
          </cell>
          <cell r="J644" t="str">
            <v xml:space="preserve"> Vivo</v>
          </cell>
        </row>
        <row r="645">
          <cell r="B645" t="str">
            <v>CTXSPOBF-128719</v>
          </cell>
          <cell r="C645" t="str">
            <v>Migração POP 3 - GOVERNO_VPG - LAPA vs. ANTÁRTICA</v>
          </cell>
          <cell r="D645" t="str">
            <v>Vania de Moraes Colella</v>
          </cell>
          <cell r="E645" t="str">
            <v>Vania de Moraes Colella</v>
          </cell>
          <cell r="F645" t="str">
            <v>Fechado</v>
          </cell>
          <cell r="G645">
            <v>42311.734722222223</v>
          </cell>
          <cell r="H645">
            <v>42388.683333333334</v>
          </cell>
          <cell r="I645" t="str">
            <v xml:space="preserve">Vivo </v>
          </cell>
          <cell r="J645" t="str">
            <v xml:space="preserve"> Vivo</v>
          </cell>
        </row>
        <row r="646">
          <cell r="B646" t="str">
            <v>CTXSPOBF-128720</v>
          </cell>
          <cell r="C646" t="str">
            <v>Migração POP 3 - PROCESSO_CARTEIRA 0 - LAPA vs. ANTÁRTICA</v>
          </cell>
          <cell r="D646" t="str">
            <v>Vania de Moraes Colella</v>
          </cell>
          <cell r="E646" t="str">
            <v>Vania de Moraes Colella</v>
          </cell>
          <cell r="F646" t="str">
            <v>Fechado</v>
          </cell>
          <cell r="G646">
            <v>42311.738194444442</v>
          </cell>
          <cell r="H646">
            <v>42388.683333333334</v>
          </cell>
          <cell r="I646" t="str">
            <v xml:space="preserve">Vivo </v>
          </cell>
          <cell r="J646" t="str">
            <v xml:space="preserve"> Vivo</v>
          </cell>
        </row>
        <row r="647">
          <cell r="B647" t="str">
            <v>CTXSPOBF-128722</v>
          </cell>
          <cell r="C647" t="str">
            <v>Migração POP 3 - PROCESSO_CARTEIRA 1 - LAPA vs. ANTÁRTICA</v>
          </cell>
          <cell r="D647" t="str">
            <v>Vania de Moraes Colella</v>
          </cell>
          <cell r="E647" t="str">
            <v>Vania de Moraes Colella</v>
          </cell>
          <cell r="F647" t="str">
            <v>Fechado</v>
          </cell>
          <cell r="G647">
            <v>42311.740972222222</v>
          </cell>
          <cell r="H647">
            <v>42388.684027777781</v>
          </cell>
          <cell r="I647" t="str">
            <v xml:space="preserve">Vivo </v>
          </cell>
          <cell r="J647" t="str">
            <v xml:space="preserve"> Vivo</v>
          </cell>
        </row>
        <row r="648">
          <cell r="B648" t="str">
            <v>CTXSPOBF-128725</v>
          </cell>
          <cell r="C648" t="str">
            <v>Migração POP 3 - RENEGOCIAÇÃO - LAPA vs. ANTÁRTICA</v>
          </cell>
          <cell r="D648" t="str">
            <v>Vania de Moraes Colella</v>
          </cell>
          <cell r="E648" t="str">
            <v>Vania de Moraes Colella</v>
          </cell>
          <cell r="F648" t="str">
            <v>Fechado</v>
          </cell>
          <cell r="G648">
            <v>42311.754166666666</v>
          </cell>
          <cell r="H648">
            <v>42388.684027777781</v>
          </cell>
          <cell r="I648" t="str">
            <v xml:space="preserve">Vivo </v>
          </cell>
          <cell r="J648" t="str">
            <v xml:space="preserve"> Vivo</v>
          </cell>
        </row>
        <row r="649">
          <cell r="B649" t="str">
            <v>CTXSPOBF-128853</v>
          </cell>
          <cell r="C649" t="str">
            <v>Migração POP 3 - APOIOS VPR - LAPA vs. ANTÁRTICA</v>
          </cell>
          <cell r="D649" t="str">
            <v>Vania de Moraes Colella</v>
          </cell>
          <cell r="E649" t="str">
            <v>Vania de Moraes Colella</v>
          </cell>
          <cell r="F649" t="str">
            <v>Fechado</v>
          </cell>
          <cell r="G649">
            <v>42313.420138888891</v>
          </cell>
          <cell r="H649">
            <v>42388.684027777781</v>
          </cell>
          <cell r="I649" t="str">
            <v xml:space="preserve">Vivo </v>
          </cell>
          <cell r="J649" t="str">
            <v xml:space="preserve"> Vivo</v>
          </cell>
        </row>
        <row r="650">
          <cell r="B650" t="str">
            <v>CTXSPOBF-128861</v>
          </cell>
          <cell r="C650" t="str">
            <v>Migração POP 3 - CONSUL_CARTEIRA1_GR1 - LAPA Vs. ANTÁRTICA</v>
          </cell>
          <cell r="D650" t="str">
            <v>Vania de Moraes Colella</v>
          </cell>
          <cell r="E650" t="str">
            <v>Vania de Moraes Colella</v>
          </cell>
          <cell r="F650" t="str">
            <v>Fechado</v>
          </cell>
          <cell r="G650">
            <v>42313.438194444447</v>
          </cell>
          <cell r="H650">
            <v>42388.684027777781</v>
          </cell>
          <cell r="I650" t="str">
            <v xml:space="preserve">Vivo </v>
          </cell>
          <cell r="J650" t="str">
            <v xml:space="preserve"> Vivo</v>
          </cell>
        </row>
        <row r="651">
          <cell r="B651" t="str">
            <v>CTXSPOBF-128864</v>
          </cell>
          <cell r="C651" t="str">
            <v>Migração POP 3 - CONSUL_CARTEIRA1_GR2 - LAPA Vs. ANTÁRTICA</v>
          </cell>
          <cell r="D651" t="str">
            <v>Vania de Moraes Colella</v>
          </cell>
          <cell r="E651" t="str">
            <v>Vania de Moraes Colella</v>
          </cell>
          <cell r="F651" t="str">
            <v>Fechado</v>
          </cell>
          <cell r="G651">
            <v>42313.444444444445</v>
          </cell>
          <cell r="H651">
            <v>42388.68472222222</v>
          </cell>
          <cell r="I651" t="str">
            <v xml:space="preserve">Vivo </v>
          </cell>
          <cell r="J651" t="str">
            <v xml:space="preserve"> Vivo</v>
          </cell>
        </row>
        <row r="652">
          <cell r="B652" t="str">
            <v>CTXSPOBF-128865</v>
          </cell>
          <cell r="C652" t="str">
            <v>Migração POP 3 - CONSUL_CARTEIRA2_GR1 - LAPA Vs. ANTÁRTICA</v>
          </cell>
          <cell r="D652" t="str">
            <v>Vania de Moraes Colella</v>
          </cell>
          <cell r="E652" t="str">
            <v>Vania de Moraes Colella</v>
          </cell>
          <cell r="F652" t="str">
            <v>Fechado</v>
          </cell>
          <cell r="G652">
            <v>42313.446527777778</v>
          </cell>
          <cell r="H652">
            <v>42388.68472222222</v>
          </cell>
          <cell r="I652" t="str">
            <v xml:space="preserve">Vivo </v>
          </cell>
          <cell r="J652" t="str">
            <v xml:space="preserve"> Vivo</v>
          </cell>
        </row>
        <row r="653">
          <cell r="B653" t="str">
            <v>CTXSPOBF-128868</v>
          </cell>
          <cell r="C653" t="str">
            <v>Migração POP 3 - CONSUL_CARTEIRA2_GR2 - LAPA Vs. ANTÁRTICA</v>
          </cell>
          <cell r="D653" t="str">
            <v>Vania de Moraes Colella</v>
          </cell>
          <cell r="E653" t="str">
            <v>Vania de Moraes Colella</v>
          </cell>
          <cell r="F653" t="str">
            <v>Fechado</v>
          </cell>
          <cell r="G653">
            <v>42313.45</v>
          </cell>
          <cell r="H653">
            <v>42388.68472222222</v>
          </cell>
          <cell r="I653" t="str">
            <v xml:space="preserve">Vivo </v>
          </cell>
          <cell r="J653" t="str">
            <v xml:space="preserve"> Vivo</v>
          </cell>
        </row>
        <row r="654">
          <cell r="B654" t="str">
            <v>CTXSPOBF-128869</v>
          </cell>
          <cell r="C654" t="str">
            <v>Migração POP 3 - CONSUL_CONSOLIDADO - LAPA Vs. ANTÁRTICA</v>
          </cell>
          <cell r="D654" t="str">
            <v>Vania de Moraes Colella</v>
          </cell>
          <cell r="E654" t="str">
            <v>Vania de Moraes Colella</v>
          </cell>
          <cell r="F654" t="str">
            <v>Fechado</v>
          </cell>
          <cell r="G654">
            <v>42313.452777777777</v>
          </cell>
          <cell r="H654">
            <v>42388.68472222222</v>
          </cell>
          <cell r="I654" t="str">
            <v xml:space="preserve">Vivo </v>
          </cell>
          <cell r="J654" t="str">
            <v xml:space="preserve"> Vivo</v>
          </cell>
        </row>
        <row r="655">
          <cell r="B655" t="str">
            <v>CTXSPOBF-128870</v>
          </cell>
          <cell r="C655" t="str">
            <v>Migração POP 3 - GESTOR_CARTEIRA_PJ - LAPA Vs. ANTÁRTICA</v>
          </cell>
          <cell r="D655" t="str">
            <v>Vania de Moraes Colella</v>
          </cell>
          <cell r="E655" t="str">
            <v>Vania de Moraes Colella</v>
          </cell>
          <cell r="F655" t="str">
            <v>Fechado</v>
          </cell>
          <cell r="G655">
            <v>42313.454861111109</v>
          </cell>
          <cell r="H655">
            <v>42388.685416666667</v>
          </cell>
          <cell r="I655" t="str">
            <v xml:space="preserve">Vivo </v>
          </cell>
          <cell r="J655" t="str">
            <v xml:space="preserve"> Vivo</v>
          </cell>
        </row>
        <row r="656">
          <cell r="B656" t="str">
            <v>CTXSPOBF-128873</v>
          </cell>
          <cell r="C656" t="str">
            <v>Migração POP 3 - SUPORTE_CARTEIRA1 - LAPA Vs. ANTÁRTICA</v>
          </cell>
          <cell r="D656" t="str">
            <v>Vania de Moraes Colella</v>
          </cell>
          <cell r="E656" t="str">
            <v>Vania de Moraes Colella</v>
          </cell>
          <cell r="F656" t="str">
            <v>Fechado</v>
          </cell>
          <cell r="G656">
            <v>42313.460416666669</v>
          </cell>
          <cell r="H656">
            <v>42388.685416666667</v>
          </cell>
          <cell r="I656" t="str">
            <v xml:space="preserve">Vivo </v>
          </cell>
          <cell r="J656" t="str">
            <v xml:space="preserve"> Vivo</v>
          </cell>
        </row>
        <row r="657">
          <cell r="B657" t="str">
            <v>CTXSPOBF-128875</v>
          </cell>
          <cell r="C657" t="str">
            <v>Migração POP 3 - SUPORTE_CARTEIRA2 - LAPA Vs. ANTÁRTICA</v>
          </cell>
          <cell r="D657" t="str">
            <v>Vania de Moraes Colella</v>
          </cell>
          <cell r="E657" t="str">
            <v>Vania de Moraes Colella</v>
          </cell>
          <cell r="F657" t="str">
            <v>Fechado</v>
          </cell>
          <cell r="G657">
            <v>42313.463194444441</v>
          </cell>
          <cell r="H657">
            <v>42388.685416666667</v>
          </cell>
          <cell r="I657" t="str">
            <v xml:space="preserve">Vivo </v>
          </cell>
          <cell r="J657" t="str">
            <v xml:space="preserve"> Vivo</v>
          </cell>
        </row>
        <row r="658">
          <cell r="B658" t="str">
            <v>CTXSPOBF-128878</v>
          </cell>
          <cell r="C658" t="str">
            <v>Migração POP 3 - GESTOR CARTEIRA - LAPA vs. ANTÁRTICA</v>
          </cell>
          <cell r="D658" t="str">
            <v>Vania de Moraes Colella</v>
          </cell>
          <cell r="E658" t="str">
            <v>Vania de Moraes Colella</v>
          </cell>
          <cell r="F658" t="str">
            <v>Fechado</v>
          </cell>
          <cell r="G658">
            <v>42313.467361111114</v>
          </cell>
          <cell r="H658">
            <v>42388.685416666667</v>
          </cell>
          <cell r="I658" t="str">
            <v xml:space="preserve">Vivo </v>
          </cell>
          <cell r="J658" t="str">
            <v xml:space="preserve"> Vivo</v>
          </cell>
        </row>
        <row r="659">
          <cell r="B659" t="str">
            <v>CTXSPOBF-128884</v>
          </cell>
          <cell r="C659" t="str">
            <v>Inclusão de link em Favoritos - Siga Online</v>
          </cell>
          <cell r="D659" t="str">
            <v>Bruno Guerra Ferreira</v>
          </cell>
          <cell r="E659" t="str">
            <v>Vania de Moraes Colella</v>
          </cell>
          <cell r="F659" t="str">
            <v>Registrado</v>
          </cell>
          <cell r="G659">
            <v>42313.482638888891</v>
          </cell>
          <cell r="I659" t="str">
            <v xml:space="preserve">Vivo </v>
          </cell>
          <cell r="J659" t="str">
            <v xml:space="preserve"> Vivo</v>
          </cell>
        </row>
        <row r="660">
          <cell r="B660" t="str">
            <v>CTXSPOBF-128992</v>
          </cell>
          <cell r="C660" t="str">
            <v>Migração POP 3 - GRE ANATEL - LAPA Vs. ANTÁRTICA</v>
          </cell>
          <cell r="D660" t="str">
            <v>Vania de Moraes Colella</v>
          </cell>
          <cell r="E660" t="str">
            <v>Vania de Moraes Colella</v>
          </cell>
          <cell r="F660" t="str">
            <v>Fechado</v>
          </cell>
          <cell r="G660">
            <v>42314.565972222219</v>
          </cell>
          <cell r="H660">
            <v>42388.685416666667</v>
          </cell>
          <cell r="I660" t="str">
            <v xml:space="preserve">Vivo </v>
          </cell>
          <cell r="J660" t="str">
            <v xml:space="preserve"> Vivo</v>
          </cell>
        </row>
        <row r="661">
          <cell r="B661" t="str">
            <v>CTXSPOBF-128993</v>
          </cell>
          <cell r="C661" t="str">
            <v>Migração POP 3 - ATIVIDADE - LAPA Vs. ANTÁRTICA</v>
          </cell>
          <cell r="D661" t="str">
            <v>Vania de Moraes Colella</v>
          </cell>
          <cell r="E661" t="str">
            <v>Vania de Moraes Colella</v>
          </cell>
          <cell r="F661" t="str">
            <v>Fechado</v>
          </cell>
          <cell r="G661">
            <v>42314.571527777778</v>
          </cell>
          <cell r="H661">
            <v>42388.686111111114</v>
          </cell>
          <cell r="I661" t="str">
            <v xml:space="preserve">Vivo </v>
          </cell>
          <cell r="J661" t="str">
            <v xml:space="preserve"> Vivo</v>
          </cell>
        </row>
        <row r="662">
          <cell r="B662" t="str">
            <v>CTXSPOBF-128994</v>
          </cell>
          <cell r="C662" t="str">
            <v>Migração POP 3 - IMPRENSA - LAPA Vs. ANTÁRTICA</v>
          </cell>
          <cell r="D662" t="str">
            <v>Vania de Moraes Colella</v>
          </cell>
          <cell r="E662" t="str">
            <v>Vania de Moraes Colella</v>
          </cell>
          <cell r="F662" t="str">
            <v>Fechado</v>
          </cell>
          <cell r="G662">
            <v>42314.573611111111</v>
          </cell>
          <cell r="H662">
            <v>42388.686111111114</v>
          </cell>
          <cell r="I662" t="str">
            <v xml:space="preserve">Vivo </v>
          </cell>
          <cell r="J662" t="str">
            <v xml:space="preserve"> Vivo</v>
          </cell>
        </row>
        <row r="663">
          <cell r="B663" t="str">
            <v>CTXSPOBF-128995</v>
          </cell>
          <cell r="C663" t="str">
            <v>Migração POP 3 - SUPORTE APODC - LAPA Vs. ANTÁRTICA</v>
          </cell>
          <cell r="D663" t="str">
            <v>Vania de Moraes Colella</v>
          </cell>
          <cell r="E663" t="str">
            <v>Vania de Moraes Colella</v>
          </cell>
          <cell r="F663" t="str">
            <v>Fechado</v>
          </cell>
          <cell r="G663">
            <v>42314.575694444444</v>
          </cell>
          <cell r="H663">
            <v>42388.686111111114</v>
          </cell>
          <cell r="I663" t="str">
            <v xml:space="preserve">Vivo </v>
          </cell>
          <cell r="J663" t="str">
            <v xml:space="preserve"> Vivo</v>
          </cell>
        </row>
        <row r="664">
          <cell r="B664" t="str">
            <v>CTXSPOBF-128996</v>
          </cell>
          <cell r="C664" t="str">
            <v>Migração POP 3 - REINCIDENTES PJ - LAPA Vs. ANTÁRTICA</v>
          </cell>
          <cell r="D664" t="str">
            <v>Vania de Moraes Colella</v>
          </cell>
          <cell r="E664" t="str">
            <v>Vania de Moraes Colella</v>
          </cell>
          <cell r="F664" t="str">
            <v>Fechado</v>
          </cell>
          <cell r="G664">
            <v>42314.57708333333</v>
          </cell>
          <cell r="H664">
            <v>42388.6875</v>
          </cell>
          <cell r="I664" t="str">
            <v xml:space="preserve">Vivo </v>
          </cell>
          <cell r="J664" t="str">
            <v xml:space="preserve"> Vivo</v>
          </cell>
        </row>
        <row r="665">
          <cell r="B665" t="str">
            <v>CTXSPOBF-129499</v>
          </cell>
          <cell r="C665" t="str">
            <v>Projeto - Transbordo de Ligações de RCI para Paschoalotto (Bauru)</v>
          </cell>
          <cell r="D665" t="str">
            <v>Bruno Guerra Ferreira</v>
          </cell>
          <cell r="E665" t="str">
            <v>George Silva Dimitrov</v>
          </cell>
          <cell r="F665" t="str">
            <v>Registrado</v>
          </cell>
          <cell r="G665">
            <v>42321.496527777781</v>
          </cell>
          <cell r="I665" t="str">
            <v xml:space="preserve">Santander </v>
          </cell>
          <cell r="J665" t="str">
            <v xml:space="preserve"> Santander</v>
          </cell>
        </row>
        <row r="666">
          <cell r="B666" t="str">
            <v>CTXSPOBF-130142</v>
          </cell>
          <cell r="C666" t="str">
            <v>Projeto - MIGRAÇÃO para NOVA PLATAFORMA de SMS - Santander</v>
          </cell>
          <cell r="D666" t="str">
            <v>Bruno Guerra Ferreira</v>
          </cell>
          <cell r="E666" t="str">
            <v>George Silva Dimitrov</v>
          </cell>
          <cell r="F666" t="str">
            <v>Registrado</v>
          </cell>
          <cell r="G666">
            <v>42332.676388888889</v>
          </cell>
          <cell r="I666" t="str">
            <v xml:space="preserve">Santander </v>
          </cell>
          <cell r="J666" t="str">
            <v xml:space="preserve"> Santander</v>
          </cell>
        </row>
        <row r="667">
          <cell r="B667" t="str">
            <v>CTXSPOBF-130195</v>
          </cell>
          <cell r="C667" t="str">
            <v>Projeto - Aplicação/URA - Parametro Santander Financiamentos</v>
          </cell>
          <cell r="D667" t="str">
            <v>Bruno Guerra Ferreira</v>
          </cell>
          <cell r="E667" t="str">
            <v>George Silva Dimitrov</v>
          </cell>
          <cell r="F667" t="str">
            <v>Registrado</v>
          </cell>
          <cell r="G667">
            <v>42333.484027777777</v>
          </cell>
          <cell r="I667" t="str">
            <v xml:space="preserve">Santander </v>
          </cell>
          <cell r="J667" t="str">
            <v xml:space="preserve"> Santander</v>
          </cell>
        </row>
        <row r="668">
          <cell r="B668" t="str">
            <v>CTXSPOBF-130334</v>
          </cell>
          <cell r="C668" t="str">
            <v>Projeto - Fraseologia Renault/ Nissan RCI 2016</v>
          </cell>
          <cell r="D668" t="str">
            <v>Bruno Guerra Ferreira</v>
          </cell>
          <cell r="E668" t="str">
            <v>George Silva Dimitrov</v>
          </cell>
          <cell r="F668" t="str">
            <v>Registrado</v>
          </cell>
          <cell r="G668">
            <v>42334.724305555559</v>
          </cell>
          <cell r="I668" t="str">
            <v xml:space="preserve">Santander </v>
          </cell>
          <cell r="J668" t="str">
            <v xml:space="preserve"> Santander</v>
          </cell>
        </row>
        <row r="669">
          <cell r="B669" t="str">
            <v>CTXSPOBF-130466</v>
          </cell>
          <cell r="C669" t="str">
            <v>TETRIS ANTARTICA - TECNICO BASICO</v>
          </cell>
          <cell r="D669" t="str">
            <v>Vania de Moraes Colella</v>
          </cell>
          <cell r="E669" t="str">
            <v>Vania de Moraes Colella</v>
          </cell>
          <cell r="F669" t="str">
            <v>Fechado</v>
          </cell>
          <cell r="G669">
            <v>42338.409722222219</v>
          </cell>
          <cell r="H669">
            <v>42359.632638888892</v>
          </cell>
          <cell r="I669" t="str">
            <v xml:space="preserve">Vivo </v>
          </cell>
          <cell r="J669" t="str">
            <v xml:space="preserve"> Vivo</v>
          </cell>
        </row>
        <row r="670">
          <cell r="B670" t="str">
            <v>CTXSPOBF-130502</v>
          </cell>
          <cell r="C670" t="str">
            <v>TETRIS ANTARTICA - TECNICO MOVEL</v>
          </cell>
          <cell r="D670" t="str">
            <v>Vania de Moraes Colella</v>
          </cell>
          <cell r="E670" t="str">
            <v>Vania de Moraes Colella</v>
          </cell>
          <cell r="F670" t="str">
            <v>Fechado</v>
          </cell>
          <cell r="G670">
            <v>42338.550694444442</v>
          </cell>
          <cell r="H670">
            <v>42359.638888888891</v>
          </cell>
          <cell r="I670" t="str">
            <v xml:space="preserve">Vivo </v>
          </cell>
          <cell r="J670" t="str">
            <v xml:space="preserve"> Vivo</v>
          </cell>
        </row>
        <row r="671">
          <cell r="B671" t="str">
            <v>CTXSPOBF-130503</v>
          </cell>
          <cell r="C671" t="str">
            <v>TETRIS ANTARTICA - SUPORTES</v>
          </cell>
          <cell r="D671" t="str">
            <v>Vania de Moraes Colella</v>
          </cell>
          <cell r="E671" t="str">
            <v>Vania de Moraes Colella</v>
          </cell>
          <cell r="F671" t="str">
            <v>Fechado</v>
          </cell>
          <cell r="G671">
            <v>42338.556944444441</v>
          </cell>
          <cell r="H671">
            <v>42359.637499999997</v>
          </cell>
          <cell r="I671" t="str">
            <v xml:space="preserve">Vivo </v>
          </cell>
          <cell r="J671" t="str">
            <v xml:space="preserve"> Vivo</v>
          </cell>
        </row>
        <row r="672">
          <cell r="B672" t="str">
            <v>CTXSPOBF-130529</v>
          </cell>
          <cell r="C672" t="str">
            <v>TETRIS ANTARTICA - FWT</v>
          </cell>
          <cell r="D672" t="str">
            <v>Vania de Moraes Colella</v>
          </cell>
          <cell r="E672" t="str">
            <v>Vania de Moraes Colella</v>
          </cell>
          <cell r="F672" t="str">
            <v>Fechado</v>
          </cell>
          <cell r="G672">
            <v>42338.681250000001</v>
          </cell>
          <cell r="H672">
            <v>42359.635416666664</v>
          </cell>
          <cell r="I672" t="str">
            <v xml:space="preserve">Vivo </v>
          </cell>
          <cell r="J672" t="str">
            <v xml:space="preserve"> Vivo</v>
          </cell>
        </row>
        <row r="673">
          <cell r="B673" t="str">
            <v>CTXSPOBF-130531</v>
          </cell>
          <cell r="C673" t="str">
            <v>TETRIS ANTARTICA - RETENÇÃO PF</v>
          </cell>
          <cell r="D673" t="str">
            <v>Vania de Moraes Colella</v>
          </cell>
          <cell r="E673" t="str">
            <v>Vania de Moraes Colella</v>
          </cell>
          <cell r="F673" t="str">
            <v>Fechado</v>
          </cell>
          <cell r="G673">
            <v>42338.7</v>
          </cell>
          <cell r="H673">
            <v>42359.640277777777</v>
          </cell>
          <cell r="I673" t="str">
            <v xml:space="preserve">Vivo </v>
          </cell>
          <cell r="J673" t="str">
            <v xml:space="preserve"> Vivo</v>
          </cell>
        </row>
        <row r="674">
          <cell r="B674" t="str">
            <v>CTXSPOBF-130532</v>
          </cell>
          <cell r="C674" t="str">
            <v>TETRIS ANTARTICA - BASICO COMERCIAL</v>
          </cell>
          <cell r="D674" t="str">
            <v>Vania de Moraes Colella</v>
          </cell>
          <cell r="E674" t="str">
            <v>Vania de Moraes Colella</v>
          </cell>
          <cell r="F674" t="str">
            <v>Fechado</v>
          </cell>
          <cell r="G674">
            <v>42338.703472222223</v>
          </cell>
          <cell r="H674">
            <v>42359.634027777778</v>
          </cell>
          <cell r="I674" t="str">
            <v xml:space="preserve">Vivo </v>
          </cell>
          <cell r="J674" t="str">
            <v xml:space="preserve"> Vivo</v>
          </cell>
        </row>
        <row r="675">
          <cell r="B675" t="str">
            <v>CTXSPOBF-130612</v>
          </cell>
          <cell r="C675" t="str">
            <v>Inclusão de Liberação em GPO</v>
          </cell>
          <cell r="D675" t="str">
            <v>Sem responsável</v>
          </cell>
          <cell r="E675" t="str">
            <v>Vania de Moraes Colella</v>
          </cell>
          <cell r="F675" t="str">
            <v>Fechado</v>
          </cell>
          <cell r="G675">
            <v>42339.643055555556</v>
          </cell>
          <cell r="H675">
            <v>42355.546527777777</v>
          </cell>
          <cell r="I675" t="str">
            <v xml:space="preserve">Vivo </v>
          </cell>
          <cell r="J675" t="str">
            <v xml:space="preserve"> Vivo</v>
          </cell>
        </row>
        <row r="676">
          <cell r="B676" t="str">
            <v>CTXSPOBF-131094</v>
          </cell>
          <cell r="C676" t="str">
            <v>Implantar 12 posições Retenção PF</v>
          </cell>
          <cell r="D676" t="str">
            <v>Luciana da Silva Cardoso</v>
          </cell>
          <cell r="E676" t="str">
            <v>Luciana da Silva Cardoso</v>
          </cell>
          <cell r="F676" t="str">
            <v>Fechado</v>
          </cell>
          <cell r="G676">
            <v>42346.65625</v>
          </cell>
          <cell r="H676">
            <v>42396.588194444441</v>
          </cell>
          <cell r="I676" t="str">
            <v xml:space="preserve">Vivo </v>
          </cell>
          <cell r="J676" t="str">
            <v xml:space="preserve"> Vivo</v>
          </cell>
        </row>
        <row r="677">
          <cell r="B677" t="str">
            <v>CTXSPOBF-132100</v>
          </cell>
          <cell r="C677" t="str">
            <v>Projeto - Ura Parceiro RCI 4004-2348</v>
          </cell>
          <cell r="D677" t="str">
            <v>Bruno Guerra Ferreira</v>
          </cell>
          <cell r="E677" t="str">
            <v>George Silva Dimitrov</v>
          </cell>
          <cell r="F677" t="str">
            <v>Registrado</v>
          </cell>
          <cell r="G677">
            <v>42359.386111111111</v>
          </cell>
          <cell r="I677" t="str">
            <v xml:space="preserve">Santander </v>
          </cell>
          <cell r="J677" t="str">
            <v xml:space="preserve"> Santander</v>
          </cell>
        </row>
        <row r="678">
          <cell r="B678" t="str">
            <v>CTXSPOBF-132464</v>
          </cell>
          <cell r="C678" t="str">
            <v>CRESCIMENTO SUPORTE A PARCEIROS - SITE ANTARTICA</v>
          </cell>
          <cell r="D678" t="str">
            <v>Sem responsável</v>
          </cell>
          <cell r="E678" t="str">
            <v>Vania de Moraes Colella</v>
          </cell>
          <cell r="F678" t="str">
            <v>Registrado</v>
          </cell>
          <cell r="G678">
            <v>42366.463888888888</v>
          </cell>
          <cell r="I678" t="str">
            <v xml:space="preserve">Vivo </v>
          </cell>
          <cell r="J678" t="str">
            <v xml:space="preserve"> Vivo</v>
          </cell>
        </row>
        <row r="679">
          <cell r="B679" t="str">
            <v>CTXSPOBF-133023</v>
          </cell>
          <cell r="C679" t="str">
            <v>Projeto - Mudança de máquinas da operação Santander CR - Site Antártica para o Site Alegria</v>
          </cell>
          <cell r="D679" t="str">
            <v>Sem responsável</v>
          </cell>
          <cell r="E679" t="str">
            <v>George Silva Dimitrov</v>
          </cell>
          <cell r="F679" t="str">
            <v>Registrado</v>
          </cell>
          <cell r="G679">
            <v>42375.499305555553</v>
          </cell>
          <cell r="I679" t="str">
            <v xml:space="preserve">Santander </v>
          </cell>
          <cell r="J679" t="str">
            <v xml:space="preserve"> Santander</v>
          </cell>
        </row>
        <row r="680">
          <cell r="B680" t="str">
            <v>CTXSPOBF-133846</v>
          </cell>
          <cell r="C680" t="str">
            <v>MIGRAÇÃO CONTAS PJ</v>
          </cell>
          <cell r="D680" t="str">
            <v>Vania de Moraes Colella</v>
          </cell>
          <cell r="E680" t="str">
            <v>Vania de Moraes Colella</v>
          </cell>
          <cell r="F680" t="str">
            <v>Fechado</v>
          </cell>
          <cell r="G680">
            <v>42383.705555555556</v>
          </cell>
          <cell r="H680">
            <v>42417.425694444442</v>
          </cell>
          <cell r="I680" t="str">
            <v xml:space="preserve">Vivo </v>
          </cell>
          <cell r="J680" t="str">
            <v xml:space="preserve"> Vivo</v>
          </cell>
        </row>
        <row r="681">
          <cell r="B681" t="str">
            <v>CTXSPOBF-134042</v>
          </cell>
          <cell r="C681" t="str">
            <v>RTI - Integração Vivo 360 x Tclock - Móvel</v>
          </cell>
          <cell r="D681" t="str">
            <v>Debora Gercke Dominas</v>
          </cell>
          <cell r="E681" t="str">
            <v>Wagner Mattos Ribeiro Pinto</v>
          </cell>
          <cell r="F681" t="str">
            <v>Registrado</v>
          </cell>
          <cell r="G681">
            <v>42387.412499999999</v>
          </cell>
          <cell r="I681" t="str">
            <v xml:space="preserve">Vivo </v>
          </cell>
          <cell r="J681" t="str">
            <v xml:space="preserve"> Vivo</v>
          </cell>
        </row>
        <row r="682">
          <cell r="B682" t="str">
            <v>CTXSPOBF-134523</v>
          </cell>
          <cell r="C682" t="str">
            <v>Problema página Interatividade no portal Vivo - Operação Anatel</v>
          </cell>
          <cell r="D682" t="str">
            <v>Sem responsável</v>
          </cell>
          <cell r="E682" t="str">
            <v>Luciana da Silva Cardoso</v>
          </cell>
          <cell r="F682" t="str">
            <v>Registrado</v>
          </cell>
          <cell r="G682">
            <v>42390.472916666666</v>
          </cell>
          <cell r="I682" t="str">
            <v xml:space="preserve">Vivo </v>
          </cell>
          <cell r="J682" t="str">
            <v xml:space="preserve"> Vivo</v>
          </cell>
        </row>
        <row r="683">
          <cell r="B683" t="str">
            <v>CTXSPOBF-135040</v>
          </cell>
          <cell r="C683" t="str">
            <v>Implantar Ferramenta Whisbi - Ticket B2B Infra</v>
          </cell>
          <cell r="D683" t="str">
            <v>Debora Gercke Dominas</v>
          </cell>
          <cell r="E683" t="str">
            <v>Priscila Roberta dos S. Freitas</v>
          </cell>
          <cell r="F683" t="str">
            <v>Registrado</v>
          </cell>
          <cell r="G683">
            <v>42396.648611111108</v>
          </cell>
          <cell r="I683" t="str">
            <v xml:space="preserve">Ticket Serviços S/A </v>
          </cell>
          <cell r="J683" t="str">
            <v xml:space="preserve"> Ticket B2B</v>
          </cell>
        </row>
        <row r="684">
          <cell r="B684" t="str">
            <v>CTXSPOBF-135197</v>
          </cell>
          <cell r="C684" t="str">
            <v>Projeto - Colocar as frases que foram gravadas para as URAS RCI Cliente 4004-9898 e URA Parceiro 4004-2348</v>
          </cell>
          <cell r="D684" t="str">
            <v>Sem responsável</v>
          </cell>
          <cell r="E684" t="str">
            <v>George Silva Dimitrov</v>
          </cell>
          <cell r="F684" t="str">
            <v>Registrado</v>
          </cell>
          <cell r="G684">
            <v>42397.665972222225</v>
          </cell>
          <cell r="I684" t="str">
            <v xml:space="preserve">Santander </v>
          </cell>
          <cell r="J684" t="str">
            <v xml:space="preserve"> Santander</v>
          </cell>
        </row>
        <row r="685">
          <cell r="B685" t="str">
            <v>CTXSPOBF-136495</v>
          </cell>
          <cell r="C685" t="str">
            <v>Projeto - Aplicação/URA</v>
          </cell>
          <cell r="D685" t="str">
            <v>Bruno Guerra Ferreira</v>
          </cell>
          <cell r="E685" t="str">
            <v>George Silva Dimitrov</v>
          </cell>
          <cell r="F685" t="str">
            <v>Registrado</v>
          </cell>
          <cell r="G685">
            <v>42410.775694444441</v>
          </cell>
          <cell r="I685" t="str">
            <v xml:space="preserve">Santander </v>
          </cell>
          <cell r="J685" t="str">
            <v xml:space="preserve"> Santander</v>
          </cell>
        </row>
        <row r="686">
          <cell r="B686" t="str">
            <v>CTXSPOBF-98975</v>
          </cell>
          <cell r="C686" t="str">
            <v>Implantação tGuidance Santander</v>
          </cell>
          <cell r="D686" t="str">
            <v>Juliana Souza de Moraes</v>
          </cell>
          <cell r="E686" t="str">
            <v>Barbara Louise Boff</v>
          </cell>
          <cell r="F686" t="str">
            <v>Aberto</v>
          </cell>
          <cell r="G686">
            <v>41844.740972222222</v>
          </cell>
          <cell r="I686" t="str">
            <v xml:space="preserve">Santander </v>
          </cell>
          <cell r="J686" t="str">
            <v xml:space="preserve"> Santander</v>
          </cell>
        </row>
        <row r="687">
          <cell r="B687" t="str">
            <v>CTXSPODP-11512</v>
          </cell>
          <cell r="C687" t="str">
            <v>Projeto - Projeto</v>
          </cell>
          <cell r="D687" t="str">
            <v>Sem responsável</v>
          </cell>
          <cell r="E687" t="str">
            <v>BRUNO PIMENTEL DOS SANTOS</v>
          </cell>
          <cell r="F687" t="str">
            <v>Reaberto</v>
          </cell>
          <cell r="G687">
            <v>42061.84652777778</v>
          </cell>
          <cell r="I687" t="str">
            <v xml:space="preserve">Contax </v>
          </cell>
          <cell r="J687" t="str">
            <v xml:space="preserve"> Ger Adm RH</v>
          </cell>
        </row>
        <row r="688">
          <cell r="B688" t="str">
            <v>CTXSPOLP-102656</v>
          </cell>
          <cell r="C688" t="str">
            <v>Projeto - Preparação Ambiente Homologação Aspect 7.1</v>
          </cell>
          <cell r="D688" t="str">
            <v>Bruno Guerra Ferreira</v>
          </cell>
          <cell r="E688" t="str">
            <v>Robson da Costa</v>
          </cell>
          <cell r="F688" t="str">
            <v>Aberto</v>
          </cell>
          <cell r="G688">
            <v>42108.499305555553</v>
          </cell>
          <cell r="I688" t="str">
            <v xml:space="preserve">Cielo </v>
          </cell>
          <cell r="J688" t="str">
            <v xml:space="preserve"> ARV</v>
          </cell>
        </row>
        <row r="689">
          <cell r="B689" t="str">
            <v>CTXSPOLP-104419</v>
          </cell>
          <cell r="C689" t="str">
            <v>Projeto: Implantação t-Supervisor - BV Financeira</v>
          </cell>
          <cell r="D689" t="str">
            <v>Bruno Guerra Ferreira</v>
          </cell>
          <cell r="E689" t="str">
            <v>Priscila Roberta dos S. Freitas</v>
          </cell>
          <cell r="F689" t="str">
            <v>Aberto</v>
          </cell>
          <cell r="G689">
            <v>42137.57708333333</v>
          </cell>
          <cell r="I689" t="str">
            <v xml:space="preserve">BV Financeira </v>
          </cell>
          <cell r="J689" t="str">
            <v xml:space="preserve"> SAC</v>
          </cell>
        </row>
        <row r="690">
          <cell r="B690" t="str">
            <v>CTXSPOLP-105680</v>
          </cell>
          <cell r="C690" t="str">
            <v>Projeto - Continuidade no desenvolvimento do t!guidance da célula Fidelidade</v>
          </cell>
          <cell r="D690" t="str">
            <v>Rogerio Luiz da Silva</v>
          </cell>
          <cell r="E690" t="str">
            <v>Rogerio Luiz da Silva</v>
          </cell>
          <cell r="F690" t="str">
            <v>Fechado</v>
          </cell>
          <cell r="G690">
            <v>42163.415277777778</v>
          </cell>
          <cell r="H690">
            <v>42403.479166666664</v>
          </cell>
          <cell r="I690" t="str">
            <v xml:space="preserve">Cielo </v>
          </cell>
          <cell r="J690" t="str">
            <v xml:space="preserve"> ARV</v>
          </cell>
        </row>
        <row r="691">
          <cell r="B691" t="str">
            <v>CTXSPOLP-106246</v>
          </cell>
          <cell r="C691" t="str">
            <v>Projeto - Desenvolvimento de Front End para a célula Small</v>
          </cell>
          <cell r="D691" t="str">
            <v>Erica Fernandes Cotrim</v>
          </cell>
          <cell r="E691" t="str">
            <v>Rogerio Luiz da Silva</v>
          </cell>
          <cell r="F691" t="str">
            <v>Aberto</v>
          </cell>
          <cell r="G691">
            <v>42172.368055555555</v>
          </cell>
          <cell r="I691" t="str">
            <v xml:space="preserve">Cielo </v>
          </cell>
          <cell r="J691" t="str">
            <v xml:space="preserve"> Campo</v>
          </cell>
        </row>
        <row r="692">
          <cell r="B692" t="str">
            <v>CTXSPOLP-108012</v>
          </cell>
          <cell r="C692" t="str">
            <v>Implantar URA de pesquisa de qualidade - Ilha de Contas</v>
          </cell>
          <cell r="D692" t="str">
            <v>Bruno Guerra Ferreira</v>
          </cell>
          <cell r="E692" t="str">
            <v>Paloma de Azevedo Almeida</v>
          </cell>
          <cell r="F692" t="str">
            <v>Aberto</v>
          </cell>
          <cell r="G692">
            <v>42201.380555555559</v>
          </cell>
          <cell r="I692" t="str">
            <v xml:space="preserve">Vivo </v>
          </cell>
          <cell r="J692" t="str">
            <v xml:space="preserve"> Vivo</v>
          </cell>
        </row>
        <row r="693">
          <cell r="B693" t="str">
            <v>CTXSPOLP-108376</v>
          </cell>
          <cell r="C693" t="str">
            <v>Projeto - Projeto - Instalação de aparelhos Avaya | Cielo</v>
          </cell>
          <cell r="D693" t="str">
            <v>Fabiane Evangelista Cavalcante</v>
          </cell>
          <cell r="E693" t="str">
            <v>Fabiane Evangelista Cavalcante</v>
          </cell>
          <cell r="F693" t="str">
            <v>Fechado</v>
          </cell>
          <cell r="G693">
            <v>42208.458333333336</v>
          </cell>
          <cell r="H693">
            <v>42404.700694444444</v>
          </cell>
          <cell r="I693" t="str">
            <v xml:space="preserve">Contax </v>
          </cell>
          <cell r="J693" t="str">
            <v xml:space="preserve"> Dir. Clientes Especiais</v>
          </cell>
        </row>
        <row r="694">
          <cell r="B694" t="str">
            <v>CTXSPOLP-108931</v>
          </cell>
          <cell r="C694" t="str">
            <v>Projeto - Inserção de Frase Temporária da URA Cielo Fidelidade</v>
          </cell>
          <cell r="D694" t="str">
            <v>Carlos Batista Alves</v>
          </cell>
          <cell r="E694" t="str">
            <v>Carlos Batista Alves</v>
          </cell>
          <cell r="F694" t="str">
            <v>Fechado</v>
          </cell>
          <cell r="G694">
            <v>42216.52847222222</v>
          </cell>
          <cell r="H694">
            <v>42354.711111111108</v>
          </cell>
          <cell r="I694" t="str">
            <v xml:space="preserve">Cielo </v>
          </cell>
          <cell r="J694" t="str">
            <v xml:space="preserve"> Cielo AMEX</v>
          </cell>
        </row>
        <row r="695">
          <cell r="B695" t="str">
            <v>CTXSPOLP-110808</v>
          </cell>
          <cell r="C695" t="str">
            <v>Projeto - Disponibilização WiFi para cliente Cielo</v>
          </cell>
          <cell r="D695" t="str">
            <v>Rogerio Luiz da Silva</v>
          </cell>
          <cell r="E695" t="str">
            <v>Rogerio Luiz da Silva</v>
          </cell>
          <cell r="F695" t="str">
            <v>Fechado</v>
          </cell>
          <cell r="G695">
            <v>42249.801388888889</v>
          </cell>
          <cell r="H695">
            <v>42415.4375</v>
          </cell>
          <cell r="I695" t="str">
            <v xml:space="preserve">Cielo </v>
          </cell>
          <cell r="J695" t="str">
            <v xml:space="preserve"> ARV</v>
          </cell>
        </row>
        <row r="696">
          <cell r="B696" t="str">
            <v>CTXSPOLP-110890</v>
          </cell>
          <cell r="C696" t="str">
            <v>Novas árvores de perfilamento - Tabulador e Relatórios p/ os GT's (Móvel)</v>
          </cell>
          <cell r="D696" t="str">
            <v>Bruno Guerra Ferreira</v>
          </cell>
          <cell r="E696" t="str">
            <v>Luciana da Silva Cardoso</v>
          </cell>
          <cell r="F696" t="str">
            <v>Aberto</v>
          </cell>
          <cell r="G696">
            <v>42250.72152777778</v>
          </cell>
          <cell r="I696" t="str">
            <v xml:space="preserve">Vivo </v>
          </cell>
          <cell r="J696" t="str">
            <v xml:space="preserve"> Vivo</v>
          </cell>
        </row>
        <row r="697">
          <cell r="B697" t="str">
            <v>CTXSPOLP-110901</v>
          </cell>
          <cell r="C697" t="str">
            <v>Melhorias relatório GT - Vivo</v>
          </cell>
          <cell r="D697" t="str">
            <v>Bruno Guerra Ferreira</v>
          </cell>
          <cell r="E697" t="str">
            <v>Luciana da Silva Cardoso</v>
          </cell>
          <cell r="F697" t="str">
            <v>Aberto</v>
          </cell>
          <cell r="G697">
            <v>42250.744444444441</v>
          </cell>
          <cell r="I697" t="str">
            <v xml:space="preserve">Vivo </v>
          </cell>
          <cell r="J697" t="str">
            <v xml:space="preserve"> Vivo</v>
          </cell>
        </row>
        <row r="698">
          <cell r="B698" t="str">
            <v>CTXSPOLP-111079</v>
          </cell>
          <cell r="C698" t="str">
            <v>Projeto - Criar Plano Documento de Draft PCN para BV Financeira</v>
          </cell>
          <cell r="D698" t="str">
            <v>Juliana Souza de Moraes</v>
          </cell>
          <cell r="E698" t="str">
            <v>Carlos Batista Alves</v>
          </cell>
          <cell r="F698" t="str">
            <v>Registrado</v>
          </cell>
          <cell r="G698">
            <v>42256.489583333336</v>
          </cell>
          <cell r="I698" t="str">
            <v xml:space="preserve">BV Financeira </v>
          </cell>
          <cell r="J698" t="str">
            <v xml:space="preserve"> SAC</v>
          </cell>
        </row>
        <row r="699">
          <cell r="B699" t="str">
            <v>CTXSPOLP-111246</v>
          </cell>
          <cell r="C699" t="str">
            <v>Projeto - Desenvolvimento do t!guidance da célula Fidelidade - FASE 2</v>
          </cell>
          <cell r="D699" t="str">
            <v>Bruno Guerra Ferreira</v>
          </cell>
          <cell r="E699" t="str">
            <v>Rogerio Luiz da Silva</v>
          </cell>
          <cell r="F699" t="str">
            <v>Aberto</v>
          </cell>
          <cell r="G699">
            <v>42257.700694444444</v>
          </cell>
          <cell r="I699" t="str">
            <v xml:space="preserve">Cielo </v>
          </cell>
          <cell r="J699" t="str">
            <v xml:space="preserve"> Campo</v>
          </cell>
        </row>
        <row r="700">
          <cell r="B700" t="str">
            <v>CTXSPOLP-111381</v>
          </cell>
          <cell r="C700" t="str">
            <v>Projeto - Contratação de 3 E1's, do fornecedor Option para Alelo</v>
          </cell>
          <cell r="D700" t="str">
            <v>Bruno Guerra Ferreira</v>
          </cell>
          <cell r="E700" t="str">
            <v>Rogerio Luiz da Silva</v>
          </cell>
          <cell r="F700" t="str">
            <v>Registrado</v>
          </cell>
          <cell r="G700">
            <v>42261.488194444442</v>
          </cell>
          <cell r="I700" t="str">
            <v xml:space="preserve">Cielo </v>
          </cell>
          <cell r="J700" t="str">
            <v xml:space="preserve"> Campo</v>
          </cell>
        </row>
        <row r="701">
          <cell r="B701" t="str">
            <v>CTXSPOLP-111956</v>
          </cell>
          <cell r="C701" t="str">
            <v>Projeto - Monitoria da Qualidade</v>
          </cell>
          <cell r="D701" t="str">
            <v>Leonardo Roberto de Medeiros Marques</v>
          </cell>
          <cell r="E701" t="str">
            <v>Robson da Costa</v>
          </cell>
          <cell r="F701" t="str">
            <v>Aberto</v>
          </cell>
          <cell r="G701">
            <v>42270.49722222222</v>
          </cell>
          <cell r="I701" t="str">
            <v xml:space="preserve">Contax </v>
          </cell>
          <cell r="J701" t="str">
            <v xml:space="preserve"> Ger Qualidade</v>
          </cell>
        </row>
        <row r="702">
          <cell r="B702" t="str">
            <v>CTXSPOLP-112537</v>
          </cell>
          <cell r="C702" t="str">
            <v>Projeto: Implantar tGuidance na Operação BV Financeira</v>
          </cell>
          <cell r="D702" t="str">
            <v>Bruno Guerra Ferreira</v>
          </cell>
          <cell r="E702" t="str">
            <v>Priscila Roberta dos S. Freitas</v>
          </cell>
          <cell r="F702" t="str">
            <v>Registrado</v>
          </cell>
          <cell r="G702">
            <v>42279.707638888889</v>
          </cell>
          <cell r="I702" t="str">
            <v xml:space="preserve">BV Financeira </v>
          </cell>
          <cell r="J702" t="str">
            <v xml:space="preserve"> SAC</v>
          </cell>
        </row>
        <row r="703">
          <cell r="B703" t="str">
            <v>CTXSPOLP-113720</v>
          </cell>
          <cell r="C703" t="str">
            <v>Migração Grupo Comunicação - Lapa</v>
          </cell>
          <cell r="D703" t="str">
            <v>Bruno Guerra Ferreira</v>
          </cell>
          <cell r="E703" t="str">
            <v>Paloma de Azevedo Almeida</v>
          </cell>
          <cell r="F703" t="str">
            <v>Registrado</v>
          </cell>
          <cell r="G703">
            <v>42300.67291666667</v>
          </cell>
          <cell r="I703" t="str">
            <v xml:space="preserve">Vivo </v>
          </cell>
          <cell r="J703" t="str">
            <v xml:space="preserve"> Vivo</v>
          </cell>
        </row>
        <row r="704">
          <cell r="B704" t="str">
            <v>CTXSPOLP-115114</v>
          </cell>
          <cell r="C704" t="str">
            <v>Projeto - Renovação de Servidores - Ticket</v>
          </cell>
          <cell r="D704" t="str">
            <v>Erica Fernandes Cotrim</v>
          </cell>
          <cell r="E704" t="str">
            <v>Flavio Reto</v>
          </cell>
          <cell r="F704" t="str">
            <v>Registrado</v>
          </cell>
          <cell r="G704">
            <v>42326.645833333336</v>
          </cell>
          <cell r="I704" t="str">
            <v xml:space="preserve">Ticket Serviços S/A </v>
          </cell>
          <cell r="J704" t="str">
            <v xml:space="preserve"> ADM e Ticket</v>
          </cell>
        </row>
        <row r="705">
          <cell r="B705" t="str">
            <v>CTXSPOLP-115117</v>
          </cell>
          <cell r="C705" t="str">
            <v>Projeto - URA Bacen - Ticket</v>
          </cell>
          <cell r="D705" t="str">
            <v>Erica Fernandes Cotrim</v>
          </cell>
          <cell r="E705" t="str">
            <v>Flavio Reto</v>
          </cell>
          <cell r="F705" t="str">
            <v>Registrado</v>
          </cell>
          <cell r="G705">
            <v>42326.660416666666</v>
          </cell>
          <cell r="I705" t="str">
            <v xml:space="preserve">Ticket Serviços S/A </v>
          </cell>
          <cell r="J705" t="str">
            <v xml:space="preserve"> ADM e Ticket</v>
          </cell>
        </row>
        <row r="706">
          <cell r="B706" t="str">
            <v>CTXSPOLP-115119</v>
          </cell>
          <cell r="C706" t="str">
            <v>Projeto - URANET - Ticket</v>
          </cell>
          <cell r="D706" t="str">
            <v>Erica Fernandes Cotrim</v>
          </cell>
          <cell r="E706" t="str">
            <v>Flavio Reto</v>
          </cell>
          <cell r="F706" t="str">
            <v>Registrado</v>
          </cell>
          <cell r="G706">
            <v>42326.668749999997</v>
          </cell>
          <cell r="I706" t="str">
            <v xml:space="preserve">Ticket Serviços S/A </v>
          </cell>
          <cell r="J706" t="str">
            <v xml:space="preserve"> ADM e Ticket</v>
          </cell>
        </row>
        <row r="707">
          <cell r="B707" t="str">
            <v>CTXSPOLP-115444</v>
          </cell>
          <cell r="C707" t="str">
            <v>Projeto - Alterar a plataforma de atendimento da operação Alelo de Altitude para Aspect</v>
          </cell>
          <cell r="D707" t="str">
            <v>Bruno Guerra Ferreira</v>
          </cell>
          <cell r="E707" t="str">
            <v>George Silva Dimitrov</v>
          </cell>
          <cell r="F707" t="str">
            <v>Registrado</v>
          </cell>
          <cell r="G707">
            <v>42333.658333333333</v>
          </cell>
          <cell r="I707" t="str">
            <v xml:space="preserve">Cielo </v>
          </cell>
          <cell r="J707" t="str">
            <v xml:space="preserve"> Campo</v>
          </cell>
        </row>
        <row r="708">
          <cell r="B708" t="str">
            <v>CTXSPOLP-115727</v>
          </cell>
          <cell r="C708" t="str">
            <v>Tabulador GT Portabilidade e Rural Cel</v>
          </cell>
          <cell r="D708" t="str">
            <v>Wagner Mattos Ribeiro Pinto</v>
          </cell>
          <cell r="E708" t="str">
            <v>Wagner Mattos Ribeiro Pinto</v>
          </cell>
          <cell r="F708" t="str">
            <v>Fechado</v>
          </cell>
          <cell r="G708">
            <v>42339.729861111111</v>
          </cell>
          <cell r="H708">
            <v>42401.648611111108</v>
          </cell>
          <cell r="I708" t="str">
            <v xml:space="preserve">Vivo </v>
          </cell>
          <cell r="J708" t="str">
            <v xml:space="preserve"> Vivo</v>
          </cell>
        </row>
        <row r="709">
          <cell r="B709" t="str">
            <v>CTXSPOLP-115869</v>
          </cell>
          <cell r="C709" t="str">
            <v>Migração POP 3 - Cielo Site Lapa X Site Alegria</v>
          </cell>
          <cell r="D709" t="str">
            <v>Leonardo Roberto de Medeiros Marques</v>
          </cell>
          <cell r="E709" t="str">
            <v>Giovana Ferreira de Souza</v>
          </cell>
          <cell r="F709" t="str">
            <v>Registrado</v>
          </cell>
          <cell r="G709">
            <v>42342.640277777777</v>
          </cell>
          <cell r="I709" t="str">
            <v xml:space="preserve">Santander </v>
          </cell>
          <cell r="J709" t="str">
            <v xml:space="preserve"> Santander</v>
          </cell>
        </row>
        <row r="710">
          <cell r="B710" t="str">
            <v>CTXSPOLP-116016</v>
          </cell>
          <cell r="C710" t="str">
            <v>Projeto: Migração POP 3 - Lapa vs Alegria: PA's Contingência Banco Toyota</v>
          </cell>
          <cell r="D710" t="str">
            <v>Bruno Guerra Ferreira</v>
          </cell>
          <cell r="E710" t="str">
            <v>Priscila Roberta dos S. Freitas</v>
          </cell>
          <cell r="F710" t="str">
            <v>Registrado</v>
          </cell>
          <cell r="G710">
            <v>42346.65902777778</v>
          </cell>
          <cell r="I710" t="str">
            <v xml:space="preserve">Banco Toyota </v>
          </cell>
          <cell r="J710" t="str">
            <v xml:space="preserve"> Suporte ao Cliente</v>
          </cell>
        </row>
        <row r="711">
          <cell r="B711" t="str">
            <v>CTXSPOLP-116960</v>
          </cell>
          <cell r="C711" t="str">
            <v>Criar OUs/GPOs para as operações BV que será migrada Lapa x Alegria</v>
          </cell>
          <cell r="D711" t="str">
            <v>Sem responsável</v>
          </cell>
          <cell r="E711" t="str">
            <v>Luciana da Silva Cardoso</v>
          </cell>
          <cell r="F711" t="str">
            <v>Registrado</v>
          </cell>
          <cell r="G711">
            <v>42380.503472222219</v>
          </cell>
          <cell r="I711" t="str">
            <v xml:space="preserve">BV Financeira </v>
          </cell>
          <cell r="J711" t="str">
            <v xml:space="preserve"> SAC</v>
          </cell>
        </row>
        <row r="712">
          <cell r="B712" t="str">
            <v>CTXSPOLP-116961</v>
          </cell>
          <cell r="C712" t="str">
            <v>Criar as OUs/GPOs para as operações Cielo na estrutura do site Alegria</v>
          </cell>
          <cell r="D712" t="str">
            <v>Sem responsável</v>
          </cell>
          <cell r="E712" t="str">
            <v>Luciana da Silva Cardoso</v>
          </cell>
          <cell r="F712" t="str">
            <v>Registrado</v>
          </cell>
          <cell r="G712">
            <v>42380.505555555559</v>
          </cell>
          <cell r="I712" t="str">
            <v xml:space="preserve">Cielo </v>
          </cell>
          <cell r="J712" t="str">
            <v xml:space="preserve"> ARV</v>
          </cell>
        </row>
        <row r="713">
          <cell r="B713" t="str">
            <v>CTXSPOLP-97254</v>
          </cell>
          <cell r="C713" t="str">
            <v>Projeto - Implantação de Front End Ayty na célula Alelo</v>
          </cell>
          <cell r="D713" t="str">
            <v>Rogerio Luiz da Silva</v>
          </cell>
          <cell r="E713" t="str">
            <v>Rogerio Luiz da Silva</v>
          </cell>
          <cell r="F713" t="str">
            <v>Fechado</v>
          </cell>
          <cell r="G713">
            <v>42034.609027777777</v>
          </cell>
          <cell r="H713">
            <v>42390.496527777781</v>
          </cell>
          <cell r="I713" t="str">
            <v xml:space="preserve">Cielo </v>
          </cell>
          <cell r="J713" t="str">
            <v xml:space="preserve"> Campo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ll Inspirion 1525" refreshedDate="42430.41374398148" createdVersion="5" refreshedVersion="5" minRefreshableVersion="3" recordCount="679">
  <cacheSource type="worksheet">
    <worksheetSource ref="A1:O680" sheet="general_report"/>
  </cacheSource>
  <cacheFields count="15">
    <cacheField name="Tipo de Solicitação" numFmtId="0">
      <sharedItems/>
    </cacheField>
    <cacheField name="Chave" numFmtId="0">
      <sharedItems/>
    </cacheField>
    <cacheField name="Resumo" numFmtId="0">
      <sharedItems/>
    </cacheField>
    <cacheField name="Serviço" numFmtId="0">
      <sharedItems containsBlank="1"/>
    </cacheField>
    <cacheField name="Cliente" numFmtId="0">
      <sharedItems count="25">
        <s v="Cielo "/>
        <s v="BV Financeira "/>
        <s v="Banco Toyota "/>
        <s v="Santander "/>
        <s v="Vivo "/>
        <s v="Ticket Serviços S/A "/>
        <s v="Contax "/>
        <s v="Credsystem "/>
        <s v="Citibank "/>
        <s v="Serasa "/>
        <s v="Bradesco "/>
        <s v="Claro "/>
        <s v="TAM "/>
        <s v="Orbitall "/>
        <s v="Oi "/>
        <s v="Net "/>
        <s v="Itaú "/>
        <s v="Intermédica "/>
        <s v="BB Mapfre "/>
        <s v="Nextel "/>
        <s v="Prefeitura RJ "/>
        <e v="#N/A"/>
        <s v="Souza Cruz "/>
        <s v="Leader Magazine "/>
        <s v="ELEKTRO "/>
      </sharedItems>
    </cacheField>
    <cacheField name="Operação" numFmtId="0">
      <sharedItems containsMixedTypes="1" containsNumber="1" containsInteger="1" minValue="102" maxValue="102"/>
    </cacheField>
    <cacheField name="Responsável" numFmtId="0">
      <sharedItems/>
    </cacheField>
    <cacheField name="Criador" numFmtId="0">
      <sharedItems/>
    </cacheField>
    <cacheField name="Status" numFmtId="0">
      <sharedItems count="7">
        <s v="Registrado"/>
        <s v="Fechado"/>
        <s v="Aberto"/>
        <s v="Resolvido"/>
        <s v="Reaberto"/>
        <s v="Em Andamento"/>
        <s v="Pendência Externa"/>
      </sharedItems>
    </cacheField>
    <cacheField name="Criado" numFmtId="22">
      <sharedItems containsSemiMixedTypes="0" containsNonDate="0" containsDate="1" containsString="0" minDate="2014-05-15T12:36:00" maxDate="2016-02-18T13:33:00"/>
    </cacheField>
    <cacheField name="Resolvido" numFmtId="0">
      <sharedItems containsNonDate="0" containsDate="1" containsString="0" containsBlank="1" minDate="2015-10-22T15:35:00" maxDate="2016-02-18T09:47:00"/>
    </cacheField>
    <cacheField name="Duração" numFmtId="164">
      <sharedItems containsSemiMixedTypes="0" containsString="0" containsNumber="1" minValue="4.0972222224809229E-2" maxValue="655.47499999999854"/>
    </cacheField>
    <cacheField name="mês" numFmtId="0">
      <sharedItems containsSemiMixedTypes="0" containsString="0" containsNumber="1" containsInteger="1" minValue="1" maxValue="12"/>
    </cacheField>
    <cacheField name="ano" numFmtId="0">
      <sharedItems containsSemiMixedTypes="0" containsString="0" containsNumber="1" containsInteger="1" minValue="2014" maxValue="2016"/>
    </cacheField>
    <cacheField name="Faixa duração" numFmtId="0">
      <sharedItems count="6">
        <s v="entre 30 e 60 dias"/>
        <s v="entre 60 e 90 dias"/>
        <s v="entre 90 e 150 dias"/>
        <s v="mais de 150 dias"/>
        <s v="menos 1 mês"/>
        <s v="&quot;maisde150dia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Dell Inspirion 1525" refreshedDate="42430.41374502315" createdVersion="5" refreshedVersion="5" minRefreshableVersion="3" recordCount="679">
  <cacheSource type="worksheet">
    <worksheetSource ref="A1:N680" sheet="general_report"/>
  </cacheSource>
  <cacheFields count="14">
    <cacheField name="Tipo de Solicitação" numFmtId="0">
      <sharedItems/>
    </cacheField>
    <cacheField name="Chave" numFmtId="0">
      <sharedItems/>
    </cacheField>
    <cacheField name="Resumo" numFmtId="0">
      <sharedItems/>
    </cacheField>
    <cacheField name="Serviço" numFmtId="0">
      <sharedItems containsBlank="1"/>
    </cacheField>
    <cacheField name="Cliente" numFmtId="0">
      <sharedItems/>
    </cacheField>
    <cacheField name="Operação" numFmtId="0">
      <sharedItems containsMixedTypes="1" containsNumber="1" containsInteger="1" minValue="102" maxValue="102"/>
    </cacheField>
    <cacheField name="Responsável" numFmtId="0">
      <sharedItems count="73">
        <s v="Sem responsável"/>
        <s v="Bruno Guerra Ferreira"/>
        <s v="Leonardo Roberto de Medeiros Marques"/>
        <s v="Wagner Mattos Ribeiro Pinto"/>
        <s v="Erica Fernandes Cotrim"/>
        <s v="Leandro Tosto Cabral"/>
        <s v="Rogerio Luiz da Silva"/>
        <s v="Carlos Batista Alves"/>
        <s v="Fabiane Evangelista Cavalcante"/>
        <s v="Vania de Moraes Colella"/>
        <s v="Luciana da Silva Cardoso"/>
        <s v="Expedito Sousa de Almeida"/>
        <s v="BRUNO DIEGO ANTUNES RIBEIRO"/>
        <s v="Paulo Roberto da Costa Cavalcante"/>
        <s v="Mauricio Guiel Marques"/>
        <s v="JONAS SANTOS DO AMOR DIVINO"/>
        <s v="Joice Pereira De Souza"/>
        <s v="Cleverson Inhota Nunes"/>
        <s v="Jaime Froilan de Souza Alosilla"/>
        <s v="Mauricio Teixeira da Fonseca"/>
        <s v="Agnaldo Jose de Freitas Caetano"/>
        <s v="Debora Gercke Dominas"/>
        <s v="Dalton Bondesan"/>
        <s v="Edison Nei Siqueira"/>
        <s v="Flavio Reto"/>
        <s v="Robson da Costa"/>
        <s v="José Adriano Costa"/>
        <s v="Cristina Rey Kamradt"/>
        <s v="Cristiane Gon�alves Kuzuhara"/>
        <s v="Julio Cesar da Silva"/>
        <s v="Tiago dos Santos Fialho"/>
        <s v="Marco Aurelio Brandao Duarte"/>
        <s v="Mariana da Costa Mello"/>
        <s v="Priscila Menezes de Sousa Pinto"/>
        <s v="Maria Carla Pereira dos Santos"/>
        <s v="Leonardo Machado Anastacio"/>
        <s v="Joyce Faria Barbosa"/>
        <s v="Joao Carlos Fadul Vilas Boas"/>
        <s v="Kathleen Porto"/>
        <s v="Marco Aurelio Chuim Cruz Filho"/>
        <s v="Juliano Molina"/>
        <s v="Anderson Luiz Gon�alves de Alcantara"/>
        <s v="Fabiana Hoffmann"/>
        <s v="Anthonny Stallone Santos de Souza"/>
        <s v="LIGIA MARIA DE ALMEIDA ALVES"/>
        <s v="Giovana Ferreira de Souza"/>
        <s v="Fernanda Nazario Menezes"/>
        <s v="Administrador"/>
        <s v="Nelson Klaus Araujo Goncalves"/>
        <s v="Tatiane Rodrigues Dallecrode"/>
        <s v="Rodrigo Ribeiro de Araujo"/>
        <s v="Alexsander Alves Santos"/>
        <s v="Luciana Mattos Andrade"/>
        <s v="Fabiana Aparecida Lopes de Carvalho"/>
        <s v="F�bio Prazeres da Silva"/>
        <s v="Livia de Deus Henriques Rodrigues"/>
        <s v="Marcelo Caldeira Pedroso do Nascimento"/>
        <s v="Ricardo de Oliveira Flores"/>
        <s v="Ricardo Jose Souza de Albuquerque"/>
        <s v="Maiara Tavares da Cruz"/>
        <s v="Raphael Andre Marcandier Goncalves"/>
        <s v="Cristiano Fernandes Melo"/>
        <s v="Lisandra Pereira do Nascimento"/>
        <s v="José Perboyre Cavalcante Pinheiro Neto"/>
        <s v="Lucas Lourenco de Melo"/>
        <s v="Sterlaine Priscila Araujo Gomes"/>
        <s v="Alexandre Teixeira de Pinho"/>
        <s v="Juan Chagas Lage"/>
        <s v="David Lima Cavalcante"/>
        <s v="Janaina Bossan"/>
        <s v="Luciana Aparecida Muniz Gon�alves"/>
        <s v="Leonardo Pellegrini Vieira"/>
        <s v="Elaine Cristina Ferreira"/>
      </sharedItems>
    </cacheField>
    <cacheField name="Criador" numFmtId="0">
      <sharedItems/>
    </cacheField>
    <cacheField name="Status" numFmtId="0">
      <sharedItems count="7">
        <s v="Registrado"/>
        <s v="Fechado"/>
        <s v="Aberto"/>
        <s v="Resolvido"/>
        <s v="Reaberto"/>
        <s v="Em Andamento"/>
        <s v="Pendência Externa"/>
      </sharedItems>
    </cacheField>
    <cacheField name="Criado" numFmtId="22">
      <sharedItems containsSemiMixedTypes="0" containsNonDate="0" containsDate="1" containsString="0" minDate="2014-05-15T12:36:00" maxDate="2016-02-18T13:33:00"/>
    </cacheField>
    <cacheField name="Resolvido" numFmtId="0">
      <sharedItems containsNonDate="0" containsDate="1" containsString="0" containsBlank="1" minDate="2015-10-22T15:35:00" maxDate="2016-02-18T09:47:00"/>
    </cacheField>
    <cacheField name="Duração" numFmtId="164">
      <sharedItems containsSemiMixedTypes="0" containsString="0" containsNumber="1" minValue="4.0972222224809229E-2" maxValue="655.47499999999854"/>
    </cacheField>
    <cacheField name="mês" numFmtId="0">
      <sharedItems containsSemiMixedTypes="0" containsString="0" containsNumber="1" containsInteger="1" minValue="1" maxValue="12" count="12">
        <n v="1"/>
        <n v="12"/>
        <n v="11"/>
        <n v="10"/>
        <n v="9"/>
        <n v="7"/>
        <n v="6"/>
        <n v="5"/>
        <n v="4"/>
        <n v="2"/>
        <n v="8"/>
        <n v="3"/>
      </sharedItems>
    </cacheField>
    <cacheField name="ano" numFmtId="0">
      <sharedItems containsSemiMixedTypes="0" containsString="0" containsNumber="1" containsInteger="1" minValue="2014" maxValue="2016" count="3">
        <n v="2016"/>
        <n v="2015"/>
        <n v="201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79">
  <r>
    <s v="Requisição de Serviços"/>
    <s v="CTXSPOLP-116961"/>
    <s v="Criar as OUs/GPOs para as operações Cielo na estrutura do site Alegria"/>
    <s v="atendimento"/>
    <x v="0"/>
    <s v=" ARV"/>
    <s v="Sem responsável"/>
    <s v="Luciana da Silva Cardoso"/>
    <x v="0"/>
    <d v="2016-01-11T12:08:00"/>
    <m/>
    <n v="49.494444444440887"/>
    <n v="1"/>
    <n v="2016"/>
    <x v="0"/>
  </r>
  <r>
    <s v="Requisição de Serviços"/>
    <s v="CTXSPOLP-116960"/>
    <s v="Criar OUs/GPOs para as operações BV que será migrada Lapa x Alegria"/>
    <s v="atendimento"/>
    <x v="1"/>
    <s v=" SAC"/>
    <s v="Sem responsável"/>
    <s v="Luciana da Silva Cardoso"/>
    <x v="0"/>
    <d v="2016-01-11T12:05:00"/>
    <m/>
    <n v="49.496527777781012"/>
    <n v="1"/>
    <n v="2016"/>
    <x v="0"/>
  </r>
  <r>
    <s v="Requisição de Serviços"/>
    <s v="CTXSPOLP-116016"/>
    <s v="Projeto: Migração POP 3 - Lapa vs Alegria: PA's Contingência Banco Toyota"/>
    <s v="atendimento"/>
    <x v="2"/>
    <s v=" Suporte ao Cliente"/>
    <s v="Bruno Guerra Ferreira"/>
    <s v="Priscila Roberta dos S. Freitas"/>
    <x v="0"/>
    <d v="2015-12-08T15:49:00"/>
    <m/>
    <n v="83.340972222220444"/>
    <n v="12"/>
    <n v="2015"/>
    <x v="1"/>
  </r>
  <r>
    <s v="Requisição de Serviços"/>
    <s v="CTXSPOLP-115869"/>
    <s v="Migração POP 3 - Cielo Site Lapa X Site Alegria"/>
    <s v="atendimento"/>
    <x v="3"/>
    <s v=" Santander"/>
    <s v="Leonardo Roberto de Medeiros Marques"/>
    <s v="Giovana Ferreira de Souza"/>
    <x v="0"/>
    <d v="2015-12-04T15:22:00"/>
    <m/>
    <n v="87.359722222223354"/>
    <n v="12"/>
    <n v="2015"/>
    <x v="1"/>
  </r>
  <r>
    <s v="Requisição de Serviços"/>
    <s v="CTXSPOLP-115727"/>
    <s v="Tabulador GT Portabilidade e Rural Cel"/>
    <s v="atendimento"/>
    <x v="4"/>
    <s v=" Vivo"/>
    <s v="Wagner Mattos Ribeiro Pinto"/>
    <s v="Wagner Mattos Ribeiro Pinto"/>
    <x v="1"/>
    <d v="2015-12-01T17:31:00"/>
    <d v="2016-02-01T15:34:00"/>
    <n v="61.91874999999709"/>
    <n v="12"/>
    <n v="2015"/>
    <x v="1"/>
  </r>
  <r>
    <s v="Requisição de Serviços"/>
    <s v="CTXSPOLP-115444"/>
    <s v="Projeto - Alterar a plataforma de atendimento da operação Alelo de Altitude para Aspect"/>
    <s v="atendimento"/>
    <x v="0"/>
    <s v=" Campo"/>
    <s v="Bruno Guerra Ferreira"/>
    <s v="George Silva Dimitrov"/>
    <x v="0"/>
    <d v="2015-11-25T15:48:00"/>
    <m/>
    <n v="96.341666666667152"/>
    <n v="11"/>
    <n v="2015"/>
    <x v="2"/>
  </r>
  <r>
    <s v="Requisição de Serviços"/>
    <s v="CTXSPOLP-115119"/>
    <s v="Projeto - URANET - Ticket"/>
    <s v="atendimento"/>
    <x v="5"/>
    <s v=" ADM e Ticket"/>
    <s v="Erica Fernandes Cotrim"/>
    <s v="Flavio Reto"/>
    <x v="0"/>
    <d v="2015-11-18T16:03:00"/>
    <m/>
    <n v="103.33125000000291"/>
    <n v="11"/>
    <n v="2015"/>
    <x v="2"/>
  </r>
  <r>
    <s v="Requisição de Serviços"/>
    <s v="CTXSPOLP-115117"/>
    <s v="Projeto - URA Bacen - Ticket"/>
    <s v="atendimento"/>
    <x v="5"/>
    <s v=" ADM e Ticket"/>
    <s v="Erica Fernandes Cotrim"/>
    <s v="Flavio Reto"/>
    <x v="0"/>
    <d v="2015-11-18T15:51:00"/>
    <m/>
    <n v="103.3395833333343"/>
    <n v="11"/>
    <n v="2015"/>
    <x v="2"/>
  </r>
  <r>
    <s v="Requisição de Serviços"/>
    <s v="CTXSPOLP-115114"/>
    <s v="Projeto - Renovação de Servidores - Ticket"/>
    <s v="atendimento"/>
    <x v="5"/>
    <s v=" ADM e Ticket"/>
    <s v="Erica Fernandes Cotrim"/>
    <s v="Flavio Reto"/>
    <x v="0"/>
    <d v="2015-11-18T15:30:00"/>
    <m/>
    <n v="103.35416666666424"/>
    <n v="11"/>
    <n v="2015"/>
    <x v="2"/>
  </r>
  <r>
    <s v="Requisição de Serviços"/>
    <s v="CTXSPOLP-113720"/>
    <s v="Migração Grupo Comunicação - Lapa"/>
    <s v="atendimento"/>
    <x v="4"/>
    <s v=" Vivo"/>
    <s v="Bruno Guerra Ferreira"/>
    <s v="Paloma de Azevedo Almeida"/>
    <x v="0"/>
    <d v="2015-10-23T16:09:00"/>
    <m/>
    <n v="129.32708333332994"/>
    <n v="10"/>
    <n v="2015"/>
    <x v="2"/>
  </r>
  <r>
    <s v="Requisição de Serviços"/>
    <s v="CTXSPOLP-112537"/>
    <s v="Projeto: Implantar tGuidance na Operação BV Financeira"/>
    <s v="atendimento"/>
    <x v="1"/>
    <s v=" SAC"/>
    <s v="Bruno Guerra Ferreira"/>
    <s v="Priscila Roberta dos S. Freitas"/>
    <x v="0"/>
    <d v="2015-10-02T16:59:00"/>
    <m/>
    <n v="150.29236111111095"/>
    <n v="10"/>
    <n v="2015"/>
    <x v="3"/>
  </r>
  <r>
    <s v="Requisição de Serviços"/>
    <s v="CTXSPOLP-111956"/>
    <s v="Projeto - Monitoria da Qualidade"/>
    <s v="Qualidade"/>
    <x v="6"/>
    <s v=" Ger Qualidade"/>
    <s v="Leandro Tosto Cabral"/>
    <s v="Robson da Costa"/>
    <x v="2"/>
    <d v="2015-09-23T11:56:00"/>
    <m/>
    <n v="159.50277777777956"/>
    <n v="9"/>
    <n v="2015"/>
    <x v="3"/>
  </r>
  <r>
    <s v="Requisição de Serviços"/>
    <s v="CTXSPOLP-111381"/>
    <s v="Projeto - Contratação de 3 E1's, do fornecedor Option para Alelo"/>
    <s v="atendimento"/>
    <x v="0"/>
    <s v=" Campo"/>
    <s v="Bruno Guerra Ferreira"/>
    <s v="Rogerio Luiz da Silva"/>
    <x v="0"/>
    <d v="2015-09-14T11:43:00"/>
    <m/>
    <n v="168.51180555555766"/>
    <n v="9"/>
    <n v="2015"/>
    <x v="3"/>
  </r>
  <r>
    <s v="Requisição de Serviços"/>
    <s v="CTXSPOLP-111246"/>
    <s v="Projeto - Desenvolvimento do t!guidance da célula Fidelidade - FASE 2"/>
    <s v="atendimento"/>
    <x v="0"/>
    <s v=" Campo"/>
    <s v="Bruno Guerra Ferreira"/>
    <s v="Rogerio Luiz da Silva"/>
    <x v="2"/>
    <d v="2015-09-10T16:49:00"/>
    <m/>
    <n v="172.2993055555562"/>
    <n v="9"/>
    <n v="2015"/>
    <x v="3"/>
  </r>
  <r>
    <s v="Requisição de Serviços"/>
    <s v="CTXSPOLP-111079"/>
    <s v="Projeto - Criar Plano Documento de Draft PCN para BV Financeira"/>
    <s v="Continuidade"/>
    <x v="1"/>
    <s v=" SAC"/>
    <s v="Bruno Guerra Ferreira"/>
    <s v="Carlos Batista Alves"/>
    <x v="0"/>
    <d v="2015-09-09T11:45:00"/>
    <m/>
    <n v="173.51041666666424"/>
    <n v="9"/>
    <n v="2015"/>
    <x v="3"/>
  </r>
  <r>
    <s v="Requisição de Serviços"/>
    <s v="CTXSPOLP-110901"/>
    <s v="Melhorias relatório GT - Vivo"/>
    <s v="Gestão"/>
    <x v="4"/>
    <s v=" Vivo"/>
    <s v="Bruno Guerra Ferreira"/>
    <s v="Luciana da Silva Cardoso"/>
    <x v="2"/>
    <d v="2015-09-03T17:52:00"/>
    <m/>
    <n v="179.25555555555911"/>
    <n v="9"/>
    <n v="2015"/>
    <x v="3"/>
  </r>
  <r>
    <s v="Requisição de Serviços"/>
    <s v="CTXSPOLP-110890"/>
    <s v="Novas árvores de perfilamento - Tabulador e Relatórios p/ os GT's (Móvel)"/>
    <s v="atendimento"/>
    <x v="4"/>
    <s v=" Vivo"/>
    <s v="Bruno Guerra Ferreira"/>
    <s v="Luciana da Silva Cardoso"/>
    <x v="2"/>
    <d v="2015-09-03T17:19:00"/>
    <m/>
    <n v="179.27847222222044"/>
    <n v="9"/>
    <n v="2015"/>
    <x v="3"/>
  </r>
  <r>
    <s v="Requisição de Serviços"/>
    <s v="CTXSPOLP-110808"/>
    <s v="Projeto - Disponibilização WiFi para cliente Cielo"/>
    <s v="atendimento"/>
    <x v="0"/>
    <s v=" ARV"/>
    <s v="Rogerio Luiz da Silva"/>
    <s v="Rogerio Luiz da Silva"/>
    <x v="3"/>
    <d v="2015-09-02T19:14:00"/>
    <d v="2016-02-15T10:30:00"/>
    <n v="165.63611111111095"/>
    <n v="9"/>
    <n v="2015"/>
    <x v="3"/>
  </r>
  <r>
    <s v="Requisição de Serviços"/>
    <s v="CTXSPOLP-108931"/>
    <s v="Projeto - Inserção de Frase Temporária da URA Cielo Fidelidade"/>
    <s v="atendimento"/>
    <x v="0"/>
    <s v=" Cielo AMEX"/>
    <s v="Carlos Batista Alves"/>
    <s v="Carlos Batista Alves"/>
    <x v="1"/>
    <d v="2015-07-31T12:41:00"/>
    <d v="2015-12-16T17:04:00"/>
    <n v="138.1826388888876"/>
    <n v="7"/>
    <n v="2015"/>
    <x v="2"/>
  </r>
  <r>
    <s v="Requisição de Serviços"/>
    <s v="CTXSPOLP-108376"/>
    <s v="Projeto - Projeto - Instalação de aparelhos Avaya | Cielo"/>
    <s v="Continuidade"/>
    <x v="6"/>
    <s v=" Dir. Clientes Especiais"/>
    <s v="Fabiane Evangelista Cavalcante"/>
    <s v="Fabiane Evangelista Cavalcante"/>
    <x v="1"/>
    <d v="2015-07-23T11:00:00"/>
    <d v="2016-02-04T16:49:00"/>
    <n v="196.24236111110804"/>
    <n v="7"/>
    <n v="2015"/>
    <x v="3"/>
  </r>
  <r>
    <s v="Requisição de Serviços"/>
    <s v="CTXSPOLP-108012"/>
    <s v="Implantar URA de pesquisa de qualidade - Ilha de Contas"/>
    <s v="Qualidade"/>
    <x v="4"/>
    <s v=" Vivo"/>
    <s v="Bruno Guerra Ferreira"/>
    <s v="Paloma de Azevedo Almeida"/>
    <x v="2"/>
    <d v="2015-07-16T09:08:00"/>
    <m/>
    <n v="228.61944444444089"/>
    <n v="7"/>
    <n v="2015"/>
    <x v="3"/>
  </r>
  <r>
    <s v="Requisição de Serviços"/>
    <s v="CTXSPOLP-106246"/>
    <s v="Projeto - Desenvolvimento de Front End para a célula Small"/>
    <s v="atendimento"/>
    <x v="0"/>
    <s v=" Campo"/>
    <s v="Erica Fernandes Cotrim"/>
    <s v="Rogerio Luiz da Silva"/>
    <x v="2"/>
    <d v="2015-06-17T08:50:00"/>
    <m/>
    <n v="257.63194444444525"/>
    <n v="6"/>
    <n v="2015"/>
    <x v="3"/>
  </r>
  <r>
    <s v="Requisição de Serviços"/>
    <s v="CTXSPOLP-105680"/>
    <s v="Projeto - Continuidade no desenvolvimento do t!guidance da célula Fidelidade"/>
    <s v="atendimento"/>
    <x v="0"/>
    <s v=" ARV"/>
    <s v="Rogerio Luiz da Silva"/>
    <s v="Rogerio Luiz da Silva"/>
    <x v="1"/>
    <d v="2015-06-08T09:58:00"/>
    <d v="2016-02-03T11:30:00"/>
    <n v="240.06388888888614"/>
    <n v="6"/>
    <n v="2015"/>
    <x v="3"/>
  </r>
  <r>
    <s v="Requisição de Serviços"/>
    <s v="CTXSPOLP-104419"/>
    <s v="Projeto: Implantação t-Supervisor - BV Financeira"/>
    <s v="atendimento"/>
    <x v="1"/>
    <s v=" SAC"/>
    <s v="Bruno Guerra Ferreira"/>
    <s v="Priscila Roberta dos S. Freitas"/>
    <x v="2"/>
    <d v="2015-05-13T13:51:00"/>
    <m/>
    <n v="292.42291666667006"/>
    <n v="5"/>
    <n v="2015"/>
    <x v="3"/>
  </r>
  <r>
    <s v="Requisição de Serviços"/>
    <s v="CTXSPOLP-102656"/>
    <s v="Projeto - Preparação Ambiente Homologação Aspect 7.1"/>
    <s v="atendimento"/>
    <x v="0"/>
    <s v=" ARV"/>
    <s v="Bruno Guerra Ferreira"/>
    <s v="Robson da Costa"/>
    <x v="2"/>
    <d v="2015-04-14T11:59:00"/>
    <m/>
    <n v="321.50069444444671"/>
    <n v="4"/>
    <n v="2015"/>
    <x v="3"/>
  </r>
  <r>
    <s v="Requisição de Serviços"/>
    <s v="CTXSPOLP-97254"/>
    <s v="Projeto - Implantação de Front End Ayty na célula Alelo"/>
    <s v="atendimento"/>
    <x v="0"/>
    <s v=" Campo"/>
    <s v="Rogerio Luiz da Silva"/>
    <s v="Rogerio Luiz da Silva"/>
    <x v="1"/>
    <d v="2015-01-30T14:37:00"/>
    <d v="2016-01-21T11:55:00"/>
    <n v="355.88750000000437"/>
    <n v="1"/>
    <n v="2015"/>
    <x v="3"/>
  </r>
  <r>
    <s v="Requisição de Serviços"/>
    <s v="CTXSPODP-11512"/>
    <s v="Projeto - Projeto"/>
    <s v="Treinamento"/>
    <x v="6"/>
    <s v=" Ger Adm RH"/>
    <s v="Sem responsável"/>
    <s v="BRUNO PIMENTEL DOS SANTOS"/>
    <x v="4"/>
    <d v="2015-02-26T20:19:00"/>
    <m/>
    <n v="368.15347222222044"/>
    <n v="2"/>
    <n v="2015"/>
    <x v="3"/>
  </r>
  <r>
    <s v="Requisição de Serviços"/>
    <s v="CTXSPOBF-135197"/>
    <s v="Projeto - Colocar as frases que foram gravadas para as URAS RCI Cliente 4004-9898 e URA Parceiro 4004-2348"/>
    <s v="atendimento"/>
    <x v="3"/>
    <s v=" Santander"/>
    <s v="Sem responsável"/>
    <s v="George Silva Dimitrov"/>
    <x v="0"/>
    <d v="2016-01-28T15:59:00"/>
    <m/>
    <n v="32.334027777775191"/>
    <n v="1"/>
    <n v="2016"/>
    <x v="0"/>
  </r>
  <r>
    <s v="Requisição de Serviços"/>
    <s v="CTXSPOBF-135040"/>
    <s v="Implantar Ferramenta Whisbi - Ticket B2B Infra"/>
    <s v="atendimento"/>
    <x v="5"/>
    <s v=" Ticket B2B"/>
    <s v="Sem responsável"/>
    <s v="Priscila Roberta dos S. Freitas"/>
    <x v="0"/>
    <d v="2016-01-27T15:34:00"/>
    <m/>
    <n v="33.351388888891961"/>
    <n v="1"/>
    <n v="2016"/>
    <x v="0"/>
  </r>
  <r>
    <s v="Requisição de Serviços"/>
    <s v="CTXSPOBF-134523"/>
    <s v="Problema página Interatividade no portal Vivo - Operação Anatel"/>
    <s v="atendimento"/>
    <x v="4"/>
    <s v=" Vivo"/>
    <s v="Sem responsável"/>
    <s v="Luciana da Silva Cardoso"/>
    <x v="0"/>
    <d v="2016-01-21T11:21:00"/>
    <m/>
    <n v="39.527083333334303"/>
    <n v="1"/>
    <n v="2016"/>
    <x v="0"/>
  </r>
  <r>
    <s v="Requisição de Serviços"/>
    <s v="CTXSPOBF-134042"/>
    <s v="RTI - Integração Vivo 360 x Tclock - Móvel"/>
    <s v="atendimento"/>
    <x v="4"/>
    <s v=" Vivo"/>
    <s v="Sem responsável"/>
    <s v="Wagner Mattos Ribeiro Pinto"/>
    <x v="0"/>
    <d v="2016-01-18T09:54:00"/>
    <m/>
    <n v="42.587500000001455"/>
    <n v="1"/>
    <n v="2016"/>
    <x v="0"/>
  </r>
  <r>
    <s v="Requisição de Serviços"/>
    <s v="CTXSPOBF-133846"/>
    <s v="MIGRAÇÃO CONTAS PJ"/>
    <s v="atendimento"/>
    <x v="4"/>
    <s v=" Vivo"/>
    <s v="Vania de Moraes Colella"/>
    <s v="Vania de Moraes Colella"/>
    <x v="3"/>
    <d v="2016-01-14T16:56:00"/>
    <d v="2016-02-17T10:13:00"/>
    <n v="33.72013888888614"/>
    <n v="1"/>
    <n v="2016"/>
    <x v="0"/>
  </r>
  <r>
    <s v="Requisição de Serviços"/>
    <s v="CTXSPOBF-133023"/>
    <s v="Projeto - Mudança de máquinas da operação Santander CR - Site Antártica para o Site Alegria"/>
    <s v="atendimento"/>
    <x v="3"/>
    <s v=" Santander"/>
    <s v="Sem responsável"/>
    <s v="George Silva Dimitrov"/>
    <x v="0"/>
    <d v="2016-01-06T11:59:00"/>
    <m/>
    <n v="54.500694444446708"/>
    <n v="1"/>
    <n v="2016"/>
    <x v="0"/>
  </r>
  <r>
    <s v="Requisição de Serviços"/>
    <s v="CTXSPOBF-132464"/>
    <s v="CRESCIMENTO SUPORTE A PARCEIROS - SITE ANTARTICA"/>
    <s v="Suporte a Parceiros"/>
    <x v="4"/>
    <s v=" Vivo"/>
    <s v="Sem responsável"/>
    <s v="Vania de Moraes Colella"/>
    <x v="0"/>
    <d v="2015-12-28T11:08:00"/>
    <m/>
    <n v="63.536111111112405"/>
    <n v="12"/>
    <n v="2015"/>
    <x v="1"/>
  </r>
  <r>
    <s v="Requisição de Serviços"/>
    <s v="CTXSPOBF-132100"/>
    <s v="Projeto - Ura Parceiro RCI 4004-2348"/>
    <s v="atendimento"/>
    <x v="3"/>
    <s v=" Santander"/>
    <s v="Bruno Guerra Ferreira"/>
    <s v="George Silva Dimitrov"/>
    <x v="0"/>
    <d v="2015-12-21T09:16:00"/>
    <m/>
    <n v="70.613888888889051"/>
    <n v="12"/>
    <n v="2015"/>
    <x v="1"/>
  </r>
  <r>
    <s v="Requisição de Serviços"/>
    <s v="CTXSPOBF-131094"/>
    <s v="Implantar 12 posições Retenção PF"/>
    <s v="atendimento"/>
    <x v="4"/>
    <s v=" Vivo"/>
    <s v="Luciana da Silva Cardoso"/>
    <s v="Luciana da Silva Cardoso"/>
    <x v="1"/>
    <d v="2015-12-08T15:45:00"/>
    <d v="2016-01-27T14:07:00"/>
    <n v="49.931944444440887"/>
    <n v="12"/>
    <n v="2015"/>
    <x v="0"/>
  </r>
  <r>
    <s v="Requisição de Serviços"/>
    <s v="CTXSPOBF-130612"/>
    <s v="Inclusão de Liberação em GPO"/>
    <s v="atendimento"/>
    <x v="4"/>
    <s v=" Vivo"/>
    <s v="Sem responsável"/>
    <s v="Vania de Moraes Colella"/>
    <x v="1"/>
    <d v="2015-12-01T15:26:00"/>
    <d v="2015-12-17T13:07:00"/>
    <n v="15.903472222220444"/>
    <n v="12"/>
    <n v="2015"/>
    <x v="4"/>
  </r>
  <r>
    <s v="Requisição de Serviços"/>
    <s v="CTXSPOBF-130532"/>
    <s v="TETRIS ANTARTICA - BASICO COMERCIAL"/>
    <s v="atendimento"/>
    <x v="4"/>
    <s v=" Vivo"/>
    <s v="Vania de Moraes Colella"/>
    <s v="Vania de Moraes Colella"/>
    <x v="1"/>
    <d v="2015-11-30T16:53:00"/>
    <d v="2015-12-21T15:13:00"/>
    <n v="20.930555555554747"/>
    <n v="11"/>
    <n v="2015"/>
    <x v="4"/>
  </r>
  <r>
    <s v="Requisição de Serviços"/>
    <s v="CTXSPOBF-130531"/>
    <s v="TETRIS ANTARTICA - RETENÇÃO PF"/>
    <s v="atendimento"/>
    <x v="4"/>
    <s v=" Vivo"/>
    <s v="Vania de Moraes Colella"/>
    <s v="Vania de Moraes Colella"/>
    <x v="1"/>
    <d v="2015-11-30T16:48:00"/>
    <d v="2015-12-21T15:22:00"/>
    <n v="20.940277777779556"/>
    <n v="11"/>
    <n v="2015"/>
    <x v="4"/>
  </r>
  <r>
    <s v="Requisição de Serviços"/>
    <s v="CTXSPOBF-130529"/>
    <s v="TETRIS ANTARTICA - FWT"/>
    <s v="atendimento"/>
    <x v="4"/>
    <s v=" Vivo"/>
    <s v="Vania de Moraes Colella"/>
    <s v="Vania de Moraes Colella"/>
    <x v="1"/>
    <d v="2015-11-30T16:21:00"/>
    <d v="2015-12-21T15:15:00"/>
    <n v="20.954166666662786"/>
    <n v="11"/>
    <n v="2015"/>
    <x v="4"/>
  </r>
  <r>
    <s v="Requisição de Serviços"/>
    <s v="CTXSPOBF-130503"/>
    <s v="TETRIS ANTARTICA - SUPORTES"/>
    <s v="atendimento"/>
    <x v="4"/>
    <s v=" Vivo"/>
    <s v="Vania de Moraes Colella"/>
    <s v="Vania de Moraes Colella"/>
    <x v="1"/>
    <d v="2015-11-30T13:22:00"/>
    <d v="2015-12-21T15:18:00"/>
    <n v="21.080555555556202"/>
    <n v="11"/>
    <n v="2015"/>
    <x v="4"/>
  </r>
  <r>
    <s v="Requisição de Serviços"/>
    <s v="CTXSPOBF-130502"/>
    <s v="TETRIS ANTARTICA - TECNICO MOVEL"/>
    <s v="atendimento"/>
    <x v="4"/>
    <s v=" Vivo"/>
    <s v="Vania de Moraes Colella"/>
    <s v="Vania de Moraes Colella"/>
    <x v="1"/>
    <d v="2015-11-30T13:13:00"/>
    <d v="2015-12-21T15:20:00"/>
    <n v="21.088194444448163"/>
    <n v="11"/>
    <n v="2015"/>
    <x v="4"/>
  </r>
  <r>
    <s v="Requisição de Serviços"/>
    <s v="CTXSPOBF-130466"/>
    <s v="TETRIS ANTARTICA - TECNICO BASICO"/>
    <s v="atendimento"/>
    <x v="4"/>
    <s v=" Vivo"/>
    <s v="Vania de Moraes Colella"/>
    <s v="Vania de Moraes Colella"/>
    <x v="1"/>
    <d v="2015-11-30T09:50:00"/>
    <d v="2015-12-21T15:11:00"/>
    <n v="21.222916666672972"/>
    <n v="11"/>
    <n v="2015"/>
    <x v="4"/>
  </r>
  <r>
    <s v="Requisição de Serviços"/>
    <s v="CTXSPOBF-130334"/>
    <s v="Projeto - Fraseologia Renault/ Nissan RCI 2016"/>
    <s v="atendimento"/>
    <x v="3"/>
    <s v=" Santander"/>
    <s v="Bruno Guerra Ferreira"/>
    <s v="George Silva Dimitrov"/>
    <x v="0"/>
    <d v="2015-11-26T17:23:00"/>
    <m/>
    <n v="95.275694444440887"/>
    <n v="11"/>
    <n v="2015"/>
    <x v="2"/>
  </r>
  <r>
    <s v="Requisição de Serviços"/>
    <s v="CTXSPOBF-130142"/>
    <s v="Projeto - MIGRAÇÃO para NOVA PLATAFORMA de SMS - Santander"/>
    <s v="atendimento"/>
    <x v="3"/>
    <s v=" Santander"/>
    <s v="Bruno Guerra Ferreira"/>
    <s v="George Silva Dimitrov"/>
    <x v="0"/>
    <d v="2015-11-24T16:14:00"/>
    <m/>
    <n v="97.323611111110949"/>
    <n v="11"/>
    <n v="2015"/>
    <x v="2"/>
  </r>
  <r>
    <s v="Requisição de Serviços"/>
    <s v="CTXSPOBF-129499"/>
    <s v="Projeto - Transbordo de Ligações de RCI para Paschoalotto (Bauru)"/>
    <s v="atendimento"/>
    <x v="3"/>
    <s v=" Santander"/>
    <s v="Bruno Guerra Ferreira"/>
    <s v="George Silva Dimitrov"/>
    <x v="0"/>
    <d v="2015-11-13T11:55:00"/>
    <m/>
    <n v="108.50347222221899"/>
    <n v="11"/>
    <n v="2015"/>
    <x v="2"/>
  </r>
  <r>
    <s v="Requisição de Serviços"/>
    <s v="CTXSPOBF-128996"/>
    <s v="Migração POP 3 - REINCIDENTES PJ - LAPA Vs. ANTÁRTICA"/>
    <s v="atendimento"/>
    <x v="4"/>
    <s v=" Vivo"/>
    <s v="Vania de Moraes Colella"/>
    <s v="Vania de Moraes Colella"/>
    <x v="1"/>
    <d v="2015-11-06T13:51:00"/>
    <d v="2016-01-19T16:30:00"/>
    <n v="74.110416666670062"/>
    <n v="11"/>
    <n v="2015"/>
    <x v="1"/>
  </r>
  <r>
    <s v="Requisição de Serviços"/>
    <s v="CTXSPOBF-128995"/>
    <s v="Migração POP 3 - SUPORTE APODC - LAPA Vs. ANTÁRTICA"/>
    <s v="atendimento"/>
    <x v="4"/>
    <s v=" Vivo"/>
    <s v="Vania de Moraes Colella"/>
    <s v="Vania de Moraes Colella"/>
    <x v="1"/>
    <d v="2015-11-06T13:49:00"/>
    <d v="2016-01-19T16:28:00"/>
    <n v="74.110416666670062"/>
    <n v="11"/>
    <n v="2015"/>
    <x v="1"/>
  </r>
  <r>
    <s v="Requisição de Serviços"/>
    <s v="CTXSPOBF-128994"/>
    <s v="Migração POP 3 - IMPRENSA - LAPA Vs. ANTÁRTICA"/>
    <s v="atendimento"/>
    <x v="4"/>
    <s v=" Vivo"/>
    <s v="Vania de Moraes Colella"/>
    <s v="Vania de Moraes Colella"/>
    <x v="1"/>
    <d v="2015-11-06T13:46:00"/>
    <d v="2016-01-19T16:28:00"/>
    <n v="74.11250000000291"/>
    <n v="11"/>
    <n v="2015"/>
    <x v="1"/>
  </r>
  <r>
    <s v="Requisição de Serviços"/>
    <s v="CTXSPOBF-128993"/>
    <s v="Migração POP 3 - ATIVIDADE - LAPA Vs. ANTÁRTICA"/>
    <s v="atendimento"/>
    <x v="4"/>
    <s v=" Vivo"/>
    <s v="Vania de Moraes Colella"/>
    <s v="Vania de Moraes Colella"/>
    <x v="1"/>
    <d v="2015-11-06T13:43:00"/>
    <d v="2016-01-19T16:28:00"/>
    <n v="74.114583333335759"/>
    <n v="11"/>
    <n v="2015"/>
    <x v="1"/>
  </r>
  <r>
    <s v="Requisição de Serviços"/>
    <s v="CTXSPOBF-128992"/>
    <s v="Migração POP 3 - GRE ANATEL - LAPA Vs. ANTÁRTICA"/>
    <s v="atendimento"/>
    <x v="4"/>
    <s v=" Vivo"/>
    <s v="Vania de Moraes Colella"/>
    <s v="Vania de Moraes Colella"/>
    <x v="1"/>
    <d v="2015-11-06T13:35:00"/>
    <d v="2016-01-19T16:27:00"/>
    <n v="74.119444444448163"/>
    <n v="11"/>
    <n v="2015"/>
    <x v="1"/>
  </r>
  <r>
    <s v="Requisição de Serviços"/>
    <s v="CTXSPOBF-128884"/>
    <s v="Inclusão de link em Favoritos - Siga Online"/>
    <s v="atendimento"/>
    <x v="4"/>
    <s v=" Vivo"/>
    <s v="Bruno Guerra Ferreira"/>
    <s v="Vania de Moraes Colella"/>
    <x v="0"/>
    <d v="2015-11-05T11:35:00"/>
    <m/>
    <n v="116.51736111110949"/>
    <n v="11"/>
    <n v="2015"/>
    <x v="2"/>
  </r>
  <r>
    <s v="Requisição de Serviços"/>
    <s v="CTXSPOBF-128878"/>
    <s v="Migração POP 3 - GESTOR CARTEIRA - LAPA vs. ANTÁRTICA"/>
    <s v="atendimento"/>
    <x v="4"/>
    <s v=" Vivo"/>
    <s v="Vania de Moraes Colella"/>
    <s v="Vania de Moraes Colella"/>
    <x v="1"/>
    <d v="2015-11-05T11:13:00"/>
    <d v="2016-01-19T16:27:00"/>
    <n v="75.218055555553292"/>
    <n v="11"/>
    <n v="2015"/>
    <x v="1"/>
  </r>
  <r>
    <s v="Requisição de Serviços"/>
    <s v="CTXSPOBF-128875"/>
    <s v="Migração POP 3 - SUPORTE_CARTEIRA2 - LAPA Vs. ANTÁRTICA"/>
    <s v="atendimento"/>
    <x v="4"/>
    <s v=" Vivo"/>
    <s v="Vania de Moraes Colella"/>
    <s v="Vania de Moraes Colella"/>
    <x v="1"/>
    <d v="2015-11-05T11:07:00"/>
    <d v="2016-01-19T16:27:00"/>
    <n v="75.222222222226264"/>
    <n v="11"/>
    <n v="2015"/>
    <x v="1"/>
  </r>
  <r>
    <s v="Requisição de Serviços"/>
    <s v="CTXSPOBF-128873"/>
    <s v="Migração POP 3 - SUPORTE_CARTEIRA1 - LAPA Vs. ANTÁRTICA"/>
    <s v="atendimento"/>
    <x v="4"/>
    <s v=" Vivo"/>
    <s v="Vania de Moraes Colella"/>
    <s v="Vania de Moraes Colella"/>
    <x v="1"/>
    <d v="2015-11-05T11:03:00"/>
    <d v="2016-01-19T16:27:00"/>
    <n v="75.224999999998545"/>
    <n v="11"/>
    <n v="2015"/>
    <x v="1"/>
  </r>
  <r>
    <s v="Requisição de Serviços"/>
    <s v="CTXSPOBF-128870"/>
    <s v="Migração POP 3 - GESTOR_CARTEIRA_PJ - LAPA Vs. ANTÁRTICA"/>
    <s v="atendimento"/>
    <x v="4"/>
    <s v=" Vivo"/>
    <s v="Vania de Moraes Colella"/>
    <s v="Vania de Moraes Colella"/>
    <x v="1"/>
    <d v="2015-11-05T10:55:00"/>
    <d v="2016-01-19T16:27:00"/>
    <n v="75.230555555557657"/>
    <n v="11"/>
    <n v="2015"/>
    <x v="1"/>
  </r>
  <r>
    <s v="Requisição de Serviços"/>
    <s v="CTXSPOBF-128869"/>
    <s v="Migração POP 3 - CONSUL_CONSOLIDADO - LAPA Vs. ANTÁRTICA"/>
    <s v="atendimento"/>
    <x v="4"/>
    <s v=" Vivo"/>
    <s v="Vania de Moraes Colella"/>
    <s v="Vania de Moraes Colella"/>
    <x v="1"/>
    <d v="2015-11-05T10:52:00"/>
    <d v="2016-01-19T16:26:00"/>
    <n v="75.231944444443798"/>
    <n v="11"/>
    <n v="2015"/>
    <x v="1"/>
  </r>
  <r>
    <s v="Requisição de Serviços"/>
    <s v="CTXSPOBF-128868"/>
    <s v="Migração POP 3 - CONSUL_CARTEIRA2_GR2 - LAPA Vs. ANTÁRTICA"/>
    <s v="atendimento"/>
    <x v="4"/>
    <s v=" Vivo"/>
    <s v="Vania de Moraes Colella"/>
    <s v="Vania de Moraes Colella"/>
    <x v="1"/>
    <d v="2015-11-05T10:48:00"/>
    <d v="2016-01-19T16:26:00"/>
    <n v="75.234722222223354"/>
    <n v="11"/>
    <n v="2015"/>
    <x v="1"/>
  </r>
  <r>
    <s v="Requisição de Serviços"/>
    <s v="CTXSPOBF-128865"/>
    <s v="Migração POP 3 - CONSUL_CARTEIRA2_GR1 - LAPA Vs. ANTÁRTICA"/>
    <s v="atendimento"/>
    <x v="4"/>
    <s v=" Vivo"/>
    <s v="Vania de Moraes Colella"/>
    <s v="Vania de Moraes Colella"/>
    <x v="1"/>
    <d v="2015-11-05T10:43:00"/>
    <d v="2016-01-19T16:26:00"/>
    <n v="75.238194444442343"/>
    <n v="11"/>
    <n v="2015"/>
    <x v="1"/>
  </r>
  <r>
    <s v="Requisição de Serviços"/>
    <s v="CTXSPOBF-128864"/>
    <s v="Migração POP 3 - CONSUL_CARTEIRA1_GR2 - LAPA Vs. ANTÁRTICA"/>
    <s v="atendimento"/>
    <x v="4"/>
    <s v=" Vivo"/>
    <s v="Vania de Moraes Colella"/>
    <s v="Vania de Moraes Colella"/>
    <x v="1"/>
    <d v="2015-11-05T10:40:00"/>
    <d v="2016-01-19T16:26:00"/>
    <n v="75.240277777775191"/>
    <n v="11"/>
    <n v="2015"/>
    <x v="1"/>
  </r>
  <r>
    <s v="Requisição de Serviços"/>
    <s v="CTXSPOBF-128861"/>
    <s v="Migração POP 3 - CONSUL_CARTEIRA1_GR1 - LAPA Vs. ANTÁRTICA"/>
    <s v="atendimento"/>
    <x v="4"/>
    <s v=" Vivo"/>
    <s v="Vania de Moraes Colella"/>
    <s v="Vania de Moraes Colella"/>
    <x v="1"/>
    <d v="2015-11-05T10:31:00"/>
    <d v="2016-01-19T16:25:00"/>
    <n v="75.245833333334303"/>
    <n v="11"/>
    <n v="2015"/>
    <x v="1"/>
  </r>
  <r>
    <s v="Requisição de Serviços"/>
    <s v="CTXSPOBF-128853"/>
    <s v="Migração POP 3 - APOIOS VPR - LAPA vs. ANTÁRTICA"/>
    <s v="atendimento"/>
    <x v="4"/>
    <s v=" Vivo"/>
    <s v="Vania de Moraes Colella"/>
    <s v="Vania de Moraes Colella"/>
    <x v="1"/>
    <d v="2015-11-05T10:05:00"/>
    <d v="2016-01-19T16:25:00"/>
    <n v="75.263888888890506"/>
    <n v="11"/>
    <n v="2015"/>
    <x v="1"/>
  </r>
  <r>
    <s v="Requisição de Serviços"/>
    <s v="CTXSPOBF-128725"/>
    <s v="Migração POP 3 - RENEGOCIAÇÃO - LAPA vs. ANTÁRTICA"/>
    <s v="atendimento"/>
    <x v="4"/>
    <s v=" Vivo"/>
    <s v="Vania de Moraes Colella"/>
    <s v="Vania de Moraes Colella"/>
    <x v="1"/>
    <d v="2015-11-03T18:06:00"/>
    <d v="2016-01-19T16:25:00"/>
    <n v="76.929861111115315"/>
    <n v="11"/>
    <n v="2015"/>
    <x v="1"/>
  </r>
  <r>
    <s v="Requisição de Serviços"/>
    <s v="CTXSPOBF-128722"/>
    <s v="Migração POP 3 - PROCESSO_CARTEIRA 1 - LAPA vs. ANTÁRTICA"/>
    <s v="atendimento"/>
    <x v="4"/>
    <s v=" Vivo"/>
    <s v="Vania de Moraes Colella"/>
    <s v="Vania de Moraes Colella"/>
    <x v="1"/>
    <d v="2015-11-03T17:47:00"/>
    <d v="2016-01-19T16:25:00"/>
    <n v="76.943055555559113"/>
    <n v="11"/>
    <n v="2015"/>
    <x v="1"/>
  </r>
  <r>
    <s v="Requisição de Serviços"/>
    <s v="CTXSPOBF-128720"/>
    <s v="Migração POP 3 - PROCESSO_CARTEIRA 0 - LAPA vs. ANTÁRTICA"/>
    <s v="atendimento"/>
    <x v="4"/>
    <s v=" Vivo"/>
    <s v="Vania de Moraes Colella"/>
    <s v="Vania de Moraes Colella"/>
    <x v="1"/>
    <d v="2015-11-03T17:43:00"/>
    <d v="2016-01-19T16:24:00"/>
    <n v="76.945138888891961"/>
    <n v="11"/>
    <n v="2015"/>
    <x v="1"/>
  </r>
  <r>
    <s v="Requisição de Serviços"/>
    <s v="CTXSPOBF-128719"/>
    <s v="Migração POP 3 - GOVERNO_VPG - LAPA vs. ANTÁRTICA"/>
    <s v="atendimento"/>
    <x v="4"/>
    <s v=" Vivo"/>
    <s v="Vania de Moraes Colella"/>
    <s v="Vania de Moraes Colella"/>
    <x v="1"/>
    <d v="2015-11-03T17:38:00"/>
    <d v="2016-01-19T16:24:00"/>
    <n v="76.948611111110949"/>
    <n v="11"/>
    <n v="2015"/>
    <x v="1"/>
  </r>
  <r>
    <s v="Requisição de Serviços"/>
    <s v="CTXSPOBF-128718"/>
    <s v="Migração POP 3 - M2M_VPG - LAPA vs. ANTÁRTICA"/>
    <s v="atendimento"/>
    <x v="4"/>
    <s v=" Vivo"/>
    <s v="Vania de Moraes Colella"/>
    <s v="Vania de Moraes Colella"/>
    <x v="1"/>
    <d v="2015-11-03T17:35:00"/>
    <d v="2016-01-19T16:24:00"/>
    <n v="76.950694444443798"/>
    <n v="11"/>
    <n v="2015"/>
    <x v="1"/>
  </r>
  <r>
    <s v="Requisição de Serviços"/>
    <s v="CTXSPOBF-128717"/>
    <s v="Migração POP 3 - GT_FILTRO - LAPA vs. ANTÁRTICA"/>
    <s v="atendimento"/>
    <x v="4"/>
    <s v=" Vivo"/>
    <s v="Vania de Moraes Colella"/>
    <s v="Vania de Moraes Colella"/>
    <x v="1"/>
    <d v="2015-11-03T17:31:00"/>
    <d v="2016-01-19T16:24:00"/>
    <n v="76.953472222223354"/>
    <n v="11"/>
    <n v="2015"/>
    <x v="1"/>
  </r>
  <r>
    <s v="Requisição de Serviços"/>
    <s v="CTXSPOBF-128715"/>
    <s v="Migração POP 3 - AUDITORIA (QUALITY ASSURANCE) - LAPA vs. ANTÁRTICA"/>
    <s v="atendimento"/>
    <x v="4"/>
    <s v=" Vivo"/>
    <s v="Vania de Moraes Colella"/>
    <s v="Vania de Moraes Colella"/>
    <x v="1"/>
    <d v="2015-11-03T17:28:00"/>
    <d v="2016-01-19T16:24:00"/>
    <n v="76.955555555556202"/>
    <n v="11"/>
    <n v="2015"/>
    <x v="1"/>
  </r>
  <r>
    <s v="Requisição de Serviços"/>
    <s v="CTXSPOBF-128714"/>
    <s v="Migração POP 3 - AUDITORIA (QUALITY ASSURANCE) - LAPA vs. ANTÁRTICA"/>
    <s v="atendimento"/>
    <x v="4"/>
    <s v=" Vivo"/>
    <s v="Vania de Moraes Colella"/>
    <s v="Vania de Moraes Colella"/>
    <x v="1"/>
    <d v="2015-11-03T17:25:00"/>
    <d v="2016-01-19T16:23:00"/>
    <n v="76.956944444442343"/>
    <n v="11"/>
    <n v="2015"/>
    <x v="1"/>
  </r>
  <r>
    <s v="Requisição de Serviços"/>
    <s v="CTXSPOBF-128713"/>
    <s v="Migração POP 3 - CONSULT MANAGER - LAPA vs. ANTÁRTICA"/>
    <s v="atendimento"/>
    <x v="4"/>
    <s v=" Vivo"/>
    <s v="Vania de Moraes Colella"/>
    <s v="Vania de Moraes Colella"/>
    <x v="1"/>
    <d v="2015-11-03T17:19:00"/>
    <d v="2016-01-19T16:23:00"/>
    <n v="76.961111111108039"/>
    <n v="11"/>
    <n v="2015"/>
    <x v="1"/>
  </r>
  <r>
    <s v="Requisição de Serviços"/>
    <s v="CTXSPOBF-128712"/>
    <s v="Migração POP 3 - CORREÇÃO_CADASTRAL_ESPECIALISTA - LAPA vs. ANTÁRTICA"/>
    <s v="atendimento"/>
    <x v="4"/>
    <s v=" Vivo"/>
    <s v="Vania de Moraes Colella"/>
    <s v="Vania de Moraes Colella"/>
    <x v="1"/>
    <d v="2015-11-03T17:15:00"/>
    <d v="2016-01-19T16:23:00"/>
    <n v="76.963888888887595"/>
    <n v="11"/>
    <n v="2015"/>
    <x v="1"/>
  </r>
  <r>
    <s v="Requisição de Serviços"/>
    <s v="CTXSPOBF-128711"/>
    <s v="Migração POP 3 - CORREÇÃO_CADASTRAL_EXECUTORES - LAPA vs. ANTÁRTICA"/>
    <s v="atendimento"/>
    <x v="4"/>
    <s v=" Vivo"/>
    <s v="Vania de Moraes Colella"/>
    <s v="Vania de Moraes Colella"/>
    <x v="1"/>
    <d v="2015-11-03T17:11:00"/>
    <d v="2016-01-19T16:22:00"/>
    <n v="76.965972222220444"/>
    <n v="11"/>
    <n v="2015"/>
    <x v="1"/>
  </r>
  <r>
    <s v="Requisição de Serviços"/>
    <s v="CTXSPOBF-128702"/>
    <s v="Migração POP 3 - GRE_FATURAMENTO - LAPA vs. ANTÁRTICA"/>
    <s v="atendimento"/>
    <x v="4"/>
    <s v=" Vivo"/>
    <s v="Vania de Moraes Colella"/>
    <s v="Vania de Moraes Colella"/>
    <x v="1"/>
    <d v="2015-11-03T14:59:00"/>
    <d v="2016-01-19T16:22:00"/>
    <n v="77.057638888887595"/>
    <n v="11"/>
    <n v="2015"/>
    <x v="1"/>
  </r>
  <r>
    <s v="Requisição de Serviços"/>
    <s v="CTXSPOBF-128701"/>
    <s v="Migração POP 3 - ILHA_DIAGNOSTICO - LAPA vs. ANTÁRTICA"/>
    <s v="atendimento"/>
    <x v="4"/>
    <s v=" Vivo"/>
    <s v="Vania de Moraes Colella"/>
    <s v="Vania de Moraes Colella"/>
    <x v="1"/>
    <d v="2015-11-03T14:52:00"/>
    <d v="2016-01-19T16:22:00"/>
    <n v="77.0625"/>
    <n v="11"/>
    <n v="2015"/>
    <x v="1"/>
  </r>
  <r>
    <s v="Requisição de Serviços"/>
    <s v="CTXSPOBF-128692"/>
    <s v="Migração POP 3 - COMUNICACAO_TREINAMENTO - LAPA vs. ANTÁRTICA"/>
    <s v="atendimento"/>
    <x v="4"/>
    <s v=" Vivo"/>
    <s v="Vania de Moraes Colella"/>
    <s v="Vania de Moraes Colella"/>
    <x v="1"/>
    <d v="2015-11-03T13:02:00"/>
    <d v="2016-01-19T16:22:00"/>
    <n v="77.13888888888323"/>
    <n v="11"/>
    <n v="2015"/>
    <x v="1"/>
  </r>
  <r>
    <s v="Requisição de Serviços"/>
    <s v="CTXSPOBF-128691"/>
    <s v="Migração POP 3 - ROTEIRO_DINÂMICO - LAPA vs. ANTÁRTICA"/>
    <s v="atendimento"/>
    <x v="4"/>
    <s v=" Vivo"/>
    <s v="Vania de Moraes Colella"/>
    <s v="Vania de Moraes Colella"/>
    <x v="1"/>
    <d v="2015-11-03T12:56:00"/>
    <d v="2015-12-21T15:27:00"/>
    <n v="48.104861111110949"/>
    <n v="11"/>
    <n v="2015"/>
    <x v="0"/>
  </r>
  <r>
    <s v="Requisição de Serviços"/>
    <s v="CTXSPOBF-128690"/>
    <s v="Migração POP 3 - GT_RURAL_CEL - LAPA vs. ANTÁRTICA"/>
    <s v="atendimento"/>
    <x v="4"/>
    <s v=" Vivo"/>
    <s v="Vania de Moraes Colella"/>
    <s v="Vania de Moraes Colella"/>
    <x v="1"/>
    <d v="2015-11-03T12:53:00"/>
    <d v="2015-12-21T15:25:00"/>
    <n v="48.105555555550382"/>
    <n v="11"/>
    <n v="2015"/>
    <x v="0"/>
  </r>
  <r>
    <s v="Requisição de Serviços"/>
    <s v="CTXSPOBF-128688"/>
    <s v="Migração POP 3 - VPR - LAPA vs. ANTÁRTICA"/>
    <s v="atendimento"/>
    <x v="4"/>
    <s v=" Vivo"/>
    <s v="Vania de Moraes Colella"/>
    <s v="Vania de Moraes Colella"/>
    <x v="1"/>
    <d v="2015-11-03T12:47:00"/>
    <d v="2016-01-19T16:22:00"/>
    <n v="77.149305555554747"/>
    <n v="11"/>
    <n v="2015"/>
    <x v="1"/>
  </r>
  <r>
    <s v="Requisição de Serviços"/>
    <s v="CTXSPOBF-128686"/>
    <s v="Migração POP 3 - GT_REGISTRO_APARELHOS - LAPA vs. ANTÁRTICA"/>
    <s v="atendimento"/>
    <x v="4"/>
    <s v=" Vivo"/>
    <s v="Vania de Moraes Colella"/>
    <s v="Vania de Moraes Colella"/>
    <x v="1"/>
    <d v="2015-11-03T12:38:00"/>
    <d v="2015-12-21T15:24:00"/>
    <n v="48.115277777782467"/>
    <n v="11"/>
    <n v="2015"/>
    <x v="0"/>
  </r>
  <r>
    <s v="Requisição de Serviços"/>
    <s v="CTXSPOBF-128685"/>
    <s v="Migração POP 3 - RETENCAO_PJ - LAPA vs. ANTÁRTICA"/>
    <s v="atendimento"/>
    <x v="4"/>
    <s v=" Vivo"/>
    <s v="Vania de Moraes Colella"/>
    <s v="Vania de Moraes Colella"/>
    <x v="1"/>
    <d v="2015-11-03T12:26:00"/>
    <d v="2016-01-19T16:21:00"/>
    <n v="77.163194444445253"/>
    <n v="11"/>
    <n v="2015"/>
    <x v="1"/>
  </r>
  <r>
    <s v="Requisição de Serviços"/>
    <s v="CTXSPOBF-128684"/>
    <s v="Migração POP 3 - GRE_FALE_CONOSCO - LAPA vs. ANTÁRTICA"/>
    <s v="atendimento"/>
    <x v="4"/>
    <s v=" Vivo"/>
    <s v="Vania de Moraes Colella"/>
    <s v="Vania de Moraes Colella"/>
    <x v="1"/>
    <d v="2015-11-03T12:12:00"/>
    <d v="2016-01-19T16:20:00"/>
    <n v="77.172222222223354"/>
    <n v="11"/>
    <n v="2015"/>
    <x v="1"/>
  </r>
  <r>
    <s v="Requisição de Serviços"/>
    <s v="CTXSPOBF-128396"/>
    <s v="Projeto - Geração de boletagem massiva pela front end da SKY."/>
    <s v="boletagem"/>
    <x v="7"/>
    <s v=" Cobrança de 05 a 90"/>
    <s v="Expedito Sousa de Almeida"/>
    <s v="George Silva Dimitrov"/>
    <x v="1"/>
    <d v="2015-10-29T08:29:00"/>
    <d v="2015-12-18T16:54:00"/>
    <n v="50.350694444445253"/>
    <n v="10"/>
    <n v="2015"/>
    <x v="0"/>
  </r>
  <r>
    <s v="Requisição de Serviços"/>
    <s v="CTXSPOBF-128300"/>
    <s v="DESMOBILIZAÇÃO DE PARTE DA OPERAÇÃO CITIBANK NO SITE ANTÁRTICA"/>
    <s v="atendimento"/>
    <x v="8"/>
    <s v=" SAC Citibank"/>
    <s v="Bruno Guerra Ferreira"/>
    <s v="Marco Aurelio Brandao Duarte"/>
    <x v="0"/>
    <d v="2015-10-28T10:27:00"/>
    <m/>
    <n v="124.56458333333285"/>
    <n v="10"/>
    <n v="2015"/>
    <x v="2"/>
  </r>
  <r>
    <s v="Requisição de Serviços"/>
    <s v="CTXSPOBF-126597"/>
    <s v="Implantação Basico Comercial Antartica - TETRIS VIVO"/>
    <s v="atendimento"/>
    <x v="4"/>
    <s v=" Vivo"/>
    <s v="Vania de Moraes Colella"/>
    <s v="Vania de Moraes Colella"/>
    <x v="1"/>
    <d v="2015-10-01T20:37:00"/>
    <d v="2015-12-23T10:23:00"/>
    <n v="82.573611111110949"/>
    <n v="10"/>
    <n v="2015"/>
    <x v="1"/>
  </r>
  <r>
    <s v="Requisição de Serviços"/>
    <s v="CTXSPOBF-126487"/>
    <s v="Projeto: Alteração do Arquivo RAW - Operação Serasa Cobrança"/>
    <s v="atendimento"/>
    <x v="9"/>
    <s v=" Célula Inadimplência"/>
    <s v="Bruno Guerra Ferreira"/>
    <s v="Priscila Roberta dos S. Freitas"/>
    <x v="2"/>
    <d v="2015-09-30T15:36:00"/>
    <m/>
    <n v="152.34999999999854"/>
    <n v="9"/>
    <n v="2015"/>
    <x v="3"/>
  </r>
  <r>
    <s v="Requisição de Serviços"/>
    <s v="CTXSPOBF-126235"/>
    <s v="Migração equipe de Suporte Vivo - De Pta para Antartica"/>
    <s v="atendimento"/>
    <x v="4"/>
    <s v=" Vivo"/>
    <s v="BRUNO DIEGO ANTUNES RIBEIRO"/>
    <s v="Vania de Moraes Colella"/>
    <x v="5"/>
    <d v="2015-09-25T13:29:00"/>
    <m/>
    <n v="157.43819444444671"/>
    <n v="9"/>
    <n v="2015"/>
    <x v="3"/>
  </r>
  <r>
    <s v="Requisição de Serviços"/>
    <s v="CTXSPOBF-126223"/>
    <s v="Projeto - Implantar Total View na Operação Interodonto"/>
    <s v="atendimento"/>
    <x v="6"/>
    <s v=" Outro"/>
    <s v="Bruno Guerra Ferreira"/>
    <s v="Carlos Batista Alves"/>
    <x v="2"/>
    <d v="2015-09-25T12:08:00"/>
    <m/>
    <n v="157.49444444444089"/>
    <n v="9"/>
    <n v="2015"/>
    <x v="3"/>
  </r>
  <r>
    <s v="Requisição de Serviços"/>
    <s v="CTXSPOBF-126151"/>
    <s v="Projeto: Implantar Ferramenta RTI - Ticket B2C Usuários"/>
    <s v="atendimento"/>
    <x v="5"/>
    <s v=" Usuários/Autorizações"/>
    <s v="Bruno Guerra Ferreira"/>
    <s v="Priscila Roberta dos S. Freitas"/>
    <x v="2"/>
    <d v="2015-09-24T11:50:00"/>
    <m/>
    <n v="158.50694444444525"/>
    <n v="9"/>
    <n v="2015"/>
    <x v="3"/>
  </r>
  <r>
    <s v="Requisição de Serviços"/>
    <s v="CTXSPOBF-125992"/>
    <s v="TETRIS VIVO - GRE ANATEL MOVEL"/>
    <s v="atendimento"/>
    <x v="4"/>
    <s v=" Vivo"/>
    <s v="BRUNO DIEGO ANTUNES RIBEIRO"/>
    <s v="Vania de Moraes Colella"/>
    <x v="0"/>
    <d v="2015-09-22T18:33:00"/>
    <m/>
    <n v="160.22708333333139"/>
    <n v="9"/>
    <n v="2015"/>
    <x v="3"/>
  </r>
  <r>
    <s v="Requisição de Serviços"/>
    <s v="CTXSPOBF-125991"/>
    <s v="TETRIS VIVO - COMERCIAL GRE ANATEL FIXA"/>
    <s v="atendimento"/>
    <x v="4"/>
    <s v=" Vivo"/>
    <s v="BRUNO DIEGO ANTUNES RIBEIRO"/>
    <s v="Vania de Moraes Colella"/>
    <x v="0"/>
    <d v="2015-09-22T18:27:00"/>
    <m/>
    <n v="160.23124999999709"/>
    <n v="9"/>
    <n v="2015"/>
    <x v="3"/>
  </r>
  <r>
    <s v="Requisição de Serviços"/>
    <s v="CTXSPOBF-125990"/>
    <s v="TETRIS VIVO - PORTABILIDADE ILHA DE EMAIL"/>
    <s v="atendimento"/>
    <x v="4"/>
    <s v=" Vivo"/>
    <s v="BRUNO DIEGO ANTUNES RIBEIRO"/>
    <s v="Vania de Moraes Colella"/>
    <x v="0"/>
    <d v="2015-09-22T18:23:00"/>
    <m/>
    <n v="160.23402777777665"/>
    <n v="9"/>
    <n v="2015"/>
    <x v="3"/>
  </r>
  <r>
    <s v="Requisição de Serviços"/>
    <s v="CTXSPOBF-125985"/>
    <s v="TETRIS VIVO - ILHA PORTABILIDADE DE EMAIL BKO"/>
    <s v="atendimento"/>
    <x v="4"/>
    <s v=" Vivo"/>
    <s v="BRUNO DIEGO ANTUNES RIBEIRO"/>
    <s v="Vania de Moraes Colella"/>
    <x v="0"/>
    <d v="2015-09-22T17:56:00"/>
    <m/>
    <n v="160.25277777777956"/>
    <n v="9"/>
    <n v="2015"/>
    <x v="3"/>
  </r>
  <r>
    <s v="Requisição de Serviços"/>
    <s v="CTXSPOBF-125983"/>
    <s v="TETRIS VIVO - FALE CONOSCO FIXA"/>
    <s v="atendimento"/>
    <x v="4"/>
    <s v=" Vivo"/>
    <s v="BRUNO DIEGO ANTUNES RIBEIRO"/>
    <s v="Vania de Moraes Colella"/>
    <x v="0"/>
    <d v="2015-09-22T17:50:00"/>
    <m/>
    <n v="160.25694444444525"/>
    <n v="9"/>
    <n v="2015"/>
    <x v="3"/>
  </r>
  <r>
    <s v="Requisição de Serviços"/>
    <s v="CTXSPOBF-125980"/>
    <s v="VIVO TETRIS - PROCON OFF LINE FIXA"/>
    <s v="atendimento"/>
    <x v="4"/>
    <s v=" Vivo"/>
    <s v="BRUNO DIEGO ANTUNES RIBEIRO"/>
    <s v="Vania de Moraes Colella"/>
    <x v="0"/>
    <d v="2015-09-22T17:43:00"/>
    <m/>
    <n v="160.26180555555766"/>
    <n v="9"/>
    <n v="2015"/>
    <x v="3"/>
  </r>
  <r>
    <s v="Requisição de Serviços"/>
    <s v="CTXSPOBF-125979"/>
    <s v="VIVO TETRIS - PROCON OFF LINE (FIXA )"/>
    <s v="atendimento"/>
    <x v="4"/>
    <s v=" Vivo"/>
    <s v="BRUNO DIEGO ANTUNES RIBEIRO"/>
    <s v="Vania de Moraes Colella"/>
    <x v="0"/>
    <d v="2015-09-22T17:41:00"/>
    <m/>
    <n v="160.2631944444438"/>
    <n v="9"/>
    <n v="2015"/>
    <x v="3"/>
  </r>
  <r>
    <s v="Requisição de Serviços"/>
    <s v="CTXSPOBF-125974"/>
    <s v="TETRIS VIVO - PROCON 0800 - FIXA"/>
    <s v="atendimento"/>
    <x v="4"/>
    <s v=" Vivo"/>
    <s v="BRUNO DIEGO ANTUNES RIBEIRO"/>
    <s v="Vania de Moraes Colella"/>
    <x v="0"/>
    <d v="2015-09-22T17:03:00"/>
    <m/>
    <n v="160.28958333333139"/>
    <n v="9"/>
    <n v="2015"/>
    <x v="3"/>
  </r>
  <r>
    <s v="Requisição de Serviços"/>
    <s v="CTXSPOBF-125971"/>
    <s v="TETRIS VIVO - RETENÇÃO PJ"/>
    <s v="atendimento"/>
    <x v="4"/>
    <s v=" Vivo"/>
    <s v="Vania de Moraes Colella"/>
    <s v="Vania de Moraes Colella"/>
    <x v="1"/>
    <d v="2015-09-22T16:50:00"/>
    <d v="2015-12-21T10:38:00"/>
    <n v="89.741666666668607"/>
    <n v="9"/>
    <n v="2015"/>
    <x v="1"/>
  </r>
  <r>
    <s v="Requisição de Serviços"/>
    <s v="CTXSPOBF-125921"/>
    <s v="Projeto - Instalação do Tsupervisor na Operação Santander nos Sites Antártica e Mackenzie"/>
    <s v="atendimento"/>
    <x v="3"/>
    <s v=" Santander"/>
    <s v="Bruno Guerra Ferreira"/>
    <s v="George Silva Dimitrov"/>
    <x v="2"/>
    <d v="2015-09-22T10:43:00"/>
    <m/>
    <n v="160.5534722222219"/>
    <n v="9"/>
    <n v="2015"/>
    <x v="3"/>
  </r>
  <r>
    <s v="Requisição de Serviços"/>
    <s v="CTXSPOBF-125608"/>
    <s v="Projeto Proposta Chat Online RCI"/>
    <s v="atendimento"/>
    <x v="3"/>
    <s v=" Atendimento Empresarial"/>
    <s v="Bruno Guerra Ferreira"/>
    <s v="George Silva Dimitrov"/>
    <x v="6"/>
    <d v="2015-09-17T10:23:00"/>
    <m/>
    <n v="165.5673611111124"/>
    <n v="9"/>
    <n v="2015"/>
    <x v="3"/>
  </r>
  <r>
    <s v="Requisição de Serviços"/>
    <s v="CTXSPOBF-125417"/>
    <s v="Projeto - Alterar o valor NÃO IDENTIFICADO para um texto genérico no Screen Pop"/>
    <s v="atendimento"/>
    <x v="3"/>
    <s v=" Atendimento Empresarial"/>
    <s v="Bruno Guerra Ferreira"/>
    <s v="George Silva Dimitrov"/>
    <x v="6"/>
    <d v="2015-09-14T15:59:00"/>
    <m/>
    <n v="168.33402777777519"/>
    <n v="9"/>
    <n v="2015"/>
    <x v="3"/>
  </r>
  <r>
    <s v="Requisição de Serviços"/>
    <s v="CTXSPOBF-125012"/>
    <s v="Projeto - Alterar Papel de Parede de E-mail Customizado"/>
    <s v="boletagem"/>
    <x v="9"/>
    <s v=" Célula Inadimplência"/>
    <s v="Bruno Guerra Ferreira"/>
    <s v="Carlos Batista Alves"/>
    <x v="2"/>
    <d v="2015-09-08T12:32:00"/>
    <m/>
    <n v="174.4777777777781"/>
    <n v="9"/>
    <n v="2015"/>
    <x v="3"/>
  </r>
  <r>
    <s v="Requisição de Serviços"/>
    <s v="CTXSPOBF-124602"/>
    <s v="Projeto - Projeto - Discador para Ciclo de Vida e Finauto"/>
    <s v="atendimento"/>
    <x v="3"/>
    <s v=" Santander"/>
    <s v="Paulo Roberto da Costa Cavalcante"/>
    <s v="Luciana da Silva Cardoso"/>
    <x v="0"/>
    <d v="2015-08-31T14:38:00"/>
    <m/>
    <n v="182.39027777777665"/>
    <n v="8"/>
    <n v="2015"/>
    <x v="3"/>
  </r>
  <r>
    <s v="Requisição de Serviços"/>
    <s v="CTXSPOBF-123720"/>
    <s v="Troca de Máquinas Grupo Gestão de Acessos"/>
    <m/>
    <x v="4"/>
    <s v=" Vivo"/>
    <s v="Bruno Guerra Ferreira"/>
    <s v="Vania de Moraes Colella"/>
    <x v="2"/>
    <d v="2015-08-12T18:07:00"/>
    <m/>
    <n v="201.2451388888876"/>
    <n v="8"/>
    <n v="2015"/>
    <x v="3"/>
  </r>
  <r>
    <s v="Requisição de Serviços"/>
    <s v="CTXSPOBF-123499"/>
    <s v="Projeto - Configurar infraestrutura de DAC Contax para integração do SACL (automatização de protocolo)"/>
    <m/>
    <x v="10"/>
    <s v=" Outros Assuntos"/>
    <s v="Bruno Guerra Ferreira"/>
    <s v="Rogerio Luiz da Silva"/>
    <x v="0"/>
    <d v="2015-08-10T12:01:00"/>
    <m/>
    <n v="203.49930555555329"/>
    <n v="8"/>
    <n v="2015"/>
    <x v="3"/>
  </r>
  <r>
    <s v="Requisição de Serviços"/>
    <s v="CTXSPOBF-122472"/>
    <s v="TLS, Transport Layer Security : Email Blocking Notification from the Content Monitoring Program"/>
    <m/>
    <x v="8"/>
    <s v=" SAC Citibank"/>
    <s v="Bruno Guerra Ferreira"/>
    <s v="Marco Aurelio Brandao Duarte"/>
    <x v="0"/>
    <d v="2015-07-23T15:21:00"/>
    <m/>
    <n v="221.36041666667006"/>
    <n v="7"/>
    <n v="2015"/>
    <x v="3"/>
  </r>
  <r>
    <s v="Requisição de Serviços"/>
    <s v="CTXSPOBF-121810"/>
    <s v="Projeto - Projeto - Troca de máquinas operação Ticket"/>
    <m/>
    <x v="6"/>
    <s v=" Dir. Clientes Especiais"/>
    <s v="Mauricio Guiel Marques"/>
    <s v="Fabiane Evangelista Cavalcante"/>
    <x v="0"/>
    <d v="2015-07-13T18:27:00"/>
    <m/>
    <n v="231.23124999999709"/>
    <n v="7"/>
    <n v="2015"/>
    <x v="3"/>
  </r>
  <r>
    <s v="Requisição de Serviços"/>
    <s v="CTXSPOBF-121472"/>
    <s v="Projeto - Amplicação de circuito de voz de 30 para 60 canais"/>
    <m/>
    <x v="2"/>
    <s v=" Suporte ao Cliente"/>
    <s v="Expedito Sousa de Almeida"/>
    <s v="Rogerio Luiz da Silva"/>
    <x v="0"/>
    <d v="2015-07-07T11:54:00"/>
    <m/>
    <n v="237.5041666666657"/>
    <n v="7"/>
    <n v="2015"/>
    <x v="3"/>
  </r>
  <r>
    <s v="Requisição de Serviços"/>
    <s v="CTXSPOBF-121148"/>
    <s v="Projeto - Projeto - Implantar ferramenta RTI - Ticket B2B"/>
    <m/>
    <x v="6"/>
    <s v=" Dir. Clientes Especiais"/>
    <s v="Bruno Guerra Ferreira"/>
    <s v="Fabiane Evangelista Cavalcante"/>
    <x v="2"/>
    <d v="2015-07-01T15:30:00"/>
    <m/>
    <n v="243.35416666666424"/>
    <n v="7"/>
    <n v="2015"/>
    <x v="3"/>
  </r>
  <r>
    <s v="Requisição de Serviços"/>
    <s v="CTXSPOBF-121133"/>
    <s v="Projeto - Projeto"/>
    <m/>
    <x v="4"/>
    <s v=" Vivo"/>
    <s v="Bruno Guerra Ferreira"/>
    <s v="Elaine Aparecida de Lima Luzio"/>
    <x v="2"/>
    <d v="2015-07-01T14:07:00"/>
    <m/>
    <n v="243.41180555555911"/>
    <n v="7"/>
    <n v="2015"/>
    <x v="3"/>
  </r>
  <r>
    <s v="Requisição de Serviços"/>
    <s v="CTXSPOBF-121132"/>
    <s v="Projeto - Projeto"/>
    <m/>
    <x v="4"/>
    <s v=" Vivo"/>
    <s v="Bruno Guerra Ferreira"/>
    <s v="Elaine Aparecida de Lima Luzio"/>
    <x v="6"/>
    <d v="2015-07-01T14:02:00"/>
    <m/>
    <n v="243.4152777777781"/>
    <n v="7"/>
    <n v="2015"/>
    <x v="3"/>
  </r>
  <r>
    <s v="Requisição de Serviços"/>
    <s v="CTXSPOBF-120102"/>
    <s v="Projeto - Projeto - Instalação de Fax - VIVO"/>
    <m/>
    <x v="4"/>
    <s v=" Vivo"/>
    <s v="Sem responsável"/>
    <s v="Vania de Moraes Colella"/>
    <x v="4"/>
    <d v="2015-06-16T16:47:00"/>
    <m/>
    <n v="258.30069444444234"/>
    <n v="6"/>
    <n v="2015"/>
    <x v="3"/>
  </r>
  <r>
    <s v="Requisição de Serviços"/>
    <s v="CTXSPOBF-119863"/>
    <s v="Melhoria Relatório Screen Pop"/>
    <m/>
    <x v="3"/>
    <s v=" Santander"/>
    <s v="Bruno Guerra Ferreira"/>
    <s v="Fabio Pereira da Nobrega"/>
    <x v="2"/>
    <d v="2015-06-12T15:48:00"/>
    <m/>
    <n v="262.34166666666715"/>
    <n v="6"/>
    <n v="2015"/>
    <x v="3"/>
  </r>
  <r>
    <s v="Requisição de Serviços"/>
    <s v="CTXSPOBF-119509"/>
    <s v="Projeto - Projeto - Conectar equipamento de ponto Ticket infra"/>
    <m/>
    <x v="6"/>
    <s v=" Dir. Clientes Especiais"/>
    <s v="Sem responsável"/>
    <s v="Fabiane Evangelista Cavalcante"/>
    <x v="4"/>
    <d v="2015-06-08T15:30:00"/>
    <m/>
    <n v="266.35416666666424"/>
    <n v="6"/>
    <n v="2015"/>
    <x v="3"/>
  </r>
  <r>
    <s v="Requisição de Serviços"/>
    <s v="CTXSPOBF-117894"/>
    <s v="Projeto - Projeto - Desmobilização Paulista 07"/>
    <m/>
    <x v="6"/>
    <s v=" Ger Governança de TI"/>
    <s v="BRUNO DIEGO ANTUNES RIBEIRO"/>
    <s v="Cleonice de Andrade Oliveira Ferreira"/>
    <x v="2"/>
    <d v="2015-05-11T18:22:00"/>
    <m/>
    <n v="294.23472222222335"/>
    <n v="5"/>
    <n v="2015"/>
    <x v="3"/>
  </r>
  <r>
    <s v="Requisição de Serviços"/>
    <s v="CTXSPOBF-116397"/>
    <s v="Projeto - Projeto"/>
    <m/>
    <x v="6"/>
    <s v=" Outro"/>
    <s v="JONAS SANTOS DO AMOR DIVINO"/>
    <s v="JONAS SANTOS DO AMOR DIVINO"/>
    <x v="1"/>
    <d v="2015-04-15T18:05:00"/>
    <d v="2016-01-15T15:58:00"/>
    <n v="274.91180555555911"/>
    <n v="4"/>
    <n v="2015"/>
    <x v="3"/>
  </r>
  <r>
    <s v="Requisição de Serviços"/>
    <s v="CTXSPOBF-116380"/>
    <s v="Projeto - Implantação das Ilhas"/>
    <m/>
    <x v="4"/>
    <s v=" Vivo"/>
    <s v="BRUNO DIEGO ANTUNES RIBEIRO"/>
    <s v="Joice Pereira De Souza"/>
    <x v="2"/>
    <d v="2015-04-15T14:40:00"/>
    <m/>
    <n v="320.38888888889051"/>
    <n v="4"/>
    <n v="2015"/>
    <x v="3"/>
  </r>
  <r>
    <s v="Requisição de Serviços"/>
    <s v="CTXSPOBF-115988"/>
    <s v="Projeto - Projeto - SMS SANTANDER - ENVIO DA LINHA DIGITÁVEL (OPÇÃO NA URA A SER IMPLEMENTADA)"/>
    <m/>
    <x v="6"/>
    <s v=" Ger Planejamento Outbound"/>
    <s v="Bruno Guerra Ferreira"/>
    <s v="Sergio Franca Souza"/>
    <x v="2"/>
    <d v="2015-04-08T17:58:00"/>
    <m/>
    <n v="327.25138888888614"/>
    <n v="4"/>
    <n v="2015"/>
    <x v="3"/>
  </r>
  <r>
    <s v="Requisição de Serviços"/>
    <s v="CTXSPOBF-115489"/>
    <s v="Projeto - Projeto - Excluir Opção 5 Web Motors - Santander Financiamentos"/>
    <m/>
    <x v="6"/>
    <s v=" Projetos Telecom"/>
    <s v="Bruno Guerra Ferreira"/>
    <s v="Sergio Franca Souza"/>
    <x v="2"/>
    <d v="2015-03-30T18:12:00"/>
    <m/>
    <n v="336.24166666666861"/>
    <n v="3"/>
    <n v="2015"/>
    <x v="3"/>
  </r>
  <r>
    <s v="Requisição de Serviços"/>
    <s v="CTXSPOBF-114650"/>
    <s v="Projeto - Projeto - Vocalização de CPF para Identificação do Cliente - Santander Financiamentos"/>
    <m/>
    <x v="6"/>
    <s v=" Projetos Telecom"/>
    <s v="Bruno Guerra Ferreira"/>
    <s v="Sergio Franca Souza"/>
    <x v="2"/>
    <d v="2015-03-17T18:44:00"/>
    <m/>
    <n v="349.21944444444671"/>
    <n v="3"/>
    <n v="2015"/>
    <x v="3"/>
  </r>
  <r>
    <s v="Requisição de Serviços"/>
    <s v="CTXSPOBF-114642"/>
    <s v="Projeto - Projeto - Pesquisa Final de Atendimento URA - Santander Financiamentos"/>
    <m/>
    <x v="6"/>
    <s v=" Projetos Telecom"/>
    <s v="Bruno Guerra Ferreira"/>
    <s v="Sergio Franca Souza"/>
    <x v="2"/>
    <d v="2015-03-17T18:09:00"/>
    <m/>
    <n v="349.24375000000146"/>
    <n v="3"/>
    <n v="2015"/>
    <x v="3"/>
  </r>
  <r>
    <s v="Requisição de Serviços"/>
    <s v="CTXSPOBF-114042"/>
    <s v="Projeto - Projeto - Incluir um Pesquisa no Final da Ligação URA FINAUTO"/>
    <m/>
    <x v="6"/>
    <s v=" Projetos Telecom"/>
    <s v="Bruno Guerra Ferreira"/>
    <s v="Sergio Franca Souza"/>
    <x v="2"/>
    <d v="2015-03-09T19:16:00"/>
    <m/>
    <n v="357.19722222222481"/>
    <n v="3"/>
    <n v="2015"/>
    <x v="3"/>
  </r>
  <r>
    <s v="Requisição de Serviços"/>
    <s v="CTXSPOBF-112688"/>
    <s v="Projeto - Projeto - Migração Bradesco (Site Lapa x Antartica)"/>
    <m/>
    <x v="6"/>
    <s v=" Dir. Clientes Especiais"/>
    <s v="Fabiane Evangelista Cavalcante"/>
    <s v="Fabiane Evangelista Cavalcante"/>
    <x v="1"/>
    <d v="2015-02-13T16:23:00"/>
    <d v="2016-01-15T15:59:00"/>
    <n v="335.98333333333721"/>
    <n v="2"/>
    <n v="2015"/>
    <x v="3"/>
  </r>
  <r>
    <s v="Requisição de Serviços"/>
    <s v="CTXSPOBF-100889"/>
    <s v="Projeto - Front End Ayty Cross Sell Citibank"/>
    <m/>
    <x v="8"/>
    <s v=" Cross Sell"/>
    <s v="Bruno Guerra Ferreira"/>
    <s v="Priscila Roberta dos S. Freitas"/>
    <x v="2"/>
    <d v="2014-08-15T10:16:00"/>
    <m/>
    <n v="563.57222222222481"/>
    <n v="8"/>
    <n v="2014"/>
    <x v="3"/>
  </r>
  <r>
    <s v="Requisição de Serviços"/>
    <s v="CTXSPOBF-98975"/>
    <s v="Implantação tGuidance Santander"/>
    <m/>
    <x v="3"/>
    <s v=" Santander"/>
    <s v="Leandro Tosto Cabral"/>
    <s v="Barbara Louise Boff"/>
    <x v="2"/>
    <d v="2014-07-24T17:47:00"/>
    <m/>
    <n v="585.2590277777781"/>
    <n v="7"/>
    <n v="2014"/>
    <x v="3"/>
  </r>
  <r>
    <s v="Requisição de Serviços"/>
    <s v="CTXSPOAS-4642"/>
    <s v="Adequação do tProcess - Criação de fluxo de atendimento e controle de projetos"/>
    <m/>
    <x v="6"/>
    <s v=" Ger Sistemas Corporativos"/>
    <s v="Joice Pereira De Souza"/>
    <s v="Alexandre Batista dos Anjos"/>
    <x v="3"/>
    <d v="2015-09-30T10:41:00"/>
    <d v="2016-02-16T11:31:00"/>
    <n v="139.03472222221899"/>
    <n v="9"/>
    <n v="2015"/>
    <x v="2"/>
  </r>
  <r>
    <s v="Requisição de Serviços"/>
    <s v="CTXSPOAS-4623"/>
    <s v="Projeto - Inclusão de Serviço de Roteamento de Chamadas no Novo LAB (NGR)"/>
    <m/>
    <x v="6"/>
    <s v=" Ger Soluções"/>
    <s v="Bruno Guerra Ferreira"/>
    <s v="Olins Jacques dos Santos"/>
    <x v="2"/>
    <d v="2015-09-28T12:29:00"/>
    <m/>
    <n v="154.47986111111095"/>
    <n v="9"/>
    <n v="2015"/>
    <x v="3"/>
  </r>
  <r>
    <s v="Requisição de Serviços"/>
    <s v="CTXSPOAS-4365"/>
    <s v="Projeto - Teteton - AACD"/>
    <m/>
    <x v="6"/>
    <s v=" Outro"/>
    <s v="Cleverson Inhota Nunes"/>
    <s v="Joice Pereira De Souza"/>
    <x v="0"/>
    <d v="2015-08-10T17:48:00"/>
    <m/>
    <n v="203.25833333333139"/>
    <n v="8"/>
    <n v="2015"/>
    <x v="3"/>
  </r>
  <r>
    <s v="Requisição de Serviços"/>
    <s v="CTXSPOAS-4345"/>
    <s v="Criação SFTP de compartilhamento de Materiais"/>
    <m/>
    <x v="6"/>
    <s v=" RH"/>
    <s v="Bruno Guerra Ferreira"/>
    <s v="Daniela de Freitas Pereira"/>
    <x v="0"/>
    <d v="2015-08-04T16:03:00"/>
    <m/>
    <n v="209.33125000000291"/>
    <n v="8"/>
    <n v="2015"/>
    <x v="3"/>
  </r>
  <r>
    <s v="Requisição de Serviços"/>
    <s v="CTXSPOAS-4228"/>
    <s v="Projeto - Projeto"/>
    <m/>
    <x v="6"/>
    <s v=" Auditoria"/>
    <s v="Sem responsável"/>
    <s v="DANIELLE BOAVENTURA FREIRE BELEM"/>
    <x v="4"/>
    <d v="2015-05-12T17:53:00"/>
    <m/>
    <n v="293.2548611111124"/>
    <n v="5"/>
    <n v="2015"/>
    <x v="3"/>
  </r>
  <r>
    <s v="Requisição de Serviços"/>
    <s v="CTXSPOAP407-15367"/>
    <s v="Insumos/Custo Oportunidade Danone"/>
    <m/>
    <x v="6"/>
    <s v=" Ger Pré"/>
    <s v="Sem responsável"/>
    <s v="Agnaldo Jose de Freitas Caetano"/>
    <x v="0"/>
    <d v="2016-02-18T10:42:00"/>
    <m/>
    <n v="11.554166666668607"/>
    <n v="2"/>
    <n v="2016"/>
    <x v="4"/>
  </r>
  <r>
    <s v="Requisição de Serviços"/>
    <s v="CTXSPOAP407-15356"/>
    <s v="Oportunidade PROMED Levantamento de Custos"/>
    <m/>
    <x v="6"/>
    <s v=" Ger Pré"/>
    <s v="Sem responsável"/>
    <s v="Agnaldo Jose de Freitas Caetano"/>
    <x v="0"/>
    <d v="2016-02-17T19:38:00"/>
    <m/>
    <n v="12.181944444440887"/>
    <n v="2"/>
    <n v="2016"/>
    <x v="4"/>
  </r>
  <r>
    <s v="Requisição de Serviços"/>
    <s v="CTXSPOAP407-15345"/>
    <s v="AMÉRICA MÓVIL - REFP E2E"/>
    <m/>
    <x v="6"/>
    <s v=" Ger Pré"/>
    <s v="Sem responsável"/>
    <s v="Adilson Pires Cerveira Junior"/>
    <x v="0"/>
    <d v="2016-02-17T15:07:00"/>
    <m/>
    <n v="12.370138888887595"/>
    <n v="2"/>
    <n v="2016"/>
    <x v="4"/>
  </r>
  <r>
    <s v="Requisição de Serviços"/>
    <s v="CTXSPOAP407-15329"/>
    <s v="Custos/Insumos para Oportunidade Magazine Luiza - Ativo"/>
    <m/>
    <x v="6"/>
    <s v=" Ger Pré"/>
    <s v="Sem responsável"/>
    <s v="Agnaldo Jose de Freitas Caetano"/>
    <x v="0"/>
    <d v="2016-02-17T11:59:00"/>
    <m/>
    <n v="12.500694444446708"/>
    <n v="2"/>
    <n v="2016"/>
    <x v="4"/>
  </r>
  <r>
    <s v="Requisição de Serviços"/>
    <s v="CTXSPOAP407-15301"/>
    <s v="NEXTEL - INFRAESTRUTURA"/>
    <m/>
    <x v="6"/>
    <s v=" Ger Pré"/>
    <s v="Sem responsável"/>
    <s v="Adilson Pires Cerveira Junior"/>
    <x v="0"/>
    <d v="2016-02-16T10:53:00"/>
    <m/>
    <n v="13.546527777776646"/>
    <n v="2"/>
    <n v="2016"/>
    <x v="4"/>
  </r>
  <r>
    <s v="Requisição de Serviços"/>
    <s v="CTXSPOAP407-15270"/>
    <s v="PROJETO COTI - INSTALAÇÃO DE LICENÇA - CONTAX"/>
    <m/>
    <x v="11"/>
    <s v=" Claro"/>
    <s v="Bruno Guerra Ferreira"/>
    <s v="Cleonice de Andrade Oliveira Ferreira"/>
    <x v="0"/>
    <d v="2016-02-15T12:06:00"/>
    <m/>
    <n v="14.495833333334303"/>
    <n v="2"/>
    <n v="2016"/>
    <x v="4"/>
  </r>
  <r>
    <s v="Requisição de Serviços"/>
    <s v="CTXSPOAP407-15208"/>
    <s v="Projeto - Santander CP"/>
    <m/>
    <x v="6"/>
    <s v=" Ger Pré"/>
    <s v="Sem responsável"/>
    <s v="Renata Varkala Sanchez"/>
    <x v="0"/>
    <d v="2016-02-11T10:20:00"/>
    <m/>
    <n v="18.569444444445253"/>
    <n v="2"/>
    <n v="2016"/>
    <x v="4"/>
  </r>
  <r>
    <s v="Requisição de Serviços"/>
    <s v="CTXSPOAP407-15198"/>
    <s v="Insumos projeto (pré-vendas) PROMED"/>
    <m/>
    <x v="6"/>
    <s v=" Ger Pré"/>
    <s v="Sem responsável"/>
    <s v="Agnaldo Jose de Freitas Caetano"/>
    <x v="0"/>
    <d v="2016-02-10T17:29:00"/>
    <m/>
    <n v="19.271527777775191"/>
    <n v="2"/>
    <n v="2016"/>
    <x v="4"/>
  </r>
  <r>
    <s v="Requisição de Serviços"/>
    <s v="CTXSPOAP407-15194"/>
    <s v="Expansão do NGR Monitor - Cliente Oi"/>
    <m/>
    <x v="6"/>
    <s v=" Ger Pré"/>
    <s v="Sem responsável"/>
    <s v="Adilson Pires Cerveira Junior"/>
    <x v="0"/>
    <d v="2016-02-10T15:45:00"/>
    <m/>
    <n v="19.34375"/>
    <n v="2"/>
    <n v="2016"/>
    <x v="4"/>
  </r>
  <r>
    <s v="Requisição de Serviços"/>
    <s v="CTXSPOAP407-15140"/>
    <s v="Projeto - POC F5 WebSense"/>
    <m/>
    <x v="6"/>
    <s v=" Ger Seg Inf e Fraude"/>
    <s v="Sem responsável"/>
    <s v="Frederico Crespo Henriques de Paula Aguiar"/>
    <x v="0"/>
    <d v="2016-02-04T16:21:00"/>
    <m/>
    <n v="25.318749999998545"/>
    <n v="2"/>
    <n v="2016"/>
    <x v="4"/>
  </r>
  <r>
    <s v="Requisição de Serviços"/>
    <s v="CTXSPOAP407-15089"/>
    <s v="PROJETO - DEFENSORIA PUBLICA DO ESTADO DE SP"/>
    <m/>
    <x v="6"/>
    <s v=" Ger Pré"/>
    <s v="Sem responsável"/>
    <s v="Renata Varkala Sanchez"/>
    <x v="0"/>
    <d v="2016-02-02T11:38:00"/>
    <m/>
    <n v="27.515277777776646"/>
    <n v="2"/>
    <n v="2016"/>
    <x v="4"/>
  </r>
  <r>
    <s v="Requisição de Serviços"/>
    <s v="CTXSPOAP407-14995"/>
    <s v="SAMSUNG - RFP SUPORTE TECNICO"/>
    <m/>
    <x v="6"/>
    <s v=" Ger Pré"/>
    <s v="Sem responsável"/>
    <s v="Renata Varkala Sanchez"/>
    <x v="0"/>
    <d v="2016-01-28T13:22:00"/>
    <m/>
    <n v="32.443055555559113"/>
    <n v="1"/>
    <n v="2016"/>
    <x v="0"/>
  </r>
  <r>
    <s v="Requisição de Serviços"/>
    <s v="CTXSPOAP407-14993"/>
    <s v="Insumos Pré-Vendas - Qui Group solução de URA e Workflow"/>
    <m/>
    <x v="6"/>
    <s v=" Ger Pré"/>
    <s v="Sem responsável"/>
    <s v="Agnaldo Jose de Freitas Caetano"/>
    <x v="0"/>
    <d v="2016-01-28T12:10:00"/>
    <m/>
    <n v="32.493055555554747"/>
    <n v="1"/>
    <n v="2016"/>
    <x v="0"/>
  </r>
  <r>
    <s v="Requisição de Serviços"/>
    <s v="CTXSPOAP407-14972"/>
    <s v="Projeto - &quot;Por favor, usuário, utilizar este campo para informar o nome do Projeto&quot;"/>
    <m/>
    <x v="6"/>
    <s v=" Ger Pré"/>
    <s v="Sem responsável"/>
    <s v="Renata Varkala Sanchez"/>
    <x v="0"/>
    <d v="2016-01-27T14:49:00"/>
    <m/>
    <n v="33.382638888891961"/>
    <n v="1"/>
    <n v="2016"/>
    <x v="0"/>
  </r>
  <r>
    <s v="Requisição de Serviços"/>
    <s v="CTXSPOAP407-14925"/>
    <s v="Projeto - &quot;Por favor, usuário, utilizar este campo para informar o nome do Projeto&quot;"/>
    <m/>
    <x v="6"/>
    <s v=" Ger Manutenção"/>
    <s v="Jaime Froilan de Souza Alosilla"/>
    <s v="Mauricio Teixeira da Fonseca"/>
    <x v="2"/>
    <d v="2016-01-26T10:03:00"/>
    <m/>
    <n v="34.58125000000291"/>
    <n v="1"/>
    <n v="2016"/>
    <x v="0"/>
  </r>
  <r>
    <s v="Requisição de Serviços"/>
    <s v="CTXSPOAP407-14886"/>
    <s v="Projeto - Disponbilizar 01 Servidor de Gravação para Claro"/>
    <m/>
    <x v="11"/>
    <s v=" Claro"/>
    <s v="Sem responsável"/>
    <s v="Cleonice de Andrade Oliveira Ferreira"/>
    <x v="0"/>
    <d v="2016-01-21T15:47:00"/>
    <m/>
    <n v="39.34236111111386"/>
    <n v="1"/>
    <n v="2016"/>
    <x v="0"/>
  </r>
  <r>
    <s v="Requisição de Serviços"/>
    <s v="CTXSPOAP407-14879"/>
    <s v="Insumos para Pre-Vendas RFP Vale"/>
    <m/>
    <x v="6"/>
    <s v=" Ger Pré"/>
    <s v="Sem responsável"/>
    <s v="Agnaldo Jose de Freitas Caetano"/>
    <x v="0"/>
    <d v="2016-01-21T12:54:00"/>
    <m/>
    <n v="39.462500000001455"/>
    <n v="1"/>
    <n v="2016"/>
    <x v="0"/>
  </r>
  <r>
    <s v="Requisição de Serviços"/>
    <s v="CTXSPOAP407-14854"/>
    <s v="Projeto - MIGRAÇÃO TAM SP PARA JP"/>
    <m/>
    <x v="12"/>
    <s v=" TAM Cargo"/>
    <s v="Sem responsável"/>
    <s v="Cleonice de Andrade Oliveira Ferreira"/>
    <x v="0"/>
    <d v="2016-01-20T14:53:00"/>
    <m/>
    <n v="40.379861111112405"/>
    <n v="1"/>
    <n v="2016"/>
    <x v="0"/>
  </r>
  <r>
    <s v="Requisição de Serviços"/>
    <s v="CTXSPOAP407-14828"/>
    <s v="VIVO RFP - Novo Contrato de Atendimento 2016"/>
    <m/>
    <x v="6"/>
    <s v=" Ger Pré"/>
    <s v="Sem responsável"/>
    <s v="Adilson Pires Cerveira Junior"/>
    <x v="0"/>
    <d v="2016-01-19T15:41:00"/>
    <m/>
    <n v="41.346527777779556"/>
    <n v="1"/>
    <n v="2016"/>
    <x v="0"/>
  </r>
  <r>
    <s v="Requisição de Serviços"/>
    <s v="CTXSPOAP407-14745"/>
    <s v="IMPLANTAÇÃO TAM VIAGENS - INFRA - SITE AUGUSTA"/>
    <m/>
    <x v="12"/>
    <s v=" Viagens"/>
    <s v="Sem responsável"/>
    <s v="Cleonice de Andrade Oliveira Ferreira"/>
    <x v="0"/>
    <d v="2016-01-14T16:57:00"/>
    <m/>
    <n v="46.29374999999709"/>
    <n v="1"/>
    <n v="2016"/>
    <x v="0"/>
  </r>
  <r>
    <s v="Requisição de Serviços"/>
    <s v="CTXSPOAP407-14689"/>
    <s v="Projeto - Licitação ENEL"/>
    <m/>
    <x v="6"/>
    <s v=" Ger Pré"/>
    <s v="Sem responsável"/>
    <s v="Renata Varkala Sanchez"/>
    <x v="0"/>
    <d v="2016-01-12T10:20:00"/>
    <m/>
    <n v="48.569444444445253"/>
    <n v="1"/>
    <n v="2016"/>
    <x v="0"/>
  </r>
  <r>
    <s v="Requisição de Serviços"/>
    <s v="CTXSPOAP407-14658"/>
    <s v="Projeto - &quot;Por favor, usuário, utilizar este campo para informar o nome do Projeto&quot;"/>
    <m/>
    <x v="6"/>
    <s v=" Ger Pré"/>
    <s v="Sem responsável"/>
    <s v="Adilson Pires Cerveira Junior"/>
    <x v="0"/>
    <d v="2016-01-08T10:07:00"/>
    <m/>
    <n v="52.578472222223354"/>
    <n v="1"/>
    <n v="2016"/>
    <x v="0"/>
  </r>
  <r>
    <s v="Requisição de Serviços"/>
    <s v="CTXSPOAP407-14651"/>
    <s v="Projeto - ACL Analytics - Workstation"/>
    <m/>
    <x v="6"/>
    <s v=" Ger Seg Inf e Fraude"/>
    <s v="Sem responsável"/>
    <s v="Frederico Crespo Henriques de Paula Aguiar"/>
    <x v="0"/>
    <d v="2016-01-07T16:14:00"/>
    <m/>
    <n v="53.323611111110949"/>
    <n v="1"/>
    <n v="2016"/>
    <x v="0"/>
  </r>
  <r>
    <s v="Requisição de Serviços"/>
    <s v="CTXSPOAP407-14530"/>
    <s v="Projeto - Magazine Luiza"/>
    <m/>
    <x v="6"/>
    <s v=" Ger Pré"/>
    <s v="Sem responsável"/>
    <s v="Adilson Pires Cerveira Junior"/>
    <x v="0"/>
    <d v="2015-12-29T18:10:00"/>
    <m/>
    <n v="62.243055555554747"/>
    <n v="12"/>
    <n v="2015"/>
    <x v="1"/>
  </r>
  <r>
    <s v="Requisição de Serviços"/>
    <s v="CTXSPOAP407-14490"/>
    <s v="Insumos de Pré-Vendas"/>
    <m/>
    <x v="6"/>
    <s v=" Ger Pré"/>
    <s v="Sem responsável"/>
    <s v="Agnaldo Jose de Freitas Caetano"/>
    <x v="0"/>
    <d v="2015-12-23T15:49:00"/>
    <m/>
    <n v="68.340972222220444"/>
    <n v="12"/>
    <n v="2015"/>
    <x v="1"/>
  </r>
  <r>
    <s v="Requisição de Serviços"/>
    <s v="CTXSPOAP407-14478"/>
    <s v="Projeto - Parametrização de SLA no Pentaho"/>
    <m/>
    <x v="6"/>
    <s v=" Ger Manutenção"/>
    <s v="Mauricio Teixeira da Fonseca"/>
    <s v="Mauricio Teixeira da Fonseca"/>
    <x v="4"/>
    <d v="2015-12-22T19:15:00"/>
    <m/>
    <n v="69.197916666664241"/>
    <n v="12"/>
    <n v="2015"/>
    <x v="1"/>
  </r>
  <r>
    <s v="Requisição de Serviços"/>
    <s v="CTXSPOAP407-14449"/>
    <s v="Projeto - célula de ativo GNF"/>
    <m/>
    <x v="6"/>
    <s v=" Ger Pré"/>
    <s v="Bruno Guerra Ferreira"/>
    <s v="Renata Varkala Sanchez"/>
    <x v="0"/>
    <d v="2015-12-21T12:02:00"/>
    <m/>
    <n v="70.49861111111386"/>
    <n v="12"/>
    <n v="2015"/>
    <x v="1"/>
  </r>
  <r>
    <s v="Requisição de Serviços"/>
    <s v="CTXSPOAP407-14134"/>
    <s v="Insumos de TI - Claro TLV"/>
    <m/>
    <x v="6"/>
    <s v=" Ger Pré"/>
    <s v="Bruno Guerra Ferreira"/>
    <s v="Fernanda Esteves Zujenas"/>
    <x v="0"/>
    <d v="2015-12-02T13:05:00"/>
    <m/>
    <n v="89.454861111109494"/>
    <n v="12"/>
    <n v="2015"/>
    <x v="1"/>
  </r>
  <r>
    <s v="Requisição de Serviços"/>
    <s v="CTXSPOAP407-13802"/>
    <s v="Insumos para URA Multiplus"/>
    <m/>
    <x v="6"/>
    <s v=" Ger Pré"/>
    <s v="Bruno Guerra Ferreira"/>
    <s v="Agnaldo Jose de Freitas Caetano"/>
    <x v="0"/>
    <d v="2015-11-17T17:27:00"/>
    <m/>
    <n v="104.27291666666861"/>
    <n v="11"/>
    <n v="2015"/>
    <x v="2"/>
  </r>
  <r>
    <s v="Requisição de Serviços"/>
    <s v="CTXSPOAP407-13781"/>
    <s v="Projeto - Piloto Indigo"/>
    <m/>
    <x v="4"/>
    <s v=" VIVO"/>
    <s v="Erica Fernandes Cotrim"/>
    <s v="Wagner Mattos Ribeiro Pinto"/>
    <x v="0"/>
    <d v="2015-11-16T17:42:00"/>
    <m/>
    <n v="105.26249999999709"/>
    <n v="11"/>
    <n v="2015"/>
    <x v="2"/>
  </r>
  <r>
    <s v="Requisição de Serviços"/>
    <s v="CTXSPOAP407-13720"/>
    <s v="Projeto McKinsey - Cobrança - 100 PAs Discador Aspect"/>
    <m/>
    <x v="6"/>
    <s v=" Ger Pré"/>
    <s v="Bruno Guerra Ferreira"/>
    <s v="Agnaldo Jose de Freitas Caetano"/>
    <x v="0"/>
    <d v="2015-11-12T12:16:00"/>
    <m/>
    <n v="109.48888888888905"/>
    <n v="11"/>
    <n v="2015"/>
    <x v="2"/>
  </r>
  <r>
    <s v="Requisição de Serviços"/>
    <s v="CTXSPOAP407-13610"/>
    <s v="Cotação Link de Dados 10 MBPS ponto a ponto"/>
    <m/>
    <x v="6"/>
    <s v=" Ger Pré"/>
    <s v="Bruno Guerra Ferreira"/>
    <s v="Agnaldo Jose de Freitas Caetano"/>
    <x v="0"/>
    <d v="2015-11-05T14:08:00"/>
    <m/>
    <n v="116.4111111111124"/>
    <n v="11"/>
    <n v="2015"/>
    <x v="2"/>
  </r>
  <r>
    <s v="Requisição de Serviços"/>
    <s v="CTXSPOAP407-13330"/>
    <s v="Projeto - Implantação Nova Operação - Santander CP"/>
    <m/>
    <x v="3"/>
    <s v=" Crédito Pessoal"/>
    <s v="BRUNO DIEGO ANTUNES RIBEIRO"/>
    <s v="Bruno Guerra Ferreira"/>
    <x v="0"/>
    <d v="2015-10-23T16:48:00"/>
    <m/>
    <n v="129.30000000000291"/>
    <n v="10"/>
    <n v="2015"/>
    <x v="2"/>
  </r>
  <r>
    <s v="Requisição de Serviços"/>
    <s v="CTXSPOAP407-13236"/>
    <s v="Projeto - Solução infraestrutura (servidor e link) para relatórios de Televendas"/>
    <m/>
    <x v="6"/>
    <s v=" Outro"/>
    <s v="Bruno Guerra Ferreira"/>
    <s v="Carolina Akemi Kakazu Arakaki"/>
    <x v="0"/>
    <d v="2015-10-20T18:17:00"/>
    <m/>
    <n v="132.23819444444234"/>
    <n v="10"/>
    <n v="2015"/>
    <x v="2"/>
  </r>
  <r>
    <s v="Requisição de Serviços"/>
    <s v="CTXSPOAP407-13231"/>
    <s v="Pré Venda - cliente Omni"/>
    <m/>
    <x v="6"/>
    <s v=" Ger Pré"/>
    <s v="Bruno Guerra Ferreira"/>
    <s v="Fernanda Esteves Zujenas"/>
    <x v="0"/>
    <d v="2015-10-20T16:42:00"/>
    <m/>
    <n v="132.30416666666861"/>
    <n v="10"/>
    <n v="2015"/>
    <x v="2"/>
  </r>
  <r>
    <s v="Requisição de Serviços"/>
    <s v="CTXSPOAP407-13197"/>
    <s v="Lenvantamento de Insumos para nova oportunidade - Infoglobo Infraestrutura"/>
    <m/>
    <x v="6"/>
    <s v=" Ger Pré"/>
    <s v="Agnaldo Jose de Freitas Caetano"/>
    <s v="Agnaldo Jose de Freitas Caetano"/>
    <x v="1"/>
    <d v="2015-10-19T13:07:00"/>
    <d v="2016-01-19T16:18:00"/>
    <n v="92.132638888891961"/>
    <n v="10"/>
    <n v="2015"/>
    <x v="2"/>
  </r>
  <r>
    <s v="Requisição de Serviços"/>
    <s v="CTXSPOAP407-13166"/>
    <s v="Ticket B2B - Ferramenta de acompanhamento de produtividade"/>
    <m/>
    <x v="6"/>
    <s v=" Ger Pré"/>
    <s v="Bruno Guerra Ferreira"/>
    <s v="Agnaldo Jose de Freitas Caetano"/>
    <x v="0"/>
    <d v="2015-10-16T11:27:00"/>
    <m/>
    <n v="136.52291666666861"/>
    <n v="10"/>
    <n v="2015"/>
    <x v="2"/>
  </r>
  <r>
    <s v="Requisição de Serviços"/>
    <s v="CTXSPOAP407-13150"/>
    <s v="Projeto Total View 2a Fase"/>
    <m/>
    <x v="4"/>
    <s v=" VIVO"/>
    <s v="BRUNO DIEGO ANTUNES RIBEIRO"/>
    <s v="Wagner Mattos Ribeiro Pinto"/>
    <x v="2"/>
    <d v="2015-10-15T15:34:00"/>
    <m/>
    <n v="137.35138888889196"/>
    <n v="10"/>
    <n v="2015"/>
    <x v="2"/>
  </r>
  <r>
    <s v="Requisição de Serviços"/>
    <s v="CTXSPOAP407-13114"/>
    <s v="Projeto - Pré Projeto LATAM TAM JOAO PESSOA"/>
    <m/>
    <x v="12"/>
    <s v=" TAM Cargo"/>
    <s v="Bruno Guerra Ferreira"/>
    <s v="Robson da Costa"/>
    <x v="2"/>
    <d v="2015-10-13T17:19:00"/>
    <m/>
    <n v="139.27847222222044"/>
    <n v="10"/>
    <n v="2015"/>
    <x v="2"/>
  </r>
  <r>
    <s v="Requisição de Serviços"/>
    <s v="CTXSPOAP407-12991"/>
    <s v="Projeto - Projeto"/>
    <m/>
    <x v="6"/>
    <s v=" Ger Produtos"/>
    <s v="Bruno Guerra Ferreira"/>
    <s v="Daniela Mesquita Monteiro"/>
    <x v="2"/>
    <d v="2015-10-06T12:25:00"/>
    <m/>
    <n v="146.48263888889051"/>
    <n v="10"/>
    <n v="2015"/>
    <x v="2"/>
  </r>
  <r>
    <s v="Requisição de Serviços"/>
    <s v="CTXSPOAP407-12854"/>
    <s v="Projeto Separação URA Multiplus da TAM"/>
    <m/>
    <x v="12"/>
    <s v=" Apoio"/>
    <s v="Paulo Roberto da Costa Cavalcante"/>
    <s v="Cleonice de Andrade Oliveira Ferreira"/>
    <x v="2"/>
    <d v="2015-09-30T11:55:00"/>
    <m/>
    <n v="152.50347222221899"/>
    <n v="9"/>
    <n v="2015"/>
    <x v="3"/>
  </r>
  <r>
    <s v="Requisição de Serviços"/>
    <s v="CTXSPOAP407-12490"/>
    <s v="Projeto - Projeto"/>
    <m/>
    <x v="6"/>
    <s v=" Ger Produtos"/>
    <s v="Bruno Guerra Ferreira"/>
    <s v="Daniela Mesquita Monteiro"/>
    <x v="6"/>
    <d v="2015-09-10T16:32:00"/>
    <m/>
    <n v="172.31111111111386"/>
    <n v="9"/>
    <n v="2015"/>
    <x v="3"/>
  </r>
  <r>
    <s v="Requisição de Serviços"/>
    <s v="CTXSPOAP407-12466"/>
    <s v="Insumos TI e Aplicações - Prefeitura de Porto Alegre"/>
    <m/>
    <x v="6"/>
    <s v=" Ger Pré"/>
    <s v="Bruno Guerra Ferreira"/>
    <s v="Agnaldo Jose de Freitas Caetano"/>
    <x v="2"/>
    <d v="2015-09-09T18:52:00"/>
    <m/>
    <n v="173.2138888888876"/>
    <n v="9"/>
    <n v="2015"/>
    <x v="3"/>
  </r>
  <r>
    <s v="Requisição de Serviços"/>
    <s v="CTXSPOAP407-12333"/>
    <s v="Projeto - Projeto"/>
    <m/>
    <x v="6"/>
    <s v=" Ger Planejamento SAC"/>
    <s v="Paulo Roberto da Costa Cavalcante"/>
    <s v="José Ballock Neto"/>
    <x v="2"/>
    <d v="2015-09-03T16:46:00"/>
    <m/>
    <n v="179.30138888888905"/>
    <n v="9"/>
    <n v="2015"/>
    <x v="3"/>
  </r>
  <r>
    <s v="Requisição de Serviços"/>
    <s v="CTXSPOAP407-12306"/>
    <s v="Projeto - Projeto"/>
    <m/>
    <x v="6"/>
    <s v=" Ger Planejamento SAC"/>
    <s v="Bruno Guerra Ferreira"/>
    <s v="José Ballock Neto"/>
    <x v="2"/>
    <d v="2015-09-02T16:27:00"/>
    <m/>
    <n v="180.31458333333285"/>
    <n v="9"/>
    <n v="2015"/>
    <x v="3"/>
  </r>
  <r>
    <s v="Requisição de Serviços"/>
    <s v="CTXSPOAP407-12185"/>
    <s v="RTI - Direcionamento ao Portal de informações da Vivo (AJUSTES)"/>
    <m/>
    <x v="4"/>
    <s v=" VIVO"/>
    <s v="Debora Gercke Dominas"/>
    <s v="Wagner Mattos Ribeiro Pinto"/>
    <x v="5"/>
    <d v="2015-08-27T12:08:00"/>
    <m/>
    <n v="186.49444444444089"/>
    <n v="8"/>
    <n v="2015"/>
    <x v="3"/>
  </r>
  <r>
    <s v="Requisição de Serviços"/>
    <s v="CTXSPOAP407-12033"/>
    <s v="Desmobilização site Joinville"/>
    <m/>
    <x v="6"/>
    <s v=" Outro"/>
    <s v="BRUNO DIEGO ANTUNES RIBEIRO"/>
    <s v="Paulo Roberto Sim�es"/>
    <x v="5"/>
    <d v="2015-08-19T15:10:00"/>
    <m/>
    <n v="194.36805555555475"/>
    <n v="8"/>
    <n v="2015"/>
    <x v="3"/>
  </r>
  <r>
    <s v="Requisição de Serviços"/>
    <s v="CTXSPOAP407-12031"/>
    <s v="Desmobilização CTC Fortaleza"/>
    <m/>
    <x v="6"/>
    <s v=" Outro"/>
    <s v="BRUNO DIEGO ANTUNES RIBEIRO"/>
    <s v="Paulo Roberto Sim�es"/>
    <x v="6"/>
    <d v="2015-08-19T15:05:00"/>
    <m/>
    <n v="194.37152777778101"/>
    <n v="8"/>
    <n v="2015"/>
    <x v="3"/>
  </r>
  <r>
    <s v="Requisição de Serviços"/>
    <s v="CTXSPOAP407-12030"/>
    <s v="Desmobilização CTC D. Pedro"/>
    <m/>
    <x v="6"/>
    <s v=" Outro"/>
    <s v="BRUNO DIEGO ANTUNES RIBEIRO"/>
    <s v="Paulo Roberto Sim�es"/>
    <x v="6"/>
    <d v="2015-08-19T15:00:00"/>
    <m/>
    <n v="194.375"/>
    <n v="8"/>
    <n v="2015"/>
    <x v="3"/>
  </r>
  <r>
    <s v="Requisição de Serviços"/>
    <s v="CTXSPOAP407-12001"/>
    <s v="Implementação ACI em todos os prédios"/>
    <m/>
    <x v="6"/>
    <s v=" Outro"/>
    <s v="Bruno Guerra Ferreira"/>
    <s v="Paulo Roberto Sim�es"/>
    <x v="0"/>
    <d v="2015-08-18T15:47:00"/>
    <m/>
    <n v="195.34236111111386"/>
    <n v="8"/>
    <n v="2015"/>
    <x v="3"/>
  </r>
  <r>
    <s v="Requisição de Serviços"/>
    <s v="CTXSPOAP407-11965"/>
    <s v="Projeto - Projeto"/>
    <m/>
    <x v="6"/>
    <s v=" Ger Produtos"/>
    <s v="Bruno Guerra Ferreira"/>
    <s v="Daniela Mesquita Monteiro"/>
    <x v="2"/>
    <d v="2015-08-17T11:56:00"/>
    <m/>
    <n v="196.50277777777956"/>
    <n v="8"/>
    <n v="2015"/>
    <x v="3"/>
  </r>
  <r>
    <s v="Requisição de Serviços"/>
    <s v="CTXSPOAP407-11630"/>
    <s v="Tabulador - Motivos de Contato Operações Movel"/>
    <m/>
    <x v="4"/>
    <s v=" VIVO"/>
    <s v="Bruno Guerra Ferreira"/>
    <s v="Vania de Moraes Colella"/>
    <x v="2"/>
    <d v="2015-07-31T16:47:00"/>
    <m/>
    <n v="213.30069444444234"/>
    <n v="7"/>
    <n v="2015"/>
    <x v="3"/>
  </r>
  <r>
    <s v="Requisição de Serviços"/>
    <s v="CTXSPOAP407-11421"/>
    <s v="Projeto - Projeto"/>
    <m/>
    <x v="6"/>
    <s v=" Ger Seg Inf e Fraude"/>
    <s v="Bruno Guerra Ferreira"/>
    <s v="Jonathan Goya Nogiri"/>
    <x v="6"/>
    <d v="2015-07-22T17:29:00"/>
    <m/>
    <n v="222.27152777777519"/>
    <n v="7"/>
    <n v="2015"/>
    <x v="3"/>
  </r>
  <r>
    <s v="Requisição de Serviços"/>
    <s v="CTXSPOAP407-11140"/>
    <s v="Projeto - Projeto"/>
    <m/>
    <x v="6"/>
    <s v=" Ger Seg Inf e Fraude"/>
    <s v="Bruno Guerra Ferreira"/>
    <s v="Frederico Crespo Henriques de Paula Aguiar"/>
    <x v="2"/>
    <d v="2015-07-07T19:02:00"/>
    <m/>
    <n v="237.20694444444234"/>
    <n v="7"/>
    <n v="2015"/>
    <x v="3"/>
  </r>
  <r>
    <s v="Requisição de Serviços"/>
    <s v="CTXSPOAP407-11089"/>
    <s v="Projeto - Projeto"/>
    <m/>
    <x v="6"/>
    <s v=" Ger Segurança Patrimonial"/>
    <s v="Dalton Bondesan"/>
    <s v="Lucas Francisco de Oliveira"/>
    <x v="5"/>
    <d v="2015-07-06T10:58:00"/>
    <m/>
    <n v="238.54305555555766"/>
    <n v="7"/>
    <n v="2015"/>
    <x v="3"/>
  </r>
  <r>
    <s v="Requisição de Serviços"/>
    <s v="CTXSPOAP407-11039"/>
    <s v="Projeto - Projeto"/>
    <m/>
    <x v="6"/>
    <s v=" Ger Segurança Patrimonial"/>
    <s v="Bruno Guerra Ferreira"/>
    <s v="Lucas Francisco de Oliveira"/>
    <x v="2"/>
    <d v="2015-07-02T12:46:00"/>
    <m/>
    <n v="242.46805555555329"/>
    <n v="7"/>
    <n v="2015"/>
    <x v="3"/>
  </r>
  <r>
    <s v="Requisição de Serviços"/>
    <s v="CTXSPOAP407-10905"/>
    <s v="Projeto - Projeto"/>
    <m/>
    <x v="6"/>
    <s v=" Ger Segurança Patrimonial"/>
    <s v="Bruno Guerra Ferreira"/>
    <s v="Lucas Francisco de Oliveira"/>
    <x v="6"/>
    <d v="2015-06-25T12:35:00"/>
    <m/>
    <n v="249.47569444444525"/>
    <n v="6"/>
    <n v="2015"/>
    <x v="3"/>
  </r>
  <r>
    <s v="Requisição de Serviços"/>
    <s v="CTXSPOAP407-10900"/>
    <s v="Projeto - Projeto"/>
    <m/>
    <x v="6"/>
    <s v=" Ger Segurança Patrimonial"/>
    <s v="Bruno Guerra Ferreira"/>
    <s v="Lucas Francisco de Oliveira"/>
    <x v="6"/>
    <d v="2015-06-25T11:13:00"/>
    <m/>
    <n v="249.53263888888614"/>
    <n v="6"/>
    <n v="2015"/>
    <x v="3"/>
  </r>
  <r>
    <s v="Requisição de Serviços"/>
    <s v="CTXSPOAP407-10552"/>
    <s v="Projeto - Projeto - [Orbitall] - Integração do tGuidance com Cyber"/>
    <m/>
    <x v="13"/>
    <s v=" SAC Central Bancos (C)"/>
    <s v="Bruno Guerra Ferreira"/>
    <s v="Cristiane Akiko Sasaki"/>
    <x v="2"/>
    <d v="2015-06-03T14:46:00"/>
    <m/>
    <n v="271.38472222222481"/>
    <n v="6"/>
    <n v="2015"/>
    <x v="3"/>
  </r>
  <r>
    <s v="Requisição de Serviços"/>
    <s v="CTXSPOAP407-10551"/>
    <s v="Projeto - Projeto - [Engenharia - Infra e Plataforma] - PRJ-ENG-051-15 Ajuste NAS HP X9730"/>
    <m/>
    <x v="6"/>
    <s v=" Outro"/>
    <s v="Bruno Guerra Ferreira"/>
    <s v="Cristiane Akiko Sasaki"/>
    <x v="2"/>
    <d v="2015-06-03T14:38:00"/>
    <m/>
    <n v="271.39027777777665"/>
    <n v="6"/>
    <n v="2015"/>
    <x v="3"/>
  </r>
  <r>
    <s v="Requisição de Serviços"/>
    <s v="CTXSPOAP407-10550"/>
    <s v="Projeto - Projeto - [Engenharia - Infra e Plataforma] - PRJ-ENG-050-15 Mcafee DLP"/>
    <m/>
    <x v="6"/>
    <s v=" Outro"/>
    <s v="Bruno Guerra Ferreira"/>
    <s v="Cristiane Akiko Sasaki"/>
    <x v="2"/>
    <d v="2015-06-03T14:34:00"/>
    <m/>
    <n v="271.3930555555562"/>
    <n v="6"/>
    <n v="2015"/>
    <x v="3"/>
  </r>
  <r>
    <s v="Requisição de Serviços"/>
    <s v="CTXSPOAP407-10546"/>
    <s v="Projeto - Projeto - [Engenharia - Infra e Plataforma] - PRJ-ENG-012-15 Exadata"/>
    <m/>
    <x v="6"/>
    <s v=" Outro"/>
    <s v="Bruno Guerra Ferreira"/>
    <s v="Cristiane Akiko Sasaki"/>
    <x v="2"/>
    <d v="2015-06-03T12:56:00"/>
    <m/>
    <n v="271.46111111110804"/>
    <n v="6"/>
    <n v="2015"/>
    <x v="3"/>
  </r>
  <r>
    <s v="Requisição de Serviços"/>
    <s v="CTXSPOAP407-10523"/>
    <s v="Projeto - Projeto - RFI Everis"/>
    <m/>
    <x v="6"/>
    <s v=" Outro"/>
    <s v="Joice Pereira De Souza"/>
    <s v="Cristiane Akiko Sasaki"/>
    <x v="2"/>
    <d v="2015-06-02T14:17:00"/>
    <m/>
    <n v="272.40486111111386"/>
    <n v="6"/>
    <n v="2015"/>
    <x v="3"/>
  </r>
  <r>
    <s v="Requisição de Serviços"/>
    <s v="CTXSPOAP407-10513"/>
    <s v="Projeto - Projeto - Criar ferramenta Disca Fácil"/>
    <m/>
    <x v="14"/>
    <s v=" SAC"/>
    <s v="Bruno Guerra Ferreira"/>
    <s v="Cristiane Akiko Sasaki"/>
    <x v="2"/>
    <d v="2015-06-02T10:41:00"/>
    <m/>
    <n v="272.55486111110804"/>
    <n v="6"/>
    <n v="2015"/>
    <x v="3"/>
  </r>
  <r>
    <s v="Requisição de Serviços"/>
    <s v="CTXSPOAP407-10497"/>
    <s v="Projeto - Projeto - [Oi] - Criar URL para Integração com o Fornecedor CLOSER"/>
    <m/>
    <x v="14"/>
    <s v=" Cobrança"/>
    <s v="Erica Fernandes Cotrim"/>
    <s v="Cristiane Akiko Sasaki"/>
    <x v="2"/>
    <d v="2015-06-01T11:17:00"/>
    <m/>
    <n v="273.52986111111386"/>
    <n v="6"/>
    <n v="2015"/>
    <x v="3"/>
  </r>
  <r>
    <s v="Requisição de Serviços"/>
    <s v="CTXSPOAP407-10493"/>
    <s v="Projeto - Projeto - Projeto para implantar a nova versão do tSupervisor em todas as operações da OI."/>
    <m/>
    <x v="14"/>
    <s v=" Outras Atividades"/>
    <s v="Edison Nei Siqueira"/>
    <s v="Cristiane Akiko Sasaki"/>
    <x v="5"/>
    <d v="2015-06-01T10:35:00"/>
    <m/>
    <n v="273.55902777778101"/>
    <n v="6"/>
    <n v="2015"/>
    <x v="3"/>
  </r>
  <r>
    <s v="Requisição de Serviços"/>
    <s v="CTXSPOAP407-10434"/>
    <s v="Projeto - Projeto - [NET] - Migração da solução para a versão 4.9.3 de RTI"/>
    <m/>
    <x v="15"/>
    <s v=" Net Fone"/>
    <s v="Bruno Guerra Ferreira"/>
    <s v="Cristiane Akiko Sasaki"/>
    <x v="2"/>
    <d v="2015-05-27T17:53:00"/>
    <m/>
    <n v="278.2548611111124"/>
    <n v="5"/>
    <n v="2015"/>
    <x v="3"/>
  </r>
  <r>
    <s v="Requisição de Serviços"/>
    <s v="CTXSPOAP407-10432"/>
    <s v="Projeto - Projeto - [NET] [TGUIDANCE] - Envio de bilhete para URA - FASE 2"/>
    <m/>
    <x v="15"/>
    <s v=" Ura"/>
    <s v="Bruno Guerra Ferreira"/>
    <s v="Cristiane Akiko Sasaki"/>
    <x v="2"/>
    <d v="2015-05-27T17:49:00"/>
    <m/>
    <n v="278.25763888889196"/>
    <n v="5"/>
    <n v="2015"/>
    <x v="3"/>
  </r>
  <r>
    <s v="Requisição de Serviços"/>
    <s v="CTXSPOAP407-10430"/>
    <s v="Projeto - Projeto - [ITAU]; [RTI] - Desenvolvimento das Integrações para operação CAC - Fase 2"/>
    <m/>
    <x v="16"/>
    <s v=" Itaú Nacional"/>
    <s v="Debora Gercke Dominas"/>
    <s v="Cristiane Akiko Sasaki"/>
    <x v="2"/>
    <d v="2015-05-27T17:31:00"/>
    <m/>
    <n v="278.27013888888905"/>
    <n v="5"/>
    <n v="2015"/>
    <x v="3"/>
  </r>
  <r>
    <s v="Requisição de Serviços"/>
    <s v="CTXSPOAP407-10428"/>
    <s v="Projeto - Projeto - [SANTANDER]; Implantação tFamily"/>
    <m/>
    <x v="3"/>
    <s v=" Santander"/>
    <s v="Bruno Guerra Ferreira"/>
    <s v="Cristiane Akiko Sasaki"/>
    <x v="2"/>
    <d v="2015-05-27T17:07:00"/>
    <m/>
    <n v="278.28680555555911"/>
    <n v="5"/>
    <n v="2015"/>
    <x v="3"/>
  </r>
  <r>
    <s v="Requisição de Serviços"/>
    <s v="CTXSPOAP407-10425"/>
    <s v="Projeto - Projeto - [VIVO MASSIVO] - Automação do Saldo de Recarga e Bônus"/>
    <m/>
    <x v="4"/>
    <s v=" VIVO"/>
    <s v="Debora Gercke Dominas"/>
    <s v="Cristiane Akiko Sasaki"/>
    <x v="5"/>
    <d v="2015-05-27T15:43:00"/>
    <m/>
    <n v="278.34513888888614"/>
    <n v="5"/>
    <n v="2015"/>
    <x v="3"/>
  </r>
  <r>
    <s v="Requisição de Serviços"/>
    <s v="CTXSPOAP407-10423"/>
    <s v="Projeto - Projeto - [VIVO];Ajustes tGuidance Lite"/>
    <m/>
    <x v="4"/>
    <s v=" VIVO"/>
    <s v="Bruno Guerra Ferreira"/>
    <s v="Cristiane Akiko Sasaki"/>
    <x v="2"/>
    <d v="2015-05-27T15:37:00"/>
    <m/>
    <n v="278.34930555555911"/>
    <n v="5"/>
    <n v="2015"/>
    <x v="3"/>
  </r>
  <r>
    <s v="Requisição de Serviços"/>
    <s v="CTXSPOAP407-10422"/>
    <s v="Projeto - Projeto - [VIVO] - Fazer com o que tGuidance! lite passe a senha do ramal para se autenticar com o One-x (Registrar Ramal)"/>
    <m/>
    <x v="4"/>
    <s v=" VIVO"/>
    <s v="Bruno Guerra Ferreira"/>
    <s v="Cristiane Akiko Sasaki"/>
    <x v="2"/>
    <d v="2015-05-27T15:31:00"/>
    <m/>
    <n v="278.35347222222481"/>
    <n v="5"/>
    <n v="2015"/>
    <x v="3"/>
  </r>
  <r>
    <s v="Requisição de Serviços"/>
    <s v="CTXSPOAP407-10421"/>
    <s v="Projeto - Projeto - [VIVO] - Integrar tGuidance! com Genesys diretamente"/>
    <m/>
    <x v="4"/>
    <s v=" VIVO"/>
    <s v="Bruno Guerra Ferreira"/>
    <s v="Cristiane Akiko Sasaki"/>
    <x v="2"/>
    <d v="2015-05-27T15:27:00"/>
    <m/>
    <n v="278.35624999999709"/>
    <n v="5"/>
    <n v="2015"/>
    <x v="3"/>
  </r>
  <r>
    <s v="Requisição de Serviços"/>
    <s v="CTXSPOAP407-10410"/>
    <s v="Projeto - Projeto - [Vivo], [RTI] - Projeto RTI Vivo - Integração TClock x Logon no vivo 360"/>
    <m/>
    <x v="4"/>
    <s v=" VIVO"/>
    <s v="Debora Gercke Dominas"/>
    <s v="Cristiane Akiko Sasaki"/>
    <x v="2"/>
    <d v="2015-05-27T12:40:00"/>
    <m/>
    <n v="278.47222222221899"/>
    <n v="5"/>
    <n v="2015"/>
    <x v="3"/>
  </r>
  <r>
    <s v="Requisição de Serviços"/>
    <s v="CTXSPOAP407-10407"/>
    <s v="Projeto - Projeto TAM - tReports! / Call Center"/>
    <m/>
    <x v="12"/>
    <s v=" TAM Viagens"/>
    <s v="Flavio Reto"/>
    <s v="Cristiane Akiko Sasaki"/>
    <x v="1"/>
    <d v="2015-05-27T12:12:00"/>
    <d v="2015-12-16T17:08:00"/>
    <n v="203.2055555555562"/>
    <n v="5"/>
    <n v="2015"/>
    <x v="3"/>
  </r>
  <r>
    <s v="Requisição de Serviços"/>
    <s v="CTXSPOAP407-10381"/>
    <s v="Projeto - Projeto - Teste de Acesso"/>
    <m/>
    <x v="6"/>
    <s v=" Ger Adm RH"/>
    <s v="Dalton Bondesan"/>
    <s v="Cristiane Akiko Sasaki"/>
    <x v="2"/>
    <d v="2015-05-26T14:25:00"/>
    <m/>
    <n v="279.39930555555475"/>
    <n v="5"/>
    <n v="2015"/>
    <x v="3"/>
  </r>
  <r>
    <s v="Requisição de Serviços"/>
    <s v="CTXSPOAP407-10295"/>
    <s v="Projeto - Projeto - [OI]; [RTI]; [ST VOZ] - 626 FASE 4 - Abertura dos registros automáticos"/>
    <m/>
    <x v="14"/>
    <s v=" Suporte Técnico"/>
    <s v="Erica Fernandes Cotrim"/>
    <s v="Cristiane Akiko Sasaki"/>
    <x v="2"/>
    <d v="2015-05-20T16:02:00"/>
    <m/>
    <n v="285.33194444444234"/>
    <n v="5"/>
    <n v="2015"/>
    <x v="3"/>
  </r>
  <r>
    <s v="Requisição de Serviços"/>
    <s v="CTXSPOAP407-10294"/>
    <s v="Projeto - Projeto - [OI]; [RTI]; [ST VOZ] - 626 FASE 3 - Abertura dos registros automáticos"/>
    <m/>
    <x v="14"/>
    <s v=" Suporte Técnico"/>
    <s v="Erica Fernandes Cotrim"/>
    <s v="Cristiane Akiko Sasaki"/>
    <x v="2"/>
    <d v="2015-05-20T15:59:00"/>
    <m/>
    <n v="285.33402777777519"/>
    <n v="5"/>
    <n v="2015"/>
    <x v="3"/>
  </r>
  <r>
    <s v="Requisição de Serviços"/>
    <s v="CTXSPOAP407-10293"/>
    <s v="Projeto - Projeto-[OI]; [RTI]; [ST VOZ] - Abertura dos registros automáticos pelo Front Fácil - Fase 2"/>
    <m/>
    <x v="14"/>
    <s v=" Suporte Técnico"/>
    <s v="Erica Fernandes Cotrim"/>
    <s v="Cristiane Akiko Sasaki"/>
    <x v="2"/>
    <d v="2015-05-20T15:53:00"/>
    <m/>
    <n v="285.33819444444089"/>
    <n v="5"/>
    <n v="2015"/>
    <x v="3"/>
  </r>
  <r>
    <s v="Requisição de Serviços"/>
    <s v="CTXSPOAP407-10289"/>
    <s v="Projeto - Projeto - Alvará de resgate - DEMANDAS-1808"/>
    <m/>
    <x v="6"/>
    <s v=" Outro"/>
    <s v="Dalton Bondesan"/>
    <s v="Cristiane Akiko Sasaki"/>
    <x v="2"/>
    <d v="2015-05-20T14:50:00"/>
    <m/>
    <n v="285.38194444444525"/>
    <n v="5"/>
    <n v="2015"/>
    <x v="3"/>
  </r>
  <r>
    <s v="Requisição de Serviços"/>
    <s v="CTXSPOAP407-10180"/>
    <s v="Projeto - Projeto - Adequação URA SAC Volks - Lançamento de veículos"/>
    <m/>
    <x v="6"/>
    <s v=" Dir. Clientes Especiais"/>
    <s v="Dalton Bondesan"/>
    <s v="Fabiane Evangelista Cavalcante"/>
    <x v="2"/>
    <d v="2015-05-14T17:12:00"/>
    <m/>
    <n v="291.28333333333285"/>
    <n v="5"/>
    <n v="2015"/>
    <x v="3"/>
  </r>
  <r>
    <s v="Requisição de Serviços"/>
    <s v="CTXSPOAP407-10077"/>
    <s v="Abertura de portas firewall antivirus local de todas as estações."/>
    <m/>
    <x v="6"/>
    <s v=" Ger Implantação"/>
    <s v="Dalton Bondesan"/>
    <s v="Wanderson Marques"/>
    <x v="2"/>
    <d v="2015-05-08T10:21:00"/>
    <m/>
    <n v="297.56874999999854"/>
    <n v="5"/>
    <n v="2015"/>
    <x v="3"/>
  </r>
  <r>
    <s v="Requisição de Serviços"/>
    <s v="CTXSPOAP407-10019"/>
    <s v="Projeto - Projeto"/>
    <m/>
    <x v="6"/>
    <s v=" Ger Seg Inf e Fraude"/>
    <s v="Dalton Bondesan"/>
    <s v="Jonathan Goya Nogiri"/>
    <x v="2"/>
    <d v="2015-05-04T16:31:00"/>
    <m/>
    <n v="301.31180555555329"/>
    <n v="5"/>
    <n v="2015"/>
    <x v="3"/>
  </r>
  <r>
    <s v="Requisição de Serviços"/>
    <s v="CTXSPOAP407-9908"/>
    <s v="Projeto - Projeto - Colocation de URA DNK_Ticket"/>
    <m/>
    <x v="6"/>
    <s v=" Dir. Clientes Especiais"/>
    <s v="Dalton Bondesan"/>
    <s v="Fabiane Evangelista Cavalcante"/>
    <x v="2"/>
    <d v="2015-04-27T16:39:00"/>
    <m/>
    <n v="308.30625000000146"/>
    <n v="4"/>
    <n v="2015"/>
    <x v="3"/>
  </r>
  <r>
    <s v="Requisição de Serviços"/>
    <s v="CTXSPOAP407-9433"/>
    <s v="Projeto - Projeto"/>
    <m/>
    <x v="6"/>
    <s v=" Ger Segurança Patrimonial"/>
    <s v="Sem responsável"/>
    <s v="Lucas Francisco de Oliveira"/>
    <x v="4"/>
    <d v="2015-03-24T18:21:00"/>
    <m/>
    <n v="342.23541666667006"/>
    <n v="3"/>
    <n v="2015"/>
    <x v="3"/>
  </r>
  <r>
    <s v="Requisição de Serviços"/>
    <s v="CTXSPOAP407-7761"/>
    <s v="Projeto - Projeto - Instalação de 2 E1's - Ticket"/>
    <m/>
    <x v="6"/>
    <s v=" Dir. Clientes Especiais"/>
    <s v="Sem responsável"/>
    <s v="Fabiane Evangelista Cavalcante"/>
    <x v="4"/>
    <d v="2014-11-14T17:34:00"/>
    <m/>
    <n v="472.2680555555562"/>
    <n v="11"/>
    <n v="2014"/>
    <x v="3"/>
  </r>
  <r>
    <s v="Requisição de Serviços"/>
    <s v="CTXSPOAL-103355"/>
    <s v="Projeto - Monitorar ASPCTX100SPODA via SiteScope"/>
    <m/>
    <x v="6"/>
    <s v=" NOC"/>
    <s v="Sem responsável"/>
    <s v="Diego Vivanco Fernandez"/>
    <x v="0"/>
    <d v="2016-01-18T08:41:00"/>
    <m/>
    <n v="42.638194444443798"/>
    <n v="1"/>
    <n v="2016"/>
    <x v="0"/>
  </r>
  <r>
    <s v="Requisição de Serviços"/>
    <s v="CTXSPOAL-101987"/>
    <s v="Projeto RTC x EPS Contax (ITAÚ CARTÕES) - TIVOLI"/>
    <m/>
    <x v="16"/>
    <s v=" Itaú Cartão"/>
    <s v="Sem responsável"/>
    <s v="Marco Aurelio Brandao Duarte"/>
    <x v="0"/>
    <d v="2016-01-04T14:21:00"/>
    <m/>
    <n v="56.402083333334303"/>
    <n v="1"/>
    <n v="2016"/>
    <x v="0"/>
  </r>
  <r>
    <s v="Requisição de Serviços"/>
    <s v="CTXSPOAL-101739"/>
    <s v="Projeto - &quot;Implantação de Crescimento 3 PAs Intermédica&quot;"/>
    <m/>
    <x v="17"/>
    <s v=" Marcação de Consultas"/>
    <s v="Sem responsável"/>
    <s v="Rogerio Luiz da Silva"/>
    <x v="0"/>
    <d v="2015-12-29T11:13:00"/>
    <m/>
    <n v="62.53263888888614"/>
    <n v="12"/>
    <n v="2015"/>
    <x v="1"/>
  </r>
  <r>
    <s v="Requisição de Serviços"/>
    <s v="CTXSPOAL-101564"/>
    <s v="Projeto - Substituição de links da IDT para colocar I360"/>
    <m/>
    <x v="3"/>
    <s v=" Cartões"/>
    <s v="Sem responsável"/>
    <s v="George Silva Dimitrov"/>
    <x v="0"/>
    <d v="2015-12-23T16:47:00"/>
    <m/>
    <n v="68.300694444442343"/>
    <n v="12"/>
    <n v="2015"/>
    <x v="1"/>
  </r>
  <r>
    <s v="Requisição de Serviços"/>
    <s v="CTXSPOAL-101398"/>
    <s v="Projeto - Cielo ARV/L5 - Implantação de Telefone HOT"/>
    <m/>
    <x v="0"/>
    <s v=" ARV"/>
    <s v="Expedito Sousa de Almeida"/>
    <s v="George Silva Dimitrov"/>
    <x v="1"/>
    <d v="2015-12-21T12:49:00"/>
    <d v="2016-02-05T16:36:00"/>
    <n v="46.15763888888614"/>
    <n v="12"/>
    <n v="2015"/>
    <x v="0"/>
  </r>
  <r>
    <s v="Requisição de Serviços"/>
    <s v="CTXSPOAL-100158"/>
    <s v="Projeto - Ponto de rede para Wi-Fi"/>
    <m/>
    <x v="3"/>
    <s v=" Santander"/>
    <s v="Bruno Guerra Ferreira"/>
    <s v="Giovana Ferreira de Souza"/>
    <x v="0"/>
    <d v="2015-12-04T15:14:00"/>
    <m/>
    <n v="87.365277777775191"/>
    <n v="12"/>
    <n v="2015"/>
    <x v="1"/>
  </r>
  <r>
    <s v="Requisição de Serviços"/>
    <s v="CTXSPOAL-100112"/>
    <s v="Projeto - Troca do parque de máquinas da operação Intermédica"/>
    <m/>
    <x v="17"/>
    <s v=" Marcação de Consultas"/>
    <s v="Bruno Guerra Ferreira"/>
    <s v="Flavio Reto"/>
    <x v="0"/>
    <d v="2015-12-03T23:59:00"/>
    <m/>
    <n v="88.000694444446708"/>
    <n v="12"/>
    <n v="2015"/>
    <x v="1"/>
  </r>
  <r>
    <s v="Requisição de Serviços"/>
    <s v="CTXSPOAL-99944"/>
    <s v="Projeto - Migração BV Financeira (Lapa X Alegria)"/>
    <m/>
    <x v="1"/>
    <s v=" SAC"/>
    <s v="Bruno Guerra Ferreira"/>
    <s v="Rogerio Luiz da Silva"/>
    <x v="0"/>
    <d v="2015-12-02T14:55:00"/>
    <m/>
    <n v="89.378472222218988"/>
    <n v="12"/>
    <n v="2015"/>
    <x v="1"/>
  </r>
  <r>
    <s v="Requisição de Serviços"/>
    <s v="CTXSPOAL-99303"/>
    <s v="Projeto - Crescimento (mais do mesmo) de 13 PA's na operação Volkswagen"/>
    <m/>
    <x v="6"/>
    <s v=" Dir. Clientes Especiais"/>
    <s v="Bruno Guerra Ferreira"/>
    <s v="Rogerio Luiz da Silva"/>
    <x v="0"/>
    <d v="2015-11-24T10:18:00"/>
    <m/>
    <n v="97.570833333331393"/>
    <n v="11"/>
    <n v="2015"/>
    <x v="2"/>
  </r>
  <r>
    <s v="Requisição de Serviços"/>
    <s v="CTXSPOAL-97376"/>
    <s v="Projeto - Migração POP3 - SKY Antartica - Alegria"/>
    <m/>
    <x v="6"/>
    <s v=" Cobrança"/>
    <s v="Robson da Costa"/>
    <s v="Robson da Costa"/>
    <x v="1"/>
    <d v="2015-10-30T16:51:00"/>
    <d v="2015-12-14T11:42:00"/>
    <n v="44.785416666672972"/>
    <n v="10"/>
    <n v="2015"/>
    <x v="0"/>
  </r>
  <r>
    <s v="Requisição de Serviços"/>
    <s v="CTXSPOAL-96703"/>
    <s v="Liberação software Innwinwiwn para os sites do Brasil"/>
    <m/>
    <x v="6"/>
    <s v=" Outro"/>
    <s v="Bruno Guerra Ferreira"/>
    <s v="Vera Lucia Augusto de Azevedo"/>
    <x v="0"/>
    <d v="2015-10-22T15:43:00"/>
    <m/>
    <n v="130.34513888888614"/>
    <n v="10"/>
    <n v="2015"/>
    <x v="2"/>
  </r>
  <r>
    <s v="Requisição de Serviços"/>
    <s v="CTXSPOAL-96574"/>
    <s v="Projeto - Migração SKY para site Alegria"/>
    <m/>
    <x v="6"/>
    <s v=" Cobrança"/>
    <s v="Bruno Guerra Ferreira"/>
    <s v="Robson da Costa"/>
    <x v="0"/>
    <d v="2015-10-21T14:01:00"/>
    <m/>
    <n v="131.41597222222481"/>
    <n v="10"/>
    <n v="2015"/>
    <x v="2"/>
  </r>
  <r>
    <s v="Requisição de Serviços"/>
    <s v="CTXSPOAL-96495"/>
    <s v="Projeto - Precificação de novo hardware para servido de banco de dados"/>
    <m/>
    <x v="18"/>
    <s v=" BB Mapfre"/>
    <s v="Bruno Guerra Ferreira"/>
    <s v="Rogerio Luiz da Silva"/>
    <x v="0"/>
    <d v="2015-10-20T16:32:00"/>
    <m/>
    <n v="132.31111111111386"/>
    <n v="10"/>
    <n v="2015"/>
    <x v="2"/>
  </r>
  <r>
    <s v="Requisição de Serviços"/>
    <s v="CTXSPOAL-96427"/>
    <s v="Projeto - Implantar t!guidance na Operação Intermédica"/>
    <m/>
    <x v="17"/>
    <s v=" Marcação de Consultas"/>
    <s v="Bruno Guerra Ferreira"/>
    <s v="Rogerio Luiz da Silva"/>
    <x v="0"/>
    <d v="2015-10-20T12:21:00"/>
    <m/>
    <n v="132.48541666667006"/>
    <n v="10"/>
    <n v="2015"/>
    <x v="2"/>
  </r>
  <r>
    <s v="Requisição de Serviços"/>
    <s v="CTXSPOAL-96174"/>
    <s v="Projeto - Alteração dos Prompts da URA do Dealer e alteração dos áudios da operação Volkswagen"/>
    <m/>
    <x v="6"/>
    <s v=" Dir. Clientes Especiais"/>
    <s v="Rogerio Luiz da Silva"/>
    <s v="Rogerio Luiz da Silva"/>
    <x v="1"/>
    <d v="2015-10-16T09:21:00"/>
    <d v="2016-01-20T15:15:00"/>
    <n v="96.245833333334303"/>
    <n v="10"/>
    <n v="2015"/>
    <x v="2"/>
  </r>
  <r>
    <s v="Requisição de Serviços"/>
    <s v="CTXSPOAL-96094"/>
    <s v="Projeto - Aquisição de 4 licenças da NetCallCenter para PA's de Chat da operação Volkswagen"/>
    <m/>
    <x v="6"/>
    <s v=" Dir. Clientes Especiais"/>
    <s v="Rogerio Luiz da Silva"/>
    <s v="Rogerio Luiz da Silva"/>
    <x v="1"/>
    <d v="2015-10-15T12:22:00"/>
    <d v="2016-01-29T15:50:00"/>
    <n v="106.14444444444234"/>
    <n v="10"/>
    <n v="2015"/>
    <x v="2"/>
  </r>
  <r>
    <s v="Requisição de Serviços"/>
    <s v="CTXSPOAL-95566"/>
    <s v="Projeto - Projeto"/>
    <m/>
    <x v="19"/>
    <s v=" Nextel TLV"/>
    <s v="BRUNO DIEGO ANTUNES RIBEIRO"/>
    <s v="JONAS SANTOS DO AMOR DIVINO"/>
    <x v="6"/>
    <d v="2015-10-07T18:23:00"/>
    <m/>
    <n v="145.23402777777665"/>
    <n v="10"/>
    <n v="2015"/>
    <x v="2"/>
  </r>
  <r>
    <s v="Requisição de Serviços"/>
    <s v="CTXSPOAL-95026"/>
    <s v="Projeto - Disponibilização de ferramenta de Chat (proposta comercial) para operação Volkwsagen prevendo integração com CRM (SAP) do Cliente"/>
    <m/>
    <x v="6"/>
    <s v=" Dir. Clientes Especiais"/>
    <s v="Dalton Bondesan"/>
    <s v="Rogerio Luiz da Silva"/>
    <x v="0"/>
    <d v="2015-10-01T14:52:00"/>
    <m/>
    <n v="151.38055555555911"/>
    <n v="10"/>
    <n v="2015"/>
    <x v="3"/>
  </r>
  <r>
    <s v="Requisição de Serviços"/>
    <s v="CTXSPOAL-94230"/>
    <s v="Projeto - Desenvolvimento de tabulador Contax para substituição do DefyIT"/>
    <m/>
    <x v="10"/>
    <s v=" Bradesco Seguros"/>
    <s v="Bruno Guerra Ferreira"/>
    <s v="Rogerio Luiz da Silva"/>
    <x v="5"/>
    <d v="2015-09-22T16:07:00"/>
    <m/>
    <n v="160.32847222222335"/>
    <n v="9"/>
    <n v="2015"/>
    <x v="3"/>
  </r>
  <r>
    <s v="Requisição de Serviços"/>
    <s v="CTXSPOAL-94114"/>
    <s v="Projeto - Projeto"/>
    <m/>
    <x v="6"/>
    <s v=" NOC"/>
    <s v="Dalton Bondesan"/>
    <s v="Diego Vivanco Fernandez"/>
    <x v="5"/>
    <d v="2015-09-21T15:41:00"/>
    <m/>
    <n v="161.34652777777956"/>
    <n v="9"/>
    <n v="2015"/>
    <x v="3"/>
  </r>
  <r>
    <s v="Requisição de Serviços"/>
    <s v="CTXSPOAL-93333"/>
    <s v="Projeto - Projeto ERP - RH + Portal - Configuração Ambiente Produção"/>
    <m/>
    <x v="6"/>
    <s v=" Ger Comunicação"/>
    <s v="Dalton Bondesan"/>
    <s v="Erika Andrade Miguel"/>
    <x v="0"/>
    <d v="2015-09-11T16:15:00"/>
    <m/>
    <n v="171.32291666666424"/>
    <n v="9"/>
    <n v="2015"/>
    <x v="3"/>
  </r>
  <r>
    <s v="Requisição de Serviços"/>
    <s v="CTXSPOAL-92422"/>
    <s v="Projeto - Alteração da URL atual do web service da URA Cielo Fidelidade (Fornecedor Exclusivo)"/>
    <m/>
    <x v="0"/>
    <s v=" ARV"/>
    <s v="Rogerio Luiz da Silva"/>
    <s v="Rogerio Luiz da Silva"/>
    <x v="3"/>
    <d v="2015-09-01T10:01:00"/>
    <d v="2016-02-15T10:32:00"/>
    <n v="167.02152777777519"/>
    <n v="9"/>
    <n v="2015"/>
    <x v="3"/>
  </r>
  <r>
    <s v="Requisição de Serviços"/>
    <s v="CTXSPOAL-92107"/>
    <s v="Projeto - Implementar funcionalidade de atendimento preview no FE Ayty \ Discador Aspect da Cielo L5"/>
    <m/>
    <x v="0"/>
    <s v=" Campo"/>
    <s v="Dalton Bondesan"/>
    <s v="Rogerio Luiz da Silva"/>
    <x v="5"/>
    <d v="2015-08-27T15:20:00"/>
    <m/>
    <n v="186.36111111110949"/>
    <n v="8"/>
    <n v="2015"/>
    <x v="3"/>
  </r>
  <r>
    <s v="Requisição de Serviços"/>
    <s v="CTXSPOAL-91736"/>
    <s v="Projeto - Projeto"/>
    <m/>
    <x v="12"/>
    <s v=" Multiplus"/>
    <s v="Paulo Roberto da Costa Cavalcante"/>
    <s v="MARIAMA POPPE COSTA"/>
    <x v="2"/>
    <d v="2015-08-24T14:45:00"/>
    <m/>
    <n v="189.38541666666424"/>
    <n v="8"/>
    <n v="2015"/>
    <x v="3"/>
  </r>
  <r>
    <s v="Requisição de Serviços"/>
    <s v="CTXSPOAL-91696"/>
    <s v="Projeto - Implantar Link de Dados Cielo"/>
    <m/>
    <x v="0"/>
    <s v=" ARV"/>
    <s v="Dalton Bondesan"/>
    <s v="Carlos Batista Alves"/>
    <x v="0"/>
    <d v="2015-08-24T11:34:00"/>
    <m/>
    <n v="189.5180555555562"/>
    <n v="8"/>
    <n v="2015"/>
    <x v="3"/>
  </r>
  <r>
    <s v="Requisição de Serviços"/>
    <s v="CTXSPOAL-91568"/>
    <s v="Criação de servidor"/>
    <m/>
    <x v="6"/>
    <s v=" Outro"/>
    <s v="José Adriano Costa"/>
    <s v="José Adriano Costa"/>
    <x v="1"/>
    <d v="2015-08-21T14:10:00"/>
    <d v="2016-01-11T16:25:00"/>
    <n v="143.09375"/>
    <n v="8"/>
    <n v="2015"/>
    <x v="2"/>
  </r>
  <r>
    <s v="Requisição de Serviços"/>
    <s v="CTXSPOAL-91546"/>
    <s v="Projeto Infraestrutura para implantação da Assinatura Digital no tClock Contax"/>
    <m/>
    <x v="6"/>
    <s v=" RH"/>
    <s v="Dalton Bondesan"/>
    <s v="Erika Andrade Miguel"/>
    <x v="0"/>
    <d v="2015-08-21T10:07:00"/>
    <m/>
    <n v="192.57847222222335"/>
    <n v="8"/>
    <n v="2015"/>
    <x v="3"/>
  </r>
  <r>
    <s v="Requisição de Serviços"/>
    <s v="CTXSPOAL-90727"/>
    <s v="Implementação de Monitoração de Perda de Pacotes, QA e Capacity Links de Dados Contax através do HPOPENVIEW"/>
    <m/>
    <x v="6"/>
    <s v=" NOC"/>
    <s v="Dalton Bondesan"/>
    <s v="Daniel Donaire"/>
    <x v="0"/>
    <d v="2015-08-12T16:53:00"/>
    <m/>
    <n v="201.29652777777665"/>
    <n v="8"/>
    <n v="2015"/>
    <x v="3"/>
  </r>
  <r>
    <s v="Requisição de Serviços"/>
    <s v="CTXSPOAL-89740"/>
    <s v="Projeto - Projeto"/>
    <m/>
    <x v="19"/>
    <s v=" Nextel TLV"/>
    <s v="Cristina Rey Kamradt"/>
    <s v="Cristina Rey Kamradt"/>
    <x v="1"/>
    <d v="2015-07-30T17:42:00"/>
    <d v="2016-01-27T09:26:00"/>
    <n v="180.65555555555329"/>
    <n v="7"/>
    <n v="2015"/>
    <x v="3"/>
  </r>
  <r>
    <s v="Requisição de Serviços"/>
    <s v="CTXSPOAL-89502"/>
    <s v="Projeto - Projeto"/>
    <m/>
    <x v="12"/>
    <s v=" Fale com o Presidente"/>
    <s v="Leandro Tosto Cabral"/>
    <s v="José Ballock Neto"/>
    <x v="2"/>
    <d v="2015-07-28T11:33:00"/>
    <m/>
    <n v="216.51875000000291"/>
    <n v="7"/>
    <n v="2015"/>
    <x v="3"/>
  </r>
  <r>
    <s v="Requisição de Serviços"/>
    <s v="CTXSPOAL-89142"/>
    <s v="Projeto - Projeto - Alteração na URA SAC | Volkswagen"/>
    <m/>
    <x v="6"/>
    <s v=" Dir. Clientes Especiais"/>
    <s v="Dalton Bondesan"/>
    <s v="Fabiane Evangelista Cavalcante"/>
    <x v="0"/>
    <d v="2015-07-23T11:30:00"/>
    <m/>
    <n v="221.52083333333576"/>
    <n v="7"/>
    <n v="2015"/>
    <x v="3"/>
  </r>
  <r>
    <s v="Requisição de Serviços"/>
    <s v="CTXSPOAL-89128"/>
    <s v="Projeto - Projeto - Instalação de aparelhos Avaya | Nextel"/>
    <m/>
    <x v="6"/>
    <s v=" Dir. Clientes Especiais"/>
    <s v="Leandro Tosto Cabral"/>
    <s v="Fabiane Evangelista Cavalcante"/>
    <x v="2"/>
    <d v="2015-07-23T10:53:00"/>
    <m/>
    <n v="221.54652777777665"/>
    <n v="7"/>
    <n v="2015"/>
    <x v="3"/>
  </r>
  <r>
    <s v="Requisição de Serviços"/>
    <s v="CTXSPOAL-88112"/>
    <s v="Projeto - Projeto"/>
    <m/>
    <x v="3"/>
    <s v=" Santander"/>
    <s v="Dalton Bondesan"/>
    <s v="Robson da Costa"/>
    <x v="6"/>
    <d v="2015-07-10T13:15:00"/>
    <m/>
    <n v="234.44791666666424"/>
    <n v="7"/>
    <n v="2015"/>
    <x v="3"/>
  </r>
  <r>
    <s v="Requisição de Serviços"/>
    <s v="CTXSPOAL-86278"/>
    <s v="Instalação Navigator - Cielo L5"/>
    <m/>
    <x v="6"/>
    <s v=" Dir. Clientes Especiais"/>
    <s v="Sem responsável"/>
    <s v="Jose Edson de Lima"/>
    <x v="4"/>
    <d v="2015-06-17T18:00:00"/>
    <m/>
    <n v="257.25"/>
    <n v="6"/>
    <n v="2015"/>
    <x v="3"/>
  </r>
  <r>
    <s v="Requisição de Serviços"/>
    <s v="CTXSPOAL-83724"/>
    <s v="Projeto - Projeto"/>
    <m/>
    <x v="19"/>
    <s v=" Nextel URC"/>
    <s v="Sem responsável"/>
    <s v="Robson da Costa"/>
    <x v="4"/>
    <d v="2015-05-08T18:18:00"/>
    <m/>
    <n v="297.23750000000291"/>
    <n v="5"/>
    <n v="2015"/>
    <x v="3"/>
  </r>
  <r>
    <s v="Requisição de Serviços"/>
    <s v="CTXSPOAL-83138"/>
    <s v="Projeto - Projeto - BO Anatel Jira 6"/>
    <m/>
    <x v="6"/>
    <s v=" Dir. Oi"/>
    <s v="Sem responsável"/>
    <s v="Juliana Moretti Rovaris"/>
    <x v="4"/>
    <d v="2015-04-30T14:24:00"/>
    <m/>
    <n v="305.40000000000146"/>
    <n v="4"/>
    <n v="2015"/>
    <x v="3"/>
  </r>
  <r>
    <s v="Requisição de Serviços"/>
    <s v="CTXSPOAL-81556"/>
    <s v="Projeto - Sistema CW e Dashboard"/>
    <m/>
    <x v="3"/>
    <s v=" Produção Assistida"/>
    <s v="Dalton Bondesan"/>
    <s v="Robson da Costa"/>
    <x v="2"/>
    <d v="2015-04-07T11:30:00"/>
    <m/>
    <n v="328.52083333333576"/>
    <n v="4"/>
    <n v="2015"/>
    <x v="3"/>
  </r>
  <r>
    <s v="Requisição de Serviços"/>
    <s v="CTXSPOAL-81007"/>
    <s v="Projeto - Implantar t-Guidance Operação Banco Toyota"/>
    <m/>
    <x v="2"/>
    <s v=" Suporte ao Cliente"/>
    <s v="Flavio Reto"/>
    <s v="Flavio Reto"/>
    <x v="3"/>
    <d v="2015-03-30T11:30:00"/>
    <d v="2016-02-17T18:22:00"/>
    <n v="324.2861111111124"/>
    <n v="3"/>
    <n v="2015"/>
    <x v="3"/>
  </r>
  <r>
    <s v="Requisição de Serviços"/>
    <s v="CTXSPOAL-57727"/>
    <s v="Projeto - Projeto"/>
    <m/>
    <x v="10"/>
    <s v=" Bradesco Cap"/>
    <s v="Dalton Bondesan"/>
    <s v="Anderson Pinheiro Raposo"/>
    <x v="2"/>
    <d v="2014-05-15T12:38:00"/>
    <m/>
    <n v="655.4736111111124"/>
    <n v="5"/>
    <n v="2014"/>
    <x v="3"/>
  </r>
  <r>
    <s v="Requisição de Serviços"/>
    <s v="CTXSPOAL-57726"/>
    <s v="Projeto - Projeto"/>
    <m/>
    <x v="10"/>
    <s v=" Bradesco Seguros"/>
    <s v="Dalton Bondesan"/>
    <s v="Anderson Pinheiro Raposo"/>
    <x v="2"/>
    <d v="2014-05-15T12:36:00"/>
    <m/>
    <n v="655.47499999999854"/>
    <n v="5"/>
    <n v="2014"/>
    <x v="3"/>
  </r>
  <r>
    <s v="Requisição de Serviços"/>
    <s v="CTXSALSM-88005"/>
    <s v="Projeto - Click To Call Ferramenta TI Contax"/>
    <m/>
    <x v="6"/>
    <s v=" Ger Processos, Metodologia e MIS"/>
    <s v="Sem responsável"/>
    <s v="Tiago dos Santos Fialho"/>
    <x v="0"/>
    <d v="2016-02-12T12:51:00"/>
    <m/>
    <n v="17.464583333334303"/>
    <n v="2"/>
    <n v="2016"/>
    <x v="4"/>
  </r>
  <r>
    <s v="Requisição de Serviços"/>
    <s v="CTXSALSM-85211"/>
    <s v="Aplicação - Desenvolvimento Tabulador de Proposta para a Operação CAC"/>
    <m/>
    <x v="16"/>
    <s v=" Itaú Cartão"/>
    <s v="Sem responsável"/>
    <s v="Marco Aurelio Brandao Duarte"/>
    <x v="0"/>
    <d v="2015-12-10T18:20:00"/>
    <m/>
    <n v="81.236111111109494"/>
    <n v="12"/>
    <n v="2015"/>
    <x v="1"/>
  </r>
  <r>
    <s v="Requisição de Serviços"/>
    <s v="CTXSALSM-84952"/>
    <s v="Projeto - &quot;Migração POP 3 - Operação Web Site Fonte Nova x Cabula"/>
    <m/>
    <x v="14"/>
    <s v=" Televendas Oi"/>
    <s v="Cristiane Gon�alves Kuzuhara"/>
    <s v="Cristiane Gon�alves Kuzuhara"/>
    <x v="1"/>
    <d v="2015-12-03T18:39:00"/>
    <d v="2016-01-15T15:47:00"/>
    <n v="42.880555555551837"/>
    <n v="12"/>
    <n v="2015"/>
    <x v="0"/>
  </r>
  <r>
    <s v="Requisição de Serviços"/>
    <s v="CTXSALSM-84288"/>
    <s v="Projeto - &quot;Migração POP 3 - Velox OUtbound e Site Fonte Nova x Boa Viagem&quot;"/>
    <m/>
    <x v="14"/>
    <s v=" Televendas Oi"/>
    <s v="Cristiane Gon�alves Kuzuhara"/>
    <s v="Cristiane Gon�alves Kuzuhara"/>
    <x v="1"/>
    <d v="2015-11-17T15:11:00"/>
    <d v="2016-01-15T15:47:00"/>
    <n v="59.024999999994179"/>
    <n v="11"/>
    <n v="2015"/>
    <x v="0"/>
  </r>
  <r>
    <s v="Requisição de Serviços"/>
    <s v="CTXSALSM-84035"/>
    <s v="Projeto - &quot;Por favor, usuário, utilizar este campo para informar o nome do Projeto&quot;"/>
    <m/>
    <x v="6"/>
    <s v=" Ger Processos, Metodologia e MIS"/>
    <s v="Bruno Guerra Ferreira"/>
    <s v="Tiago dos Santos Fialho"/>
    <x v="0"/>
    <d v="2015-11-11T14:56:00"/>
    <m/>
    <n v="110.37777777777956"/>
    <n v="11"/>
    <n v="2015"/>
    <x v="2"/>
  </r>
  <r>
    <s v="Requisição de Serviços"/>
    <s v="CTXSALSM-83159"/>
    <s v="Projeto Instalar Totem para Campanha da Fatura Digital nas operações Itaú Site Cabula"/>
    <m/>
    <x v="6"/>
    <s v=" Outro"/>
    <s v="Sem responsável"/>
    <s v="Mariana da Costa Mello"/>
    <x v="0"/>
    <d v="2015-10-19T15:48:00"/>
    <m/>
    <n v="133.34166666666715"/>
    <n v="10"/>
    <n v="2015"/>
    <x v="2"/>
  </r>
  <r>
    <s v="Requisição de Serviços"/>
    <s v="CTXSALSM-83029"/>
    <s v="Aplicações de Hardenings : (Baseline Itaú)"/>
    <m/>
    <x v="6"/>
    <s v=" Outro"/>
    <s v="Debora Gercke Dominas"/>
    <s v="Marco Aurelio Brandao Duarte"/>
    <x v="0"/>
    <d v="2015-10-14T17:31:00"/>
    <m/>
    <n v="138.27013888888905"/>
    <n v="10"/>
    <n v="2015"/>
    <x v="2"/>
  </r>
  <r>
    <s v="Requisição de Serviços"/>
    <s v="CTXSALSM-83016"/>
    <s v="AUDITORIA REMOTA: (Coleta de Dados Automatizada)"/>
    <m/>
    <x v="6"/>
    <s v=" Outro"/>
    <s v="Debora Gercke Dominas"/>
    <s v="Marco Aurelio Brandao Duarte"/>
    <x v="0"/>
    <d v="2015-10-14T15:12:00"/>
    <m/>
    <n v="138.36666666666861"/>
    <n v="10"/>
    <n v="2015"/>
    <x v="2"/>
  </r>
  <r>
    <s v="Requisição de Serviços"/>
    <s v="CTXSALSM-82024"/>
    <s v="BASELINE: IMPLANTAÇÃO DO PROCESSO DE AUDITORIA PARA TODAS OPERAÇÕES DO ITAÚ e REDECARD: SAC / COBRANÇA / TLV"/>
    <m/>
    <x v="6"/>
    <s v=" Outro"/>
    <s v="Debora Gercke Dominas"/>
    <s v="Marco Aurelio Brandao Duarte"/>
    <x v="2"/>
    <d v="2015-09-15T10:50:00"/>
    <m/>
    <n v="167.54861111110949"/>
    <n v="9"/>
    <n v="2015"/>
    <x v="3"/>
  </r>
  <r>
    <s v="Requisição de Serviços"/>
    <s v="CTXSALSM-81593"/>
    <s v="Implantação do novo pacote de PRC (Blindagem) nas operações de cartões de crédito do Itaú que são atendidas pela Contax."/>
    <m/>
    <x v="16"/>
    <s v=" Itaú Cartão"/>
    <s v="Debora Gercke Dominas"/>
    <s v="Marco Aurelio Brandao Duarte"/>
    <x v="5"/>
    <d v="2015-09-04T16:16:00"/>
    <m/>
    <n v="178.32222222222481"/>
    <n v="9"/>
    <n v="2015"/>
    <x v="3"/>
  </r>
  <r>
    <s v="Requisição de Serviços"/>
    <s v="CTXSALSM-79594"/>
    <s v="Projeto - Projeto"/>
    <m/>
    <x v="6"/>
    <s v=" Ger Processos, Metodologia e MIS"/>
    <s v="Dalton Bondesan"/>
    <s v="Tiago dos Santos Fialho"/>
    <x v="5"/>
    <d v="2015-07-21T12:16:00"/>
    <m/>
    <n v="223.48888888888905"/>
    <n v="7"/>
    <n v="2015"/>
    <x v="3"/>
  </r>
  <r>
    <s v="Requisição de Serviços"/>
    <s v="CTXSALSM-78825"/>
    <s v="Contax - Liberação de Firewall - Novos Servidores NICE - BA"/>
    <m/>
    <x v="16"/>
    <s v=" Venda de Cartões"/>
    <s v="Dalton Bondesan"/>
    <s v="Marco Aurelio Brandao Duarte"/>
    <x v="0"/>
    <d v="2015-07-07T16:34:00"/>
    <m/>
    <n v="237.30972222222044"/>
    <n v="7"/>
    <n v="2015"/>
    <x v="3"/>
  </r>
  <r>
    <s v="Requisição de Serviços"/>
    <s v="CTXSALSM-78582"/>
    <s v="Projeto - Projeto"/>
    <m/>
    <x v="6"/>
    <s v=" Ger Processos, Metodologia e MIS"/>
    <s v="Erica Fernandes Cotrim"/>
    <s v="Tiago dos Santos Fialho"/>
    <x v="6"/>
    <d v="2015-07-03T18:15:00"/>
    <m/>
    <n v="241.23958333333576"/>
    <n v="7"/>
    <n v="2015"/>
    <x v="3"/>
  </r>
  <r>
    <s v="Requisição de Serviços"/>
    <s v="CTXSALSM-74754"/>
    <s v="Troca do sistema WinXP para Win7 em todas as operações do Itaú BA"/>
    <m/>
    <x v="16"/>
    <s v=" Itaú Cartão"/>
    <s v="Debora Gercke Dominas"/>
    <s v="Marco Aurelio Brandao Duarte"/>
    <x v="2"/>
    <d v="2015-03-18T17:36:00"/>
    <m/>
    <n v="348.26666666667006"/>
    <n v="3"/>
    <n v="2015"/>
    <x v="3"/>
  </r>
  <r>
    <s v="Requisição de Serviços"/>
    <s v="CTXSALPB-56789"/>
    <s v="Projeto - Front Fácil + APC - Rentabilização Fixo"/>
    <m/>
    <x v="14"/>
    <s v=" Rentabilização"/>
    <s v="Sem responsável"/>
    <s v="Alexandre Teixeira de Pinho"/>
    <x v="0"/>
    <d v="2016-02-12T18:57:00"/>
    <m/>
    <n v="17.210416666668607"/>
    <n v="2"/>
    <n v="2016"/>
    <x v="4"/>
  </r>
  <r>
    <s v="Requisição de Serviços"/>
    <s v="CTXSALPB-55659"/>
    <s v="Projeto - &quot;Crescimento de 20 PV´s Velox Outbound&quot;"/>
    <m/>
    <x v="14"/>
    <s v=" Televendas Oi"/>
    <s v="Sem responsável"/>
    <s v="Cristiane Gon�alves Kuzuhara"/>
    <x v="0"/>
    <d v="2016-02-02T17:15:00"/>
    <m/>
    <n v="27.28125"/>
    <n v="2"/>
    <n v="2016"/>
    <x v="4"/>
  </r>
  <r>
    <s v="Requisição de Serviços"/>
    <s v="CTXSALPB-55459"/>
    <s v="Projeto - &quot;Gravação BO Empresarial&quot;"/>
    <m/>
    <x v="14"/>
    <s v=" Televendas Oi"/>
    <s v="Sem responsável"/>
    <s v="Cristiane Gon�alves Kuzuhara"/>
    <x v="0"/>
    <d v="2016-02-01T19:16:00"/>
    <m/>
    <n v="28.197222222224809"/>
    <n v="2"/>
    <n v="2016"/>
    <x v="4"/>
  </r>
  <r>
    <s v="Requisição de Serviços"/>
    <s v="CTXSALPB-53727"/>
    <s v="Projeto - &quot;Por favor, usuário, utilizar este campo para informar o nome do Projeto&quot;"/>
    <m/>
    <x v="14"/>
    <s v=" Televendas Oi"/>
    <s v="Sem responsável"/>
    <s v="Cristiane Gon�alves Kuzuhara"/>
    <x v="0"/>
    <d v="2016-01-20T15:36:00"/>
    <m/>
    <n v="40.349999999998545"/>
    <n v="1"/>
    <n v="2016"/>
    <x v="0"/>
  </r>
  <r>
    <s v="Requisição de Serviços"/>
    <s v="CTXSALPB-53725"/>
    <s v="Projeto - &quot;Por favor, usuário, utilizar este campo para informar o nome do Projeto&quot;"/>
    <m/>
    <x v="14"/>
    <s v=" Televendas Oi"/>
    <s v="Sem responsável"/>
    <s v="Cristiane Gon�alves Kuzuhara"/>
    <x v="0"/>
    <d v="2016-01-20T15:31:00"/>
    <m/>
    <n v="40.353472222224809"/>
    <n v="1"/>
    <n v="2016"/>
    <x v="0"/>
  </r>
  <r>
    <s v="Requisição de Serviços"/>
    <s v="CTXSALPB-51084"/>
    <s v="Projeto - &quot;Configuração de PV´s de incentivados Fixo&quot;"/>
    <m/>
    <x v="14"/>
    <s v=" Televendas Oi"/>
    <s v="Julio Cesar da Silva"/>
    <s v="Cristiane Gon�alves Kuzuhara"/>
    <x v="0"/>
    <d v="2015-12-29T20:28:00"/>
    <m/>
    <n v="62.147222222221899"/>
    <n v="12"/>
    <n v="2015"/>
    <x v="1"/>
  </r>
  <r>
    <s v="Requisição de Serviços"/>
    <s v="CTXSALPB-50670"/>
    <s v="Projeto - &quot;Crescimento de 50 PA´s de Velox/Fixo&quot;"/>
    <m/>
    <x v="14"/>
    <s v=" Televendas Oi"/>
    <s v="Cristiane Gon�alves Kuzuhara"/>
    <s v="Cristiane Gon�alves Kuzuhara"/>
    <x v="1"/>
    <d v="2015-12-23T16:03:00"/>
    <d v="2016-01-28T09:43:00"/>
    <n v="35.73611111111677"/>
    <n v="12"/>
    <n v="2015"/>
    <x v="0"/>
  </r>
  <r>
    <s v="Requisição de Serviços"/>
    <s v="CTXSALPB-47935"/>
    <s v="Projeto - Crescimento Rentabilização"/>
    <m/>
    <x v="14"/>
    <s v=" Rentabilização"/>
    <s v="Edison Nei Siqueira"/>
    <s v="Alexandre Teixeira de Pinho"/>
    <x v="5"/>
    <d v="2015-11-25T18:18:00"/>
    <m/>
    <n v="96.23750000000291"/>
    <n v="11"/>
    <n v="2015"/>
    <x v="2"/>
  </r>
  <r>
    <s v="Requisição de Serviços"/>
    <s v="CTXSALPB-47142"/>
    <s v="Projeto - &quot;Migração POP 3 - Auditoria varejo e Site Fonte Nova x Boa Viagem&quot;"/>
    <m/>
    <x v="14"/>
    <s v=" Televendas Oi"/>
    <s v="Cristiane Gon�alves Kuzuhara"/>
    <s v="Cristiane Gon�alves Kuzuhara"/>
    <x v="1"/>
    <d v="2015-11-16T19:10:00"/>
    <d v="2016-01-15T15:48:00"/>
    <n v="59.859722222223354"/>
    <n v="11"/>
    <n v="2015"/>
    <x v="0"/>
  </r>
  <r>
    <s v="Requisição de Serviços"/>
    <s v="CTXSALPB-47141"/>
    <s v="Projeto - &quot;Migração POP 3 - Inbound OI TV e Site Fonte Nova x Boa Viagem&quot;"/>
    <m/>
    <x v="14"/>
    <s v=" Televendas Oi"/>
    <s v="Cristiane Gon�alves Kuzuhara"/>
    <s v="Cristiane Gon�alves Kuzuhara"/>
    <x v="1"/>
    <d v="2015-11-16T19:04:00"/>
    <d v="2016-01-15T15:48:00"/>
    <n v="59.863888888889051"/>
    <n v="11"/>
    <n v="2015"/>
    <x v="0"/>
  </r>
  <r>
    <s v="Requisição de Serviços"/>
    <s v="CTXSALPB-47135"/>
    <s v="Projeto - &quot;Migração POP 3 - TLV Empresarial e Site Fonte Nova x Boa Viagem&quot;."/>
    <m/>
    <x v="14"/>
    <s v=" Televendas Oi"/>
    <s v="Cristiane Gon�alves Kuzuhara"/>
    <s v="Cristiane Gon�alves Kuzuhara"/>
    <x v="1"/>
    <d v="2015-11-16T17:24:00"/>
    <d v="2016-01-15T15:49:00"/>
    <n v="59.934027777781012"/>
    <n v="11"/>
    <n v="2015"/>
    <x v="0"/>
  </r>
  <r>
    <s v="Requisição de Serviços"/>
    <s v="CTXSALPB-46921"/>
    <s v="Projeto - Integração NBA x tGuidance! Inbound Rentabilização"/>
    <m/>
    <x v="14"/>
    <s v=" Rentabilização"/>
    <s v="Julio Cesar da Silva"/>
    <s v="Alexandre Teixeira de Pinho"/>
    <x v="0"/>
    <d v="2015-11-12T17:27:00"/>
    <m/>
    <n v="109.27291666666861"/>
    <n v="11"/>
    <n v="2015"/>
    <x v="2"/>
  </r>
  <r>
    <s v="Requisição de Serviços"/>
    <s v="CTXSALPB-42304"/>
    <s v="Projeto - Projeto Tetris Boa Viagem (Televendas e Rentabilização)"/>
    <m/>
    <x v="14"/>
    <s v=" Rentabilização"/>
    <s v="Dalton Bondesan"/>
    <s v="Alexandre Teixeira de Pinho"/>
    <x v="6"/>
    <d v="2015-09-11T09:59:00"/>
    <m/>
    <n v="171.58402777777519"/>
    <n v="9"/>
    <n v="2015"/>
    <x v="3"/>
  </r>
  <r>
    <s v="Requisição de Serviços"/>
    <s v="CTXSALPB-38362"/>
    <s v="Projeto - Projeto"/>
    <m/>
    <x v="14"/>
    <s v=" OI TV"/>
    <s v="Dalton Bondesan"/>
    <s v="Erika Andrade Miguel"/>
    <x v="0"/>
    <d v="2015-07-21T12:32:00"/>
    <m/>
    <n v="223.4777777777781"/>
    <n v="7"/>
    <n v="2015"/>
    <x v="3"/>
  </r>
  <r>
    <s v="Requisição de Serviços"/>
    <s v="CTXSALPB-31209"/>
    <s v="Implantação APC + FF - Rentabilização"/>
    <m/>
    <x v="14"/>
    <s v=" Rentabilização"/>
    <s v="Edison Nei Siqueira"/>
    <s v="Alexandre Teixeira de Pinho"/>
    <x v="5"/>
    <d v="2015-04-28T10:41:00"/>
    <m/>
    <n v="307.55486111110804"/>
    <n v="4"/>
    <n v="2015"/>
    <x v="3"/>
  </r>
  <r>
    <s v="Requisição de Serviços"/>
    <s v="CTXSALLM-119760"/>
    <s v="Projeto - &quot;Alteração da gravação de outbound para inbound&quot;"/>
    <m/>
    <x v="14"/>
    <s v=" Televendas Oi"/>
    <s v="Sem responsável"/>
    <s v="Cristiane Gon�alves Kuzuhara"/>
    <x v="0"/>
    <d v="2016-01-20T15:05:00"/>
    <m/>
    <n v="40.371527777781012"/>
    <n v="1"/>
    <n v="2016"/>
    <x v="0"/>
  </r>
  <r>
    <s v="Requisição de Serviços"/>
    <s v="CTXSALLM-119005"/>
    <s v="Adequa"/>
    <m/>
    <x v="6"/>
    <s v=" Ger Processos, Metodologia e MIS"/>
    <s v="Tiago dos Santos Fialho"/>
    <s v="Tiago dos Santos Fialho"/>
    <x v="1"/>
    <d v="2016-01-05T10:19:00"/>
    <d v="2016-01-22T08:27:00"/>
    <n v="16.922222222223354"/>
    <n v="1"/>
    <n v="2016"/>
    <x v="4"/>
  </r>
  <r>
    <s v="Requisição de Serviços"/>
    <s v="CTXSALLM-118766"/>
    <s v="Projeto - &quot;Por favor, usuário, utilizar este campo para informar o nome do Projeto&quot;"/>
    <m/>
    <x v="8"/>
    <s v=" Ilha Ativação"/>
    <s v="JONAS SANTOS DO AMOR DIVINO"/>
    <s v="JONAS SANTOS DO AMOR DIVINO"/>
    <x v="1"/>
    <d v="2015-12-28T12:43:00"/>
    <d v="2016-01-11T18:37:00"/>
    <n v="14.245833333327028"/>
    <n v="12"/>
    <n v="2015"/>
    <x v="4"/>
  </r>
  <r>
    <s v="Requisição de Serviços"/>
    <s v="CTXSALLM-118698"/>
    <s v="Crescimento mais do mesmo para atender o forecast de Jan/16 do ATC Premium"/>
    <m/>
    <x v="8"/>
    <s v=" SAC Citibank"/>
    <s v="Marco Aurelio Brandao Duarte"/>
    <s v="Marco Aurelio Brandao Duarte"/>
    <x v="1"/>
    <d v="2015-12-23T16:56:00"/>
    <d v="2016-01-13T14:31:00"/>
    <n v="20.899305555554747"/>
    <n v="12"/>
    <n v="2015"/>
    <x v="4"/>
  </r>
  <r>
    <s v="Requisição de Serviços"/>
    <s v="CTXSALLM-118598"/>
    <s v="Crescimento de 3 Posições do Mega Ilha"/>
    <m/>
    <x v="8"/>
    <s v=" Televendas PIL"/>
    <s v="Marco Aurelio Brandao Duarte"/>
    <s v="Marco Aurelio Brandao Duarte"/>
    <x v="1"/>
    <d v="2015-12-22T11:02:00"/>
    <d v="2016-01-06T10:56:00"/>
    <n v="14.995833333334303"/>
    <n v="12"/>
    <n v="2015"/>
    <x v="4"/>
  </r>
  <r>
    <s v="Requisição de Serviços"/>
    <s v="CTXSALLM-117664"/>
    <s v="desenvolvimento front facil"/>
    <m/>
    <x v="8"/>
    <s v=" Ilha Ativação"/>
    <s v="Bruno Guerra Ferreira"/>
    <s v="JONAS SANTOS DO AMOR DIVINO"/>
    <x v="0"/>
    <d v="2015-11-30T11:29:00"/>
    <m/>
    <n v="91.521527777775191"/>
    <n v="11"/>
    <n v="2015"/>
    <x v="2"/>
  </r>
  <r>
    <s v="Requisição de Serviços"/>
    <s v="CTXSALLM-117084"/>
    <s v="Projeto - &quot;&quot;Migração POP 3 - BO TLV Varejo e Site Fonte Nova x Comércio&quot;."/>
    <m/>
    <x v="14"/>
    <s v=" Televendas Oi"/>
    <s v="Cristiane Gon�alves Kuzuhara"/>
    <s v="Cristiane Gon�alves Kuzuhara"/>
    <x v="1"/>
    <d v="2015-11-16T17:13:00"/>
    <d v="2016-01-05T12:15:00"/>
    <n v="49.793055555550382"/>
    <n v="11"/>
    <n v="2015"/>
    <x v="0"/>
  </r>
  <r>
    <s v="Requisição de Serviços"/>
    <s v="CTXSALLM-117082"/>
    <s v="Projeto - Migração POP 3 - OCT Out/Inb e Fonte Nova x Comércio"/>
    <m/>
    <x v="14"/>
    <s v=" Televendas Oi"/>
    <s v="Cristiane Gon�alves Kuzuhara"/>
    <s v="Cristiane Gon�alves Kuzuhara"/>
    <x v="1"/>
    <d v="2015-11-16T17:06:00"/>
    <d v="2016-01-05T12:16:00"/>
    <n v="49.798611111109494"/>
    <n v="11"/>
    <n v="2015"/>
    <x v="0"/>
  </r>
  <r>
    <s v="Requisição de Serviços"/>
    <s v="CTXSALLM-115737"/>
    <s v="Projeto - Projeto - Citibank - Nova operação de Ativação/Desbloqueio de Cartões"/>
    <m/>
    <x v="6"/>
    <s v=" Outro"/>
    <s v="Mariana da Costa Mello"/>
    <s v="Mariana da Costa Mello"/>
    <x v="1"/>
    <d v="2015-10-05T18:36:00"/>
    <d v="2015-12-29T14:19:00"/>
    <n v="84.821527777778101"/>
    <n v="10"/>
    <n v="2015"/>
    <x v="1"/>
  </r>
  <r>
    <s v="Requisição de Serviços"/>
    <s v="CTXSALLM-115129"/>
    <s v="Projeto - Adicionar VLAN para Atendimento do BBJapão"/>
    <m/>
    <x v="6"/>
    <s v=" Outro"/>
    <s v="Carlos Batista Alves"/>
    <s v="Carlos Batista Alves"/>
    <x v="1"/>
    <d v="2015-09-09T15:35:00"/>
    <d v="2016-01-04T09:23:00"/>
    <n v="116.74166666666861"/>
    <n v="9"/>
    <n v="2015"/>
    <x v="2"/>
  </r>
  <r>
    <s v="Requisição de Serviços"/>
    <s v="CTXSALLM-110995"/>
    <s v="Projeto - Projeto - Novo Portal de Vendas_ Ezconet"/>
    <m/>
    <x v="6"/>
    <s v=" Ger Processos, Metodologia e MIS"/>
    <s v="Priscila Menezes de Sousa Pinto"/>
    <s v="Priscila Menezes de Sousa Pinto"/>
    <x v="1"/>
    <d v="2015-04-06T10:06:00"/>
    <d v="2015-12-17T16:47:00"/>
    <n v="255.27847222222772"/>
    <n v="4"/>
    <n v="2015"/>
    <x v="3"/>
  </r>
  <r>
    <s v="Requisição de Serviços"/>
    <s v="CTXSALAS-161797"/>
    <s v="Projeto - &quot;Por favor, usuário, utilizar este campo para informar o nome do Projeto&quot;"/>
    <m/>
    <x v="14"/>
    <s v=" Televendas Oi"/>
    <s v="Bruno Guerra Ferreira"/>
    <s v="Cristiane Gon�alves Kuzuhara"/>
    <x v="0"/>
    <d v="2015-11-13T18:08:00"/>
    <m/>
    <n v="108.24444444444089"/>
    <n v="11"/>
    <n v="2015"/>
    <x v="2"/>
  </r>
  <r>
    <s v="Requisição de Serviços"/>
    <s v="CTXSALAS-158599"/>
    <s v="Projeto - Projeto"/>
    <m/>
    <x v="14"/>
    <s v=" Televendas Oi"/>
    <s v="Erica Fernandes Cotrim"/>
    <s v="Cristiane Gon�alves Kuzuhara"/>
    <x v="6"/>
    <d v="2015-09-04T19:17:00"/>
    <m/>
    <n v="178.1965277777781"/>
    <n v="9"/>
    <n v="2015"/>
    <x v="3"/>
  </r>
  <r>
    <s v="Requisição de Serviços"/>
    <s v="CTXSALAS-156916"/>
    <s v="Projeto - Projeto"/>
    <m/>
    <x v="6"/>
    <s v=" Ger Processos, Metodologia e MIS"/>
    <s v="Dalton Bondesan"/>
    <s v="Tiago dos Santos Fialho"/>
    <x v="6"/>
    <d v="2015-07-31T17:33:00"/>
    <m/>
    <n v="213.26875000000291"/>
    <n v="7"/>
    <n v="2015"/>
    <x v="3"/>
  </r>
  <r>
    <s v="Requisição de Serviços"/>
    <s v="CTXSALAS-156730"/>
    <s v="Projeto - Projeto"/>
    <m/>
    <x v="14"/>
    <s v=" Televendas Oi"/>
    <s v="Dalton Bondesan"/>
    <s v="Cristiane Gon�alves Kuzuhara"/>
    <x v="0"/>
    <d v="2015-07-27T19:21:00"/>
    <m/>
    <n v="217.19374999999854"/>
    <n v="7"/>
    <n v="2015"/>
    <x v="3"/>
  </r>
  <r>
    <s v="Requisição de Serviços"/>
    <s v="CTXSALAS-155279"/>
    <s v="Projeto - Projeto"/>
    <m/>
    <x v="14"/>
    <s v=" Televendas Oi"/>
    <s v="Edison Nei Siqueira"/>
    <s v="Cristiane Gon�alves Kuzuhara"/>
    <x v="2"/>
    <d v="2015-07-02T16:18:00"/>
    <m/>
    <n v="242.32083333333139"/>
    <n v="7"/>
    <n v="2015"/>
    <x v="3"/>
  </r>
  <r>
    <s v="Requisição de Serviços"/>
    <s v="CTXSALAS-154241"/>
    <s v="Projeto - Projeto"/>
    <m/>
    <x v="6"/>
    <s v=" Ger Processos, Metodologia e MIS"/>
    <s v="Dalton Bondesan"/>
    <s v="Tiago dos Santos Fialho"/>
    <x v="4"/>
    <d v="2015-06-12T16:04:00"/>
    <m/>
    <n v="262.3305555555562"/>
    <n v="6"/>
    <n v="2015"/>
    <x v="3"/>
  </r>
  <r>
    <s v="Requisição de Serviços"/>
    <s v="CTXSALAS-150015"/>
    <s v="Projeto - Projeto"/>
    <m/>
    <x v="6"/>
    <s v=" Ger Processos, Metodologia e MIS"/>
    <s v="Dalton Bondesan"/>
    <s v="Tiago dos Santos Fialho"/>
    <x v="4"/>
    <d v="2015-04-06T11:12:00"/>
    <m/>
    <n v="329.53333333333285"/>
    <n v="4"/>
    <n v="2015"/>
    <x v="3"/>
  </r>
  <r>
    <s v="Requisição de Serviços"/>
    <s v="CTXSALAS-149443"/>
    <s v="Projeto - Projeto"/>
    <m/>
    <x v="6"/>
    <s v=" Ger Processos, Metodologia e MIS"/>
    <s v="Dalton Bondesan"/>
    <s v="Tiago dos Santos Fialho"/>
    <x v="2"/>
    <d v="2015-03-25T13:23:00"/>
    <m/>
    <n v="341.4423611111124"/>
    <n v="3"/>
    <n v="2015"/>
    <x v="3"/>
  </r>
  <r>
    <s v="Requisição de Serviços"/>
    <s v="CTXRJOPF-69425"/>
    <s v="Projeto - &quot;Por favor, usuário, utilizar este campo para informar o nome do Projeto&quot;"/>
    <m/>
    <x v="6"/>
    <s v=" Monitoria"/>
    <s v="Sem responsável"/>
    <s v="Mariana de Araujo Paiva"/>
    <x v="0"/>
    <d v="2016-02-15T16:01:00"/>
    <m/>
    <n v="14.332638888889051"/>
    <n v="2"/>
    <n v="2016"/>
    <x v="4"/>
  </r>
  <r>
    <s v="Requisição de Serviços"/>
    <s v="CTXRJOMK-125309"/>
    <s v="Projeto - &quot;Por favor, usuário, utilizar este campo para informar o nome do Projeto&quot;"/>
    <m/>
    <x v="6"/>
    <s v=" Dir. Oi"/>
    <s v="Bruno Guerra Ferreira"/>
    <s v="Maria da Conceicao Paiva"/>
    <x v="0"/>
    <d v="2015-10-19T15:00:00"/>
    <m/>
    <n v="133.375"/>
    <n v="10"/>
    <n v="2015"/>
    <x v="2"/>
  </r>
  <r>
    <s v="Requisição de Serviços"/>
    <s v="CTXRJOMK-119586"/>
    <s v="Projeto - Projeto"/>
    <m/>
    <x v="14"/>
    <s v=" Outras Atividades"/>
    <s v="Dalton Bondesan"/>
    <s v="Lilian Bille Mesquita"/>
    <x v="0"/>
    <d v="2015-08-03T14:35:00"/>
    <m/>
    <n v="210.39236111110949"/>
    <n v="8"/>
    <n v="2015"/>
    <x v="3"/>
  </r>
  <r>
    <s v="Requisição de Serviços"/>
    <s v="CTXRJOMK-118558"/>
    <s v="Projeto - Troca do parque de máquinas da operação Bradesco Seguros"/>
    <m/>
    <x v="10"/>
    <s v=" Bradesco Seguros"/>
    <s v="Dalton Bondesan"/>
    <s v="Rogerio Luiz da Silva"/>
    <x v="5"/>
    <d v="2015-07-20T10:41:00"/>
    <m/>
    <n v="224.55486111110804"/>
    <n v="7"/>
    <n v="2015"/>
    <x v="3"/>
  </r>
  <r>
    <s v="Requisição de Serviços"/>
    <s v="CTXRJOMK-118064"/>
    <s v="Projeto - Projeto"/>
    <m/>
    <x v="18"/>
    <s v=" BB Mapfre"/>
    <s v="Dalton Bondesan"/>
    <s v="Marco Aurelio Chuim Cruz Filho"/>
    <x v="0"/>
    <d v="2015-07-14T14:30:00"/>
    <m/>
    <n v="230.39583333333576"/>
    <n v="7"/>
    <n v="2015"/>
    <x v="3"/>
  </r>
  <r>
    <s v="Requisição de Serviços"/>
    <s v="CTXRJOMK-117938"/>
    <s v="Projeto - Projeto"/>
    <m/>
    <x v="6"/>
    <s v=" Ger Adm RH"/>
    <s v="Maria Carla Pereira dos Santos"/>
    <s v="Eduardo Lima de Souza"/>
    <x v="5"/>
    <d v="2015-07-13T11:05:00"/>
    <m/>
    <n v="231.53819444444525"/>
    <n v="7"/>
    <n v="2015"/>
    <x v="3"/>
  </r>
  <r>
    <s v="Requisição de Serviços"/>
    <s v="CTXRJOMK-102944"/>
    <s v="Projeto - Projeto"/>
    <m/>
    <x v="6"/>
    <s v=" Ger Adm RH"/>
    <s v="Leonardo Machado Anastacio"/>
    <s v="Leonardo Machado Anastacio"/>
    <x v="1"/>
    <d v="2014-12-10T11:59:00"/>
    <d v="2016-01-15T16:15:00"/>
    <n v="401.17777777778247"/>
    <n v="12"/>
    <n v="2014"/>
    <x v="3"/>
  </r>
  <r>
    <s v="Requisição de Serviços"/>
    <s v="CTXRJOMA-78225"/>
    <s v="PROJETO AUTOMAÇÕES OI | PROCESSO ALTERAÇÃO DE VELOCIDADE VELOX"/>
    <m/>
    <x v="14"/>
    <s v=" Outras Atividades"/>
    <s v="Sem responsável"/>
    <s v="Wagner Mattos Ribeiro Pinto"/>
    <x v="0"/>
    <d v="2016-02-17T11:22:00"/>
    <m/>
    <n v="12.526388888887595"/>
    <n v="2"/>
    <n v="2016"/>
    <x v="4"/>
  </r>
  <r>
    <s v="Requisição de Serviços"/>
    <s v="CTXRJOMA-78224"/>
    <s v="PROJETO AUTOMAÇÕES OI | PROCESSO CONTESTAÇÃO DE FATURA OI TV COM PAGAMENTO NO OI FIXO"/>
    <m/>
    <x v="14"/>
    <s v=" Outras Atividades"/>
    <s v="Sem responsável"/>
    <s v="Wagner Mattos Ribeiro Pinto"/>
    <x v="0"/>
    <d v="2016-02-17T11:20:00"/>
    <m/>
    <n v="12.527777777781012"/>
    <n v="2"/>
    <n v="2016"/>
    <x v="4"/>
  </r>
  <r>
    <s v="Requisição de Serviços"/>
    <s v="CTXRJOMA-78220"/>
    <s v="PROJETO AUTOMAÇÕES OI | PROCESSO CHECK LIST DE CRÉDITO POR INTERRUPÇÃO FIXO E VELOX (OCT CONTAS)"/>
    <m/>
    <x v="14"/>
    <s v=" Outras Atividades"/>
    <s v="Sem responsável"/>
    <s v="Wagner Mattos Ribeiro Pinto"/>
    <x v="0"/>
    <d v="2016-02-17T11:09:00"/>
    <m/>
    <n v="12.535416666665697"/>
    <n v="2"/>
    <n v="2016"/>
    <x v="4"/>
  </r>
  <r>
    <s v="Requisição de Serviços"/>
    <s v="CTXRJOMA-78219"/>
    <s v="PROJETO AUTOMAÇÕES OI | PROCESSO VERIFICAÇÃO DE CAMPANHAS PRÉ-PAGO"/>
    <m/>
    <x v="14"/>
    <s v=" Outras Atividades"/>
    <s v="Sem responsável"/>
    <s v="Wagner Mattos Ribeiro Pinto"/>
    <x v="0"/>
    <d v="2016-02-17T11:04:00"/>
    <m/>
    <n v="12.538888888891961"/>
    <n v="2"/>
    <n v="2016"/>
    <x v="4"/>
  </r>
  <r>
    <s v="Requisição de Serviços"/>
    <s v="CTXRJOMA-78217"/>
    <s v="PROJETO AUTOMAÇÕES OI | PROCESSO CHECKLIST DE MUDEND"/>
    <m/>
    <x v="14"/>
    <s v=" Outras Atividades"/>
    <s v="Sem responsável"/>
    <s v="Wagner Mattos Ribeiro Pinto"/>
    <x v="0"/>
    <d v="2016-02-17T11:00:00"/>
    <m/>
    <n v="12.541666666664241"/>
    <n v="2"/>
    <n v="2016"/>
    <x v="4"/>
  </r>
  <r>
    <s v="Requisição de Serviços"/>
    <s v="CTXRJOMA-78215"/>
    <s v="PROJETO AUTOMAÇÕES OI | PROCESSO VERIFICAÇÃO DE PROMOÇÕES PÓS-PAGO"/>
    <m/>
    <x v="14"/>
    <s v=" Outras Atividades"/>
    <s v="Sem responsável"/>
    <s v="Wagner Mattos Ribeiro Pinto"/>
    <x v="0"/>
    <d v="2016-02-17T10:55:00"/>
    <m/>
    <n v="12.545138888890506"/>
    <n v="2"/>
    <n v="2016"/>
    <x v="4"/>
  </r>
  <r>
    <s v="Requisição de Serviços"/>
    <s v="CTXRJOMA-78212"/>
    <s v="PROJETO AUTOMAÇÕES OI | PROCESSO INCLUSÃO DE DEPENDENTE OI MÓVEL"/>
    <m/>
    <x v="14"/>
    <s v=" Outras Atividades"/>
    <s v="Sem responsável"/>
    <s v="Wagner Mattos Ribeiro Pinto"/>
    <x v="0"/>
    <d v="2016-02-17T10:37:00"/>
    <m/>
    <n v="12.557638888887595"/>
    <n v="2"/>
    <n v="2016"/>
    <x v="4"/>
  </r>
  <r>
    <s v="Requisição de Serviços"/>
    <s v="CTXRJOMA-78210"/>
    <s v="PROJETO AUTOMAÇÕES OI | PROCESSO ALTERAÇÃO DE VELOCIDADE VELOX"/>
    <m/>
    <x v="14"/>
    <s v=" Outras Atividades"/>
    <s v="Sem responsável"/>
    <s v="Wagner Mattos Ribeiro Pinto"/>
    <x v="0"/>
    <d v="2016-02-17T10:33:00"/>
    <m/>
    <n v="12.560416666667152"/>
    <n v="2"/>
    <n v="2016"/>
    <x v="4"/>
  </r>
  <r>
    <s v="Requisição de Serviços"/>
    <s v="CTXRJOMA-78208"/>
    <s v="PROJETO AUTOMAÇÕES OI | PROCESSO ABERTURA E FECHAMENTO CONTESTAÇÃO"/>
    <m/>
    <x v="14"/>
    <s v=" Outras Atividades"/>
    <s v="Sem responsável"/>
    <s v="Wagner Mattos Ribeiro Pinto"/>
    <x v="0"/>
    <d v="2016-02-17T10:25:00"/>
    <m/>
    <n v="12.565972222218988"/>
    <n v="2"/>
    <n v="2016"/>
    <x v="4"/>
  </r>
  <r>
    <s v="Requisição de Serviços"/>
    <s v="CTXRJOMA-78045"/>
    <s v="Projeto Automações Oi | FLUXO LIMITAÇÃO DA CHAMADA MANUAL"/>
    <m/>
    <x v="6"/>
    <s v=" Outro"/>
    <s v="Sem responsável"/>
    <s v="Wagner Mattos Ribeiro Pinto"/>
    <x v="0"/>
    <d v="2016-02-11T14:22:00"/>
    <m/>
    <n v="18.401388888887595"/>
    <n v="2"/>
    <n v="2016"/>
    <x v="4"/>
  </r>
  <r>
    <s v="Requisição de Serviços"/>
    <s v="CTXRJOMA-78044"/>
    <s v="Projeto Automações Oi | RTI - AUTOMAÇÃO CONSULTA HISTÓRICO TERMINAL"/>
    <m/>
    <x v="6"/>
    <s v=" Outro"/>
    <s v="Sem responsável"/>
    <s v="Wagner Mattos Ribeiro Pinto"/>
    <x v="0"/>
    <d v="2016-02-11T14:17:00"/>
    <m/>
    <n v="18.40486111111386"/>
    <n v="2"/>
    <n v="2016"/>
    <x v="4"/>
  </r>
  <r>
    <s v="Requisição de Serviços"/>
    <s v="CTXRJOMA-78043"/>
    <s v="Projeto - Playground - Otimização da distribuição de chamadas"/>
    <m/>
    <x v="6"/>
    <s v=" Dir. Oi"/>
    <s v="Sem responsável"/>
    <s v="Fabricio Hinein Peixoto Guimaraes"/>
    <x v="0"/>
    <d v="2016-02-11T13:41:00"/>
    <m/>
    <n v="18.429861111108039"/>
    <n v="2"/>
    <n v="2016"/>
    <x v="4"/>
  </r>
  <r>
    <s v="Requisição de Serviços"/>
    <s v="CTXRJOMA-77877"/>
    <s v="Projeto Automações OI | RTI - REGISTRO AUTOMÁTICO DE REPARO DE VOZ (G1)"/>
    <m/>
    <x v="6"/>
    <s v=" Dir. Oi"/>
    <s v="Debora Gercke Dominas"/>
    <s v="Wagner Mattos Ribeiro Pinto"/>
    <x v="5"/>
    <d v="2016-02-03T14:52:00"/>
    <m/>
    <n v="26.380555555559113"/>
    <n v="2"/>
    <n v="2016"/>
    <x v="4"/>
  </r>
  <r>
    <s v="Requisição de Serviços"/>
    <s v="CTXRJOMA-77615"/>
    <s v="Projeto - Implantar Cochicho &quot;Reajuste&quot; nas operações da Cadeia Fixa"/>
    <m/>
    <x v="14"/>
    <s v=" Atendimento"/>
    <s v="Julio Cesar da Silva"/>
    <s v="Fernanda Nazario Menezes"/>
    <x v="0"/>
    <d v="2016-01-25T12:03:00"/>
    <m/>
    <n v="35.497916666667152"/>
    <n v="1"/>
    <n v="2016"/>
    <x v="0"/>
  </r>
  <r>
    <s v="Requisição de Serviços"/>
    <s v="CTXRJOMA-77362"/>
    <s v="Projeto_PassWork_interface telefonia"/>
    <m/>
    <x v="6"/>
    <s v=" Ger Planejamento SAC"/>
    <s v="Joyce Faria Barbosa"/>
    <s v="Joyce Faria Barbosa"/>
    <x v="1"/>
    <d v="2016-01-14T11:20:00"/>
    <d v="2016-02-02T12:08:00"/>
    <n v="19.033333333340124"/>
    <n v="1"/>
    <n v="2016"/>
    <x v="4"/>
  </r>
  <r>
    <s v="Requisição de Serviços"/>
    <s v="CTXRJOMA-77361"/>
    <s v="Projeto_PassWork_integraçao escala"/>
    <m/>
    <x v="6"/>
    <s v=" Ger Planejamento SAC"/>
    <s v="Joyce Faria Barbosa"/>
    <s v="Joyce Faria Barbosa"/>
    <x v="1"/>
    <d v="2016-01-14T11:15:00"/>
    <d v="2016-02-02T12:07:00"/>
    <n v="19.036111111112405"/>
    <n v="1"/>
    <n v="2016"/>
    <x v="4"/>
  </r>
  <r>
    <s v="Requisição de Serviços"/>
    <s v="CTXRJOMA-77360"/>
    <s v="Projeto_PassWork_integraçao_hierarquia"/>
    <m/>
    <x v="6"/>
    <s v=" Ger Planejamento SAC"/>
    <s v="Joyce Faria Barbosa"/>
    <s v="Joyce Faria Barbosa"/>
    <x v="1"/>
    <d v="2016-01-14T11:11:00"/>
    <d v="2016-02-02T12:07:00"/>
    <n v="19.038888888891961"/>
    <n v="1"/>
    <n v="2016"/>
    <x v="4"/>
  </r>
  <r>
    <s v="Requisição de Serviços"/>
    <s v="CTXRJOMA-77291"/>
    <s v="Projeto - Front End para BO CONTRATOS"/>
    <m/>
    <x v="6"/>
    <s v=" Dir. Oi"/>
    <s v="Sem responsável"/>
    <s v="Leonardo Pellegrini Vieira"/>
    <x v="0"/>
    <d v="2016-01-12T18:37:00"/>
    <m/>
    <n v="48.224305555559113"/>
    <n v="1"/>
    <n v="2016"/>
    <x v="0"/>
  </r>
  <r>
    <s v="Requisição de Serviços"/>
    <s v="CTXRJOMA-77290"/>
    <s v="Projeto - NICE Operações BO CONTRATOS"/>
    <m/>
    <x v="6"/>
    <s v=" Dir. Oi"/>
    <s v="Sem responsável"/>
    <s v="Leonardo Pellegrini Vieira"/>
    <x v="0"/>
    <d v="2016-01-12T18:29:00"/>
    <m/>
    <n v="48.229861111110949"/>
    <n v="1"/>
    <n v="2016"/>
    <x v="0"/>
  </r>
  <r>
    <s v="Requisição de Serviços"/>
    <s v="CTXRJOMA-77272"/>
    <s v="Reestruturação do DW, BIGDATA and ANALYTICS (RFP)"/>
    <m/>
    <x v="6"/>
    <s v=" Ger Planejamento SAC"/>
    <s v="Sem responsável"/>
    <s v="Joyce Faria Barbosa"/>
    <x v="0"/>
    <d v="2016-01-11T18:16:00"/>
    <m/>
    <n v="49.238888888889051"/>
    <n v="1"/>
    <n v="2016"/>
    <x v="0"/>
  </r>
  <r>
    <s v="Requisição de Serviços"/>
    <s v="CTXRJOMA-77042"/>
    <s v="CATRACA - Desenvolvimento de coleta"/>
    <m/>
    <x v="6"/>
    <s v=" Ger Planejamento SAC"/>
    <s v="Joao Carlos Fadul Vilas Boas"/>
    <s v="Joyce Faria Barbosa"/>
    <x v="2"/>
    <d v="2015-12-29T16:17:00"/>
    <m/>
    <n v="62.321527777778101"/>
    <n v="12"/>
    <n v="2015"/>
    <x v="1"/>
  </r>
  <r>
    <s v="Requisição de Serviços"/>
    <s v="CTXRJOMA-76887"/>
    <s v="Requisição de coleta de base TLV e Perfilcall"/>
    <m/>
    <x v="6"/>
    <s v=" Ger Planejamento SAC"/>
    <s v="Bruno Guerra Ferreira"/>
    <s v="Joyce Faria Barbosa"/>
    <x v="0"/>
    <d v="2015-12-18T15:38:00"/>
    <m/>
    <n v="73.348611111112405"/>
    <n v="12"/>
    <n v="2015"/>
    <x v="1"/>
  </r>
  <r>
    <s v="Requisição de Serviços"/>
    <s v="CTXRJOMA-76875"/>
    <s v="Mapeamento de IP por posição com localização em planta"/>
    <m/>
    <x v="6"/>
    <s v=" Ger Planejamento SAC"/>
    <s v="Joyce Faria Barbosa"/>
    <s v="Joyce Faria Barbosa"/>
    <x v="1"/>
    <d v="2015-12-17T19:01:00"/>
    <d v="2016-02-02T12:06:00"/>
    <n v="46.711805555554747"/>
    <n v="12"/>
    <n v="2015"/>
    <x v="0"/>
  </r>
  <r>
    <s v="Requisição de Serviços"/>
    <s v="CTXRJOMA-76819"/>
    <s v="Permissão de leitura a Procedure"/>
    <m/>
    <x v="6"/>
    <s v=" Ger Planejamento SAC"/>
    <s v="Bruno Guerra Ferreira"/>
    <s v="Joyce Faria Barbosa"/>
    <x v="0"/>
    <d v="2015-12-15T15:01:00"/>
    <m/>
    <n v="76.374305555553292"/>
    <n v="12"/>
    <n v="2015"/>
    <x v="1"/>
  </r>
  <r>
    <s v="Requisição de Serviços"/>
    <s v="CTXRJOMA-73888"/>
    <s v="Projeto - Projeto - Ferramenta de Automação OFF Line"/>
    <m/>
    <x v="6"/>
    <s v=" Dir. Oi"/>
    <s v="Julio Cesar da Silva"/>
    <s v="Elaine Fortunato da Silva"/>
    <x v="0"/>
    <d v="2015-08-10T12:38:00"/>
    <m/>
    <n v="203.4736111111124"/>
    <n v="8"/>
    <n v="2015"/>
    <x v="3"/>
  </r>
  <r>
    <s v="Requisição de Serviços"/>
    <s v="CTXRJOMA-73573"/>
    <s v="Projeto - Projeto - Melhoria TLV OFF Line"/>
    <m/>
    <x v="6"/>
    <s v=" Dir. Oi"/>
    <s v="Edison Nei Siqueira"/>
    <s v="Elaine Fortunato da Silva"/>
    <x v="5"/>
    <d v="2015-07-24T15:17:00"/>
    <m/>
    <n v="220.36319444444234"/>
    <n v="7"/>
    <n v="2015"/>
    <x v="3"/>
  </r>
  <r>
    <s v="Requisição de Serviços"/>
    <s v="CTXRJOMA-72849"/>
    <s v="Projeto - Projeto - Evalyser Lista de Espera - SOC"/>
    <m/>
    <x v="6"/>
    <s v=" Dir. Oi"/>
    <s v="Edison Nei Siqueira"/>
    <s v="Livia de Deus Henriques Rodrigues"/>
    <x v="5"/>
    <d v="2015-06-23T16:35:00"/>
    <m/>
    <n v="251.30902777778101"/>
    <n v="6"/>
    <n v="2015"/>
    <x v="3"/>
  </r>
  <r>
    <s v="Requisição de Serviços"/>
    <s v="CTXRJOED-57910"/>
    <s v="Projeto - &quot;Relatorios SISO&quot;"/>
    <m/>
    <x v="20"/>
    <s v=" Atendimento Nivel 1"/>
    <s v="Kathleen Porto"/>
    <s v="Marco Aurelio Chuim Cruz Filho"/>
    <x v="0"/>
    <d v="2015-12-15T18:05:00"/>
    <m/>
    <n v="76.246527777781012"/>
    <n v="12"/>
    <n v="2015"/>
    <x v="1"/>
  </r>
  <r>
    <s v="Requisição de Serviços"/>
    <s v="CTXRJOED-57908"/>
    <s v="Projeto - &quot;Por favor, usuário, utilizar este campo para informar o nome do Projeto&quot;"/>
    <m/>
    <x v="20"/>
    <s v=" Atendimento Nivel 1"/>
    <s v="Kathleen Porto"/>
    <s v="Marco Aurelio Chuim Cruz Filho"/>
    <x v="0"/>
    <d v="2015-12-15T17:30:00"/>
    <m/>
    <n v="76.270833333335759"/>
    <n v="12"/>
    <n v="2015"/>
    <x v="1"/>
  </r>
  <r>
    <s v="Requisição de Serviços"/>
    <s v="CTXRJOED-57907"/>
    <s v="Projeto - &quot;Por favor, usuário, utilizar este campo para informar o nome do Projeto&quot;"/>
    <m/>
    <x v="20"/>
    <s v=" Atendimento Nivel 1"/>
    <s v="Kathleen Porto"/>
    <s v="Marco Aurelio Chuim Cruz Filho"/>
    <x v="0"/>
    <d v="2015-12-15T17:08:00"/>
    <m/>
    <n v="76.286111111112405"/>
    <n v="12"/>
    <n v="2015"/>
    <x v="1"/>
  </r>
  <r>
    <s v="Requisição de Serviços"/>
    <s v="CTXRJOED-57427"/>
    <s v="Implantação Gas Natural Fenosa"/>
    <m/>
    <x v="6"/>
    <s v=" Ger Implantação"/>
    <s v="Edison Nei Siqueira"/>
    <s v="Robson da Costa"/>
    <x v="5"/>
    <d v="2015-11-30T17:02:00"/>
    <m/>
    <n v="91.290277777778101"/>
    <n v="11"/>
    <n v="2015"/>
    <x v="2"/>
  </r>
  <r>
    <s v="Requisição de Serviços"/>
    <s v="CTXRJOED-56989"/>
    <s v="Projeto - Instalar Ferramenta de Automações Célula GFE - Engenho de Dentro"/>
    <m/>
    <x v="6"/>
    <s v=" Dir. Oi"/>
    <s v="Julio Cesar da Silva"/>
    <s v="Elaine Fortunato da Silva"/>
    <x v="0"/>
    <d v="2015-11-13T10:52:00"/>
    <m/>
    <n v="108.54722222222335"/>
    <n v="11"/>
    <n v="2015"/>
    <x v="2"/>
  </r>
  <r>
    <s v="Requisição de Serviços"/>
    <s v="CTXRJOED-55097"/>
    <s v="Projeto - Projeto"/>
    <m/>
    <x v="20"/>
    <s v=" Atendimento Nivel 1"/>
    <s v="Kathleen Porto"/>
    <s v="Marco Aurelio Chuim Cruz Filho"/>
    <x v="2"/>
    <d v="2015-09-16T16:46:00"/>
    <m/>
    <n v="166.30138888888905"/>
    <n v="9"/>
    <n v="2015"/>
    <x v="3"/>
  </r>
  <r>
    <s v="Requisição de Serviços"/>
    <s v="CTXRJOED-54399"/>
    <s v="Projeto - Usabilidade SGRC"/>
    <m/>
    <x v="6"/>
    <s v=" Outro"/>
    <s v="Erica Fernandes Cotrim"/>
    <s v="Kathleen Porto"/>
    <x v="0"/>
    <d v="2015-08-27T17:52:00"/>
    <m/>
    <n v="186.25555555555911"/>
    <n v="8"/>
    <n v="2015"/>
    <x v="3"/>
  </r>
  <r>
    <s v="Requisição de Serviços"/>
    <s v="CTXRJOED-54040"/>
    <s v="Projeto - Projeto - Discador GFE RJ"/>
    <m/>
    <x v="6"/>
    <s v=" Dir. Oi"/>
    <s v="Edison Nei Siqueira"/>
    <s v="Elaine Fortunato da Silva"/>
    <x v="5"/>
    <d v="2015-08-18T17:23:00"/>
    <m/>
    <n v="195.27569444444089"/>
    <n v="8"/>
    <n v="2015"/>
    <x v="3"/>
  </r>
  <r>
    <s v="Requisição de Serviços"/>
    <s v="CTXRJOED-54029"/>
    <s v="Projeto - Projeto"/>
    <m/>
    <x v="20"/>
    <s v=" Atendimento Nivel 1"/>
    <s v="Marco Aurelio Chuim Cruz Filho"/>
    <s v="Marco Aurelio Chuim Cruz Filho"/>
    <x v="1"/>
    <d v="2015-08-18T11:33:00"/>
    <d v="2016-01-28T14:02:00"/>
    <n v="163.10347222222481"/>
    <n v="8"/>
    <n v="2015"/>
    <x v="3"/>
  </r>
  <r>
    <s v="Requisição de Serviços"/>
    <s v="CTXRJOED-51677"/>
    <s v="Sem acesso tprocess"/>
    <m/>
    <x v="20"/>
    <s v=" Atendimento Nivel 1"/>
    <s v="Sem responsável"/>
    <s v="Alyne Souza Berriel"/>
    <x v="4"/>
    <d v="2015-06-10T17:49:00"/>
    <m/>
    <n v="264.25763888889196"/>
    <n v="6"/>
    <n v="2015"/>
    <x v="3"/>
  </r>
  <r>
    <s v="Requisição de Serviços"/>
    <s v="CTXRJOED-49497"/>
    <s v="Projeto - Projeto"/>
    <m/>
    <x v="20"/>
    <s v=" Atendimento Nivel 1"/>
    <s v="Dalton Bondesan"/>
    <s v="Marco Aurelio Chuim Cruz Filho"/>
    <x v="2"/>
    <d v="2015-04-10T15:22:00"/>
    <m/>
    <n v="325.35972222222335"/>
    <n v="4"/>
    <n v="2015"/>
    <x v="3"/>
  </r>
  <r>
    <s v="Requisição de Serviços"/>
    <s v="CTXRECSA-463298"/>
    <s v="Movimentação Máquinas Suporte Técnico"/>
    <m/>
    <x v="6"/>
    <s v=" Dir. Oi"/>
    <s v="Sem responsável"/>
    <s v="F�bio Prazeres da Silva"/>
    <x v="0"/>
    <d v="2016-02-17T16:28:00"/>
    <m/>
    <n v="12.31388888888614"/>
    <n v="2"/>
    <n v="2016"/>
    <x v="4"/>
  </r>
  <r>
    <s v="Requisição de Serviços"/>
    <s v="CTXRECSA-462461"/>
    <s v="Projeto - Inclusão do 9º digito na ferramenta Ayty"/>
    <m/>
    <x v="3"/>
    <s v=" Cartões"/>
    <s v="Sem responsável"/>
    <s v="George Silva Dimitrov"/>
    <x v="0"/>
    <d v="2016-02-15T10:49:00"/>
    <m/>
    <n v="14.549305555556202"/>
    <n v="2"/>
    <n v="2016"/>
    <x v="4"/>
  </r>
  <r>
    <s v="Requisição de Serviços"/>
    <s v="CTXRECSA-461808"/>
    <s v="Projeto - Projeto - Implantação de licenças COTI - Monitoramento do NET SMS"/>
    <m/>
    <x v="6"/>
    <s v=" Dir. Clientes Premium"/>
    <s v="Bruno Guerra Ferreira"/>
    <s v="Juliano Molina"/>
    <x v="0"/>
    <d v="2016-02-12T09:39:00"/>
    <m/>
    <n v="17.597916666665697"/>
    <n v="2"/>
    <n v="2016"/>
    <x v="4"/>
  </r>
  <r>
    <s v="Requisição de Serviços"/>
    <s v="CTXRECSA-460567"/>
    <s v="Projeto - Sinergia célula híbrida + PDA URA com o CRV"/>
    <m/>
    <x v="14"/>
    <s v=" Oi Movél"/>
    <s v="Sem responsável"/>
    <s v="Anthonny Stallone Santos de Souza"/>
    <x v="0"/>
    <d v="2016-02-05T19:22:00"/>
    <m/>
    <n v="24.193055555559113"/>
    <n v="2"/>
    <n v="2016"/>
    <x v="4"/>
  </r>
  <r>
    <s v="Requisição de Serviços"/>
    <s v="CTXRECSA-457626"/>
    <s v="Projeto - Substituição do front end Ayty pelo Tguidance - Operação Santander Cartões"/>
    <m/>
    <x v="3"/>
    <s v=" Cartões"/>
    <s v="Sem responsável"/>
    <s v="George Silva Dimitrov"/>
    <x v="0"/>
    <d v="2016-01-29T09:09:00"/>
    <m/>
    <n v="31.618750000001455"/>
    <n v="1"/>
    <n v="2016"/>
    <x v="0"/>
  </r>
  <r>
    <s v="Requisição de Serviços"/>
    <s v="CTXRECSA-456620"/>
    <s v="Projeto - Implantar ferramenta Evalyze no BO Fixa"/>
    <m/>
    <x v="14"/>
    <s v=" Back Office"/>
    <s v="Sem responsável"/>
    <s v="Fernanda Nazario Menezes"/>
    <x v="0"/>
    <d v="2016-01-26T11:02:00"/>
    <m/>
    <n v="34.540277777778101"/>
    <n v="1"/>
    <n v="2016"/>
    <x v="0"/>
  </r>
  <r>
    <s v="Requisição de Serviços"/>
    <s v="CTXRECSA-455203"/>
    <s v="TLS: Protocolo de criptografia TLS 1.2"/>
    <m/>
    <x v="6"/>
    <s v=" Outro"/>
    <s v="Sem responsável"/>
    <s v="Marco Aurelio Brandao Duarte"/>
    <x v="0"/>
    <d v="2016-01-20T09:53:00"/>
    <m/>
    <n v="40.588194444440887"/>
    <n v="1"/>
    <n v="2016"/>
    <x v="0"/>
  </r>
  <r>
    <s v="Requisição de Serviços"/>
    <s v="CTXRECSA-454137"/>
    <s v="Projeto - Crescimento de 50 posições"/>
    <m/>
    <x v="3"/>
    <s v=" Santander"/>
    <s v="Sem responsável"/>
    <s v="George Silva Dimitrov"/>
    <x v="0"/>
    <d v="2016-01-15T10:57:00"/>
    <m/>
    <n v="45.54374999999709"/>
    <n v="1"/>
    <n v="2016"/>
    <x v="0"/>
  </r>
  <r>
    <s v="Requisição de Serviços"/>
    <s v="CTXRECSA-453800"/>
    <s v="Projeto - &quot;instalar google chrome na célula híbrda&quot;"/>
    <m/>
    <x v="14"/>
    <s v=" Oi Movél"/>
    <s v="Sem responsável"/>
    <s v="Anthonny Stallone Santos de Souza"/>
    <x v="0"/>
    <d v="2016-01-14T12:24:00"/>
    <m/>
    <n v="46.483333333329938"/>
    <n v="1"/>
    <n v="2016"/>
    <x v="0"/>
  </r>
  <r>
    <s v="Requisição de Serviços"/>
    <s v="CTXRECSA-452887"/>
    <s v="Projeto - Integração URA CO x Ferramenta Automação"/>
    <m/>
    <x v="14"/>
    <s v=" Oi Movél"/>
    <s v="Julio Cesar da Silva"/>
    <s v="Anthonny Stallone Santos de Souza"/>
    <x v="0"/>
    <d v="2016-01-11T20:13:00"/>
    <m/>
    <n v="49.15763888888614"/>
    <n v="1"/>
    <n v="2016"/>
    <x v="0"/>
  </r>
  <r>
    <s v="Requisição de Serviços"/>
    <s v="CTXRECSA-448642"/>
    <s v="Projeto - Migrar a Célula de Backoffice do Site Antártica para o Site Santo Amaro"/>
    <m/>
    <x v="10"/>
    <s v=" Back office"/>
    <s v="BRUNO DIEGO ANTUNES RIBEIRO"/>
    <s v="Carlos Batista Alves"/>
    <x v="2"/>
    <d v="2015-12-23T11:42:00"/>
    <m/>
    <n v="68.51249999999709"/>
    <n v="12"/>
    <n v="2015"/>
    <x v="1"/>
  </r>
  <r>
    <s v="Requisição de Serviços"/>
    <s v="CTXRECSA-447220"/>
    <s v="50 PAS DE CRESCIMENTO MAIS DO MESMO DA REDECARD"/>
    <m/>
    <x v="6"/>
    <s v=" Outro"/>
    <s v="Marco Aurelio Brandao Duarte"/>
    <s v="Marco Aurelio Brandao Duarte"/>
    <x v="1"/>
    <d v="2015-12-15T10:39:00"/>
    <d v="2016-01-11T18:15:00"/>
    <n v="27.316666666665697"/>
    <n v="12"/>
    <n v="2015"/>
    <x v="4"/>
  </r>
  <r>
    <s v="Requisição de Serviços"/>
    <s v="CTXRECSA-446234"/>
    <s v="SERVIDOR - TABULADOR DE VENDAS"/>
    <m/>
    <x v="16"/>
    <s v=" Itaú Cartão"/>
    <s v="Bruno Guerra Ferreira"/>
    <s v="Marco Aurelio Brandao Duarte"/>
    <x v="0"/>
    <d v="2015-12-10T15:27:00"/>
    <m/>
    <n v="81.35624999999709"/>
    <n v="12"/>
    <n v="2015"/>
    <x v="1"/>
  </r>
  <r>
    <s v="Requisição de Serviços"/>
    <s v="CTXRECSA-446175"/>
    <s v="Projeto - &quot;Demanda no Relatório Perfilador&quot;"/>
    <m/>
    <x v="14"/>
    <s v=" Oi Movél"/>
    <s v="Bruno Guerra Ferreira"/>
    <s v="MILANE LINS DA SILVA"/>
    <x v="0"/>
    <d v="2015-12-10T12:37:00"/>
    <m/>
    <n v="81.474305555559113"/>
    <n v="12"/>
    <n v="2015"/>
    <x v="1"/>
  </r>
  <r>
    <s v="Requisição de Serviços"/>
    <s v="CTXRECSA-443731"/>
    <s v="Projeto - Adequação das Salas de TRN para o crescimento da operação NET em PE"/>
    <m/>
    <x v="21"/>
    <e v="#N/A"/>
    <s v="Juliano Molina"/>
    <s v="Juliano Molina"/>
    <x v="1"/>
    <d v="2015-12-02T11:58:00"/>
    <d v="2015-12-16T10:12:00"/>
    <n v="13.926388888889051"/>
    <n v="12"/>
    <n v="2015"/>
    <x v="4"/>
  </r>
  <r>
    <s v="Requisição de Serviços"/>
    <s v="CTXRECSA-442185"/>
    <s v="Projeto - Configurar 3 posições para a auditoria de vendas do Itaú"/>
    <m/>
    <x v="6"/>
    <s v=" Outro"/>
    <s v="Bruno Guerra Ferreira"/>
    <s v="Mariana da Costa Mello"/>
    <x v="0"/>
    <d v="2015-11-26T14:27:00"/>
    <m/>
    <n v="95.397916666668607"/>
    <n v="11"/>
    <n v="2015"/>
    <x v="2"/>
  </r>
  <r>
    <s v="Requisição de Serviços"/>
    <s v="CTXRECSA-441544"/>
    <s v="Projeto - &quot;Migração POP 3 - Posto PA Conquista vs. Sto Amaro&quot;"/>
    <m/>
    <x v="14"/>
    <s v=" BO ATENDIMENTO"/>
    <s v="Anderson Luiz Gon�alves de Alcantara"/>
    <s v="Anderson Luiz Gon�alves de Alcantara"/>
    <x v="1"/>
    <d v="2015-11-24T19:45:00"/>
    <d v="2016-01-15T15:49:00"/>
    <n v="51.836111111115315"/>
    <n v="11"/>
    <n v="2015"/>
    <x v="0"/>
  </r>
  <r>
    <s v="Requisição de Serviços"/>
    <s v="CTXRECSA-441539"/>
    <s v="Projeto - &quot;Migração POP 3 - Pendencia de Serviços Conquista vs. Sto Amaro&quot;"/>
    <m/>
    <x v="14"/>
    <s v=" BO ATENDIMENTO"/>
    <s v="Anderson Luiz Gon�alves de Alcantara"/>
    <s v="Anderson Luiz Gon�alves de Alcantara"/>
    <x v="1"/>
    <d v="2015-11-24T19:12:00"/>
    <d v="2016-01-15T15:51:00"/>
    <n v="51.860416666662786"/>
    <n v="11"/>
    <n v="2015"/>
    <x v="0"/>
  </r>
  <r>
    <s v="Requisição de Serviços"/>
    <s v="CTXRECSA-441538"/>
    <s v="Projeto - &quot;Migração POP 3 - pendencia de Contas Conquista vs. Sto Amaro&quot;"/>
    <m/>
    <x v="14"/>
    <s v=" BO ATENDIMENTO"/>
    <s v="Anderson Luiz Gon�alves de Alcantara"/>
    <s v="Anderson Luiz Gon�alves de Alcantara"/>
    <x v="1"/>
    <d v="2015-11-24T19:06:00"/>
    <d v="2016-01-15T15:51:00"/>
    <n v="51.864583333335759"/>
    <n v="11"/>
    <n v="2015"/>
    <x v="0"/>
  </r>
  <r>
    <s v="Requisição de Serviços"/>
    <s v="CTXRECSA-441537"/>
    <s v="Projeto - &quot;Migração POP 3 - Lojista Conquista vs. Sto Amaro&quot;"/>
    <m/>
    <x v="14"/>
    <s v=" BO ATENDIMENTO"/>
    <s v="Anderson Luiz Gon�alves de Alcantara"/>
    <s v="Anderson Luiz Gon�alves de Alcantara"/>
    <x v="1"/>
    <d v="2015-11-24T18:59:00"/>
    <d v="2016-01-15T15:52:00"/>
    <n v="51.870138888887595"/>
    <n v="11"/>
    <n v="2015"/>
    <x v="0"/>
  </r>
  <r>
    <s v="Requisição de Serviços"/>
    <s v="CTXRECSA-441535"/>
    <s v="Projeto - &quot;Migração POP 3 - Ilha de Auditoria Conquista vs. Sto Amaro&quot;"/>
    <m/>
    <x v="14"/>
    <s v=" BO ATENDIMENTO"/>
    <s v="Anderson Luiz Gon�alves de Alcantara"/>
    <s v="Anderson Luiz Gon�alves de Alcantara"/>
    <x v="1"/>
    <d v="2015-11-24T18:53:00"/>
    <d v="2016-01-15T15:52:00"/>
    <n v="51.874305555553292"/>
    <n v="11"/>
    <n v="2015"/>
    <x v="0"/>
  </r>
  <r>
    <s v="Requisição de Serviços"/>
    <s v="CTXRECSA-441525"/>
    <s v="Projeto - &quot;Migração POP 3 - Fale Conosco Conquista vs. Sto Amaro&quot;"/>
    <m/>
    <x v="14"/>
    <s v=" BO ATENDIMENTO"/>
    <s v="Anderson Luiz Gon�alves de Alcantara"/>
    <s v="Anderson Luiz Gon�alves de Alcantara"/>
    <x v="1"/>
    <d v="2015-11-24T17:54:00"/>
    <d v="2016-01-15T15:52:00"/>
    <n v="51.915277777778101"/>
    <n v="11"/>
    <n v="2015"/>
    <x v="0"/>
  </r>
  <r>
    <s v="Requisição de Serviços"/>
    <s v="CTXRECSA-441523"/>
    <s v="Projeto - &quot;Migração POP 3 - Correspondencia Conquista vs. Sto Amaro&quot;"/>
    <m/>
    <x v="14"/>
    <s v=" BO ATENDIMENTO"/>
    <s v="Anderson Luiz Gon�alves de Alcantara"/>
    <s v="Anderson Luiz Gon�alves de Alcantara"/>
    <x v="1"/>
    <d v="2015-11-24T17:50:00"/>
    <d v="2016-01-15T15:53:00"/>
    <n v="51.918750000004366"/>
    <n v="11"/>
    <n v="2015"/>
    <x v="0"/>
  </r>
  <r>
    <s v="Requisição de Serviços"/>
    <s v="CTXRECSA-441507"/>
    <s v="Projeto - &quot;Migração POP 3 - Contas Fixa Conquista vs. Sto Amaro&quot;"/>
    <m/>
    <x v="14"/>
    <s v=" BO ATENDIMENTO"/>
    <s v="Anderson Luiz Gon�alves de Alcantara"/>
    <s v="Anderson Luiz Gon�alves de Alcantara"/>
    <x v="1"/>
    <d v="2015-11-24T17:02:00"/>
    <d v="2016-01-15T15:54:00"/>
    <n v="51.952777777776646"/>
    <n v="11"/>
    <n v="2015"/>
    <x v="0"/>
  </r>
  <r>
    <s v="Requisição de Serviços"/>
    <s v="CTXRECSA-441505"/>
    <s v="Projeto - &quot;Migração POP 3 - Chat R2 Conquista vs. Sto Amaro&quot;"/>
    <m/>
    <x v="14"/>
    <s v=" BO ATENDIMENTO"/>
    <s v="Anderson Luiz Gon�alves de Alcantara"/>
    <s v="Anderson Luiz Gon�alves de Alcantara"/>
    <x v="1"/>
    <d v="2015-11-24T16:53:00"/>
    <d v="2016-01-15T15:54:00"/>
    <n v="51.959027777775191"/>
    <n v="11"/>
    <n v="2015"/>
    <x v="0"/>
  </r>
  <r>
    <s v="Requisição de Serviços"/>
    <s v="CTXRECSA-441504"/>
    <s v="Projeto - &quot;Migração POP 3 - Chat R1 Conquista vs. Sto Amaro&quot;"/>
    <m/>
    <x v="14"/>
    <s v=" BO ATENDIMENTO"/>
    <s v="Anderson Luiz Gon�alves de Alcantara"/>
    <s v="Anderson Luiz Gon�alves de Alcantara"/>
    <x v="1"/>
    <d v="2015-11-24T16:50:00"/>
    <d v="2016-01-15T15:55:00"/>
    <n v="51.961805555554747"/>
    <n v="11"/>
    <n v="2015"/>
    <x v="0"/>
  </r>
  <r>
    <s v="Requisição de Serviços"/>
    <s v="CTXRECSA-441495"/>
    <s v="Projeto - &quot;Migração POP 3 - BO OI TV Conquista vs. Sto Amaro&quot;"/>
    <m/>
    <x v="14"/>
    <s v=" BO ATENDIMENTO"/>
    <s v="Anderson Luiz Gon�alves de Alcantara"/>
    <s v="Anderson Luiz Gon�alves de Alcantara"/>
    <x v="1"/>
    <d v="2015-11-24T16:41:00"/>
    <d v="2016-01-15T15:55:00"/>
    <n v="51.968055555553292"/>
    <n v="11"/>
    <n v="2015"/>
    <x v="0"/>
  </r>
  <r>
    <s v="Requisição de Serviços"/>
    <s v="CTXRECSA-440043"/>
    <s v="Discador SOC PE (GFE)"/>
    <m/>
    <x v="6"/>
    <s v=" Dir. Oi"/>
    <s v="Julio Cesar da Silva"/>
    <s v="Livia de Deus Henriques Rodrigues"/>
    <x v="0"/>
    <d v="2015-11-17T13:37:00"/>
    <m/>
    <n v="104.4326388888876"/>
    <n v="11"/>
    <n v="2015"/>
    <x v="2"/>
  </r>
  <r>
    <s v="Requisição de Serviços"/>
    <s v="CTXRECSA-439346"/>
    <s v="Projeto - Migração POP 3 - Operação REDE e Site Origem Conquista vs. Destino Santo Amaro"/>
    <m/>
    <x v="6"/>
    <s v=" Outro"/>
    <s v="Mariana da Costa Mello"/>
    <s v="Mariana da Costa Mello"/>
    <x v="1"/>
    <d v="2015-11-13T19:52:00"/>
    <d v="2016-01-15T15:35:00"/>
    <n v="62.821527777778101"/>
    <n v="11"/>
    <n v="2015"/>
    <x v="1"/>
  </r>
  <r>
    <s v="Requisição de Serviços"/>
    <s v="CTXRECSA-439329"/>
    <s v="PROJETO TIVOLI REDECARD"/>
    <m/>
    <x v="6"/>
    <s v=" Outro"/>
    <s v="Sem responsável"/>
    <s v="Marco Aurelio Brandao Duarte"/>
    <x v="0"/>
    <d v="2015-11-13T18:28:00"/>
    <m/>
    <n v="108.23055555555766"/>
    <n v="11"/>
    <n v="2015"/>
    <x v="2"/>
  </r>
  <r>
    <s v="Requisição de Serviços"/>
    <s v="CTXRECSA-439328"/>
    <s v="Projeto - &quot;Inclusão do DDD 96 na URA do CO&quot; (Pendência do projeto da URA do CO)"/>
    <m/>
    <x v="14"/>
    <s v=" Oi Movél"/>
    <s v="Bruno Guerra Ferreira"/>
    <s v="Anthonny Stallone Santos de Souza"/>
    <x v="0"/>
    <d v="2015-11-13T18:22:00"/>
    <m/>
    <n v="108.23472222222335"/>
    <n v="11"/>
    <n v="2015"/>
    <x v="2"/>
  </r>
  <r>
    <s v="Requisição de Serviços"/>
    <s v="CTXRECSA-439238"/>
    <s v="Projeto - Instalar Ferramenta Automação Célula GFE - Santo Amaro e Integrar Ferramenta de Automação com TLV"/>
    <m/>
    <x v="6"/>
    <s v=" Dir. Oi"/>
    <s v="Julio Cesar da Silva"/>
    <s v="Elaine Fortunato da Silva"/>
    <x v="0"/>
    <d v="2015-11-13T14:52:00"/>
    <m/>
    <n v="108.38055555555911"/>
    <n v="11"/>
    <n v="2015"/>
    <x v="2"/>
  </r>
  <r>
    <s v="Requisição de Serviços"/>
    <s v="CTXRECSA-438942"/>
    <s v="Projeto - Liberação de acesso Gerencias Velox , nas maquinas da Operação Suporte Avançado Velox"/>
    <m/>
    <x v="14"/>
    <s v=" Velox"/>
    <s v="Bruno Guerra Ferreira"/>
    <s v="Iosmar Ferreira Teixeira"/>
    <x v="0"/>
    <d v="2015-11-12T12:43:00"/>
    <m/>
    <n v="109.47013888888614"/>
    <n v="11"/>
    <n v="2015"/>
    <x v="2"/>
  </r>
  <r>
    <s v="Requisição de Serviços"/>
    <s v="CTXRECSA-433478"/>
    <s v="Projeto - Implantar sistema de Prova on Line na operação NET - Santo Amaro"/>
    <m/>
    <x v="6"/>
    <s v=" Dir. Clientes Premium"/>
    <s v="Juliano Molina"/>
    <s v="Juliano Molina"/>
    <x v="1"/>
    <d v="2015-10-23T09:19:00"/>
    <d v="2016-02-03T10:41:00"/>
    <n v="103.05694444444816"/>
    <n v="10"/>
    <n v="2015"/>
    <x v="2"/>
  </r>
  <r>
    <s v="Requisição de Serviços"/>
    <s v="CTXRECSA-430770"/>
    <s v="Aplicações de Hardenings : (Baseline Itaú)"/>
    <m/>
    <x v="6"/>
    <s v=" Outro"/>
    <s v="Debora Gercke Dominas"/>
    <s v="Marco Aurelio Brandao Duarte"/>
    <x v="0"/>
    <d v="2015-10-14T17:36:00"/>
    <m/>
    <n v="138.26666666667006"/>
    <n v="10"/>
    <n v="2015"/>
    <x v="2"/>
  </r>
  <r>
    <s v="Requisição de Serviços"/>
    <s v="CTXRECSA-430668"/>
    <s v="AUDITORIA REMOTA: (Coleta de Dados Automatizada)"/>
    <m/>
    <x v="6"/>
    <s v=" Outro"/>
    <s v="Debora Gercke Dominas"/>
    <s v="Marco Aurelio Brandao Duarte"/>
    <x v="0"/>
    <d v="2015-10-14T15:06:00"/>
    <m/>
    <n v="138.3708333333343"/>
    <n v="10"/>
    <n v="2015"/>
    <x v="2"/>
  </r>
  <r>
    <s v="Requisição de Serviços"/>
    <s v="CTXRECSA-430340"/>
    <s v="Projeto - Projeto Instalar Totem para Campanha da Fatura Digital"/>
    <m/>
    <x v="6"/>
    <s v=" Outro"/>
    <s v="Bruno Guerra Ferreira"/>
    <s v="Mariana da Costa Mello"/>
    <x v="0"/>
    <d v="2015-10-13T14:52:00"/>
    <m/>
    <n v="139.38055555555911"/>
    <n v="10"/>
    <n v="2015"/>
    <x v="2"/>
  </r>
  <r>
    <s v="Requisição de Serviços"/>
    <s v="CTXRECSA-424149"/>
    <s v="Projeto - Projeto"/>
    <m/>
    <x v="14"/>
    <s v=" Pré Pago"/>
    <s v="Fabiana Hoffmann"/>
    <s v="Fabiana Hoffmann"/>
    <x v="1"/>
    <d v="2015-09-21T18:25:00"/>
    <d v="2016-01-14T14:54:00"/>
    <n v="114.85347222222481"/>
    <n v="9"/>
    <n v="2015"/>
    <x v="2"/>
  </r>
  <r>
    <s v="Requisição de Serviços"/>
    <s v="CTXRECSA-422496"/>
    <s v="BASELINE: IMPLANTAÇÃO DO PROCESSO DE AUDITORIA PARA TODAS OPERAÇÕES DO ITAÚ e REDECARD: SAC / COBRANÇA / TLV"/>
    <m/>
    <x v="6"/>
    <s v=" Outro"/>
    <s v="Debora Gercke Dominas"/>
    <s v="Marco Aurelio Brandao Duarte"/>
    <x v="2"/>
    <d v="2015-09-15T10:44:00"/>
    <m/>
    <n v="167.55277777777519"/>
    <n v="9"/>
    <n v="2015"/>
    <x v="3"/>
  </r>
  <r>
    <s v="Requisição de Serviços"/>
    <s v="CTXRECSA-422212"/>
    <s v="CONTROLE DE ACESSO COM O PROTOCOLO 802.1x"/>
    <m/>
    <x v="6"/>
    <s v=" Outro"/>
    <s v="Debora Gercke Dominas"/>
    <s v="Marco Aurelio Brandao Duarte"/>
    <x v="2"/>
    <d v="2015-09-14T14:50:00"/>
    <m/>
    <n v="168.38194444444525"/>
    <n v="9"/>
    <n v="2015"/>
    <x v="3"/>
  </r>
  <r>
    <s v="Requisição de Serviços"/>
    <s v="CTXRECSA-422165"/>
    <s v="Projeto - Projeto"/>
    <m/>
    <x v="14"/>
    <s v=" Oi Movél"/>
    <s v="Julio Cesar da Silva"/>
    <s v="MILANE LINS DA SILVA"/>
    <x v="4"/>
    <d v="2015-09-14T13:36:00"/>
    <m/>
    <n v="168.4333333333343"/>
    <n v="9"/>
    <n v="2015"/>
    <x v="3"/>
  </r>
  <r>
    <s v="Requisição de Serviços"/>
    <s v="CTXRECSA-419831"/>
    <s v="Implantação do novo pacote de PRC (Blindagem) nas operações de cartões de crédito do Itaú que são atendidas pela Contax."/>
    <m/>
    <x v="16"/>
    <s v=" Itaú Cartão"/>
    <s v="Debora Gercke Dominas"/>
    <s v="Marco Aurelio Brandao Duarte"/>
    <x v="5"/>
    <d v="2015-09-04T16:13:00"/>
    <m/>
    <n v="178.32430555555766"/>
    <n v="9"/>
    <n v="2015"/>
    <x v="3"/>
  </r>
  <r>
    <s v="Requisição de Serviços"/>
    <s v="CTXRECSA-419337"/>
    <s v="TROCA DO WIN7 - a criação da estrutura do tsupervisor, o SMPA não funciona com Win 7."/>
    <m/>
    <x v="6"/>
    <s v=" Outro"/>
    <s v="Debora Gercke Dominas"/>
    <s v="Marco Aurelio Brandao Duarte"/>
    <x v="2"/>
    <d v="2015-09-03T09:25:00"/>
    <m/>
    <n v="179.60763888889051"/>
    <n v="9"/>
    <n v="2015"/>
    <x v="3"/>
  </r>
  <r>
    <s v="Requisição de Serviços"/>
    <s v="CTXRECSA-414952"/>
    <s v="Implantação ferramenta RTI - CAC Itaú"/>
    <m/>
    <x v="16"/>
    <s v=" CAC Não Correntista"/>
    <s v="Debora Gercke Dominas"/>
    <s v="Luciana da Silva Cardoso"/>
    <x v="6"/>
    <d v="2015-08-20T12:44:00"/>
    <m/>
    <n v="193.46944444444671"/>
    <n v="8"/>
    <n v="2015"/>
    <x v="3"/>
  </r>
  <r>
    <s v="Requisição de Serviços"/>
    <s v="CTXRECSA-413131"/>
    <s v="Projeto - Projeto"/>
    <m/>
    <x v="14"/>
    <s v=" Oi Movél"/>
    <s v="Erica Fernandes Cotrim"/>
    <s v="Anthonny Stallone Santos de Souza"/>
    <x v="4"/>
    <d v="2015-08-14T20:08:00"/>
    <m/>
    <n v="199.1611111111124"/>
    <n v="8"/>
    <n v="2015"/>
    <x v="3"/>
  </r>
  <r>
    <s v="Requisição de Serviços"/>
    <s v="CTXRECSA-410282"/>
    <s v="Projeto - Projeto - Instalação WEDO SAC pós e OCT"/>
    <m/>
    <x v="14"/>
    <s v=" SAC"/>
    <s v="Anderson Luiz Gon�alves de Alcantara"/>
    <s v="Anderson Luiz Gon�alves de Alcantara"/>
    <x v="1"/>
    <d v="2015-08-06T18:19:00"/>
    <d v="2016-01-14T14:57:00"/>
    <n v="160.85972222222335"/>
    <n v="8"/>
    <n v="2015"/>
    <x v="3"/>
  </r>
  <r>
    <s v="Requisição de Serviços"/>
    <s v="CTXRECSA-410083"/>
    <s v="BASELINE ITAÚ (APLICAR TODAS AS OPERAÇÕES)"/>
    <m/>
    <x v="16"/>
    <s v=" Itaú Nacional"/>
    <s v="Marco Aurelio Brandao Duarte"/>
    <s v="Marco Aurelio Brandao Duarte"/>
    <x v="3"/>
    <d v="2015-08-06T10:47:00"/>
    <d v="2015-10-22T15:35:00"/>
    <n v="77.19999999999709"/>
    <n v="8"/>
    <n v="2015"/>
    <x v="1"/>
  </r>
  <r>
    <s v="Requisição de Serviços"/>
    <s v="CTXRECSA-407387"/>
    <s v="Projeto - Projeto"/>
    <m/>
    <x v="14"/>
    <s v=" Oi Movél"/>
    <s v="Erica Fernandes Cotrim"/>
    <s v="Anthonny Stallone Santos de Souza"/>
    <x v="4"/>
    <d v="2015-07-29T19:22:00"/>
    <m/>
    <n v="215.19305555555911"/>
    <n v="7"/>
    <n v="2015"/>
    <x v="3"/>
  </r>
  <r>
    <s v="Requisição de Serviços"/>
    <s v="CTXRECSA-407337"/>
    <s v="Projeto - Projeto"/>
    <m/>
    <x v="14"/>
    <s v=" Oi Movél"/>
    <s v="Erica Fernandes Cotrim"/>
    <s v="Anthonny Stallone Santos de Souza"/>
    <x v="0"/>
    <d v="2015-07-29T15:48:00"/>
    <m/>
    <n v="215.34166666666715"/>
    <n v="7"/>
    <n v="2015"/>
    <x v="3"/>
  </r>
  <r>
    <s v="Requisição de Serviços"/>
    <s v="CTXRECSA-403870"/>
    <s v="Projeto - Disponibilizar Gravação NICE na Operação SOC GFE PE/RJ e SOC OffLines"/>
    <m/>
    <x v="6"/>
    <s v=" Dir. Oi"/>
    <s v="Edison Nei Siqueira"/>
    <s v="Edison Nei Siqueira"/>
    <x v="5"/>
    <d v="2015-07-14T18:32:00"/>
    <m/>
    <n v="230.2277777777781"/>
    <n v="7"/>
    <n v="2015"/>
    <x v="3"/>
  </r>
  <r>
    <s v="Requisição de Serviços"/>
    <s v="CTXRECSA-402181"/>
    <s v="Projeto - Projeto"/>
    <m/>
    <x v="14"/>
    <s v=" Oi Movél"/>
    <s v="Anthonny Stallone Santos de Souza"/>
    <s v="Anthonny Stallone Santos de Souza"/>
    <x v="1"/>
    <d v="2015-07-08T10:52:00"/>
    <d v="2016-01-28T11:56:00"/>
    <n v="204.0444444444438"/>
    <n v="7"/>
    <n v="2015"/>
    <x v="3"/>
  </r>
  <r>
    <s v="Requisição de Serviços"/>
    <s v="CTXRECSA-401969"/>
    <s v="Contax - Liberação de Firewall - Novos Servidores NICE - PE"/>
    <m/>
    <x v="16"/>
    <s v=" Venda de Cartões"/>
    <s v="Dalton Bondesan"/>
    <s v="Marco Aurelio Brandao Duarte"/>
    <x v="0"/>
    <d v="2015-07-07T16:31:00"/>
    <m/>
    <n v="237.31180555555329"/>
    <n v="7"/>
    <n v="2015"/>
    <x v="3"/>
  </r>
  <r>
    <s v="Requisição de Serviços"/>
    <s v="CTXRECSA-391509"/>
    <s v="Liberação do portal Credibilidade na operação Bradesco Financiamento em PE"/>
    <m/>
    <x v="10"/>
    <s v=" Bradesco Oferta de Crédito"/>
    <s v="Dalton Bondesan"/>
    <s v="Luciana da Silva Cardoso"/>
    <x v="2"/>
    <d v="2015-05-28T18:57:00"/>
    <m/>
    <n v="277.21041666666861"/>
    <n v="5"/>
    <n v="2015"/>
    <x v="3"/>
  </r>
  <r>
    <s v="Requisição de Serviços"/>
    <s v="CTXRECSA-382919"/>
    <s v="Projeto - Projeto"/>
    <m/>
    <x v="6"/>
    <s v=" Ger Jurídico Contencioso e Consultivo"/>
    <s v="LIGIA MARIA DE ALMEIDA ALVES"/>
    <s v="LIGIA MARIA DE ALMEIDA ALVES"/>
    <x v="1"/>
    <d v="2015-04-27T10:37:00"/>
    <d v="2016-01-15T16:20:00"/>
    <n v="263.23819444444234"/>
    <n v="4"/>
    <n v="2015"/>
    <x v="3"/>
  </r>
  <r>
    <s v="Requisição de Serviços"/>
    <s v="CTXRECSA-371873"/>
    <s v="Troca do sistema WinXP para Win7 em todas as operações do Itaú nos estados de PE"/>
    <m/>
    <x v="16"/>
    <s v=" Itaú Cartão"/>
    <s v="Debora Gercke Dominas"/>
    <s v="Marco Aurelio Brandao Duarte"/>
    <x v="2"/>
    <d v="2015-03-18T17:40:00"/>
    <m/>
    <n v="348.26388888889051"/>
    <n v="3"/>
    <n v="2015"/>
    <x v="3"/>
  </r>
  <r>
    <s v="Requisição de Serviços"/>
    <s v="CTXRECSA-358319"/>
    <s v="Projeto - Projeto"/>
    <m/>
    <x v="14"/>
    <s v=" Oi Movél"/>
    <s v="Erica Fernandes Cotrim"/>
    <s v="Anthonny Stallone Santos de Souza"/>
    <x v="2"/>
    <d v="2015-02-02T15:00:00"/>
    <m/>
    <n v="392.375"/>
    <n v="2"/>
    <n v="2015"/>
    <x v="3"/>
  </r>
  <r>
    <s v="Requisição de Serviços"/>
    <s v="CTXRECSA-338313"/>
    <s v="Projeto - Projeto"/>
    <m/>
    <x v="3"/>
    <s v=" Cartões"/>
    <s v="Sem responsável"/>
    <s v="Joice Pereira De Souza"/>
    <x v="4"/>
    <d v="2014-11-13T10:45:00"/>
    <m/>
    <n v="473.55208333333576"/>
    <n v="11"/>
    <n v="2014"/>
    <x v="3"/>
  </r>
  <r>
    <s v="Requisição de Serviços"/>
    <s v="CTXRECAU-63167"/>
    <s v="Projeto - Migração POP 3 - Operação Itaú 2.0 Site Origem Conquista vs. Destino Aurora"/>
    <m/>
    <x v="6"/>
    <s v=" Outro"/>
    <s v="Mariana da Costa Mello"/>
    <s v="Mariana da Costa Mello"/>
    <x v="1"/>
    <d v="2015-11-24T14:27:00"/>
    <d v="2016-01-15T15:56:00"/>
    <n v="52.061805555560568"/>
    <n v="11"/>
    <n v="2015"/>
    <x v="0"/>
  </r>
  <r>
    <s v="Requisição de Serviços"/>
    <s v="CTXRECAM-56450"/>
    <s v="Crescimento de 3 Posições do Mega Ilha"/>
    <m/>
    <x v="8"/>
    <s v=" Televendas PIL"/>
    <s v="Marco Aurelio Brandao Duarte"/>
    <s v="Marco Aurelio Brandao Duarte"/>
    <x v="1"/>
    <d v="2015-12-22T10:46:00"/>
    <d v="2015-12-22T11:45:00"/>
    <n v="4.0972222224809229E-2"/>
    <n v="12"/>
    <n v="2015"/>
    <x v="4"/>
  </r>
  <r>
    <s v="Requisição de Serviços"/>
    <s v="CTXRECAM-56254"/>
    <s v="Migração POP 3 - Televendas Santander e Site Conquista X Site Santo Amaro"/>
    <m/>
    <x v="3"/>
    <s v=" Santander"/>
    <s v="Giovana Ferreira de Souza"/>
    <s v="Giovana Ferreira de Souza"/>
    <x v="1"/>
    <d v="2015-11-24T10:24:00"/>
    <d v="2016-01-15T15:56:00"/>
    <n v="52.230555555557657"/>
    <n v="11"/>
    <n v="2015"/>
    <x v="0"/>
  </r>
  <r>
    <s v="Requisição de Serviços"/>
    <s v="CTXRECAM-55921"/>
    <s v="Projeto - Implantar o processo de auditoria Clientis em uma posição de antedimento da REDE"/>
    <m/>
    <x v="6"/>
    <s v=" Outro"/>
    <s v="Mariana da Costa Mello"/>
    <s v="Mariana da Costa Mello"/>
    <x v="1"/>
    <d v="2015-11-03T18:25:00"/>
    <d v="2016-01-18T09:13:00"/>
    <n v="75.616666666668607"/>
    <n v="11"/>
    <n v="2015"/>
    <x v="1"/>
  </r>
  <r>
    <s v="Requisição de Serviços"/>
    <s v="CTXRECAM-55620"/>
    <s v="Projeto - Implantar o Portal Clientis na operação REDE"/>
    <m/>
    <x v="6"/>
    <s v=" Outro"/>
    <s v="Mariana da Costa Mello"/>
    <s v="Mariana da Costa Mello"/>
    <x v="1"/>
    <d v="2015-10-19T15:02:00"/>
    <d v="2016-01-18T09:13:00"/>
    <n v="90.757638888891961"/>
    <n v="10"/>
    <n v="2015"/>
    <x v="2"/>
  </r>
  <r>
    <s v="Requisição de Serviços"/>
    <s v="CTXRECAM-55516"/>
    <s v="Aplicações de Hardenings : (Baseline Itaú)"/>
    <m/>
    <x v="6"/>
    <s v=" Outro"/>
    <s v="Marco Aurelio Brandao Duarte"/>
    <s v="Marco Aurelio Brandao Duarte"/>
    <x v="1"/>
    <d v="2015-10-14T17:39:00"/>
    <d v="2016-01-18T09:10:00"/>
    <n v="95.646527777775191"/>
    <n v="10"/>
    <n v="2015"/>
    <x v="2"/>
  </r>
  <r>
    <s v="Requisição de Serviços"/>
    <s v="CTXRECAM-55511"/>
    <s v="AUDITORIA REMOTA: (Coleta de Dados Automatizada)"/>
    <m/>
    <x v="6"/>
    <s v=" Outro"/>
    <s v="Marco Aurelio Brandao Duarte"/>
    <s v="Marco Aurelio Brandao Duarte"/>
    <x v="1"/>
    <d v="2015-10-14T15:10:00"/>
    <d v="2016-01-18T09:11:00"/>
    <n v="95.750694444446708"/>
    <n v="10"/>
    <n v="2015"/>
    <x v="2"/>
  </r>
  <r>
    <s v="Requisição de Serviços"/>
    <s v="CTXRECAM-55397"/>
    <s v="Projeto - Projeto"/>
    <m/>
    <x v="14"/>
    <s v=" Oi SAC"/>
    <s v="Fernanda Nazario Menezes"/>
    <s v="Fernanda Nazario Menezes"/>
    <x v="1"/>
    <d v="2015-10-06T15:46:00"/>
    <d v="2016-01-14T14:53:00"/>
    <n v="99.963194444440887"/>
    <n v="10"/>
    <n v="2015"/>
    <x v="2"/>
  </r>
  <r>
    <s v="Requisição de Serviços"/>
    <s v="CTXRECAM-55054"/>
    <s v="Troca do sistema WinXP para Win7 em todas as operações do Itaú nos estados de PE"/>
    <m/>
    <x v="6"/>
    <s v=" Outro"/>
    <s v="Marco Aurelio Brandao Duarte"/>
    <s v="Marco Aurelio Brandao Duarte"/>
    <x v="1"/>
    <d v="2015-09-17T17:08:00"/>
    <d v="2016-01-18T09:12:00"/>
    <n v="122.6694444444438"/>
    <n v="9"/>
    <n v="2015"/>
    <x v="2"/>
  </r>
  <r>
    <s v="Requisição de Serviços"/>
    <s v="CTXRECAM-55052"/>
    <s v="BASELINE: IMPLANTAÇÃO DO PROCESSO DE AUDITORIA PARA TODAS OPERAÇÕES DO ITAÚ e REDECARD: SAC / COBRANÇA / TLV"/>
    <m/>
    <x v="6"/>
    <s v=" Outro"/>
    <s v="Marco Aurelio Brandao Duarte"/>
    <s v="Marco Aurelio Brandao Duarte"/>
    <x v="1"/>
    <d v="2015-09-17T16:51:00"/>
    <d v="2016-01-18T09:12:00"/>
    <n v="122.68125000000146"/>
    <n v="9"/>
    <n v="2015"/>
    <x v="2"/>
  </r>
  <r>
    <s v="Requisição de Serviços"/>
    <s v="CTXRECAM-54297"/>
    <s v="TLS: Protocolo de criptografia TLS 1.2"/>
    <m/>
    <x v="6"/>
    <s v=" Outro"/>
    <s v="Marco Aurelio Brandao Duarte"/>
    <s v="Marco Aurelio Brandao Duarte"/>
    <x v="1"/>
    <d v="2015-08-07T14:26:00"/>
    <d v="2016-01-18T09:14:00"/>
    <n v="163.78333333333285"/>
    <n v="8"/>
    <n v="2015"/>
    <x v="3"/>
  </r>
  <r>
    <s v="Requisição de Serviços"/>
    <s v="CTXRECAM-51761"/>
    <s v="BASELINE - ITAU TELEVENDAS"/>
    <m/>
    <x v="16"/>
    <s v=" Venda de Cartões"/>
    <s v="Marco Aurelio Brandao Duarte"/>
    <s v="Marco Aurelio Brandao Duarte"/>
    <x v="1"/>
    <d v="2015-05-13T14:20:00"/>
    <d v="2016-01-18T09:12:00"/>
    <n v="249.7861111111124"/>
    <n v="5"/>
    <n v="2015"/>
    <x v="3"/>
  </r>
  <r>
    <s v="Requisição de Serviços"/>
    <s v="CTXRBRSA-28"/>
    <s v="Projeto - Projeto"/>
    <m/>
    <x v="6"/>
    <s v=" Ger Implantação"/>
    <s v="Administrador"/>
    <s v="THIAGO ALVES FELIPPE"/>
    <x v="0"/>
    <d v="2015-08-10T14:59:00"/>
    <m/>
    <n v="203.37569444444671"/>
    <n v="8"/>
    <n v="2015"/>
    <x v="3"/>
  </r>
  <r>
    <s v="Requisição de Serviços"/>
    <s v="CTXPOARB-102110"/>
    <s v="Projeto - Implantação de licenças COTI - Monitoramento do NET SMS"/>
    <m/>
    <x v="6"/>
    <s v=" Dir. Clientes Premium"/>
    <s v="Juliano Molina"/>
    <s v="Juliano Molina"/>
    <x v="3"/>
    <d v="2016-02-12T09:37:00"/>
    <d v="2016-02-17T18:42:00"/>
    <n v="5.3784722222262644"/>
    <n v="2"/>
    <n v="2016"/>
    <x v="4"/>
  </r>
  <r>
    <s v="Requisição de Serviços"/>
    <s v="CTXPOARB-101511"/>
    <s v="Projeto - Migração da operação Souza Cruz - Mesmo site"/>
    <m/>
    <x v="6"/>
    <s v=" Dir. Clientes Premium"/>
    <s v="Sem responsável"/>
    <s v="Juliano Molina"/>
    <x v="0"/>
    <d v="2016-02-03T10:29:00"/>
    <m/>
    <n v="26.563194444446708"/>
    <n v="2"/>
    <n v="2016"/>
    <x v="4"/>
  </r>
  <r>
    <s v="Requisição de Serviços"/>
    <s v="CTXPOARB-101274"/>
    <s v="Projeto - Crescimento da Operação Souza Cruz"/>
    <m/>
    <x v="6"/>
    <s v=" Dir. Clientes Premium"/>
    <s v="Sem responsável"/>
    <s v="Juliano Molina"/>
    <x v="0"/>
    <d v="2016-01-29T16:35:00"/>
    <m/>
    <n v="31.309027777781012"/>
    <n v="1"/>
    <n v="2016"/>
    <x v="0"/>
  </r>
  <r>
    <s v="Requisição de Serviços"/>
    <s v="CTXPOARB-101179"/>
    <s v="Projeto - Implantar acionamento de pausas pelo supervisor - tSupervisor"/>
    <m/>
    <x v="22"/>
    <s v=" Souza Cruz"/>
    <s v="Sem responsável"/>
    <s v="Juliano Molina"/>
    <x v="0"/>
    <d v="2016-01-28T10:13:00"/>
    <m/>
    <n v="32.574305555557657"/>
    <n v="1"/>
    <n v="2016"/>
    <x v="0"/>
  </r>
  <r>
    <s v="Requisição de Serviços"/>
    <s v="CTXPOARB-100112"/>
    <s v="Projeto - Automatizar processo de cargas de mailing na Operação Souza Cruz"/>
    <m/>
    <x v="22"/>
    <s v=" Souza Cruz"/>
    <s v="Sem responsável"/>
    <s v="Juliano Molina"/>
    <x v="0"/>
    <d v="2016-01-12T14:19:00"/>
    <m/>
    <n v="48.403472222220444"/>
    <n v="1"/>
    <n v="2016"/>
    <x v="0"/>
  </r>
  <r>
    <s v="Requisição de Serviços"/>
    <s v="CTXPOARB-94333"/>
    <s v="Projeto - Adequação do RTI NET para uso com o Internet Explorer 10"/>
    <m/>
    <x v="6"/>
    <s v=" Dir. Clientes Premium"/>
    <s v="Juliano Molina"/>
    <s v="Juliano Molina"/>
    <x v="1"/>
    <d v="2015-09-29T09:45:00"/>
    <d v="2016-01-21T17:15:00"/>
    <n v="114.3125"/>
    <n v="9"/>
    <n v="2015"/>
    <x v="2"/>
  </r>
  <r>
    <s v="Requisição de Serviços"/>
    <s v="CTXPOARB-93327"/>
    <s v="Projeto - Implantar o link de dados e voz da Operação Souza Cruz"/>
    <m/>
    <x v="22"/>
    <s v=" Souza Cruz"/>
    <s v="Dalton Bondesan"/>
    <s v="Juliano Molina"/>
    <x v="5"/>
    <d v="2015-09-03T15:41:00"/>
    <m/>
    <n v="179.34652777777956"/>
    <n v="9"/>
    <n v="2015"/>
    <x v="3"/>
  </r>
  <r>
    <s v="Requisição de Serviços"/>
    <s v="CTXPOARB-92840"/>
    <s v="Projeto - Projeto Implantar servidor para Ferramenta Evalyze"/>
    <m/>
    <x v="6"/>
    <s v=" Dir. Clientes Premium"/>
    <s v="Juliano Molina"/>
    <s v="Juliano Molina"/>
    <x v="1"/>
    <d v="2015-08-24T10:05:00"/>
    <d v="2016-01-13T15:40:00"/>
    <n v="142.23263888889051"/>
    <n v="8"/>
    <n v="2015"/>
    <x v="2"/>
  </r>
  <r>
    <s v="Requisição de Serviços"/>
    <s v="CTXPOARB-91371"/>
    <s v="Projeto - Implantar um novo tronco entre Almaviva Aracaju X Contax com 60 canais"/>
    <m/>
    <x v="6"/>
    <s v=" Dir. Clientes Premium"/>
    <s v="Juliano Molina"/>
    <s v="Juliano Molina"/>
    <x v="1"/>
    <d v="2015-07-21T15:20:00"/>
    <d v="2016-01-08T16:46:00"/>
    <n v="171.05972222222044"/>
    <n v="7"/>
    <n v="2015"/>
    <x v="3"/>
  </r>
  <r>
    <s v="Requisição de Serviços"/>
    <s v="CTXPOARB-91289"/>
    <s v="Projeto - Ampliar 90 portas de URA do atendimento RJO (Tronco Chave 051 3455-1300)"/>
    <m/>
    <x v="6"/>
    <s v=" Dir. Clientes Premium"/>
    <s v="Juliano Molina"/>
    <s v="Juliano Molina"/>
    <x v="1"/>
    <d v="2015-07-20T10:20:00"/>
    <d v="2016-01-08T11:48:00"/>
    <n v="172.06111111111386"/>
    <n v="7"/>
    <n v="2015"/>
    <x v="3"/>
  </r>
  <r>
    <s v="Requisição de Serviços"/>
    <s v="CTXPOARB-90275"/>
    <s v="Adequação versão 1117022 RTI NET - de SIGMA para NOVOSIGMA"/>
    <m/>
    <x v="15"/>
    <s v=" Outras Ocorrências"/>
    <s v="Flavio Reto"/>
    <s v="Flavio Reto"/>
    <x v="1"/>
    <d v="2015-06-26T19:57:00"/>
    <d v="2015-12-15T11:40:00"/>
    <n v="171.65486111110658"/>
    <n v="6"/>
    <n v="2015"/>
    <x v="3"/>
  </r>
  <r>
    <s v="Requisição de Serviços"/>
    <s v="CTXPOARB-90126"/>
    <s v="RTI NET - Alteração na mensagem do Pop Up"/>
    <m/>
    <x v="15"/>
    <s v=" Outras Ocorrências"/>
    <s v="Dalton Bondesan"/>
    <s v="Flavio Reto"/>
    <x v="0"/>
    <d v="2015-06-23T20:00:00"/>
    <m/>
    <n v="251.16666666666424"/>
    <n v="6"/>
    <n v="2015"/>
    <x v="3"/>
  </r>
  <r>
    <s v="Requisição de Serviços"/>
    <s v="CTXPOARB-90125"/>
    <s v="RTI NET- Desabilitado por Opção"/>
    <m/>
    <x v="15"/>
    <s v=" Outras Ocorrências"/>
    <s v="Dalton Bondesan"/>
    <s v="Flavio Reto"/>
    <x v="0"/>
    <d v="2015-06-23T19:46:00"/>
    <m/>
    <n v="251.17638888888905"/>
    <n v="6"/>
    <n v="2015"/>
    <x v="3"/>
  </r>
  <r>
    <s v="Requisição de Serviços"/>
    <s v="CTXPOARB-87226"/>
    <s v="Projeto - Substituição de servidor - MIS operação NET"/>
    <m/>
    <x v="6"/>
    <s v=" Dir. Clientes Premium"/>
    <s v="Nelson Klaus Araujo Goncalves"/>
    <s v="Juliano Molina"/>
    <x v="2"/>
    <d v="2015-04-23T15:55:00"/>
    <m/>
    <n v="312.33680555555475"/>
    <n v="4"/>
    <n v="2015"/>
    <x v="3"/>
  </r>
  <r>
    <s v="Requisição de Serviços"/>
    <s v="CTXPOARB-85985"/>
    <s v="Projeto - RTI - Auxílio no atendimento de Busca Pagamentos"/>
    <m/>
    <x v="15"/>
    <s v=" Outras Ocorrências"/>
    <s v="Flavio Reto"/>
    <s v="Flavio Reto"/>
    <x v="1"/>
    <d v="2015-03-27T17:20:00"/>
    <d v="2015-12-15T12:53:00"/>
    <n v="262.81458333334012"/>
    <n v="3"/>
    <n v="2015"/>
    <x v="3"/>
  </r>
  <r>
    <s v="Requisição de Serviços"/>
    <s v="CTXPOARB-85984"/>
    <s v="Projeto RTI - Registro da Ocorrência de Callback"/>
    <m/>
    <x v="15"/>
    <s v=" Outras Ocorrências"/>
    <s v="Debora Gercke Dominas"/>
    <s v="Flavio Reto"/>
    <x v="2"/>
    <d v="2015-03-27T17:16:00"/>
    <m/>
    <n v="339.28055555555329"/>
    <n v="3"/>
    <n v="2015"/>
    <x v="3"/>
  </r>
  <r>
    <s v="Requisição de Serviços"/>
    <s v="CTXNITSP-178545"/>
    <s v="Projeto - TLV - BO NBA"/>
    <m/>
    <x v="6"/>
    <s v=" Dir. Oi"/>
    <s v="Sem responsável"/>
    <s v="Rodrigo Ribeiro de Araujo"/>
    <x v="0"/>
    <d v="2016-02-18T13:33:00"/>
    <m/>
    <n v="11.435416666667152"/>
    <n v="2"/>
    <n v="2016"/>
    <x v="4"/>
  </r>
  <r>
    <s v="Requisição de Serviços"/>
    <s v="CTXNITSP-178541"/>
    <s v="Projeto - TLV - BO DADOS"/>
    <m/>
    <x v="6"/>
    <s v=" Dir. Oi"/>
    <s v="Sem responsável"/>
    <s v="Rodrigo Ribeiro de Araujo"/>
    <x v="0"/>
    <d v="2016-02-18T12:58:00"/>
    <m/>
    <n v="11.459722222221899"/>
    <n v="2"/>
    <n v="2016"/>
    <x v="4"/>
  </r>
  <r>
    <s v="Requisição de Serviços"/>
    <s v="CTXNITSP-178375"/>
    <s v="Projeto - Automação: Cancelamento / Liberação de OS"/>
    <m/>
    <x v="6"/>
    <s v=" Dir. Oi"/>
    <s v="Sem responsável"/>
    <s v="Leonardo Pellegrini Vieira"/>
    <x v="0"/>
    <d v="2016-02-16T13:20:00"/>
    <m/>
    <n v="13.444444444445253"/>
    <n v="2"/>
    <n v="2016"/>
    <x v="4"/>
  </r>
  <r>
    <s v="Requisição de Serviços"/>
    <s v="CTXNITSP-178374"/>
    <s v="Projeto - Automação: Busca de contato"/>
    <m/>
    <x v="6"/>
    <s v=" Dir. Oi"/>
    <s v="Sem responsável"/>
    <s v="Leonardo Pellegrini Vieira"/>
    <x v="0"/>
    <d v="2016-02-16T13:15:00"/>
    <m/>
    <n v="13.447916666664241"/>
    <n v="2"/>
    <n v="2016"/>
    <x v="4"/>
  </r>
  <r>
    <s v="Requisição de Serviços"/>
    <s v="CTXNITSP-178373"/>
    <s v="Projeto - Automação: Pendenciar e Cancelar OS"/>
    <m/>
    <x v="6"/>
    <s v=" Dir. Oi"/>
    <s v="Sem responsável"/>
    <s v="Leonardo Pellegrini Vieira"/>
    <x v="0"/>
    <d v="2016-02-16T13:04:00"/>
    <m/>
    <n v="13.455555555556202"/>
    <n v="2"/>
    <n v="2016"/>
    <x v="4"/>
  </r>
  <r>
    <s v="Requisição de Serviços"/>
    <s v="CTXNITSP-178203"/>
    <s v="Projeto - Gravação das Chamadas do CRV com Telas"/>
    <m/>
    <x v="6"/>
    <s v=" Dir. Oi"/>
    <s v="Sem responsável"/>
    <s v="Rodrigo Ribeiro de Araujo"/>
    <x v="0"/>
    <d v="2016-02-12T13:45:00"/>
    <m/>
    <n v="17.427083333335759"/>
    <n v="2"/>
    <n v="2016"/>
    <x v="4"/>
  </r>
  <r>
    <s v="Requisição de Serviços"/>
    <s v="CTXNITSP-177717"/>
    <s v="Projeto - Favor criar plano de gravação para 24 posições do BO DADOS e BO NBA. Essa solução de gravação deve ser NICE e garantir integração com TLV."/>
    <m/>
    <x v="6"/>
    <s v=" Dir. Oi"/>
    <s v="Sem responsável"/>
    <s v="Rodrigo Ribeiro de Araujo"/>
    <x v="0"/>
    <d v="2016-02-02T16:30:00"/>
    <m/>
    <n v="27.3125"/>
    <n v="2"/>
    <n v="2016"/>
    <x v="4"/>
  </r>
  <r>
    <s v="Requisição de Serviços"/>
    <s v="CTXNITSP-177716"/>
    <s v="Projeto - Criar 0800 para atender ao volume de chamadas classifficadas como pendência Fixo e Velox."/>
    <m/>
    <x v="6"/>
    <s v=" Dir. Oi"/>
    <s v="Sem responsável"/>
    <s v="Rodrigo Ribeiro de Araujo"/>
    <x v="0"/>
    <d v="2016-02-02T15:56:00"/>
    <m/>
    <n v="27.336111111108039"/>
    <n v="2"/>
    <n v="2016"/>
    <x v="4"/>
  </r>
  <r>
    <s v="Requisição de Serviços"/>
    <s v="CTXNITSP-177715"/>
    <s v="Projeto - Criar 0800 para atender ao volume de chamados classifficadas como pendência Fixo e Velox."/>
    <m/>
    <x v="6"/>
    <s v=" Dir. Oi"/>
    <s v="Sem responsável"/>
    <s v="Rodrigo Ribeiro de Araujo"/>
    <x v="0"/>
    <d v="2016-02-02T15:54:00"/>
    <m/>
    <n v="27.337500000001455"/>
    <n v="2"/>
    <n v="2016"/>
    <x v="4"/>
  </r>
  <r>
    <s v="Requisição de Serviços"/>
    <s v="CTXNITSP-177581"/>
    <s v="Tetris Niterói - Operação Suporte Unificado"/>
    <m/>
    <x v="6"/>
    <s v=" Ger Produtos SAC"/>
    <s v="Sem responsável"/>
    <s v="Alexsander Alves Santos"/>
    <x v="0"/>
    <d v="2016-02-01T14:14:00"/>
    <m/>
    <n v="28.406944444446708"/>
    <n v="2"/>
    <n v="2016"/>
    <x v="4"/>
  </r>
  <r>
    <s v="Requisição de Serviços"/>
    <s v="CTXNITSP-177338"/>
    <s v="POP 4 - Otimização Site Niterói - Retenção Empresarial"/>
    <m/>
    <x v="14"/>
    <s v=" Retenção Empresarial"/>
    <s v="Sem responsável"/>
    <s v="Tatiane Rodrigues Dallecrode"/>
    <x v="0"/>
    <d v="2016-01-28T11:08:00"/>
    <m/>
    <n v="32.536111111112405"/>
    <n v="1"/>
    <n v="2016"/>
    <x v="0"/>
  </r>
  <r>
    <s v="Requisição de Serviços"/>
    <s v="CTXNITSP-177305"/>
    <s v="Baixa Diária Clientes R2"/>
    <m/>
    <x v="14"/>
    <s v=" Retenção Empresarial"/>
    <s v="Julio Cesar da Silva"/>
    <s v="Tatiane Rodrigues Dallecrode"/>
    <x v="0"/>
    <d v="2016-01-27T17:10:00"/>
    <m/>
    <n v="33.284722222218988"/>
    <n v="1"/>
    <n v="2016"/>
    <x v="0"/>
  </r>
  <r>
    <s v="Requisição de Serviços"/>
    <s v="CTXNITSP-177143"/>
    <s v="Projeto - Tetris Niterói Fase 9"/>
    <m/>
    <x v="6"/>
    <s v=" Dir. Oi"/>
    <s v="Sem responsável"/>
    <s v="Rodrigo Ribeiro de Araujo"/>
    <x v="0"/>
    <d v="2016-01-25T15:59:00"/>
    <m/>
    <n v="35.334027777775191"/>
    <n v="1"/>
    <n v="2016"/>
    <x v="0"/>
  </r>
  <r>
    <s v="Requisição de Serviços"/>
    <s v="CTXNITSP-177142"/>
    <s v="Projeto - &quot;Por favor, usuário, utilizar este campo para informar o nome do Projeto&quot;"/>
    <m/>
    <x v="6"/>
    <s v=" Dir. Oi"/>
    <s v="Sem responsável"/>
    <s v="Rodrigo Ribeiro de Araujo"/>
    <x v="0"/>
    <d v="2016-01-25T15:56:00"/>
    <m/>
    <n v="35.336111111108039"/>
    <n v="1"/>
    <n v="2016"/>
    <x v="0"/>
  </r>
  <r>
    <s v="Requisição de Serviços"/>
    <s v="CTXNITSP-176576"/>
    <s v="Projeto - &quot;Tetris Niteroi Fase 8&quot;"/>
    <m/>
    <x v="6"/>
    <s v=" Dir. Oi"/>
    <s v="Sem responsável"/>
    <s v="Jill Ullmann Ortiz"/>
    <x v="0"/>
    <d v="2016-01-15T18:47:00"/>
    <m/>
    <n v="45.21736111111386"/>
    <n v="1"/>
    <n v="2016"/>
    <x v="0"/>
  </r>
  <r>
    <s v="Requisição de Serviços"/>
    <s v="CTXNITSP-176570"/>
    <s v="Projeto - &quot;Tetris Niterói fase 4&quot;"/>
    <m/>
    <x v="6"/>
    <s v=" Dir. Oi"/>
    <s v="Sem responsável"/>
    <s v="Jill Ullmann Ortiz"/>
    <x v="0"/>
    <d v="2016-01-15T17:24:00"/>
    <m/>
    <n v="45.275000000001455"/>
    <n v="1"/>
    <n v="2016"/>
    <x v="0"/>
  </r>
  <r>
    <s v="Requisição de Serviços"/>
    <s v="CTXNITSP-176458"/>
    <s v="Projeto - &quot;Tetris Niterói&quot;"/>
    <m/>
    <x v="6"/>
    <s v=" Dir. Oi"/>
    <s v="Sem responsável"/>
    <s v="Jill Ullmann Ortiz"/>
    <x v="0"/>
    <d v="2016-01-14T15:07:00"/>
    <m/>
    <n v="46.370138888887595"/>
    <n v="1"/>
    <n v="2016"/>
    <x v="0"/>
  </r>
  <r>
    <s v="Requisição de Serviços"/>
    <s v="CTXNITSP-176231"/>
    <s v="Projeto - Front End para a operação BLITZ DA AUDITORIA DE VENDAS"/>
    <m/>
    <x v="6"/>
    <s v=" Dir. Oi"/>
    <s v="Sem responsável"/>
    <s v="Leonardo Pellegrini Vieira"/>
    <x v="0"/>
    <d v="2016-01-12T18:42:00"/>
    <m/>
    <n v="48.220833333332848"/>
    <n v="1"/>
    <n v="2016"/>
    <x v="0"/>
  </r>
  <r>
    <s v="Requisição de Serviços"/>
    <s v="CTXNITSP-176228"/>
    <s v="Projeto - NICE Operações Auditorias e BO's"/>
    <m/>
    <x v="6"/>
    <s v=" Dir. Oi"/>
    <s v="Sem responsável"/>
    <s v="Leonardo Pellegrini Vieira"/>
    <x v="0"/>
    <d v="2016-01-12T18:25:00"/>
    <m/>
    <n v="48.232638888890506"/>
    <n v="1"/>
    <n v="2016"/>
    <x v="0"/>
  </r>
  <r>
    <s v="Requisição de Serviços"/>
    <s v="CTXNITSP-176226"/>
    <s v="Projeto - &quot;Nice SAV Entrega&quot;"/>
    <m/>
    <x v="6"/>
    <s v=" Dir. Oi"/>
    <s v="Sem responsável"/>
    <s v="Jill Ullmann Ortiz"/>
    <x v="0"/>
    <d v="2016-01-12T18:05:00"/>
    <m/>
    <n v="48.246527777781012"/>
    <n v="1"/>
    <n v="2016"/>
    <x v="0"/>
  </r>
  <r>
    <s v="Requisição de Serviços"/>
    <s v="CTXNITSP-176224"/>
    <s v="Projeto - &quot;Discador 4011&quot;"/>
    <m/>
    <x v="6"/>
    <s v=" Dir. Oi"/>
    <s v="Sem responsável"/>
    <s v="Jill Ullmann Ortiz"/>
    <x v="0"/>
    <d v="2016-01-12T17:38:00"/>
    <m/>
    <n v="48.265277777776646"/>
    <n v="1"/>
    <n v="2016"/>
    <x v="0"/>
  </r>
  <r>
    <s v="Requisição de Serviços"/>
    <s v="CTXNITSP-176223"/>
    <s v="Projeto - &quot;Front End SAV Entrega&quot;"/>
    <m/>
    <x v="6"/>
    <s v=" Dir. Oi"/>
    <s v="Sem responsável"/>
    <s v="Jill Ullmann Ortiz"/>
    <x v="0"/>
    <d v="2016-01-12T17:34:00"/>
    <m/>
    <n v="48.268055555556202"/>
    <n v="1"/>
    <n v="2016"/>
    <x v="0"/>
  </r>
  <r>
    <s v="Requisição de Serviços"/>
    <s v="CTXNITSP-176042"/>
    <s v="Transferência da Equipe de Treinamento para o 12º andar - Niterói"/>
    <m/>
    <x v="6"/>
    <s v=" Ger Oper RH"/>
    <s v="Bruno Guerra Ferreira"/>
    <s v="Eduardo Lima de Souza"/>
    <x v="2"/>
    <d v="2016-01-11T10:46:00"/>
    <m/>
    <n v="49.551388888889051"/>
    <n v="1"/>
    <n v="2016"/>
    <x v="0"/>
  </r>
  <r>
    <s v="Requisição de Serviços"/>
    <s v="CTXNITSP-175831"/>
    <s v="Projeto - Discador Automático (CRV Fixo, CRV Velox)"/>
    <m/>
    <x v="6"/>
    <s v=" Dir. Oi"/>
    <s v="Sem responsável"/>
    <s v="Leonardo Pellegrini Vieira"/>
    <x v="0"/>
    <d v="2016-01-07T12:14:00"/>
    <m/>
    <n v="53.490277777775191"/>
    <n v="1"/>
    <n v="2016"/>
    <x v="0"/>
  </r>
  <r>
    <s v="Requisição de Serviços"/>
    <s v="CTXNITSP-175152"/>
    <s v="TLV"/>
    <m/>
    <x v="14"/>
    <s v=" Dealer"/>
    <s v="Bruno Guerra Ferreira"/>
    <s v="Eloise pereira ciqueira gra�a"/>
    <x v="0"/>
    <d v="2015-12-21T14:14:00"/>
    <m/>
    <n v="70.406944444446708"/>
    <n v="12"/>
    <n v="2015"/>
    <x v="1"/>
  </r>
  <r>
    <s v="Requisição de Serviços"/>
    <s v="CTXNITSP-173491"/>
    <s v="Projeto - Favor restruturar ambiente da sala de Macros MIS - MG, garantindo todas as exigências da Segurança da Informação Contax."/>
    <m/>
    <x v="6"/>
    <s v=" Dir. Oi"/>
    <s v="Bruno Guerra Ferreira"/>
    <s v="Rodrigo Ribeiro de Araujo"/>
    <x v="0"/>
    <d v="2015-11-24T12:25:00"/>
    <m/>
    <n v="97.482638888890506"/>
    <n v="11"/>
    <n v="2015"/>
    <x v="2"/>
  </r>
  <r>
    <s v="Requisição de Serviços"/>
    <s v="CTXNITSP-172871"/>
    <s v="Implantação de TTW"/>
    <m/>
    <x v="14"/>
    <s v=" Retenção"/>
    <s v="Bruno Guerra Ferreira"/>
    <s v="Tatiane Rodrigues Dallecrode"/>
    <x v="0"/>
    <d v="2015-11-12T14:39:00"/>
    <m/>
    <n v="109.38958333332994"/>
    <n v="11"/>
    <n v="2015"/>
    <x v="2"/>
  </r>
  <r>
    <s v="Requisição de Serviços"/>
    <s v="CTXNITSP-172870"/>
    <s v="Implantação de Front Fácil - Diretoria Retenção"/>
    <m/>
    <x v="14"/>
    <s v=" Retenção"/>
    <s v="Bruno Guerra Ferreira"/>
    <s v="Tatiane Rodrigues Dallecrode"/>
    <x v="0"/>
    <d v="2015-11-12T14:37:00"/>
    <m/>
    <n v="109.39097222222335"/>
    <n v="11"/>
    <n v="2015"/>
    <x v="2"/>
  </r>
  <r>
    <s v="Requisição de Serviços"/>
    <s v="CTXNITSP-172869"/>
    <s v="Bloqueio de Pausas - TGuidance"/>
    <m/>
    <x v="14"/>
    <s v=" Retenção"/>
    <s v="Tatiane Rodrigues Dallecrode"/>
    <s v="Tatiane Rodrigues Dallecrode"/>
    <x v="1"/>
    <d v="2015-11-12T14:36:00"/>
    <d v="2016-01-06T07:48:00"/>
    <n v="54.716666666667152"/>
    <n v="11"/>
    <n v="2015"/>
    <x v="0"/>
  </r>
  <r>
    <s v="Requisição de Serviços"/>
    <s v="CTXNITSP-172868"/>
    <s v="Implantação de RTI"/>
    <m/>
    <x v="14"/>
    <s v=" Retenção"/>
    <s v="Bruno Guerra Ferreira"/>
    <s v="Tatiane Rodrigues Dallecrode"/>
    <x v="0"/>
    <d v="2015-11-12T14:33:00"/>
    <m/>
    <n v="109.39375000000291"/>
    <n v="11"/>
    <n v="2015"/>
    <x v="2"/>
  </r>
  <r>
    <s v="Requisição de Serviços"/>
    <s v="CTXNITSP-172614"/>
    <s v="Projeto - Projeto: Migração da URA do PAP (0800 033 1140 e 0800 642 1431) p/ ambiente NGR"/>
    <m/>
    <x v="6"/>
    <s v=" Dir. Oi"/>
    <s v="Julio Cesar da Silva"/>
    <s v="Leonardo Pellegrini Vieira"/>
    <x v="0"/>
    <d v="2015-11-09T18:25:00"/>
    <m/>
    <n v="112.23263888889051"/>
    <n v="11"/>
    <n v="2015"/>
    <x v="2"/>
  </r>
  <r>
    <s v="Requisição de Serviços"/>
    <s v="CTXNITSP-172611"/>
    <s v="Projeto - Projeto cm"/>
    <m/>
    <x v="14"/>
    <s v=" Dealer"/>
    <s v="Bruno Guerra Ferreira"/>
    <s v="Anne Catharina de Oliveira Coutinho"/>
    <x v="0"/>
    <d v="2015-11-09T18:03:00"/>
    <m/>
    <n v="112.24791666666715"/>
    <n v="11"/>
    <n v="2015"/>
    <x v="2"/>
  </r>
  <r>
    <s v="Requisição de Serviços"/>
    <s v="CTXNITSP-172566"/>
    <s v="Implantação do BO Strategy - Retenção Empresarial"/>
    <m/>
    <x v="14"/>
    <s v=" Retenção Empresarial"/>
    <s v="Julio Cesar da Silva"/>
    <s v="Tatiane Rodrigues Dallecrode"/>
    <x v="0"/>
    <d v="2015-11-09T10:53:00"/>
    <m/>
    <n v="112.54652777777665"/>
    <n v="11"/>
    <n v="2015"/>
    <x v="2"/>
  </r>
  <r>
    <s v="Requisição de Serviços"/>
    <s v="CTXNITSP-172565"/>
    <s v="Alteração no Layout - Ativos"/>
    <m/>
    <x v="14"/>
    <s v=" Retenção Empresarial"/>
    <s v="Tatiane Rodrigues Dallecrode"/>
    <s v="Tatiane Rodrigues Dallecrode"/>
    <x v="1"/>
    <d v="2015-11-09T10:41:00"/>
    <d v="2016-01-12T11:08:00"/>
    <n v="64.018749999995634"/>
    <n v="11"/>
    <n v="2015"/>
    <x v="1"/>
  </r>
  <r>
    <s v="Requisição de Serviços"/>
    <s v="CTXNITSP-172461"/>
    <s v="Implantar Célula BO DADOS&gt;&gt; 17 PA`S &gt;&gt;SIEBEL e Front(À Definir) SMS &gt;&gt; Site NIterói &gt;&gt; Funionamento de Segunda à Domingo"/>
    <m/>
    <x v="6"/>
    <s v=" Dir. Oi"/>
    <s v="Edison Nei Siqueira"/>
    <s v="Rodrigo Ribeiro de Araujo"/>
    <x v="0"/>
    <d v="2015-11-06T11:24:00"/>
    <m/>
    <n v="115.52500000000146"/>
    <n v="11"/>
    <n v="2015"/>
    <x v="2"/>
  </r>
  <r>
    <s v="Requisição de Serviços"/>
    <s v="CTXNITSP-172449"/>
    <s v="Implantar célula BO NBA &gt;&gt; 7 PA´S &gt;&gt; STC SAC SIAC &gt;&gt; Front Específico e envio SMS &gt;&gt; Operação Convergente: Fixo, Velox -R1 e R2."/>
    <m/>
    <x v="6"/>
    <s v=" Dir. Oi"/>
    <s v="Bruno Guerra Ferreira"/>
    <s v="Rodrigo Ribeiro de Araujo"/>
    <x v="0"/>
    <d v="2015-11-06T10:46:00"/>
    <m/>
    <n v="115.55138888888905"/>
    <n v="11"/>
    <n v="2015"/>
    <x v="2"/>
  </r>
  <r>
    <s v="Requisição de Serviços"/>
    <s v="CTXNITSP-170972"/>
    <s v="Projeto - &quot;Por favor, usuário, utilizar este campo para informar o nome do Projeto&quot;"/>
    <m/>
    <x v="14"/>
    <s v=" SAC"/>
    <s v="Fernanda Nazario Menezes"/>
    <s v="Fernanda Nazario Menezes"/>
    <x v="1"/>
    <d v="2015-10-15T17:50:00"/>
    <d v="2016-01-14T14:58:00"/>
    <n v="90.880555555559113"/>
    <n v="10"/>
    <n v="2015"/>
    <x v="2"/>
  </r>
  <r>
    <s v="Requisição de Serviços"/>
    <s v="CTXNITSP-168713"/>
    <s v="Projeto - Projeto - Necessário a disponibilização/verificação da infra de voz para implantação de aplicação CMS/Avaya ou Softfone para operação BO Contratos para apuração do log das PA's. Criação de login de CMS/Avaya para os supervisores e ADM's para adm"/>
    <m/>
    <x v="6"/>
    <s v=" Dir. Oi"/>
    <s v="Rodrigo Ribeiro de Araujo"/>
    <s v="Rodrigo Ribeiro de Araujo"/>
    <x v="1"/>
    <d v="2015-09-15T13:27:00"/>
    <d v="2016-01-14T14:48:00"/>
    <n v="121.05625000000146"/>
    <n v="9"/>
    <n v="2015"/>
    <x v="2"/>
  </r>
  <r>
    <s v="Requisição de Serviços"/>
    <s v="CTXNITSP-167961"/>
    <s v="Projeto - Projeto - Reconstrução da SALA MIS - Realizar alterações físicas, instalações necessárias e levantamentos."/>
    <m/>
    <x v="6"/>
    <s v=" Dir. Oi"/>
    <s v="Bruno Guerra Ferreira"/>
    <s v="Rodrigo Ribeiro de Araujo"/>
    <x v="5"/>
    <d v="2015-09-04T12:35:00"/>
    <m/>
    <n v="178.47569444444525"/>
    <n v="9"/>
    <n v="2015"/>
    <x v="3"/>
  </r>
  <r>
    <s v="Requisição de Serviços"/>
    <s v="CTXNITSP-166786"/>
    <s v="Projeto - Projeto Criação Macro de Consulta no STC e SAC"/>
    <m/>
    <x v="14"/>
    <s v=" Outras Atividades"/>
    <s v="Dalton Bondesan"/>
    <s v="Josiane Pereira Bello"/>
    <x v="5"/>
    <d v="2015-08-18T12:22:00"/>
    <m/>
    <n v="195.48472222222335"/>
    <n v="8"/>
    <n v="2015"/>
    <x v="3"/>
  </r>
  <r>
    <s v="Requisição de Serviços"/>
    <s v="CTXNITSP-165356"/>
    <s v="Projeto - Projeto - Disponibilizar um servidor de armazenamento de dados para a equipe de planejamento MIS Niterói, onde será possível, guardar grande volume de informações para agilizar e centralizar a busca e localização de informações com a finalidade"/>
    <m/>
    <x v="6"/>
    <s v=" Dir. Oi"/>
    <s v="Rodrigo Ribeiro de Araujo"/>
    <s v="Rodrigo Ribeiro de Araujo"/>
    <x v="1"/>
    <d v="2015-07-30T19:05:00"/>
    <d v="2016-01-14T14:49:00"/>
    <n v="167.82222222221753"/>
    <n v="7"/>
    <n v="2015"/>
    <x v="3"/>
  </r>
  <r>
    <s v="Requisição de Serviços"/>
    <s v="CTXNITSP-164920"/>
    <s v="Projeto - Projeto - Favor liberar endereço: http://contax-ftp.cloudapp.net/MOToolsQual/Login.aspx e inserir o ícone no menu inciar com o nome: Evalyzer Front"/>
    <m/>
    <x v="6"/>
    <s v=" Dir. Oi"/>
    <s v="Rodrigo Ribeiro de Araujo"/>
    <s v="Rodrigo Ribeiro de Araujo"/>
    <x v="1"/>
    <d v="2015-07-24T11:11:00"/>
    <d v="2016-01-14T14:49:00"/>
    <n v="174.1513888888876"/>
    <n v="7"/>
    <n v="2015"/>
    <x v="3"/>
  </r>
  <r>
    <s v="Requisição de Serviços"/>
    <s v="CTXNITSP-164460"/>
    <s v="Projeto - Projeto - URA Oi total"/>
    <m/>
    <x v="6"/>
    <s v=" Dir. Oi"/>
    <s v="Dalton Bondesan"/>
    <s v="Rodrigo Ribeiro de Araujo"/>
    <x v="5"/>
    <d v="2015-07-20T15:24:00"/>
    <m/>
    <n v="224.35833333332994"/>
    <n v="7"/>
    <n v="2015"/>
    <x v="3"/>
  </r>
  <r>
    <s v="Requisição de Serviços"/>
    <s v="CTXNITSP-164357"/>
    <s v="Projeto - Projeto: Migração da URA Dealer (*803) p/ NGR"/>
    <m/>
    <x v="6"/>
    <s v=" Dir. Oi"/>
    <s v="Julio Cesar da Silva"/>
    <s v="Leonardo Pellegrini Vieira"/>
    <x v="2"/>
    <d v="2015-07-17T17:19:00"/>
    <m/>
    <n v="227.27847222222044"/>
    <n v="7"/>
    <n v="2015"/>
    <x v="3"/>
  </r>
  <r>
    <s v="Requisição de Serviços"/>
    <s v="CTXNITSP-163520"/>
    <s v="Projeto - Projeto"/>
    <m/>
    <x v="6"/>
    <s v=" Ger Planejamento SAC"/>
    <s v="Dalton Bondesan"/>
    <s v="ine Goncalves Ramalho"/>
    <x v="0"/>
    <d v="2015-07-08T09:53:00"/>
    <m/>
    <n v="236.58819444444089"/>
    <n v="7"/>
    <n v="2015"/>
    <x v="3"/>
  </r>
  <r>
    <s v="Requisição de Serviços"/>
    <s v="CTXNITSP-163395"/>
    <s v="Projeto - Projeto - Migrar atividade de input do mailing BOS, Auditoria Fixo e Pós, para MIS NIterói. PRGSOFT Anderson Marques."/>
    <m/>
    <x v="6"/>
    <s v=" Dir. Oi"/>
    <s v="Rodrigo Ribeiro de Araujo"/>
    <s v="Rodrigo Ribeiro de Araujo"/>
    <x v="1"/>
    <d v="2015-07-07T11:19:00"/>
    <d v="2016-01-14T14:50:00"/>
    <n v="191.14652777777519"/>
    <n v="7"/>
    <n v="2015"/>
    <x v="3"/>
  </r>
  <r>
    <s v="Requisição de Serviços"/>
    <s v="CTXNITSP-162696"/>
    <s v="Projeto - Projeto - Favor precificar alteração/customização da ferramenta BOS Fixo. Essa projeto deve ser direcionado para PRG SOFT(Anderson Marques)."/>
    <m/>
    <x v="6"/>
    <s v=" Dir. Oi"/>
    <s v="Rodrigo Ribeiro de Araujo"/>
    <s v="Rodrigo Ribeiro de Araujo"/>
    <x v="1"/>
    <d v="2015-06-30T10:35:00"/>
    <d v="2016-01-14T14:51:00"/>
    <n v="198.17777777778247"/>
    <n v="6"/>
    <n v="2015"/>
    <x v="3"/>
  </r>
  <r>
    <s v="Requisição de Serviços"/>
    <s v="CTXNITSP-161527"/>
    <s v="Projeto - Projeto - Complementar estrutura da 5ª onda Migração BH x NIT (Ativo Fixo)"/>
    <m/>
    <x v="6"/>
    <s v=" Dir. Oi"/>
    <s v="Rodrigo Ribeiro de Araujo"/>
    <s v="Rodrigo Ribeiro de Araujo"/>
    <x v="1"/>
    <d v="2015-06-15T17:43:00"/>
    <d v="2016-01-14T14:51:00"/>
    <n v="212.88055555555911"/>
    <n v="6"/>
    <n v="2015"/>
    <x v="3"/>
  </r>
  <r>
    <s v="Requisição de Serviços"/>
    <s v="CTXNITSP-160928"/>
    <s v="Projeto - Projeto Implantar Discador Aspect + TLV 5.0 no CRV Oi TV"/>
    <m/>
    <x v="14"/>
    <s v=" Outras Atividades"/>
    <s v="Erica Fernandes Cotrim"/>
    <s v="Josiane Pereira Bello"/>
    <x v="2"/>
    <d v="2015-06-09T10:48:00"/>
    <m/>
    <n v="265.55000000000291"/>
    <n v="6"/>
    <n v="2015"/>
    <x v="3"/>
  </r>
  <r>
    <s v="Requisição de Serviços"/>
    <s v="CTXNITSP-154454"/>
    <s v="Projeto - Tratamento de Contestação de 0800 e DDR via Planilha de Minutagem"/>
    <m/>
    <x v="14"/>
    <s v=" Back Office"/>
    <s v="Alexsander Alves Santos"/>
    <s v="Alexsander Alves Santos"/>
    <x v="1"/>
    <d v="2015-04-01T15:18:00"/>
    <d v="2016-01-14T14:53:00"/>
    <n v="287.98263888889051"/>
    <n v="4"/>
    <n v="2015"/>
    <x v="3"/>
  </r>
  <r>
    <s v="Requisição de Serviços"/>
    <s v="CTXNITSP-153179"/>
    <s v="Projeto - Projeto - Criar um versão da ferramenta BOS, para atender a célula de Auditoria CPF Duplicado."/>
    <m/>
    <x v="6"/>
    <s v=" Dir. Oi"/>
    <s v="Rodrigo Ribeiro de Araujo"/>
    <s v="Rodrigo Ribeiro de Araujo"/>
    <x v="1"/>
    <d v="2015-03-19T12:11:00"/>
    <d v="2016-01-14T14:51:00"/>
    <n v="301.11111111110949"/>
    <n v="3"/>
    <n v="2015"/>
    <x v="3"/>
  </r>
  <r>
    <s v="Requisição de Serviços"/>
    <s v="CTXMTZRP-43918"/>
    <s v="Projeto - Projeto - TReport"/>
    <m/>
    <x v="14"/>
    <s v=" SAC"/>
    <s v="Dalton Bondesan"/>
    <s v="Luiz Matheus Aragao do Nascimento"/>
    <x v="6"/>
    <d v="2015-08-25T11:54:00"/>
    <m/>
    <n v="188.5041666666657"/>
    <n v="8"/>
    <n v="2015"/>
    <x v="3"/>
  </r>
  <r>
    <s v="Requisição de Serviços"/>
    <s v="CTXMTZRP-43581"/>
    <s v="Plano de Recuperação - Projeto Rentabilização BO Anatel Automações (RTIs) - Serviço proteção ao crédito"/>
    <m/>
    <x v="14"/>
    <s v=" BO ANATEL"/>
    <s v="Debora Gercke Dominas"/>
    <s v="Luciana Mattos Andrade"/>
    <x v="5"/>
    <d v="2015-08-11T18:03:00"/>
    <m/>
    <n v="202.24791666666715"/>
    <n v="8"/>
    <n v="2015"/>
    <x v="3"/>
  </r>
  <r>
    <s v="Requisição de Serviços"/>
    <s v="CTXMTZRP-43580"/>
    <s v="Plano de Recuperação - Projeto Rentabilização BO Anatel Automações (RTIs) - Planejamento TUP"/>
    <m/>
    <x v="14"/>
    <s v=" BO ANATEL"/>
    <s v="Luciana Mattos Andrade"/>
    <s v="Luciana Mattos Andrade"/>
    <x v="1"/>
    <d v="2015-08-11T18:01:00"/>
    <d v="2016-01-26T14:48:00"/>
    <n v="167.8659722222219"/>
    <n v="8"/>
    <n v="2015"/>
    <x v="3"/>
  </r>
  <r>
    <s v="Requisição de Serviços"/>
    <s v="CTXMTZRP-43579"/>
    <s v="Plano de Recuperação - Projeto Rentabilização BO Anatel Automações (RTIs) - Não recebimento de gravações de atendimento."/>
    <m/>
    <x v="14"/>
    <s v=" BO ANATEL"/>
    <s v="Debora Gercke Dominas"/>
    <s v="Luciana Mattos Andrade"/>
    <x v="5"/>
    <d v="2015-08-11T18:00:00"/>
    <m/>
    <n v="202.25"/>
    <n v="8"/>
    <n v="2015"/>
    <x v="3"/>
  </r>
  <r>
    <s v="Requisição de Serviços"/>
    <s v="CTXMTZRP-43575"/>
    <s v="2- Plano de Recuperação - Projeto Rentabilização BO Anatel Automações (RTIs) - Direcionamento Automático para Área Potes Não Agendáveis"/>
    <m/>
    <x v="14"/>
    <s v=" BO ANATEL"/>
    <s v="Debora Gercke Dominas"/>
    <s v="Luciana Mattos Andrade"/>
    <x v="5"/>
    <d v="2015-08-11T17:55:00"/>
    <m/>
    <n v="202.25347222221899"/>
    <n v="8"/>
    <n v="2015"/>
    <x v="3"/>
  </r>
  <r>
    <s v="Requisição de Serviços"/>
    <s v="CTXMTZRP-43574"/>
    <s v="1- Plano de Recuperação - Projeto Rentabilização BO Anatel Automações (RTIs) - Direcionamento Automático para Área Sem SLOT"/>
    <m/>
    <x v="14"/>
    <s v=" BO ANATEL"/>
    <s v="Debora Gercke Dominas"/>
    <s v="Luciana Mattos Andrade"/>
    <x v="5"/>
    <d v="2015-08-11T17:53:00"/>
    <m/>
    <n v="202.2548611111124"/>
    <n v="8"/>
    <n v="2015"/>
    <x v="3"/>
  </r>
  <r>
    <s v="Requisição de Serviços"/>
    <s v="CTXMTZRP-43360"/>
    <s v="Plano de Recuperação - Projeto Rentabilização BO Anatel - Discador"/>
    <m/>
    <x v="14"/>
    <s v=" BO ANATEL"/>
    <s v="Edison Nei Siqueira"/>
    <s v="Luciana Mattos Andrade"/>
    <x v="5"/>
    <d v="2015-08-03T18:09:00"/>
    <m/>
    <n v="210.24375000000146"/>
    <n v="8"/>
    <n v="2015"/>
    <x v="3"/>
  </r>
  <r>
    <s v="Requisição de Serviços"/>
    <s v="CTXMTZRP-43359"/>
    <s v="Plano de Recuperação - Projeto Rentabilização BO Anatel - Automações (RTIs)"/>
    <m/>
    <x v="14"/>
    <s v=" BO ANATEL"/>
    <s v="Luciana Mattos Andrade"/>
    <s v="Luciana Mattos Andrade"/>
    <x v="1"/>
    <d v="2015-08-03T18:06:00"/>
    <d v="2015-12-14T11:36:00"/>
    <n v="132.72916666666424"/>
    <n v="8"/>
    <n v="2015"/>
    <x v="2"/>
  </r>
  <r>
    <s v="Requisição de Serviços"/>
    <s v="CTXMTZRP-43358"/>
    <s v="Plano de Recuperação - Projeto Rentabilização BO Anatel - Evalyze"/>
    <m/>
    <x v="14"/>
    <s v=" BO ANATEL"/>
    <s v="Edison Nei Siqueira"/>
    <s v="Luciana Mattos Andrade"/>
    <x v="5"/>
    <d v="2015-08-03T18:04:00"/>
    <m/>
    <n v="210.24722222222044"/>
    <n v="8"/>
    <n v="2015"/>
    <x v="3"/>
  </r>
  <r>
    <s v="Requisição de Serviços"/>
    <s v="CTXMTZRP-43213"/>
    <s v="Criação de ambiente de staging para o Whatacenter - Central de Atendimento via Whatsapp"/>
    <m/>
    <x v="6"/>
    <s v=" Ger Governança de TI"/>
    <s v="Dalton Bondesan"/>
    <s v="ALEXANDRE FONSECA PAPANIS"/>
    <x v="6"/>
    <d v="2015-07-27T14:50:00"/>
    <m/>
    <n v="217.38194444444525"/>
    <n v="7"/>
    <n v="2015"/>
    <x v="3"/>
  </r>
  <r>
    <s v="Requisição de Serviços"/>
    <s v="CTXMTZRP-43198"/>
    <s v="Projeto - Projeto"/>
    <m/>
    <x v="6"/>
    <s v=" Dir. Clientes Especiais"/>
    <s v="Dalton Bondesan"/>
    <s v="Maria da Conceicao Paiva"/>
    <x v="0"/>
    <d v="2015-07-25T15:30:00"/>
    <m/>
    <n v="219.35416666666424"/>
    <n v="7"/>
    <n v="2015"/>
    <x v="3"/>
  </r>
  <r>
    <s v="Requisição de Serviços"/>
    <s v="CTXMTZRP-43045"/>
    <s v="Projeto - Projeto (Restrições e Liberações de Proxy - Operação itau)"/>
    <m/>
    <x v="6"/>
    <s v=" Outro"/>
    <s v="Dalton Bondesan"/>
    <s v="David Lopes da Costa Chaves"/>
    <x v="6"/>
    <d v="2015-07-20T12:23:00"/>
    <m/>
    <n v="224.48402777777665"/>
    <n v="7"/>
    <n v="2015"/>
    <x v="3"/>
  </r>
  <r>
    <s v="Requisição de Serviços"/>
    <s v="CTXMTZRP-42974"/>
    <s v="Criação de SVN para Diretoria de Mobilidade"/>
    <m/>
    <x v="6"/>
    <s v=" Ger Governança de TI"/>
    <s v="Dalton Bondesan"/>
    <s v="ALEXANDRE FONSECA PAPANIS"/>
    <x v="5"/>
    <d v="2015-07-15T11:12:00"/>
    <m/>
    <n v="229.53333333333285"/>
    <n v="7"/>
    <n v="2015"/>
    <x v="3"/>
  </r>
  <r>
    <s v="Requisição de Serviços"/>
    <s v="CTXMTZRP-42689"/>
    <s v="Projeto - Projeto"/>
    <m/>
    <x v="6"/>
    <s v=" Dir. Oi"/>
    <s v="Edison Nei Siqueira"/>
    <s v="Fabricio Hinein Peixoto Guimaraes"/>
    <x v="5"/>
    <d v="2015-06-30T14:52:00"/>
    <m/>
    <n v="244.38055555555911"/>
    <n v="6"/>
    <n v="2015"/>
    <x v="3"/>
  </r>
  <r>
    <s v="Requisição de Serviços"/>
    <s v="CTXMTZRP-42601"/>
    <s v="Projeto - Projeto"/>
    <m/>
    <x v="14"/>
    <s v=" Outras Atividades"/>
    <s v="Sem responsável"/>
    <s v="Reinaldo Cervantes De Oliveira"/>
    <x v="0"/>
    <d v="2015-06-26T11:05:00"/>
    <m/>
    <n v="248.53819444444525"/>
    <n v="6"/>
    <n v="2015"/>
    <x v="3"/>
  </r>
  <r>
    <s v="Requisição de Serviços"/>
    <s v="CTXMTZRP-42203"/>
    <s v="Projeto - Integração Barra Atendimento ao OSvC (Novo CRM Oi)"/>
    <m/>
    <x v="6"/>
    <s v=" Dir. Oi"/>
    <s v="Bruno Guerra Ferreira"/>
    <s v="Fabricio Hinein Peixoto Guimaraes"/>
    <x v="2"/>
    <d v="2015-06-11T17:20:00"/>
    <m/>
    <n v="263.27777777778101"/>
    <n v="6"/>
    <n v="2015"/>
    <x v="3"/>
  </r>
  <r>
    <s v="Requisição de Serviços"/>
    <s v="CTXMTZRP-42198"/>
    <s v="Projeto - Projeto - Requisitos de hardware OTP"/>
    <m/>
    <x v="6"/>
    <s v=" Outro"/>
    <s v="Dalton Bondesan"/>
    <s v="Cristiane Akiko Sasaki"/>
    <x v="2"/>
    <d v="2015-06-11T16:19:00"/>
    <m/>
    <n v="263.32013888889196"/>
    <n v="6"/>
    <n v="2015"/>
    <x v="3"/>
  </r>
  <r>
    <s v="Requisição de Serviços"/>
    <s v="CTXMTZRP-42159"/>
    <s v="Projeto - Projeto"/>
    <m/>
    <x v="6"/>
    <s v=" Ger Planejamento SAC"/>
    <s v="Dalton Bondesan"/>
    <s v="Joyce Faria Barbosa"/>
    <x v="2"/>
    <d v="2015-06-10T16:25:00"/>
    <m/>
    <n v="264.31597222221899"/>
    <n v="6"/>
    <n v="2015"/>
    <x v="3"/>
  </r>
  <r>
    <s v="Requisição de Serviços"/>
    <s v="CTXMTZRP-42143"/>
    <s v="Projeto - Projeto - Implantar o Projeto JiraDemandas no Data Center"/>
    <m/>
    <x v="6"/>
    <s v=" Ger Governança de TI"/>
    <s v="Dalton Bondesan"/>
    <s v="Cristiane Akiko Sasaki"/>
    <x v="2"/>
    <d v="2015-06-10T10:15:00"/>
    <m/>
    <n v="264.57291666666424"/>
    <n v="6"/>
    <n v="2015"/>
    <x v="3"/>
  </r>
  <r>
    <s v="Requisição de Serviços"/>
    <s v="CTXMTZRP-41269"/>
    <s v="Projeto Contax 2.0 - Praça PR"/>
    <m/>
    <x v="6"/>
    <s v=" Outro"/>
    <s v="Dalton Bondesan"/>
    <s v="Alex Tonini Nogueira"/>
    <x v="2"/>
    <d v="2015-05-14T12:12:00"/>
    <m/>
    <n v="291.49166666666861"/>
    <n v="5"/>
    <n v="2015"/>
    <x v="3"/>
  </r>
  <r>
    <s v="Requisição de Serviços"/>
    <s v="CTXMTZRP-41268"/>
    <s v="Projeto Contax 2.0 - Praça RS"/>
    <m/>
    <x v="6"/>
    <s v=" Outro"/>
    <s v="Dalton Bondesan"/>
    <s v="Alex Tonini Nogueira"/>
    <x v="2"/>
    <d v="2015-05-14T12:01:00"/>
    <m/>
    <n v="291.49930555555329"/>
    <n v="5"/>
    <n v="2015"/>
    <x v="3"/>
  </r>
  <r>
    <s v="Requisição de Serviços"/>
    <s v="CTXMTZRP-40787"/>
    <s v="Projeto - Projeto"/>
    <m/>
    <x v="6"/>
    <s v=" Dir. Oi"/>
    <s v="Fabiana Aparecida Lopes de Carvalho"/>
    <s v="Fabiana Aparecida Lopes de Carvalho"/>
    <x v="1"/>
    <d v="2015-04-29T17:08:00"/>
    <d v="2016-01-14T08:31:00"/>
    <n v="259.64097222222335"/>
    <n v="4"/>
    <n v="2015"/>
    <x v="3"/>
  </r>
  <r>
    <s v="Requisição de Serviços"/>
    <s v="CTXMTZRP-40585"/>
    <s v="Projeto - Projeto - DAC Único Móvel"/>
    <m/>
    <x v="6"/>
    <s v=" Dir. Oi"/>
    <s v="Edison Nei Siqueira"/>
    <s v="Fabricio Hinein Peixoto Guimaraes"/>
    <x v="5"/>
    <d v="2015-04-22T08:31:00"/>
    <m/>
    <n v="313.64513888888905"/>
    <n v="4"/>
    <n v="2015"/>
    <x v="3"/>
  </r>
  <r>
    <s v="Requisição de Serviços"/>
    <s v="CTXMTZRP-39707"/>
    <s v="Projeto - Projeto DAC Único"/>
    <m/>
    <x v="6"/>
    <s v=" Dir. Oi"/>
    <s v="Edison Nei Siqueira"/>
    <s v="Fabricio Hinein Peixoto Guimaraes"/>
    <x v="4"/>
    <d v="2015-03-23T13:54:00"/>
    <m/>
    <n v="343.42083333332994"/>
    <n v="3"/>
    <n v="2015"/>
    <x v="3"/>
  </r>
  <r>
    <s v="Requisição de Serviços"/>
    <s v="CTXMTZRP-35945"/>
    <s v="Projeto Contax 2.0 - Praça MG"/>
    <m/>
    <x v="6"/>
    <s v=" Outro"/>
    <s v="Sem responsável"/>
    <s v="Alex Tonini Nogueira"/>
    <x v="4"/>
    <d v="2014-10-28T16:07:00"/>
    <m/>
    <n v="489.32847222222335"/>
    <n v="10"/>
    <n v="2014"/>
    <x v="3"/>
  </r>
  <r>
    <s v="Requisição de Serviços"/>
    <s v="CTXMTZRP-35944"/>
    <s v="Projeto Contax 2.0 - Praça CE"/>
    <m/>
    <x v="6"/>
    <s v=" Outro"/>
    <s v="Sem responsável"/>
    <s v="Alex Tonini Nogueira"/>
    <x v="4"/>
    <d v="2014-10-28T16:04:00"/>
    <m/>
    <n v="489.3305555555562"/>
    <n v="10"/>
    <n v="2014"/>
    <x v="3"/>
  </r>
  <r>
    <s v="Requisição de Serviços"/>
    <s v="CTXMTZRP-35943"/>
    <s v="Projeto Contax 2.0 - Praça PE"/>
    <m/>
    <x v="6"/>
    <s v=" Outro"/>
    <s v="Sem responsável"/>
    <s v="Alex Tonini Nogueira"/>
    <x v="4"/>
    <d v="2014-10-28T16:00:00"/>
    <m/>
    <n v="489.33333333333576"/>
    <n v="10"/>
    <n v="2014"/>
    <x v="3"/>
  </r>
  <r>
    <s v="Requisição de Serviços"/>
    <s v="CTXMTZRP-35941"/>
    <s v="Projeto Contax 2.0 - Praça BA"/>
    <m/>
    <x v="6"/>
    <s v=" Outro"/>
    <s v="Sem responsável"/>
    <s v="Alex Tonini Nogueira"/>
    <x v="4"/>
    <d v="2014-10-28T15:54:00"/>
    <m/>
    <n v="489.33750000000146"/>
    <n v="10"/>
    <n v="2014"/>
    <x v="3"/>
  </r>
  <r>
    <s v="Requisição de Serviços"/>
    <s v="CTXMTZRP-35937"/>
    <s v="Projeto Contax 2.0 - Praça SC"/>
    <m/>
    <x v="6"/>
    <s v=" Outro"/>
    <s v="Dalton Bondesan"/>
    <s v="Alex Tonini Nogueira"/>
    <x v="4"/>
    <d v="2014-10-28T15:39:00"/>
    <m/>
    <n v="489.3479166666657"/>
    <n v="10"/>
    <n v="2014"/>
    <x v="3"/>
  </r>
  <r>
    <s v="Requisição de Serviços"/>
    <s v="CTXMTZRP-35936"/>
    <s v="Projeto Contax 2.0 - Praça RJ"/>
    <m/>
    <x v="6"/>
    <s v=" Outro"/>
    <s v="Sem responsável"/>
    <s v="Alex Tonini Nogueira"/>
    <x v="4"/>
    <d v="2014-10-28T15:36:00"/>
    <m/>
    <n v="489.34999999999854"/>
    <n v="10"/>
    <n v="2014"/>
    <x v="3"/>
  </r>
  <r>
    <s v="Requisição de Serviços"/>
    <s v="CTXMTZPB-1259"/>
    <s v="Projeto - Crescimento Suporte Técnico Velox"/>
    <m/>
    <x v="14"/>
    <s v=" Suporte Técnico"/>
    <s v="Sem responsável"/>
    <s v="rafael da costa cezar"/>
    <x v="0"/>
    <d v="2016-02-04T19:36:00"/>
    <m/>
    <n v="25.183333333334303"/>
    <n v="2"/>
    <n v="2016"/>
    <x v="4"/>
  </r>
  <r>
    <s v="Requisição de Serviços"/>
    <s v="CTXMTZPB-1258"/>
    <s v="Cabemento de rede - sala 2º andar/Mezanino - site Rio Comprido"/>
    <m/>
    <x v="6"/>
    <s v=" Ger Planejamento SAC"/>
    <s v="Sem responsável"/>
    <s v="Joyce Faria Barbosa"/>
    <x v="0"/>
    <d v="2016-02-04T17:29:00"/>
    <m/>
    <n v="25.271527777775191"/>
    <n v="2"/>
    <n v="2016"/>
    <x v="4"/>
  </r>
  <r>
    <s v="Requisição de Serviços"/>
    <s v="CTXMTZPB-1214"/>
    <s v="Projeto - &quot;Implantação Solução de Contas Pré Pago Site Boa Viagem Bahia&quot;"/>
    <m/>
    <x v="6"/>
    <s v=" Outro"/>
    <s v="F�bio Prazeres da Silva"/>
    <s v="F�bio Prazeres da Silva"/>
    <x v="1"/>
    <d v="2016-01-12T17:21:00"/>
    <d v="2016-02-11T13:55:00"/>
    <n v="29.856944444443798"/>
    <n v="1"/>
    <n v="2016"/>
    <x v="4"/>
  </r>
  <r>
    <s v="Requisição de Serviços"/>
    <s v="CTXMTZPB-1118"/>
    <s v="Projeto - Restrição de Transferência"/>
    <m/>
    <x v="14"/>
    <s v=" SAC"/>
    <s v="Julio Cesar da Silva"/>
    <s v="Luiz Matheus Aragao do Nascimento"/>
    <x v="2"/>
    <d v="2015-12-03T15:43:00"/>
    <m/>
    <n v="88.34513888888614"/>
    <n v="12"/>
    <n v="2015"/>
    <x v="1"/>
  </r>
  <r>
    <s v="Requisição de Serviços"/>
    <s v="CTXMTZPB-1116"/>
    <s v="Projeto - Feirão do nome limpo - RJ Shop Nova America"/>
    <m/>
    <x v="6"/>
    <s v=" Dir. Oi"/>
    <s v="Livia de Deus Henriques Rodrigues"/>
    <s v="Livia de Deus Henriques Rodrigues"/>
    <x v="1"/>
    <d v="2015-12-03T12:06:00"/>
    <d v="2016-01-14T14:52:00"/>
    <n v="42.115277777775191"/>
    <n v="12"/>
    <n v="2015"/>
    <x v="0"/>
  </r>
  <r>
    <s v="Requisição de Serviços"/>
    <s v="CTXMTZPB-1098"/>
    <s v="TCLOCK - Interface Near Real Time"/>
    <m/>
    <x v="6"/>
    <s v=" Ger Planejamento SAC"/>
    <s v="Joyce Faria Barbosa"/>
    <s v="Joyce Faria Barbosa"/>
    <x v="1"/>
    <d v="2015-11-30T16:08:00"/>
    <d v="2016-02-02T12:05:00"/>
    <n v="63.831249999995634"/>
    <n v="11"/>
    <n v="2015"/>
    <x v="1"/>
  </r>
  <r>
    <s v="Requisição de Serviços"/>
    <s v="CTXMTZPB-1091"/>
    <s v="Projeto - PASSWORK - PILOTO"/>
    <m/>
    <x v="6"/>
    <s v=" Ger Planejamento SAC"/>
    <s v="Bruno Guerra Ferreira"/>
    <s v="Joyce Faria Barbosa"/>
    <x v="0"/>
    <d v="2015-11-27T10:16:00"/>
    <m/>
    <n v="94.572222222224809"/>
    <n v="11"/>
    <n v="2015"/>
    <x v="2"/>
  </r>
  <r>
    <s v="Requisição de Serviços"/>
    <s v="CTXMTZPB-1044"/>
    <s v="Aquisição de servidor - file server"/>
    <m/>
    <x v="6"/>
    <s v=" Ger Planejamento SAC"/>
    <s v="Bruno Guerra Ferreira"/>
    <s v="Joyce Faria Barbosa"/>
    <x v="0"/>
    <d v="2015-11-17T11:45:00"/>
    <m/>
    <n v="104.51041666666424"/>
    <n v="11"/>
    <n v="2015"/>
    <x v="2"/>
  </r>
  <r>
    <s v="Requisição de Serviços"/>
    <s v="CTXMTZPB-1001"/>
    <s v="Projeto - Nova chamada teste/Chamada Ativa para o FF"/>
    <m/>
    <x v="14"/>
    <s v=" SAC"/>
    <s v="Bruno Guerra Ferreira"/>
    <s v="Marcel Garcia da Silva"/>
    <x v="0"/>
    <d v="2015-11-09T17:11:00"/>
    <m/>
    <n v="112.28402777777956"/>
    <n v="11"/>
    <n v="2015"/>
    <x v="2"/>
  </r>
  <r>
    <s v="Requisição de Serviços"/>
    <s v="CTXMTZPB-944"/>
    <s v="Aquisição de servidor"/>
    <m/>
    <x v="6"/>
    <s v=" Ger Planejamento SAC"/>
    <s v="Bruno Guerra Ferreira"/>
    <s v="Joyce Faria Barbosa"/>
    <x v="0"/>
    <d v="2015-10-29T19:43:00"/>
    <m/>
    <n v="123.1784722222219"/>
    <n v="10"/>
    <n v="2015"/>
    <x v="2"/>
  </r>
  <r>
    <s v="Requisição de Serviços"/>
    <s v="CTXMTZPB-860"/>
    <s v="Inclusão de chamadas ativas no Credibilidade"/>
    <m/>
    <x v="6"/>
    <s v=" Ger Planejamento SAC"/>
    <s v="Marcelo Caldeira Pedroso do Nascimento"/>
    <s v="Joyce Faria Barbosa"/>
    <x v="0"/>
    <d v="2015-10-22T16:09:00"/>
    <m/>
    <n v="130.32708333332994"/>
    <n v="10"/>
    <n v="2015"/>
    <x v="2"/>
  </r>
  <r>
    <s v="Requisição de Serviços"/>
    <s v="CTXMTZPB-758"/>
    <s v="Projeto - Projeto"/>
    <m/>
    <x v="6"/>
    <s v=" Dir. Oi"/>
    <s v="Bruno Guerra Ferreira"/>
    <s v="Fabricio Hinein Peixoto Guimaraes"/>
    <x v="0"/>
    <d v="2015-10-15T10:00:00"/>
    <m/>
    <n v="137.58333333333576"/>
    <n v="10"/>
    <n v="2015"/>
    <x v="2"/>
  </r>
  <r>
    <s v="Requisição de Serviços"/>
    <s v="CTXMTZPB-510"/>
    <s v="Criação de ambiente de produção - Azure"/>
    <m/>
    <x v="6"/>
    <s v=" Ger Planejamento SAC"/>
    <s v="Debora Gercke Dominas"/>
    <s v="Joyce Faria Barbosa"/>
    <x v="5"/>
    <d v="2015-09-22T15:32:00"/>
    <m/>
    <n v="160.3527777777781"/>
    <n v="9"/>
    <n v="2015"/>
    <x v="3"/>
  </r>
  <r>
    <s v="Requisição de Serviços"/>
    <s v="CTXMTZPB-452"/>
    <s v="Base NBA intraday"/>
    <m/>
    <x v="6"/>
    <s v=" Ger Planejamento SAC"/>
    <s v="Dalton Bondesan"/>
    <s v="Joyce Faria Barbosa"/>
    <x v="5"/>
    <d v="2015-09-18T11:29:00"/>
    <m/>
    <n v="164.52152777777519"/>
    <n v="9"/>
    <n v="2015"/>
    <x v="3"/>
  </r>
  <r>
    <s v="Requisição de Serviços"/>
    <s v="CTXMTZPB-307"/>
    <s v="Projeto - Projeto - Linhas para Modem externo SA"/>
    <m/>
    <x v="14"/>
    <s v=" SAC"/>
    <s v="Bruno Guerra Ferreira"/>
    <s v="Luiz Matheus Aragao do Nascimento"/>
    <x v="5"/>
    <d v="2015-09-04T17:13:00"/>
    <m/>
    <n v="178.28263888888614"/>
    <n v="9"/>
    <n v="2015"/>
    <x v="3"/>
  </r>
  <r>
    <s v="Requisição de Serviços"/>
    <s v="CTXMTZPB-300"/>
    <s v="Migração de servidores para o Azure"/>
    <m/>
    <x v="6"/>
    <s v=" Ger Planejamento SAC"/>
    <s v="Debora Gercke Dominas"/>
    <s v="Joyce Faria Barbosa"/>
    <x v="5"/>
    <d v="2015-09-03T19:33:00"/>
    <m/>
    <n v="179.18541666666715"/>
    <n v="9"/>
    <n v="2015"/>
    <x v="3"/>
  </r>
  <r>
    <s v="Requisição de Serviços"/>
    <s v="CTXMTZPB-201"/>
    <s v="Ambiente de Homologação e Produção do 1746"/>
    <m/>
    <x v="6"/>
    <s v=" Ger Governança de TI"/>
    <s v="Dalton Bondesan"/>
    <s v="ALEXANDRE FONSECA PAPANIS"/>
    <x v="5"/>
    <d v="2015-08-28T16:55:00"/>
    <m/>
    <n v="185.29513888889051"/>
    <n v="8"/>
    <n v="2015"/>
    <x v="3"/>
  </r>
  <r>
    <s v="Requisição de Serviços"/>
    <s v="CTXMTZPB-88"/>
    <s v="Alteração de Layout do Mailing do Televendas"/>
    <m/>
    <x v="6"/>
    <s v=" Outro"/>
    <s v="Bruno Guerra Ferreira"/>
    <s v="Tatiane Rodrigues Dallecrode"/>
    <x v="5"/>
    <d v="2015-08-06T13:57:00"/>
    <m/>
    <n v="207.41874999999709"/>
    <n v="8"/>
    <n v="2015"/>
    <x v="3"/>
  </r>
  <r>
    <s v="Requisição de Serviços"/>
    <s v="CTXMLTREG-6041"/>
    <s v="Projeto - Migração das URAs de Cadastro para o IPCC/NGR"/>
    <m/>
    <x v="14"/>
    <s v=" Oi Movél"/>
    <s v="Sem responsável"/>
    <s v="Ricardo Jose Souza de Albuquerque"/>
    <x v="0"/>
    <d v="2016-02-12T10:22:00"/>
    <m/>
    <n v="17.568055555559113"/>
    <n v="2"/>
    <n v="2016"/>
    <x v="4"/>
  </r>
  <r>
    <s v="Requisição de Serviços"/>
    <s v="CTXMLTREG-5634"/>
    <s v="Projeto - Projeto Souza Cruz - Integração Discafácil x DAC x Chipeira"/>
    <m/>
    <x v="22"/>
    <s v=" Souza Cruz"/>
    <s v="Sem responsável"/>
    <s v="Luiz Washington Gianezzi"/>
    <x v="0"/>
    <d v="2016-01-22T15:39:00"/>
    <m/>
    <n v="38.347916666665697"/>
    <n v="1"/>
    <n v="2016"/>
    <x v="0"/>
  </r>
  <r>
    <s v="Requisição de Serviços"/>
    <s v="CTXMLTREG-4755"/>
    <s v="Projeto - Implantação Produto Folha On Line"/>
    <m/>
    <x v="6"/>
    <s v=" Ger Soluções e Processos RH"/>
    <s v="Bruno Guerra Ferreira"/>
    <s v="Erika Andrade Miguel"/>
    <x v="0"/>
    <d v="2015-11-24T18:23:00"/>
    <m/>
    <n v="97.234027777776646"/>
    <n v="11"/>
    <n v="2015"/>
    <x v="2"/>
  </r>
  <r>
    <s v="Requisição de Serviços"/>
    <s v="CTXMLTREG-4553"/>
    <s v="Projeto - &quot;Proposta comercial para upgrade dos servidores do NGR Monitor&quot;"/>
    <m/>
    <x v="14"/>
    <s v=" Ura"/>
    <s v="Bruno Guerra Ferreira"/>
    <s v="Ricardo Jose Souza de Albuquerque"/>
    <x v="0"/>
    <d v="2015-10-30T18:56:00"/>
    <m/>
    <n v="122.21111111110804"/>
    <n v="10"/>
    <n v="2015"/>
    <x v="2"/>
  </r>
  <r>
    <s v="Requisição de Serviços"/>
    <s v="CTXMLTREG-4428"/>
    <s v="Projeto - Substituição do Emulador Passport pelo Emulador PW3270"/>
    <m/>
    <x v="16"/>
    <s v=" Ação Conta Corrente"/>
    <s v="Ricardo de Oliveira Flores"/>
    <s v="Luiz Washington Gianezzi"/>
    <x v="0"/>
    <d v="2015-10-20T15:27:00"/>
    <m/>
    <n v="132.35624999999709"/>
    <n v="10"/>
    <n v="2015"/>
    <x v="2"/>
  </r>
  <r>
    <s v="Requisição de Serviços"/>
    <s v="CTXMLTREG-4427"/>
    <s v="Projeto - Substituição do Emulador Passport pelo Emulado PW3270"/>
    <m/>
    <x v="13"/>
    <s v=" Bonsucesso (C)"/>
    <s v="Ricardo de Oliveira Flores"/>
    <s v="Luiz Washington Gianezzi"/>
    <x v="0"/>
    <d v="2015-10-20T15:21:00"/>
    <m/>
    <n v="132.36041666667006"/>
    <n v="10"/>
    <n v="2015"/>
    <x v="2"/>
  </r>
  <r>
    <s v="Requisição de Serviços"/>
    <s v="CTXMLTREG-4375"/>
    <s v="Projeto - &quot;Definir o modelo de atendimento das URAs de Cadastro&quot;"/>
    <m/>
    <x v="14"/>
    <s v=" Oi Movél"/>
    <s v="Ricardo Jose Souza de Albuquerque"/>
    <s v="Ricardo Jose Souza de Albuquerque"/>
    <x v="1"/>
    <d v="2015-10-15T17:38:00"/>
    <d v="2016-02-15T09:36:00"/>
    <n v="122.6652777777781"/>
    <n v="10"/>
    <n v="2015"/>
    <x v="2"/>
  </r>
  <r>
    <s v="Requisição de Serviços"/>
    <s v="CTXMLTREG-4307"/>
    <s v="Projeto - Projeto"/>
    <m/>
    <x v="13"/>
    <s v=" Central Bancos"/>
    <s v="Dalton Bondesan"/>
    <s v="Juliana Souza de Moraes"/>
    <x v="0"/>
    <d v="2015-10-08T18:37:00"/>
    <m/>
    <n v="144.22430555555911"/>
    <n v="10"/>
    <n v="2015"/>
    <x v="2"/>
  </r>
  <r>
    <s v="Requisição de Serviços"/>
    <s v="CTXMLTREG-4245"/>
    <s v="Projeto - Projeto"/>
    <m/>
    <x v="6"/>
    <s v=" Ger Soluções e Processos RH"/>
    <s v="Bruno Guerra Ferreira"/>
    <s v="Erika Andrade Miguel"/>
    <x v="0"/>
    <d v="2015-10-05T09:18:00"/>
    <m/>
    <n v="147.61250000000291"/>
    <n v="10"/>
    <n v="2015"/>
    <x v="2"/>
  </r>
  <r>
    <s v="Requisição de Serviços"/>
    <s v="CTXMLTREG-4207"/>
    <s v="Projeto - Infraestrutura_PortalCorporativo_Chrome"/>
    <m/>
    <x v="6"/>
    <s v=" Ger Adm RH"/>
    <s v="Dalton Bondesan"/>
    <s v="Erika Andrade Miguel"/>
    <x v="6"/>
    <d v="2015-09-29T16:47:00"/>
    <m/>
    <n v="153.30069444444234"/>
    <n v="9"/>
    <n v="2015"/>
    <x v="3"/>
  </r>
  <r>
    <s v="Requisição de Serviços"/>
    <s v="CTXMLTREG-4086"/>
    <s v="Projeto - Projeto"/>
    <m/>
    <x v="13"/>
    <s v=" Central Bancos"/>
    <s v="Dalton Bondesan"/>
    <s v="Juliana Souza de Moraes"/>
    <x v="5"/>
    <d v="2015-09-15T10:46:00"/>
    <m/>
    <n v="167.55138888888905"/>
    <n v="9"/>
    <n v="2015"/>
    <x v="3"/>
  </r>
  <r>
    <s v="Requisição de Serviços"/>
    <s v="CTXMLTREG-3841"/>
    <s v="Projeto - Projeto"/>
    <m/>
    <x v="14"/>
    <s v=" SAC Pré Pago"/>
    <s v="Dalton Bondesan"/>
    <s v="Anderson Luiz Gon�alves de Alcantara"/>
    <x v="0"/>
    <d v="2015-07-06T16:33:00"/>
    <m/>
    <n v="238.31041666666715"/>
    <n v="7"/>
    <n v="2015"/>
    <x v="3"/>
  </r>
  <r>
    <s v="Requisição de Serviços"/>
    <s v="CTXMLTREG-3831"/>
    <s v="Projeto - Projeto"/>
    <m/>
    <x v="14"/>
    <s v=" SAC"/>
    <s v="Sem responsável"/>
    <s v="Anderson Luiz Gon�alves de Alcantara"/>
    <x v="0"/>
    <d v="2015-06-30T17:02:00"/>
    <m/>
    <n v="244.2902777777781"/>
    <n v="6"/>
    <n v="2015"/>
    <x v="3"/>
  </r>
  <r>
    <s v="Requisição de Serviços"/>
    <s v="CTXMLTREG-3703"/>
    <s v="Projeto - Projeto"/>
    <m/>
    <x v="6"/>
    <s v=" Ambulatório"/>
    <s v="Sem responsável"/>
    <s v="Erika Andrade Miguel"/>
    <x v="4"/>
    <d v="2015-04-29T15:24:00"/>
    <m/>
    <n v="306.35833333332994"/>
    <n v="4"/>
    <n v="2015"/>
    <x v="3"/>
  </r>
  <r>
    <s v="Requisição de Serviços"/>
    <s v="CTXMLTREG-3663"/>
    <s v="Liberação de novo link para Operações Oi"/>
    <m/>
    <x v="6"/>
    <s v=" Outro"/>
    <s v="Sem responsável"/>
    <s v="Maiara Tavares da Cruz"/>
    <x v="4"/>
    <d v="2015-04-09T15:46:00"/>
    <m/>
    <n v="326.34305555555329"/>
    <n v="4"/>
    <n v="2015"/>
    <x v="3"/>
  </r>
  <r>
    <s v="Requisição de Serviços"/>
    <s v="CTXMLTREG-3647"/>
    <s v="Projeto - Projeto"/>
    <m/>
    <x v="6"/>
    <s v=" Ger Sistemas Corporativos"/>
    <s v="Dalton Bondesan"/>
    <s v="Erika Andrade Miguel"/>
    <x v="2"/>
    <d v="2015-04-01T15:41:00"/>
    <m/>
    <n v="334.34652777777956"/>
    <n v="4"/>
    <n v="2015"/>
    <x v="3"/>
  </r>
  <r>
    <s v="Requisição de Serviços"/>
    <s v="CTXMLTREG-3442"/>
    <s v="Projeto Atendimento 102 (URA unificada R1 e R2)"/>
    <m/>
    <x v="14"/>
    <n v="102"/>
    <s v="Maiara Tavares da Cruz"/>
    <s v="Maiara Tavares da Cruz"/>
    <x v="1"/>
    <d v="2014-12-05T12:17:00"/>
    <d v="2016-01-14T14:53:00"/>
    <n v="405.10833333332994"/>
    <n v="12"/>
    <n v="2014"/>
    <x v="3"/>
  </r>
  <r>
    <s v="Requisição de Serviços"/>
    <s v="CTXLONLA-28251"/>
    <s v="Migração POP 3 - TÉCNICO UNIFICADO - JOINVILLE Vs. LONDRINA"/>
    <m/>
    <x v="4"/>
    <s v=" Vivo"/>
    <s v="Vania de Moraes Colella"/>
    <s v="Vania de Moraes Colella"/>
    <x v="1"/>
    <d v="2015-11-06T16:22:00"/>
    <d v="2015-12-15T09:30:00"/>
    <n v="38.713888888894871"/>
    <n v="11"/>
    <n v="2015"/>
    <x v="0"/>
  </r>
  <r>
    <s v="Requisição de Serviços"/>
    <s v="CTXLONLA-28211"/>
    <s v="Migração POP 3 *4979 - JOINVILLE vs. LONDRINA"/>
    <m/>
    <x v="4"/>
    <s v=" Vivo"/>
    <s v="Vania de Moraes Colella"/>
    <s v="Vania de Moraes Colella"/>
    <x v="1"/>
    <d v="2015-11-05T17:41:00"/>
    <d v="2015-12-15T09:44:00"/>
    <n v="39.66874999999709"/>
    <n v="11"/>
    <n v="2015"/>
    <x v="0"/>
  </r>
  <r>
    <s v="Requisição de Serviços"/>
    <s v="CTXLONLA-28210"/>
    <s v="Migração POP 3 SUPORTE 4979 - JOINVILLE vs. LONDRINA"/>
    <m/>
    <x v="4"/>
    <s v=" Vivo"/>
    <s v="Vania de Moraes Colella"/>
    <s v="Vania de Moraes Colella"/>
    <x v="1"/>
    <d v="2015-11-05T17:35:00"/>
    <d v="2015-12-15T09:33:00"/>
    <n v="39.665277777778101"/>
    <n v="11"/>
    <n v="2015"/>
    <x v="0"/>
  </r>
  <r>
    <s v="Requisição de Serviços"/>
    <s v="CTXLONLA-28201"/>
    <s v="Migração POP 3 ALTO VALOR SEGMENTADO - JOINVILLE vs. LONDRINA"/>
    <m/>
    <x v="4"/>
    <s v=" Vivo"/>
    <s v="Vania de Moraes Colella"/>
    <s v="Vania de Moraes Colella"/>
    <x v="1"/>
    <d v="2015-11-05T13:04:00"/>
    <d v="2015-12-15T09:36:00"/>
    <n v="39.855555555557657"/>
    <n v="11"/>
    <n v="2015"/>
    <x v="0"/>
  </r>
  <r>
    <s v="Requisição de Serviços"/>
    <s v="CTXLONLA-28200"/>
    <s v="Migração POP 3 -BASICO SEGMENTADO - JOINVILLE vs. LONDRINA"/>
    <m/>
    <x v="4"/>
    <s v=" Vivo"/>
    <s v="Vania de Moraes Colella"/>
    <s v="Vania de Moraes Colella"/>
    <x v="1"/>
    <d v="2015-11-05T13:02:00"/>
    <d v="2015-12-15T09:38:00"/>
    <n v="39.858333333329938"/>
    <n v="11"/>
    <n v="2015"/>
    <x v="0"/>
  </r>
  <r>
    <s v="Requisição de Serviços"/>
    <s v="CTXLONLA-28199"/>
    <s v="Migração POP 3 TOP SEGMENTADO - JOINVILLE vs. LONDRINA"/>
    <m/>
    <x v="4"/>
    <s v=" Vivo"/>
    <s v="Vania de Moraes Colella"/>
    <s v="Vania de Moraes Colella"/>
    <x v="1"/>
    <d v="2015-11-05T12:56:00"/>
    <d v="2015-12-15T09:40:00"/>
    <n v="39.863888888889051"/>
    <n v="11"/>
    <n v="2015"/>
    <x v="0"/>
  </r>
  <r>
    <s v="Requisição de Serviços"/>
    <s v="CTXLONLA-28170"/>
    <s v="Migração POP 3 - MASSIVO SEGMENTADO - JOINVILLE vs. LONDRINA"/>
    <m/>
    <x v="4"/>
    <s v=" Vivo"/>
    <s v="Vania de Moraes Colella"/>
    <s v="Vania de Moraes Colella"/>
    <x v="1"/>
    <d v="2015-11-04T18:47:00"/>
    <d v="2015-12-15T09:41:00"/>
    <n v="40.620833333334303"/>
    <n v="11"/>
    <n v="2015"/>
    <x v="0"/>
  </r>
  <r>
    <s v="Requisição de Serviços"/>
    <s v="CTXLONLA-26632"/>
    <s v="VIVO TETRIS - *4979"/>
    <m/>
    <x v="4"/>
    <s v=" Vivo"/>
    <s v="BRUNO DIEGO ANTUNES RIBEIRO"/>
    <s v="Vania de Moraes Colella"/>
    <x v="0"/>
    <d v="2015-09-22T19:01:00"/>
    <m/>
    <n v="160.20763888888905"/>
    <n v="9"/>
    <n v="2015"/>
    <x v="3"/>
  </r>
  <r>
    <s v="Requisição de Serviços"/>
    <s v="CTXJOINP-11673"/>
    <s v="Projeto - Projeto"/>
    <m/>
    <x v="4"/>
    <s v=" Vivo"/>
    <s v="Sem responsável"/>
    <s v="Vania de Moraes Colella"/>
    <x v="4"/>
    <d v="2015-02-24T16:24:00"/>
    <m/>
    <n v="370.3166666666657"/>
    <n v="2"/>
    <n v="2015"/>
    <x v="3"/>
  </r>
  <r>
    <s v="Requisição de Serviços"/>
    <s v="CTXJOINP-11654"/>
    <s v="Substituição máquinas operação Vivo"/>
    <m/>
    <x v="4"/>
    <s v=" Vivo"/>
    <s v="Sem responsável"/>
    <s v="Luciana da Silva Cardoso"/>
    <x v="4"/>
    <d v="2015-02-24T09:11:00"/>
    <m/>
    <n v="370.61736111110804"/>
    <n v="2"/>
    <n v="2015"/>
    <x v="3"/>
  </r>
  <r>
    <s v="Requisição de Serviços"/>
    <s v="CTXFORNA-28061"/>
    <s v="Projeto - Movimentar ramais no salão do Citi"/>
    <m/>
    <x v="6"/>
    <s v=" Outro"/>
    <s v="Sem responsável"/>
    <s v="Mariana da Costa Mello"/>
    <x v="0"/>
    <d v="2016-02-16T18:04:00"/>
    <m/>
    <n v="13.247222222220444"/>
    <n v="2"/>
    <n v="2016"/>
    <x v="4"/>
  </r>
  <r>
    <s v="Requisição de Serviços"/>
    <s v="CTXFORNA-27596"/>
    <s v="Projeto - Crescer 2 pa's na operação Citibank Cobrança no Site Nascente 2º andar"/>
    <m/>
    <x v="6"/>
    <s v=" Outro"/>
    <s v="Mariana da Costa Mello"/>
    <s v="Mariana da Costa Mello"/>
    <x v="1"/>
    <d v="2016-01-14T16:00:00"/>
    <d v="2016-01-21T09:33:00"/>
    <n v="6.7312500000043656"/>
    <n v="1"/>
    <n v="2016"/>
    <x v="4"/>
  </r>
  <r>
    <s v="Requisição de Serviços"/>
    <s v="CTXFORNA-26367"/>
    <s v="Projeto - Acompanhar migração do Sistema do Citi"/>
    <m/>
    <x v="6"/>
    <s v=" Outro"/>
    <s v="Bruno Guerra Ferreira"/>
    <s v="Mariana da Costa Mello"/>
    <x v="0"/>
    <d v="2015-10-21T11:46:00"/>
    <m/>
    <n v="131.50972222222481"/>
    <n v="10"/>
    <n v="2015"/>
    <x v="2"/>
  </r>
  <r>
    <s v="Requisição de Serviços"/>
    <s v="CTXFORNA-25436"/>
    <s v="Projeto - Substituir Front End e Discador Operação Leader"/>
    <m/>
    <x v="23"/>
    <s v=" Cobrança Leader"/>
    <s v="BRUNO DIEGO ANTUNES RIBEIRO"/>
    <s v="Carlos Batista Alves"/>
    <x v="2"/>
    <d v="2015-08-18T10:42:00"/>
    <m/>
    <n v="195.55416666666861"/>
    <n v="8"/>
    <n v="2015"/>
    <x v="3"/>
  </r>
  <r>
    <s v="Requisição de Serviços"/>
    <s v="CTXFORBM-357993"/>
    <s v="Projeto - 'Implantação da retenção loja pós pago&quot;"/>
    <m/>
    <x v="14"/>
    <s v=" Retenção"/>
    <s v="Sem responsável"/>
    <s v="David Lima Cavalcante"/>
    <x v="0"/>
    <d v="2016-02-17T17:11:00"/>
    <m/>
    <n v="12.284027777779556"/>
    <n v="2"/>
    <n v="2016"/>
    <x v="4"/>
  </r>
  <r>
    <s v="Requisição de Serviços"/>
    <s v="CTXFORBM-357817"/>
    <s v="Projeto - Implantação Ativo de Reversão Oi Controle"/>
    <m/>
    <x v="14"/>
    <s v=" Retenção"/>
    <s v="Sem responsável"/>
    <s v="Lucas Lourenco de Melo"/>
    <x v="0"/>
    <d v="2016-02-16T19:37:00"/>
    <m/>
    <n v="13.182638888887595"/>
    <n v="2"/>
    <n v="2016"/>
    <x v="4"/>
  </r>
  <r>
    <s v="Requisição de Serviços"/>
    <s v="CTXFORBM-356683"/>
    <s v="Projeto - &quot;Novo Mailing Ativo Portabilidade Móvel&quot;"/>
    <m/>
    <x v="14"/>
    <s v=" Retenção"/>
    <s v="Sem responsável"/>
    <s v="Cristiano Fernandes Melo"/>
    <x v="0"/>
    <d v="2016-02-12T11:23:00"/>
    <m/>
    <n v="17.525694444440887"/>
    <n v="2"/>
    <n v="2016"/>
    <x v="4"/>
  </r>
  <r>
    <s v="Requisição de Serviços"/>
    <s v="CTXFORBM-356566"/>
    <s v="Projeto - Crescimento de 2 p.a's para o ativo de reversão Fixo"/>
    <m/>
    <x v="14"/>
    <s v=" Retenção"/>
    <s v="Sem responsável"/>
    <s v="Lisandra Pereira do Nascimento"/>
    <x v="0"/>
    <d v="2016-02-11T20:20:00"/>
    <m/>
    <n v="18.152777777781012"/>
    <n v="2"/>
    <n v="2016"/>
    <x v="4"/>
  </r>
  <r>
    <s v="Requisição de Serviços"/>
    <s v="CTXFORBM-356564"/>
    <s v="Projeto - Crescimento de 10 p.a's para os ativos de reversão TV"/>
    <m/>
    <x v="14"/>
    <s v=" Retenção"/>
    <s v="Sem responsável"/>
    <s v="Lisandra Pereira do Nascimento"/>
    <x v="0"/>
    <d v="2016-02-11T20:16:00"/>
    <m/>
    <n v="18.155555555553292"/>
    <n v="2"/>
    <n v="2016"/>
    <x v="4"/>
  </r>
  <r>
    <s v="Requisição de Serviços"/>
    <s v="CTXFORBM-356562"/>
    <s v="Projeto - Crescimento de 42 p.a's para o Receptivo TV"/>
    <m/>
    <x v="14"/>
    <s v=" Retenção"/>
    <s v="Sem responsável"/>
    <s v="Lisandra Pereira do Nascimento"/>
    <x v="0"/>
    <d v="2016-02-11T20:08:00"/>
    <m/>
    <n v="18.161111111112405"/>
    <n v="2"/>
    <n v="2016"/>
    <x v="4"/>
  </r>
  <r>
    <s v="Requisição de Serviços"/>
    <s v="CTXFORBM-356561"/>
    <s v="Projeto - Crescimento de 15 p.a's para o Receptivo Oi Total"/>
    <m/>
    <x v="14"/>
    <s v=" Retenção"/>
    <s v="Sem responsável"/>
    <s v="Lisandra Pereira do Nascimento"/>
    <x v="0"/>
    <d v="2016-02-11T20:01:00"/>
    <m/>
    <n v="18.165972222224809"/>
    <n v="2"/>
    <n v="2016"/>
    <x v="4"/>
  </r>
  <r>
    <s v="Requisição de Serviços"/>
    <s v="CTXFORBM-356558"/>
    <s v="Projeto - Crescimento de 6 p.a's para o Receptivo OCT"/>
    <m/>
    <x v="14"/>
    <s v=" Retenção"/>
    <s v="Sem responsável"/>
    <s v="Lisandra Pereira do Nascimento"/>
    <x v="0"/>
    <d v="2016-02-11T19:51:00"/>
    <m/>
    <n v="18.172916666670062"/>
    <n v="2"/>
    <n v="2016"/>
    <x v="4"/>
  </r>
  <r>
    <s v="Requisição de Serviços"/>
    <s v="CTXFORBM-356556"/>
    <s v="Projeto - Crescimento de 35 p.a's para a Retenção Móvel - Receptivo Pós"/>
    <m/>
    <x v="14"/>
    <s v=" Retenção"/>
    <s v="Sem responsável"/>
    <s v="Lisandra Pereira do Nascimento"/>
    <x v="0"/>
    <d v="2016-02-11T19:45:00"/>
    <m/>
    <n v="18.177083333335759"/>
    <n v="2"/>
    <n v="2016"/>
    <x v="4"/>
  </r>
  <r>
    <s v="Requisição de Serviços"/>
    <s v="CTXFORBM-356553"/>
    <s v="Projeto - Crescimento de 3 p.a's para a Ilha de Receita Pós + OCT"/>
    <m/>
    <x v="14"/>
    <s v=" Retenção"/>
    <s v="Sem responsável"/>
    <s v="Lisandra Pereira do Nascimento"/>
    <x v="0"/>
    <d v="2016-02-11T19:30:00"/>
    <m/>
    <n v="18.1875"/>
    <n v="2"/>
    <n v="2016"/>
    <x v="4"/>
  </r>
  <r>
    <s v="Requisição de Serviços"/>
    <s v="CTXFORBM-356551"/>
    <s v="Projeto - Crescimento de 10 p.a's para a Ilha de Receita R1"/>
    <m/>
    <x v="14"/>
    <s v=" Retenção"/>
    <s v="Sem responsável"/>
    <s v="Lisandra Pereira do Nascimento"/>
    <x v="0"/>
    <d v="2016-02-11T19:21:00"/>
    <m/>
    <n v="18.193749999998545"/>
    <n v="2"/>
    <n v="2016"/>
    <x v="4"/>
  </r>
  <r>
    <s v="Requisição de Serviços"/>
    <s v="CTXFORBM-356544"/>
    <s v="Projeto - Crescimento de 7 p.a's para o b.o da blindagem"/>
    <m/>
    <x v="14"/>
    <s v=" Retenção"/>
    <s v="Sem responsável"/>
    <s v="Lisandra Pereira do Nascimento"/>
    <x v="0"/>
    <d v="2016-02-11T18:56:00"/>
    <m/>
    <n v="18.211111111108039"/>
    <n v="2"/>
    <n v="2016"/>
    <x v="4"/>
  </r>
  <r>
    <s v="Requisição de Serviços"/>
    <s v="CTXFORBM-356540"/>
    <s v="Projeto - Crescimento de 8 p.a's para a blindagem refidelização"/>
    <m/>
    <x v="14"/>
    <s v=" Retenção"/>
    <s v="Sem responsável"/>
    <s v="Lisandra Pereira do Nascimento"/>
    <x v="0"/>
    <d v="2016-02-11T18:33:00"/>
    <m/>
    <n v="18.227083333331393"/>
    <n v="2"/>
    <n v="2016"/>
    <x v="4"/>
  </r>
  <r>
    <s v="Requisição de Serviços"/>
    <s v="CTXFORBM-356388"/>
    <s v="Projeto - &quot;Processamento Mailing Carga de Débitos Retenção Invol&quot;"/>
    <m/>
    <x v="14"/>
    <s v=" Retenção"/>
    <s v="Sem responsável"/>
    <s v="Cristiano Fernandes Melo"/>
    <x v="0"/>
    <d v="2016-02-11T12:12:00"/>
    <m/>
    <n v="18.491666666668607"/>
    <n v="2"/>
    <n v="2016"/>
    <x v="4"/>
  </r>
  <r>
    <s v="Requisição de Serviços"/>
    <s v="CTXFORBM-356205"/>
    <s v="Projeto - &quot;Customização TLV Atendimento Receptivo_Portabilidade Móvel&quot;"/>
    <m/>
    <x v="14"/>
    <s v=" Retenção"/>
    <s v="Raphael Andre Marcandier Goncalves"/>
    <s v="Cristiano Fernandes Melo"/>
    <x v="0"/>
    <d v="2016-02-10T18:12:00"/>
    <m/>
    <n v="19.241666666668607"/>
    <n v="2"/>
    <n v="2016"/>
    <x v="4"/>
  </r>
  <r>
    <s v="Requisição de Serviços"/>
    <s v="CTXFORBM-354610"/>
    <s v="Projeto - &quot;Alterar visão da base da pesquisa_Retenção Invol&quot;"/>
    <m/>
    <x v="14"/>
    <s v=" Retenção"/>
    <s v="Sem responsável"/>
    <s v="Cristiano Fernandes Melo"/>
    <x v="0"/>
    <d v="2016-02-03T15:45:00"/>
    <m/>
    <n v="26.34375"/>
    <n v="2"/>
    <n v="2016"/>
    <x v="4"/>
  </r>
  <r>
    <s v="Requisição de Serviços"/>
    <s v="CTXFORBM-354062"/>
    <s v="Projeto - &quot;Processamento dos Mailings de Carga Retenção Invol&quot;"/>
    <m/>
    <x v="14"/>
    <s v=" Retenção"/>
    <s v="Cristiano Fernandes Melo"/>
    <s v="Cristiano Fernandes Melo"/>
    <x v="1"/>
    <d v="2016-02-02T11:36:00"/>
    <d v="2016-02-04T20:33:00"/>
    <n v="2.3729166666671517"/>
    <n v="2"/>
    <n v="2016"/>
    <x v="4"/>
  </r>
  <r>
    <s v="Requisição de Serviços"/>
    <s v="CTXFORBM-350901"/>
    <s v="Projeto - Migração Oi Total Ilha de Downgrade"/>
    <m/>
    <x v="14"/>
    <s v=" Retenção"/>
    <s v="Lisandra Pereira do Nascimento"/>
    <s v="Lisandra Pereira do Nascimento"/>
    <x v="1"/>
    <d v="2016-01-22T19:23:00"/>
    <d v="2016-01-29T11:50:00"/>
    <n v="6.6854166666671517"/>
    <n v="1"/>
    <n v="2016"/>
    <x v="4"/>
  </r>
  <r>
    <s v="Requisição de Serviços"/>
    <s v="CTXFORBM-350825"/>
    <s v="Projeto - Filtro de score para atuarmos no melhor publico para o segmento A10"/>
    <m/>
    <x v="23"/>
    <s v=" Cobrança Leader"/>
    <s v="Sem responsável"/>
    <s v="Elmara Cernauskas Riolo Iglesias"/>
    <x v="0"/>
    <d v="2016-01-22T16:48:00"/>
    <m/>
    <n v="38.30000000000291"/>
    <n v="1"/>
    <n v="2016"/>
    <x v="0"/>
  </r>
  <r>
    <s v="Requisição de Serviços"/>
    <s v="CTXFORBM-350823"/>
    <s v="Projeto - &quot;Por favor, usuário, utilizar este campo para informar o nome do Projeto&quot;"/>
    <m/>
    <x v="23"/>
    <s v=" Cobrança Leader"/>
    <s v="Sem responsável"/>
    <s v="Elmara Cernauskas Riolo Iglesias"/>
    <x v="0"/>
    <d v="2016-01-22T16:45:00"/>
    <m/>
    <n v="38.302083333335759"/>
    <n v="1"/>
    <n v="2016"/>
    <x v="0"/>
  </r>
  <r>
    <s v="Requisição de Serviços"/>
    <s v="CTXFORBM-349886"/>
    <s v="Projeto - Migração em Massa - Oi Total"/>
    <m/>
    <x v="14"/>
    <s v=" Retenção"/>
    <s v="Julio Cesar da Silva"/>
    <s v="Lisandra Pereira do Nascimento"/>
    <x v="0"/>
    <d v="2016-01-20T10:31:00"/>
    <m/>
    <n v="40.561805555553292"/>
    <n v="1"/>
    <n v="2016"/>
    <x v="0"/>
  </r>
  <r>
    <s v="Requisição de Serviços"/>
    <s v="CTXFORBM-348749"/>
    <s v="Projeto - &quot;Reforecast fev/16&quot;"/>
    <m/>
    <x v="14"/>
    <s v=" Suporte Técnico"/>
    <s v="Sem responsável"/>
    <s v="Anderson Luiz Gon�alves de Alcantara"/>
    <x v="0"/>
    <d v="2016-01-15T10:55:00"/>
    <m/>
    <n v="45.545138888890506"/>
    <n v="1"/>
    <n v="2016"/>
    <x v="0"/>
  </r>
  <r>
    <s v="Requisição de Serviços"/>
    <s v="CTXFORBM-348646"/>
    <s v="Projeto - Atualização do simulador do receptivo Pós"/>
    <m/>
    <x v="14"/>
    <s v=" Retenção"/>
    <s v="Sem responsável"/>
    <s v="Lisandra Pereira do Nascimento"/>
    <x v="0"/>
    <d v="2016-01-14T20:43:00"/>
    <m/>
    <n v="46.136805555557657"/>
    <n v="1"/>
    <n v="2016"/>
    <x v="0"/>
  </r>
  <r>
    <s v="Requisição de Serviços"/>
    <s v="CTXFORBM-348625"/>
    <s v="Projeto - Tetris Retenção"/>
    <m/>
    <x v="14"/>
    <s v=" Retenção"/>
    <s v="Lisandra Pereira do Nascimento"/>
    <s v="Lisandra Pereira do Nascimento"/>
    <x v="3"/>
    <d v="2016-01-14T18:37:00"/>
    <d v="2016-02-18T09:47:00"/>
    <n v="34.631944444445253"/>
    <n v="1"/>
    <n v="2016"/>
    <x v="0"/>
  </r>
  <r>
    <s v="Requisição de Serviços"/>
    <s v="CTXFORBM-348606"/>
    <s v="SIMULADOR RETENÇÃO OI TOTAL"/>
    <m/>
    <x v="14"/>
    <s v=" Retenção"/>
    <s v="Bruno Guerra Ferreira"/>
    <s v="Sterlaine Priscila Araujo Gomes"/>
    <x v="2"/>
    <d v="2016-01-14T17:45:00"/>
    <m/>
    <n v="46.260416666664241"/>
    <n v="1"/>
    <n v="2016"/>
    <x v="0"/>
  </r>
  <r>
    <s v="Requisição de Serviços"/>
    <s v="CTXFORBM-348601"/>
    <s v="Projeto - &quot;Ativo Pesquisa de Satisfação Retenção Unificado&quot;"/>
    <m/>
    <x v="14"/>
    <s v=" Retenção"/>
    <s v="Julio Cesar da Silva"/>
    <s v="Cristiano Fernandes Melo"/>
    <x v="0"/>
    <d v="2016-01-14T17:26:00"/>
    <m/>
    <n v="46.273611111108039"/>
    <n v="1"/>
    <n v="2016"/>
    <x v="0"/>
  </r>
  <r>
    <s v="Requisição de Serviços"/>
    <s v="CTXFORBM-348261"/>
    <s v="Projeto - Implantação Retenção Involuntária R2"/>
    <m/>
    <x v="14"/>
    <s v=" Retenção"/>
    <s v="Bruno Guerra Ferreira"/>
    <s v="Lucas Lourenco de Melo"/>
    <x v="0"/>
    <d v="2016-01-13T15:20:00"/>
    <m/>
    <n v="47.361111111109494"/>
    <n v="1"/>
    <n v="2016"/>
    <x v="0"/>
  </r>
  <r>
    <s v="Requisição de Serviços"/>
    <s v="CTXFORBM-347867"/>
    <s v="Projeto - Crescimento de 5 p.a's para a Blindagem Oi Total 3p"/>
    <m/>
    <x v="14"/>
    <s v=" Retenção"/>
    <s v="Lisandra Pereira do Nascimento"/>
    <s v="Lisandra Pereira do Nascimento"/>
    <x v="3"/>
    <d v="2016-01-12T12:18:00"/>
    <d v="2016-02-18T09:41:00"/>
    <n v="36.890972222223354"/>
    <n v="1"/>
    <n v="2016"/>
    <x v="0"/>
  </r>
  <r>
    <s v="Requisição de Serviços"/>
    <s v="CTXFORBM-347687"/>
    <s v="Projeto - Crescimento de 1 p.a's para o b.o blindagem multiprodutos"/>
    <m/>
    <x v="14"/>
    <s v=" Retenção"/>
    <s v="Lisandra Pereira do Nascimento"/>
    <s v="Lisandra Pereira do Nascimento"/>
    <x v="3"/>
    <d v="2016-01-11T17:46:00"/>
    <d v="2016-02-18T09:45:00"/>
    <n v="37.665972222224809"/>
    <n v="1"/>
    <n v="2016"/>
    <x v="0"/>
  </r>
  <r>
    <s v="Requisição de Serviços"/>
    <s v="CTXFORBM-347679"/>
    <s v="Projeto - Crescimento de 5 p.a's para o propenso TV"/>
    <m/>
    <x v="14"/>
    <s v=" Retenção"/>
    <s v="Lisandra Pereira do Nascimento"/>
    <s v="Lisandra Pereira do Nascimento"/>
    <x v="3"/>
    <d v="2016-01-11T17:31:00"/>
    <d v="2016-02-18T09:43:00"/>
    <n v="37.67500000000291"/>
    <n v="1"/>
    <n v="2016"/>
    <x v="0"/>
  </r>
  <r>
    <s v="Requisição de Serviços"/>
    <s v="CTXFORBM-347671"/>
    <s v="Projeto - Crescimento de 7 p.a's para o Receptivo OCT"/>
    <m/>
    <x v="14"/>
    <s v=" Retenção"/>
    <s v="Lisandra Pereira do Nascimento"/>
    <s v="Lisandra Pereira do Nascimento"/>
    <x v="3"/>
    <d v="2016-01-11T17:16:00"/>
    <d v="2016-02-18T09:39:00"/>
    <n v="37.682638888887595"/>
    <n v="1"/>
    <n v="2016"/>
    <x v="0"/>
  </r>
  <r>
    <s v="Requisição de Serviços"/>
    <s v="CTXFORBM-347668"/>
    <s v="Projeto - Crescimento de 14 p.a's para o Receptivo Pós"/>
    <m/>
    <x v="14"/>
    <s v=" Retenção"/>
    <s v="Lisandra Pereira do Nascimento"/>
    <s v="Lisandra Pereira do Nascimento"/>
    <x v="3"/>
    <d v="2016-01-11T17:15:00"/>
    <d v="2016-02-18T09:29:00"/>
    <n v="37.676388888889051"/>
    <n v="1"/>
    <n v="2016"/>
    <x v="0"/>
  </r>
  <r>
    <s v="Requisição de Serviços"/>
    <s v="CTXFORBM-345719"/>
    <s v="Projeto - &quot;Configuração 0800 Retenção Portabilidade Móvel&quot;"/>
    <m/>
    <x v="14"/>
    <s v=" Retenção"/>
    <s v="Sem responsável"/>
    <s v="Cristiano Fernandes Melo"/>
    <x v="0"/>
    <d v="2016-01-05T16:50:00"/>
    <m/>
    <n v="55.298611111109494"/>
    <n v="1"/>
    <n v="2016"/>
    <x v="0"/>
  </r>
  <r>
    <s v="Requisição de Serviços"/>
    <s v="CTXFORBM-344418"/>
    <s v="Projeto - Reestruturação BO Strategy"/>
    <m/>
    <x v="14"/>
    <s v=" Retenção"/>
    <s v="Julio Cesar da Silva"/>
    <s v="Lucas Lourenco de Melo"/>
    <x v="0"/>
    <d v="2015-12-30T17:12:00"/>
    <m/>
    <n v="61.283333333332848"/>
    <n v="12"/>
    <n v="2015"/>
    <x v="1"/>
  </r>
  <r>
    <s v="Requisição de Serviços"/>
    <s v="CTXFORBM-344109"/>
    <s v="Projeto - &quot;Novos Campos Mailing de Ofertas Retenção Invol&quot;"/>
    <m/>
    <x v="14"/>
    <s v=" Retenção"/>
    <s v="Julio Cesar da Silva"/>
    <s v="Cristiano Fernandes Melo"/>
    <x v="0"/>
    <d v="2015-12-29T18:23:00"/>
    <m/>
    <n v="62.234027777776646"/>
    <n v="12"/>
    <n v="2015"/>
    <x v="1"/>
  </r>
  <r>
    <s v="Requisição de Serviços"/>
    <s v="CTXFORBM-342171"/>
    <s v="Projeto - Crescimento de 5 p.a's para o RAC R2"/>
    <m/>
    <x v="14"/>
    <s v=" Retenção"/>
    <s v="Lisandra Pereira do Nascimento"/>
    <s v="Lisandra Pereira do Nascimento"/>
    <x v="1"/>
    <d v="2015-12-18T15:34:00"/>
    <d v="2016-01-07T11:48:00"/>
    <n v="19.843055555560568"/>
    <n v="12"/>
    <n v="2015"/>
    <x v="4"/>
  </r>
  <r>
    <s v="Requisição de Serviços"/>
    <s v="CTXFORBM-342169"/>
    <s v="Projeto - Crescimento de 3 p.a's para a retenção invol TV"/>
    <m/>
    <x v="14"/>
    <s v=" Retenção"/>
    <s v="Lisandra Pereira do Nascimento"/>
    <s v="Lisandra Pereira do Nascimento"/>
    <x v="1"/>
    <d v="2015-12-18T15:33:00"/>
    <d v="2016-01-07T11:26:00"/>
    <n v="19.828472222223354"/>
    <n v="12"/>
    <n v="2015"/>
    <x v="4"/>
  </r>
  <r>
    <s v="Requisição de Serviços"/>
    <s v="CTXFORBM-342167"/>
    <s v="Projeto - Crescimento de 9 p.a's para Retenção Invol fixo e velox"/>
    <m/>
    <x v="14"/>
    <s v=" Retenção"/>
    <s v="Lisandra Pereira do Nascimento"/>
    <s v="Lisandra Pereira do Nascimento"/>
    <x v="1"/>
    <d v="2015-12-18T15:32:00"/>
    <d v="2016-01-07T11:22:00"/>
    <n v="19.826388888890506"/>
    <n v="12"/>
    <n v="2015"/>
    <x v="4"/>
  </r>
  <r>
    <s v="Requisição de Serviços"/>
    <s v="CTXFORBM-342165"/>
    <s v="Projeto - Crescimento de 12 p.a's para o receptivo Oi total"/>
    <m/>
    <x v="14"/>
    <s v=" Retenção"/>
    <s v="Lisandra Pereira do Nascimento"/>
    <s v="Lisandra Pereira do Nascimento"/>
    <x v="1"/>
    <d v="2015-12-18T15:29:00"/>
    <d v="2016-01-07T11:17:00"/>
    <n v="19.82499999999709"/>
    <n v="12"/>
    <n v="2015"/>
    <x v="4"/>
  </r>
  <r>
    <s v="Requisição de Serviços"/>
    <s v="CTXFORBM-342164"/>
    <s v="Projeto - Crescimento de 43 p.a's para a Blindagem Oi Total 3p (multiprodutos)"/>
    <m/>
    <x v="14"/>
    <s v=" Retenção"/>
    <s v="Lisandra Pereira do Nascimento"/>
    <s v="Lisandra Pereira do Nascimento"/>
    <x v="1"/>
    <d v="2015-12-18T15:28:00"/>
    <d v="2016-01-07T11:13:00"/>
    <n v="19.822916666671517"/>
    <n v="12"/>
    <n v="2015"/>
    <x v="4"/>
  </r>
  <r>
    <s v="Requisição de Serviços"/>
    <s v="CTXFORBM-342163"/>
    <s v="Projeto - Crescimento de 14 p.a's para o Receptivo OCT"/>
    <m/>
    <x v="14"/>
    <s v=" Retenção"/>
    <s v="Lisandra Pereira do Nascimento"/>
    <s v="Lisandra Pereira do Nascimento"/>
    <x v="1"/>
    <d v="2015-12-18T15:26:00"/>
    <d v="2016-01-07T10:53:00"/>
    <n v="19.810416666667152"/>
    <n v="12"/>
    <n v="2015"/>
    <x v="4"/>
  </r>
  <r>
    <s v="Requisição de Serviços"/>
    <s v="CTXFORBM-342162"/>
    <s v="Projeto - Crescimento de 6 p.as para o Receptivo Pós"/>
    <m/>
    <x v="6"/>
    <s v=" Dir. Oi"/>
    <s v="Lisandra Pereira do Nascimento"/>
    <s v="Lisandra Pereira do Nascimento"/>
    <x v="1"/>
    <d v="2015-12-18T15:25:00"/>
    <d v="2016-01-07T10:50:00"/>
    <n v="19.809027777781012"/>
    <n v="12"/>
    <n v="2015"/>
    <x v="4"/>
  </r>
  <r>
    <s v="Requisição de Serviços"/>
    <s v="CTXFORBM-342161"/>
    <s v="Projeto - Crescimento de 9 p.a's para o B.O Mobilidade"/>
    <m/>
    <x v="14"/>
    <s v=" Retenção"/>
    <s v="Lisandra Pereira do Nascimento"/>
    <s v="Lisandra Pereira do Nascimento"/>
    <x v="1"/>
    <d v="2015-12-18T15:24:00"/>
    <d v="2016-01-07T10:46:00"/>
    <n v="19.806944444440887"/>
    <n v="12"/>
    <n v="2015"/>
    <x v="4"/>
  </r>
  <r>
    <s v="Requisição de Serviços"/>
    <s v="CTXFORBM-342159"/>
    <s v="Projeto - Crescimento de 27 p.a's para o receptivo Controle"/>
    <m/>
    <x v="14"/>
    <s v=" Retenção"/>
    <s v="Lisandra Pereira do Nascimento"/>
    <s v="Lisandra Pereira do Nascimento"/>
    <x v="1"/>
    <d v="2015-12-18T15:22:00"/>
    <d v="2016-01-07T10:44:00"/>
    <n v="19.806944444448163"/>
    <n v="12"/>
    <n v="2015"/>
    <x v="4"/>
  </r>
  <r>
    <s v="Requisição de Serviços"/>
    <s v="CTXFORBM-341752"/>
    <s v="Projeto - Incluir fleg DACC no Tcollect da Retenção Invol"/>
    <m/>
    <x v="14"/>
    <s v=" Retenção"/>
    <s v="Cristiano Fernandes Melo"/>
    <s v="Cristiano Fernandes Melo"/>
    <x v="1"/>
    <d v="2015-12-16T18:58:00"/>
    <d v="2016-01-14T14:55:00"/>
    <n v="28.83125000000291"/>
    <n v="12"/>
    <n v="2015"/>
    <x v="4"/>
  </r>
  <r>
    <s v="Requisição de Serviços"/>
    <s v="CTXFORBM-339448"/>
    <s v="Projeto - &quot;Implantação Blindagem Oi Total 2P&quot;"/>
    <m/>
    <x v="14"/>
    <s v=" Retenção"/>
    <s v="José Perboyre Cavalcante Pinheiro Neto"/>
    <s v="José Perboyre Cavalcante Pinheiro Neto"/>
    <x v="1"/>
    <d v="2015-12-08T19:14:00"/>
    <d v="2016-01-14T14:47:00"/>
    <n v="36.814583333332848"/>
    <n v="12"/>
    <n v="2015"/>
    <x v="0"/>
  </r>
  <r>
    <s v="Requisição de Serviços"/>
    <s v="CTXFORBM-335280"/>
    <s v="Projeto - Alteração no fluxo de carga"/>
    <m/>
    <x v="14"/>
    <s v=" Retenção"/>
    <s v="Lucas Lourenco de Melo"/>
    <s v="Lucas Lourenco de Melo"/>
    <x v="1"/>
    <d v="2015-11-20T17:56:00"/>
    <d v="2015-12-14T18:32:00"/>
    <n v="24.025000000001455"/>
    <n v="11"/>
    <n v="2015"/>
    <x v="4"/>
  </r>
  <r>
    <s v="Requisição de Serviços"/>
    <s v="CTXFORBM-335279"/>
    <s v="Projeto - Ajuste no processamento de carga"/>
    <m/>
    <x v="14"/>
    <s v=" Retenção"/>
    <s v="Bruno Guerra Ferreira"/>
    <s v="Lucas Lourenco de Melo"/>
    <x v="0"/>
    <d v="2015-11-20T17:49:00"/>
    <m/>
    <n v="101.25763888889196"/>
    <n v="11"/>
    <n v="2015"/>
    <x v="2"/>
  </r>
  <r>
    <s v="Requisição de Serviços"/>
    <s v="CTXFORBM-335112"/>
    <s v="Projeto - Ura de Pesquisa Retenção Oi Total"/>
    <m/>
    <x v="14"/>
    <s v=" Retenção"/>
    <s v="Sterlaine Priscila Araujo Gomes"/>
    <s v="Sterlaine Priscila Araujo Gomes"/>
    <x v="1"/>
    <d v="2015-11-20T08:34:00"/>
    <d v="2016-01-14T14:55:00"/>
    <n v="55.264583333337214"/>
    <n v="11"/>
    <n v="2015"/>
    <x v="0"/>
  </r>
  <r>
    <s v="Requisição de Serviços"/>
    <s v="CTXFORBM-333926"/>
    <s v="Projeto - OCT Madrugada - Atendimento Fibra e 4P"/>
    <m/>
    <x v="14"/>
    <s v=" Retenção"/>
    <s v="Lucas Lourenco de Melo"/>
    <s v="Lucas Lourenco de Melo"/>
    <x v="1"/>
    <d v="2015-11-16T09:43:00"/>
    <d v="2016-01-12T12:36:00"/>
    <n v="57.120138888887595"/>
    <n v="11"/>
    <n v="2015"/>
    <x v="0"/>
  </r>
  <r>
    <s v="Requisição de Serviços"/>
    <s v="CTXFORBM-332803"/>
    <s v="Projeto - Processo 2ª via TV"/>
    <m/>
    <x v="14"/>
    <s v=" Retenção"/>
    <s v="Lucas Lourenco de Melo"/>
    <s v="Lucas Lourenco de Melo"/>
    <x v="1"/>
    <d v="2015-11-10T13:09:00"/>
    <d v="2016-01-14T14:58:00"/>
    <n v="65.075694444443798"/>
    <n v="11"/>
    <n v="2015"/>
    <x v="1"/>
  </r>
  <r>
    <s v="Requisição de Serviços"/>
    <s v="CTXFORBM-332092"/>
    <s v="Projeto - &quot;Implantação de NBA na Retenção Mobilidade OCT e Pós&quot;"/>
    <m/>
    <x v="14"/>
    <s v=" Retenção"/>
    <s v="Julio Cesar da Silva"/>
    <s v="David Lima Cavalcante"/>
    <x v="0"/>
    <d v="2015-11-06T15:08:00"/>
    <m/>
    <n v="115.36944444444089"/>
    <n v="11"/>
    <n v="2015"/>
    <x v="2"/>
  </r>
  <r>
    <s v="Requisição de Serviços"/>
    <s v="CTXFORBM-326935"/>
    <s v="Projeto - Projeto - Limpeza de Base (Faturas ativas &gt; 199 dias) RETENÇÃO INVOL FIXA e MOVEL"/>
    <m/>
    <x v="14"/>
    <s v=" Retenção"/>
    <s v="Cristiano Fernandes Melo"/>
    <s v="Cristiano Fernandes Melo"/>
    <x v="1"/>
    <d v="2015-10-14T14:36:00"/>
    <d v="2016-01-14T14:56:00"/>
    <n v="92.013888888890506"/>
    <n v="10"/>
    <n v="2015"/>
    <x v="2"/>
  </r>
  <r>
    <s v="Requisição de Serviços"/>
    <s v="CTXFORBM-326889"/>
    <s v="Projeto Implantação NBA_Ilha de Contas Fixo"/>
    <m/>
    <x v="6"/>
    <s v=" Ger Produtos SAC"/>
    <s v="Dalton Bondesan"/>
    <s v="Alexsander Alves Santos"/>
    <x v="0"/>
    <d v="2015-10-14T10:24:00"/>
    <m/>
    <n v="138.5666666666657"/>
    <n v="10"/>
    <n v="2015"/>
    <x v="2"/>
  </r>
  <r>
    <s v="Requisição de Serviços"/>
    <s v="CTXFORBM-326758"/>
    <s v="Projeto - Projeto - Implantação NBA para Retenção Receita Móvel (OCT e Pós Pago)"/>
    <m/>
    <x v="14"/>
    <s v=" Retenção"/>
    <s v="Erica Fernandes Cotrim"/>
    <s v="Cristiano Fernandes Melo"/>
    <x v="2"/>
    <d v="2015-10-13T17:56:00"/>
    <m/>
    <n v="139.25277777777956"/>
    <n v="10"/>
    <n v="2015"/>
    <x v="2"/>
  </r>
  <r>
    <s v="Requisição de Serviços"/>
    <s v="CTXFORBM-326194"/>
    <s v="Projeto - Projeto - JOB BO"/>
    <m/>
    <x v="14"/>
    <s v=" Retenção"/>
    <s v="José Perboyre Cavalcante Pinheiro Neto"/>
    <s v="José Perboyre Cavalcante Pinheiro Neto"/>
    <x v="1"/>
    <d v="2015-10-09T14:56:00"/>
    <d v="2016-01-14T14:56:00"/>
    <n v="97"/>
    <n v="10"/>
    <n v="2015"/>
    <x v="2"/>
  </r>
  <r>
    <s v="Requisição de Serviços"/>
    <s v="CTXFORBM-324853"/>
    <s v="Projeto - Projeto - Gravações Oi atende (Lojas) Fixo e Velox"/>
    <m/>
    <x v="14"/>
    <s v=" Retenção"/>
    <s v="Dalton Bondesan"/>
    <s v="José Perboyre Cavalcante Pinheiro Neto"/>
    <x v="0"/>
    <d v="2015-10-05T10:17:00"/>
    <m/>
    <n v="147.5715277777781"/>
    <n v="10"/>
    <n v="2015"/>
    <x v="2"/>
  </r>
  <r>
    <s v="Requisição de Serviços"/>
    <s v="CTXFORBM-323275"/>
    <s v="Projeto - Projeto"/>
    <m/>
    <x v="14"/>
    <s v=" Retenção"/>
    <s v="Dalton Bondesan"/>
    <s v="José Perboyre Cavalcante Pinheiro Neto"/>
    <x v="5"/>
    <d v="2015-09-29T11:00:00"/>
    <m/>
    <n v="153.54166666666424"/>
    <n v="9"/>
    <n v="2015"/>
    <x v="3"/>
  </r>
  <r>
    <s v="Requisição de Serviços"/>
    <s v="CTXFORBM-322363"/>
    <s v="Projeto - Projeto - Implantação NBA para Retenção Receita TV e ofertas Multiprodutos"/>
    <m/>
    <x v="14"/>
    <s v=" Retenção"/>
    <s v="Cristiano Fernandes Melo"/>
    <s v="Cristiano Fernandes Melo"/>
    <x v="1"/>
    <d v="2015-09-23T17:52:00"/>
    <d v="2016-01-27T10:25:00"/>
    <n v="125.68958333334012"/>
    <n v="9"/>
    <n v="2015"/>
    <x v="2"/>
  </r>
  <r>
    <s v="Requisição de Serviços"/>
    <s v="CTXFORBM-322126"/>
    <s v="Projeto - Projeto Simulador Retenção Involuntária"/>
    <m/>
    <x v="14"/>
    <s v=" Retenção"/>
    <s v="Dalton Bondesan"/>
    <s v="Alexandre Teixeira de Pinho"/>
    <x v="6"/>
    <d v="2015-09-22T18:52:00"/>
    <m/>
    <n v="160.2138888888876"/>
    <n v="9"/>
    <n v="2015"/>
    <x v="3"/>
  </r>
  <r>
    <s v="Requisição de Serviços"/>
    <s v="CTXFORBM-321509"/>
    <s v="Projeto - Projeto - Criação de operação 4p na blindagem"/>
    <m/>
    <x v="6"/>
    <s v=" Dir. Oi"/>
    <s v="Lisandra Pereira do Nascimento"/>
    <s v="Lisandra Pereira do Nascimento"/>
    <x v="1"/>
    <d v="2015-09-18T18:21:00"/>
    <d v="2016-01-12T21:09:00"/>
    <n v="116.11666666666861"/>
    <n v="9"/>
    <n v="2015"/>
    <x v="2"/>
  </r>
  <r>
    <s v="Requisição de Serviços"/>
    <s v="CTXFORBM-321427"/>
    <s v="Projeto - Ferramenta de Automação UNIFIC"/>
    <m/>
    <x v="6"/>
    <s v=" Ger Produtos SAC"/>
    <s v="Dalton Bondesan"/>
    <s v="Alexsander Alves Santos"/>
    <x v="2"/>
    <d v="2015-09-18T13:54:00"/>
    <m/>
    <n v="164.42083333332994"/>
    <n v="9"/>
    <n v="2015"/>
    <x v="3"/>
  </r>
  <r>
    <s v="Requisição de Serviços"/>
    <s v="CTXFORBM-320922"/>
    <s v="Projeto - Projeto - alteração no fluxo de envio do arquivo de retorno TLV / ASPECT"/>
    <m/>
    <x v="14"/>
    <s v=" Retenção"/>
    <s v="Dalton Bondesan"/>
    <s v="David Lima Cavalcante"/>
    <x v="0"/>
    <d v="2015-09-16T12:25:00"/>
    <m/>
    <n v="166.48263888889051"/>
    <n v="9"/>
    <n v="2015"/>
    <x v="3"/>
  </r>
  <r>
    <s v="Requisição de Serviços"/>
    <s v="CTXFORBM-320915"/>
    <s v="Projeto - Projeto - Alteração questionário motivo não pagamento retenção invol TV"/>
    <m/>
    <x v="21"/>
    <e v="#N/A"/>
    <s v="Cristiano Fernandes Melo"/>
    <s v="Cristiano Fernandes Melo"/>
    <x v="1"/>
    <d v="2015-09-16T11:54:00"/>
    <d v="2015-12-14T18:34:00"/>
    <n v="89.277777777773736"/>
    <n v="9"/>
    <n v="2015"/>
    <x v="1"/>
  </r>
  <r>
    <s v="Requisição de Serviços"/>
    <s v="CTXFORBM-320345"/>
    <s v="Projeto - Projeto"/>
    <m/>
    <x v="14"/>
    <s v=" Retenção"/>
    <s v="José Perboyre Cavalcante Pinheiro Neto"/>
    <s v="José Perboyre Cavalcante Pinheiro Neto"/>
    <x v="1"/>
    <d v="2015-09-14T10:14:00"/>
    <d v="2016-01-14T14:56:00"/>
    <n v="122.19583333333139"/>
    <n v="9"/>
    <n v="2015"/>
    <x v="2"/>
  </r>
  <r>
    <s v="Requisição de Serviços"/>
    <s v="CTXFORBM-319828"/>
    <s v="Projeto - Projeto - integração de saída X arquivo de retorno blindagem residencial"/>
    <m/>
    <x v="14"/>
    <s v=" Retenção"/>
    <s v="Erica Fernandes Cotrim"/>
    <s v="David Lima Cavalcante"/>
    <x v="2"/>
    <d v="2015-09-10T17:40:00"/>
    <m/>
    <n v="172.26388888889051"/>
    <n v="9"/>
    <n v="2015"/>
    <x v="3"/>
  </r>
  <r>
    <s v="Requisição de Serviços"/>
    <s v="CTXFORBM-314772"/>
    <s v="Projeto - Projeto Simulador Pós e OCT Ilha de Migração"/>
    <m/>
    <x v="14"/>
    <s v=" Retenção"/>
    <s v="Dalton Bondesan"/>
    <s v="Alexandre Teixeira de Pinho"/>
    <x v="5"/>
    <d v="2015-08-18T20:28:00"/>
    <m/>
    <n v="195.1472222222219"/>
    <n v="8"/>
    <n v="2015"/>
    <x v="3"/>
  </r>
  <r>
    <s v="Requisição de Serviços"/>
    <s v="CTXFORBM-313079"/>
    <s v="Projeto - Projeto - Receptivo Refidelização"/>
    <m/>
    <x v="6"/>
    <s v=" Dir. Oi"/>
    <s v="Lisandra Pereira do Nascimento"/>
    <s v="Lisandra Pereira do Nascimento"/>
    <x v="1"/>
    <d v="2015-08-11T16:02:00"/>
    <d v="2015-12-18T10:45:00"/>
    <n v="128.77986111110658"/>
    <n v="8"/>
    <n v="2015"/>
    <x v="2"/>
  </r>
  <r>
    <s v="Requisição de Serviços"/>
    <s v="CTXFORBM-307164"/>
    <s v="Projeto - Projeto -"/>
    <m/>
    <x v="6"/>
    <s v=" Dir. Oi"/>
    <s v="Bruno Guerra Ferreira"/>
    <s v="Lisandra Pereira do Nascimento"/>
    <x v="5"/>
    <d v="2015-07-17T16:52:00"/>
    <m/>
    <n v="227.29722222222335"/>
    <n v="7"/>
    <n v="2015"/>
    <x v="3"/>
  </r>
  <r>
    <s v="Requisição de Serviços"/>
    <s v="CTXFORBM-304805"/>
    <s v="Projeto - Processo Indevido_BO Mobilidade"/>
    <m/>
    <x v="14"/>
    <s v=" Retenção"/>
    <s v="Lucas Lourenco de Melo"/>
    <s v="Lucas Lourenco de Melo"/>
    <x v="1"/>
    <d v="2015-07-08T14:37:00"/>
    <d v="2016-01-15T17:04:00"/>
    <n v="191.10208333333139"/>
    <n v="7"/>
    <n v="2015"/>
    <x v="3"/>
  </r>
  <r>
    <s v="Requisição de Serviços"/>
    <s v="CTXFORBM-302024"/>
    <s v="Projeto - Implantação ferramenta NBA (Piloto)_Ilha de contas Fixo"/>
    <m/>
    <x v="6"/>
    <s v=" Ger Produtos SAC"/>
    <s v="Dalton Bondesan"/>
    <s v="Alexsander Alves Santos"/>
    <x v="6"/>
    <d v="2015-06-30T17:44:00"/>
    <m/>
    <n v="244.26111111111095"/>
    <n v="6"/>
    <n v="2015"/>
    <x v="3"/>
  </r>
  <r>
    <s v="Requisição de Serviços"/>
    <s v="CTXFORBM-300174"/>
    <s v="Projeto - Projeto - SINN Portabilidade"/>
    <m/>
    <x v="14"/>
    <s v=" Retenção"/>
    <s v="José Perboyre Cavalcante Pinheiro Neto"/>
    <s v="José Perboyre Cavalcante Pinheiro Neto"/>
    <x v="1"/>
    <d v="2015-06-23T15:49:00"/>
    <d v="2016-01-14T14:57:00"/>
    <n v="204.9638888888876"/>
    <n v="6"/>
    <n v="2015"/>
    <x v="3"/>
  </r>
  <r>
    <s v="Requisição de Serviços"/>
    <s v="CTXFORBM-298953"/>
    <s v="Projeto - Projeto Ajustes Simulador Pós X Pré"/>
    <m/>
    <x v="14"/>
    <s v=" Retenção"/>
    <s v="Alexandre Teixeira de Pinho"/>
    <s v="Alexandre Teixeira de Pinho"/>
    <x v="1"/>
    <d v="2015-06-17T15:45:00"/>
    <d v="2016-02-02T10:11:00"/>
    <n v="229.7680555555562"/>
    <n v="6"/>
    <n v="2015"/>
    <x v="3"/>
  </r>
  <r>
    <s v="Requisição de Serviços"/>
    <s v="CTXFORBM-294169"/>
    <s v="Projeto - Servidores - Itau"/>
    <m/>
    <x v="16"/>
    <s v=" Atendimento Financeiras"/>
    <s v="Dalton Bondesan"/>
    <s v="Joice Pereira De Souza"/>
    <x v="2"/>
    <d v="2015-05-28T17:11:00"/>
    <m/>
    <n v="277.28402777777956"/>
    <n v="5"/>
    <n v="2015"/>
    <x v="3"/>
  </r>
  <r>
    <s v="Requisição de Serviços"/>
    <s v="CTXFORBM-292807"/>
    <s v="Projeto - Projeto - Guia/Simulador Pós [Substituição dos links do Canal Contax pelo Oi Atende]"/>
    <m/>
    <x v="14"/>
    <s v=" Retenção"/>
    <s v="Sem responsável"/>
    <s v="Cristiano Fernandes Melo"/>
    <x v="4"/>
    <d v="2015-05-22T15:14:00"/>
    <m/>
    <n v="283.36527777777519"/>
    <n v="5"/>
    <n v="2015"/>
    <x v="3"/>
  </r>
  <r>
    <s v="Requisição de Serviços"/>
    <s v="CTXFORBM-291757"/>
    <s v="Projeto - Projeto - SISGO"/>
    <m/>
    <x v="14"/>
    <s v=" Retenção"/>
    <s v="Dalton Bondesan"/>
    <s v="José Perboyre Cavalcante Pinheiro Neto"/>
    <x v="2"/>
    <d v="2015-05-18T15:08:00"/>
    <m/>
    <n v="287.36944444444089"/>
    <n v="5"/>
    <n v="2015"/>
    <x v="3"/>
  </r>
  <r>
    <s v="Requisição de Serviços"/>
    <s v="CTXFORBM-288081"/>
    <s v="Projeto - Projeto"/>
    <m/>
    <x v="14"/>
    <s v=" Retenção"/>
    <s v="Juan Chagas Lage"/>
    <s v="Sterlaine Priscila Araujo Gomes"/>
    <x v="4"/>
    <d v="2015-04-30T13:44:00"/>
    <m/>
    <n v="305.42777777777519"/>
    <n v="4"/>
    <n v="2015"/>
    <x v="3"/>
  </r>
  <r>
    <s v="Requisição de Serviços"/>
    <s v="CTXFORBM-288047"/>
    <s v="Projeto - Projeto - Blended Blindagem Refidelização"/>
    <m/>
    <x v="14"/>
    <s v=" Retenção"/>
    <s v="David Lima Cavalcante"/>
    <s v="David Lima Cavalcante"/>
    <x v="1"/>
    <d v="2015-04-30T12:38:00"/>
    <d v="2016-01-14T14:57:00"/>
    <n v="259.09652777777956"/>
    <n v="4"/>
    <n v="2015"/>
    <x v="3"/>
  </r>
  <r>
    <s v="Requisição de Serviços"/>
    <s v="CTXFORBM-287648"/>
    <s v="Projeto - Projeto - Ajuste BO Strategy"/>
    <m/>
    <x v="14"/>
    <s v=" Retenção"/>
    <s v="Dalton Bondesan"/>
    <s v="David Lima Cavalcante"/>
    <x v="2"/>
    <d v="2015-04-29T10:32:00"/>
    <m/>
    <n v="306.56111111111386"/>
    <n v="4"/>
    <n v="2015"/>
    <x v="3"/>
  </r>
  <r>
    <s v="Requisição de Serviços"/>
    <s v="CTXFORBM-270660"/>
    <s v="Projeto - Projeto"/>
    <m/>
    <x v="14"/>
    <s v=" Retenção Oi Controle"/>
    <s v="Edison Nei Siqueira"/>
    <s v="Alexandre Teixeira de Pinho"/>
    <x v="5"/>
    <d v="2015-02-20T15:13:00"/>
    <m/>
    <n v="374.3659722222219"/>
    <n v="2"/>
    <n v="2015"/>
    <x v="3"/>
  </r>
  <r>
    <s v="Requisição de Serviços"/>
    <s v="CTXFORBM-235310"/>
    <s v="Projeto - Segmentação OCT e TV"/>
    <m/>
    <x v="14"/>
    <s v=" Retenção"/>
    <s v="Erica Fernandes Cotrim"/>
    <s v="Emanuele Carvalho Ferreira Freitas"/>
    <x v="2"/>
    <d v="2014-09-17T17:00:00"/>
    <m/>
    <n v="530.29166666666424"/>
    <n v="9"/>
    <n v="2014"/>
    <x v="3"/>
  </r>
  <r>
    <s v="Requisição de Serviços"/>
    <s v="CTXCTCRA-17222"/>
    <s v="Projeto - Projeto"/>
    <m/>
    <x v="12"/>
    <s v=" Reservas"/>
    <s v="Janaina Bossan"/>
    <s v="Janaina Bossan"/>
    <x v="1"/>
    <d v="2015-07-21T09:22:00"/>
    <d v="2016-01-27T14:56:00"/>
    <n v="190.2319444444438"/>
    <n v="7"/>
    <n v="2015"/>
    <x v="3"/>
  </r>
  <r>
    <s v="Requisição de Serviços"/>
    <s v="CTXCASEK-1594"/>
    <s v="Projeto - Alteração do endereçamento IP do CRC e Sede para o padrão utilizado pela Elektro"/>
    <m/>
    <x v="24"/>
    <s v=" ELEKTRO"/>
    <s v="Bruno Guerra Ferreira"/>
    <s v="Alexandre Magno Pereira da Silva"/>
    <x v="0"/>
    <d v="2015-12-04T11:27:00"/>
    <m/>
    <n v="87.522916666668607"/>
    <n v="12"/>
    <n v="2015"/>
    <x v="1"/>
  </r>
  <r>
    <s v="Requisição de Serviços"/>
    <s v="CTXCASEK-1593"/>
    <s v="Projeto - Alteração do range de IPs Call Center e Sede corporativa"/>
    <m/>
    <x v="24"/>
    <s v=" ELEKTRO"/>
    <s v="Bruno Guerra Ferreira"/>
    <s v="Alexandre Magno Pereira da Silva"/>
    <x v="0"/>
    <d v="2015-12-04T11:12:00"/>
    <m/>
    <n v="87.533333333332848"/>
    <n v="12"/>
    <n v="2015"/>
    <x v="1"/>
  </r>
  <r>
    <s v="Requisição de Serviços"/>
    <s v="CTXCASEK-1528"/>
    <s v="Projeto - &quot;Por favor, usuário, utilizar este campo para informar o nome do Projeto&quot;"/>
    <m/>
    <x v="24"/>
    <s v=" ELEKTRO"/>
    <s v="Bruno Guerra Ferreira"/>
    <s v="Alexandre Magno Pereira da Silva"/>
    <x v="0"/>
    <d v="2015-11-04T11:06:00"/>
    <m/>
    <n v="117.53749999999854"/>
    <n v="11"/>
    <n v="2015"/>
    <x v="2"/>
  </r>
  <r>
    <s v="Requisição de Serviços"/>
    <s v="CTXCASEK-1359"/>
    <s v="Projeto - Interligação SIP PABX Cisco x PABX Avaya"/>
    <m/>
    <x v="24"/>
    <s v=" ELEKTRO"/>
    <s v="Dalton Bondesan"/>
    <s v="Alexandre Magno Pereira da Silva"/>
    <x v="2"/>
    <d v="2015-06-18T17:01:00"/>
    <m/>
    <n v="256.29097222222481"/>
    <n v="6"/>
    <n v="2015"/>
    <x v="3"/>
  </r>
  <r>
    <s v="Requisição de Serviços"/>
    <s v="CTXCASEK-1292"/>
    <s v="Projeto - Gravação de tela cliente Elektro"/>
    <m/>
    <x v="24"/>
    <s v=" ELEKTRO"/>
    <s v="Bruno Guerra Ferreira"/>
    <s v="Alexandre Magno Pereira da Silva"/>
    <x v="2"/>
    <d v="2015-05-28T16:33:00"/>
    <m/>
    <n v="277.31041666666715"/>
    <n v="5"/>
    <n v="2015"/>
    <x v="3"/>
  </r>
  <r>
    <s v="Requisição de Serviços"/>
    <s v="CTXBHZRP-217559"/>
    <s v="Projeto Automações OI | RTI - ABERTURA E FECHAMENTO DE CONTESTAÇÃO (G1)"/>
    <m/>
    <x v="6"/>
    <s v=" Dir. Oi"/>
    <s v="Debora Gercke Dominas"/>
    <s v="Wagner Mattos Ribeiro Pinto"/>
    <x v="5"/>
    <d v="2016-02-03T14:47:00"/>
    <m/>
    <n v="26.384027777778101"/>
    <n v="2"/>
    <n v="2016"/>
    <x v="4"/>
  </r>
  <r>
    <s v="Requisição de Serviços"/>
    <s v="CTXBHZRP-217019"/>
    <s v="Projeto - &quot;Por favor, usuário, utilizar este campo para informar o nome do Projeto&quot;"/>
    <m/>
    <x v="6"/>
    <s v=" Dir. Oi"/>
    <s v="Julio Cesar da Silva"/>
    <s v="Livia de Deus Henriques Rodrigues"/>
    <x v="0"/>
    <d v="2015-11-12T09:39:00"/>
    <m/>
    <n v="109.5979166666657"/>
    <n v="11"/>
    <n v="2015"/>
    <x v="2"/>
  </r>
  <r>
    <s v="Requisição de Serviços"/>
    <s v="CTXBHZRI-98120"/>
    <s v="Implantação de Front Fácil na célula de Fraude (1º nível)"/>
    <m/>
    <x v="14"/>
    <s v=" Cobrança"/>
    <s v="Sem responsável"/>
    <s v="Tatiane Rodrigues Dallecrode"/>
    <x v="0"/>
    <d v="2016-02-12T11:33:00"/>
    <m/>
    <n v="17.51875000000291"/>
    <n v="2"/>
    <n v="2016"/>
    <x v="4"/>
  </r>
  <r>
    <s v="Requisição de Serviços"/>
    <s v="CTXBHZRI-98067"/>
    <s v="Projeto - Implantar tCollect!+Aspect Operação - Escob OI TV"/>
    <m/>
    <x v="14"/>
    <s v=" Cobrança"/>
    <s v="Sem responsável"/>
    <s v="Fabricio Hinein Peixoto Guimaraes"/>
    <x v="0"/>
    <d v="2016-02-11T09:34:00"/>
    <m/>
    <n v="18.601388888891961"/>
    <n v="2"/>
    <n v="2016"/>
    <x v="4"/>
  </r>
  <r>
    <s v="Requisição de Serviços"/>
    <s v="CTXBHZRI-98066"/>
    <s v="Projeto - Implantar tCollect!+Aspect Operação - CD R2"/>
    <m/>
    <x v="14"/>
    <s v=" Cobrança"/>
    <s v="Sem responsável"/>
    <s v="Fabricio Hinein Peixoto Guimaraes"/>
    <x v="0"/>
    <d v="2016-02-11T09:32:00"/>
    <m/>
    <n v="18.602777777778101"/>
    <n v="2"/>
    <n v="2016"/>
    <x v="4"/>
  </r>
  <r>
    <s v="Requisição de Serviços"/>
    <s v="CTXBHZRI-98065"/>
    <s v="Projeto - &quot;Por favor, usuário, utilizar este campo para informar o nome do Projeto&quot;"/>
    <m/>
    <x v="14"/>
    <s v=" Cobrança"/>
    <s v="Sem responsável"/>
    <s v="Fabricio Hinein Peixoto Guimaraes"/>
    <x v="0"/>
    <d v="2016-02-11T09:29:00"/>
    <m/>
    <n v="18.604861111110949"/>
    <n v="2"/>
    <n v="2016"/>
    <x v="4"/>
  </r>
  <r>
    <s v="Requisição de Serviços"/>
    <s v="CTXBHZRI-97664"/>
    <s v="Novos Arquivos de Atualização R1 Fixa"/>
    <m/>
    <x v="14"/>
    <s v=" Retenção Empresarial"/>
    <s v="Sem responsável"/>
    <s v="Tatiane Rodrigues Dallecrode"/>
    <x v="0"/>
    <d v="2016-01-28T14:25:00"/>
    <m/>
    <n v="32.399305555554747"/>
    <n v="1"/>
    <n v="2016"/>
    <x v="0"/>
  </r>
  <r>
    <s v="Requisição de Serviços"/>
    <s v="CTXBHZRI-96230"/>
    <s v="Projeto - &quot;Migração Corporativo B2B&quot;"/>
    <m/>
    <x v="6"/>
    <s v=" Dir. Oi"/>
    <s v="Bruno Guerra Ferreira"/>
    <s v="Jill Ullmann Ortiz"/>
    <x v="0"/>
    <d v="2015-12-18T18:16:00"/>
    <m/>
    <n v="73.238888888889051"/>
    <n v="12"/>
    <n v="2015"/>
    <x v="1"/>
  </r>
  <r>
    <s v="Requisição de Serviços"/>
    <s v="CTXBHZRI-95756"/>
    <s v="Projeto - &quot;Arquivo de Retorno&quot;"/>
    <m/>
    <x v="6"/>
    <s v=" Dir. Oi"/>
    <s v="Bruno Guerra Ferreira"/>
    <s v="Jill Ullmann Ortiz"/>
    <x v="0"/>
    <d v="2015-12-02T20:21:00"/>
    <m/>
    <n v="89.152083333334303"/>
    <n v="12"/>
    <n v="2015"/>
    <x v="1"/>
  </r>
  <r>
    <s v="Requisição de Serviços"/>
    <s v="CTXBHZRI-94988"/>
    <s v="Mudança de Andar das PA's VIP 5 (5 PA's + 1 supervisor)"/>
    <m/>
    <x v="14"/>
    <s v=" Back Office"/>
    <s v="Luciana Aparecida Muniz Gon�alves"/>
    <s v="Luciana Aparecida Muniz Gon�alves"/>
    <x v="1"/>
    <d v="2015-11-13T12:11:00"/>
    <d v="2015-12-17T14:01:00"/>
    <n v="34.07638888888323"/>
    <n v="11"/>
    <n v="2015"/>
    <x v="0"/>
  </r>
  <r>
    <s v="Requisição de Serviços"/>
    <s v="CTXBHZRI-94859"/>
    <s v="Projeto - Implantar TCollect / Aspect: Escob R2, CD R2 e CD Móvel"/>
    <m/>
    <x v="6"/>
    <s v=" Dir. Oi"/>
    <s v="Julio Cesar da Silva"/>
    <s v="Elaine Fortunato da Silva"/>
    <x v="0"/>
    <d v="2015-11-10T18:50:00"/>
    <m/>
    <n v="111.21527777778101"/>
    <n v="11"/>
    <n v="2015"/>
    <x v="2"/>
  </r>
  <r>
    <s v="Requisição de Serviços"/>
    <s v="CTXBHZRI-94837"/>
    <s v="Projeto - Projeto: Migração da URA do Hotline Empresarial (0800 280 3120) p/ ambiente NGR"/>
    <m/>
    <x v="6"/>
    <s v=" Dir. Oi"/>
    <s v="Julio Cesar da Silva"/>
    <s v="Leonardo Pellegrini Vieira"/>
    <x v="0"/>
    <d v="2015-11-10T11:57:00"/>
    <m/>
    <n v="111.50208333333285"/>
    <n v="11"/>
    <n v="2015"/>
    <x v="2"/>
  </r>
  <r>
    <s v="Requisição de Serviços"/>
    <s v="CTXBHZRI-93377"/>
    <s v="Projeto_OI TV ESCOB _2ª VIA E-MAIL"/>
    <m/>
    <x v="6"/>
    <s v=" Ger Estratégia e Análise"/>
    <s v="Dalton Bondesan"/>
    <s v="Erickson Madsen Ferreira Medeiros"/>
    <x v="5"/>
    <d v="2015-09-29T09:02:00"/>
    <m/>
    <n v="153.62361111111386"/>
    <n v="9"/>
    <n v="2015"/>
    <x v="3"/>
  </r>
  <r>
    <s v="Requisição de Serviços"/>
    <s v="CTXBHZRI-92004"/>
    <s v="Projeto - Projeto"/>
    <m/>
    <x v="6"/>
    <s v=" Dir. Oi"/>
    <s v="Leonardo Pellegrini Vieira"/>
    <s v="Leonardo Pellegrini Vieira"/>
    <x v="1"/>
    <d v="2015-08-21T18:19:00"/>
    <d v="2016-02-01T13:27:00"/>
    <n v="163.79722222222335"/>
    <n v="8"/>
    <n v="2015"/>
    <x v="3"/>
  </r>
  <r>
    <s v="Requisição de Serviços"/>
    <s v="CTXBHZRI-89940"/>
    <s v="Projeto - Implantação do TCollect para a operação CD"/>
    <m/>
    <x v="14"/>
    <s v=" Cobrança"/>
    <s v="Tatiane Rodrigues Dallecrode"/>
    <s v="Tatiane Rodrigues Dallecrode"/>
    <x v="1"/>
    <d v="2015-07-01T17:45:00"/>
    <d v="2016-01-29T11:37:00"/>
    <n v="211.74444444444089"/>
    <n v="7"/>
    <n v="2015"/>
    <x v="3"/>
  </r>
  <r>
    <s v="Requisição de Serviços"/>
    <s v="CTXBHZRI-87861"/>
    <s v="Projeto - Projeto"/>
    <m/>
    <x v="6"/>
    <s v=" Ger Segurança Patrimonial"/>
    <s v="Dalton Bondesan"/>
    <s v="Walternei Aparecido Pizii"/>
    <x v="2"/>
    <d v="2015-05-18T16:55:00"/>
    <m/>
    <n v="287.29513888889051"/>
    <n v="5"/>
    <n v="2015"/>
    <x v="3"/>
  </r>
  <r>
    <s v="Requisição de Serviços"/>
    <s v="CTXBHZRI-87549"/>
    <s v="Projeto - Projeto"/>
    <m/>
    <x v="6"/>
    <s v=" Ger Governança de TI"/>
    <s v="BRUNO DIEGO ANTUNES RIBEIRO"/>
    <s v="Cleonice de Andrade Oliveira Ferreira"/>
    <x v="2"/>
    <d v="2015-05-12T18:51:00"/>
    <m/>
    <n v="293.2145833333343"/>
    <n v="5"/>
    <n v="2015"/>
    <x v="3"/>
  </r>
  <r>
    <s v="Requisição de Serviços"/>
    <s v="CTXBHZRI-84138"/>
    <s v="Projeto - Projeto"/>
    <m/>
    <x v="14"/>
    <s v=" Outras Atividades"/>
    <s v="Elaine Cristina Ferreira"/>
    <s v="Elaine Cristina Ferreira"/>
    <x v="1"/>
    <d v="2015-03-13T10:45:00"/>
    <d v="2015-12-17T13:41:00"/>
    <n v="279.12222222222772"/>
    <n v="3"/>
    <n v="2015"/>
    <x v="3"/>
  </r>
  <r>
    <s v="Requisição de Serviços"/>
    <s v="CTXBHZRI-82191"/>
    <s v="Projeto - Projeto- Macro AT-IT (Fornecedor PGR SOFT)"/>
    <m/>
    <x v="14"/>
    <s v=" Outras Atividades"/>
    <s v="Elaine Cristina Ferreira"/>
    <s v="Elaine Cristina Ferreira"/>
    <x v="1"/>
    <d v="2015-01-27T16:14:00"/>
    <d v="2015-12-17T14:09:00"/>
    <n v="323.91319444444525"/>
    <n v="1"/>
    <n v="2015"/>
    <x v="3"/>
  </r>
  <r>
    <s v="Requisição de Serviços"/>
    <s v="CTXBHZRI-82119"/>
    <s v="Projeto - Projeto- TLV Blended"/>
    <m/>
    <x v="14"/>
    <s v=" Outras Atividades"/>
    <s v="Erica Fernandes Cotrim"/>
    <s v="Elaine Cristina Ferreira"/>
    <x v="4"/>
    <d v="2015-01-26T17:39:00"/>
    <m/>
    <n v="399.26458333332994"/>
    <n v="1"/>
    <n v="2015"/>
    <x v="3"/>
  </r>
  <r>
    <s v="Requisição de Serviços"/>
    <s v="CTXBHZRI-75393"/>
    <s v="Projeto - Macro Mailing"/>
    <m/>
    <x v="14"/>
    <s v=" Varejo"/>
    <s v="Elaine Cristina Ferreira"/>
    <s v="Elaine Cristina Ferreira"/>
    <x v="1"/>
    <d v="2014-08-11T13:59:00"/>
    <d v="2015-12-17T14:02:00"/>
    <n v="493.00208333333285"/>
    <n v="8"/>
    <n v="2014"/>
    <x v="3"/>
  </r>
  <r>
    <s v="Requisição de Serviços"/>
    <s v="CLIORBSAN-131"/>
    <s v="Projeto - &quot;Substituição da MPLS Contax pela MPLS Orbitall&quot;"/>
    <m/>
    <x v="13"/>
    <s v=" Caixa Cobrança SP"/>
    <s v="Administrador"/>
    <s v="Fernando Silva Oliveira"/>
    <x v="0"/>
    <d v="2016-02-12T15:16:00"/>
    <m/>
    <n v="17.363888888889051"/>
    <n v="2"/>
    <n v="2016"/>
    <x v="4"/>
  </r>
  <r>
    <s v="Requisição de Serviços"/>
    <s v="CLIORBCG-397"/>
    <s v="Desenvolver e disponibilizar a ferramenta do tSupervisor"/>
    <m/>
    <x v="13"/>
    <s v=" Bonsucesso"/>
    <s v="Administrador"/>
    <s v="Juliana Souza de Moraes"/>
    <x v="0"/>
    <d v="2015-12-03T17:59:00"/>
    <m/>
    <n v="88.250694444446708"/>
    <n v="12"/>
    <n v="2015"/>
    <x v="1"/>
  </r>
  <r>
    <s v="Requisição de Serviços"/>
    <s v="CLIORBCG-240"/>
    <s v="Projeto - Projeto"/>
    <m/>
    <x v="13"/>
    <s v=" Bonsucesso"/>
    <s v="Administrador"/>
    <s v="Fernando Silva Oliveira"/>
    <x v="0"/>
    <d v="2015-07-29T12:11:00"/>
    <m/>
    <n v="215.49236111110804"/>
    <n v="7"/>
    <n v="2015"/>
    <x v="3"/>
  </r>
  <r>
    <s v="Requisição de Serviços"/>
    <s v="CLIORBCG-187"/>
    <s v="Projeto - Projeto"/>
    <m/>
    <x v="13"/>
    <s v=" Bonsucesso"/>
    <s v="Sem responsável"/>
    <s v="Fernando Silva Oliveira"/>
    <x v="2"/>
    <d v="2015-06-03T18:50:00"/>
    <m/>
    <n v="271.21527777778101"/>
    <n v="6"/>
    <n v="2015"/>
    <x v="3"/>
  </r>
  <r>
    <s v="Requisição de Serviços"/>
    <s v="CLIORBCG-174"/>
    <s v="Projeto - Projeto"/>
    <m/>
    <x v="13"/>
    <s v=" Bonsucesso"/>
    <s v="Sem responsável"/>
    <s v="Juliana Souza de Moraes"/>
    <x v="4"/>
    <d v="2015-05-27T12:18:00"/>
    <m/>
    <n v="278.48750000000291"/>
    <n v="5"/>
    <n v="2015"/>
    <x v="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679">
  <r>
    <s v="Requisição de Serviços"/>
    <s v="CTXSPOLP-116961"/>
    <s v="Criar as OUs/GPOs para as operações Cielo na estrutura do site Alegria"/>
    <s v="atendimento"/>
    <s v="Cielo "/>
    <s v=" ARV"/>
    <x v="0"/>
    <s v="Luciana da Silva Cardoso"/>
    <x v="0"/>
    <d v="2016-01-11T12:08:00"/>
    <m/>
    <n v="49.494444444440887"/>
    <x v="0"/>
    <x v="0"/>
  </r>
  <r>
    <s v="Requisição de Serviços"/>
    <s v="CTXSPOLP-116960"/>
    <s v="Criar OUs/GPOs para as operações BV que será migrada Lapa x Alegria"/>
    <s v="atendimento"/>
    <s v="BV Financeira "/>
    <s v=" SAC"/>
    <x v="0"/>
    <s v="Luciana da Silva Cardoso"/>
    <x v="0"/>
    <d v="2016-01-11T12:05:00"/>
    <m/>
    <n v="49.496527777781012"/>
    <x v="0"/>
    <x v="0"/>
  </r>
  <r>
    <s v="Requisição de Serviços"/>
    <s v="CTXSPOLP-116016"/>
    <s v="Projeto: Migração POP 3 - Lapa vs Alegria: PA's Contingência Banco Toyota"/>
    <s v="atendimento"/>
    <s v="Banco Toyota "/>
    <s v=" Suporte ao Cliente"/>
    <x v="1"/>
    <s v="Priscila Roberta dos S. Freitas"/>
    <x v="0"/>
    <d v="2015-12-08T15:49:00"/>
    <m/>
    <n v="83.340972222220444"/>
    <x v="1"/>
    <x v="1"/>
  </r>
  <r>
    <s v="Requisição de Serviços"/>
    <s v="CTXSPOLP-115869"/>
    <s v="Migração POP 3 - Cielo Site Lapa X Site Alegria"/>
    <s v="atendimento"/>
    <s v="Santander "/>
    <s v=" Santander"/>
    <x v="2"/>
    <s v="Giovana Ferreira de Souza"/>
    <x v="0"/>
    <d v="2015-12-04T15:22:00"/>
    <m/>
    <n v="87.359722222223354"/>
    <x v="1"/>
    <x v="1"/>
  </r>
  <r>
    <s v="Requisição de Serviços"/>
    <s v="CTXSPOLP-115727"/>
    <s v="Tabulador GT Portabilidade e Rural Cel"/>
    <s v="atendimento"/>
    <s v="Vivo "/>
    <s v=" Vivo"/>
    <x v="3"/>
    <s v="Wagner Mattos Ribeiro Pinto"/>
    <x v="1"/>
    <d v="2015-12-01T17:31:00"/>
    <d v="2016-02-01T15:34:00"/>
    <n v="61.91874999999709"/>
    <x v="1"/>
    <x v="1"/>
  </r>
  <r>
    <s v="Requisição de Serviços"/>
    <s v="CTXSPOLP-115444"/>
    <s v="Projeto - Alterar a plataforma de atendimento da operação Alelo de Altitude para Aspect"/>
    <s v="atendimento"/>
    <s v="Cielo "/>
    <s v=" Campo"/>
    <x v="1"/>
    <s v="George Silva Dimitrov"/>
    <x v="0"/>
    <d v="2015-11-25T15:48:00"/>
    <m/>
    <n v="96.341666666667152"/>
    <x v="2"/>
    <x v="1"/>
  </r>
  <r>
    <s v="Requisição de Serviços"/>
    <s v="CTXSPOLP-115119"/>
    <s v="Projeto - URANET - Ticket"/>
    <s v="atendimento"/>
    <s v="Ticket Serviços S/A "/>
    <s v=" ADM e Ticket"/>
    <x v="4"/>
    <s v="Flavio Reto"/>
    <x v="0"/>
    <d v="2015-11-18T16:03:00"/>
    <m/>
    <n v="103.33125000000291"/>
    <x v="2"/>
    <x v="1"/>
  </r>
  <r>
    <s v="Requisição de Serviços"/>
    <s v="CTXSPOLP-115117"/>
    <s v="Projeto - URA Bacen - Ticket"/>
    <s v="atendimento"/>
    <s v="Ticket Serviços S/A "/>
    <s v=" ADM e Ticket"/>
    <x v="4"/>
    <s v="Flavio Reto"/>
    <x v="0"/>
    <d v="2015-11-18T15:51:00"/>
    <m/>
    <n v="103.3395833333343"/>
    <x v="2"/>
    <x v="1"/>
  </r>
  <r>
    <s v="Requisição de Serviços"/>
    <s v="CTXSPOLP-115114"/>
    <s v="Projeto - Renovação de Servidores - Ticket"/>
    <s v="atendimento"/>
    <s v="Ticket Serviços S/A "/>
    <s v=" ADM e Ticket"/>
    <x v="4"/>
    <s v="Flavio Reto"/>
    <x v="0"/>
    <d v="2015-11-18T15:30:00"/>
    <m/>
    <n v="103.35416666666424"/>
    <x v="2"/>
    <x v="1"/>
  </r>
  <r>
    <s v="Requisição de Serviços"/>
    <s v="CTXSPOLP-113720"/>
    <s v="Migração Grupo Comunicação - Lapa"/>
    <s v="atendimento"/>
    <s v="Vivo "/>
    <s v=" Vivo"/>
    <x v="1"/>
    <s v="Paloma de Azevedo Almeida"/>
    <x v="0"/>
    <d v="2015-10-23T16:09:00"/>
    <m/>
    <n v="129.32708333332994"/>
    <x v="3"/>
    <x v="1"/>
  </r>
  <r>
    <s v="Requisição de Serviços"/>
    <s v="CTXSPOLP-112537"/>
    <s v="Projeto: Implantar tGuidance na Operação BV Financeira"/>
    <s v="atendimento"/>
    <s v="BV Financeira "/>
    <s v=" SAC"/>
    <x v="1"/>
    <s v="Priscila Roberta dos S. Freitas"/>
    <x v="0"/>
    <d v="2015-10-02T16:59:00"/>
    <m/>
    <n v="150.29236111111095"/>
    <x v="3"/>
    <x v="1"/>
  </r>
  <r>
    <s v="Requisição de Serviços"/>
    <s v="CTXSPOLP-111956"/>
    <s v="Projeto - Monitoria da Qualidade"/>
    <s v="Qualidade"/>
    <s v="Contax "/>
    <s v=" Ger Qualidade"/>
    <x v="5"/>
    <s v="Robson da Costa"/>
    <x v="2"/>
    <d v="2015-09-23T11:56:00"/>
    <m/>
    <n v="159.50277777777956"/>
    <x v="4"/>
    <x v="1"/>
  </r>
  <r>
    <s v="Requisição de Serviços"/>
    <s v="CTXSPOLP-111381"/>
    <s v="Projeto - Contratação de 3 E1's, do fornecedor Option para Alelo"/>
    <s v="atendimento"/>
    <s v="Cielo "/>
    <s v=" Campo"/>
    <x v="1"/>
    <s v="Rogerio Luiz da Silva"/>
    <x v="0"/>
    <d v="2015-09-14T11:43:00"/>
    <m/>
    <n v="168.51180555555766"/>
    <x v="4"/>
    <x v="1"/>
  </r>
  <r>
    <s v="Requisição de Serviços"/>
    <s v="CTXSPOLP-111246"/>
    <s v="Projeto - Desenvolvimento do t!guidance da célula Fidelidade - FASE 2"/>
    <s v="atendimento"/>
    <s v="Cielo "/>
    <s v=" Campo"/>
    <x v="1"/>
    <s v="Rogerio Luiz da Silva"/>
    <x v="2"/>
    <d v="2015-09-10T16:49:00"/>
    <m/>
    <n v="172.2993055555562"/>
    <x v="4"/>
    <x v="1"/>
  </r>
  <r>
    <s v="Requisição de Serviços"/>
    <s v="CTXSPOLP-111079"/>
    <s v="Projeto - Criar Plano Documento de Draft PCN para BV Financeira"/>
    <s v="Continuidade"/>
    <s v="BV Financeira "/>
    <s v=" SAC"/>
    <x v="1"/>
    <s v="Carlos Batista Alves"/>
    <x v="0"/>
    <d v="2015-09-09T11:45:00"/>
    <m/>
    <n v="173.51041666666424"/>
    <x v="4"/>
    <x v="1"/>
  </r>
  <r>
    <s v="Requisição de Serviços"/>
    <s v="CTXSPOLP-110901"/>
    <s v="Melhorias relatório GT - Vivo"/>
    <s v="Gestão"/>
    <s v="Vivo "/>
    <s v=" Vivo"/>
    <x v="1"/>
    <s v="Luciana da Silva Cardoso"/>
    <x v="2"/>
    <d v="2015-09-03T17:52:00"/>
    <m/>
    <n v="179.25555555555911"/>
    <x v="4"/>
    <x v="1"/>
  </r>
  <r>
    <s v="Requisição de Serviços"/>
    <s v="CTXSPOLP-110890"/>
    <s v="Novas árvores de perfilamento - Tabulador e Relatórios p/ os GT's (Móvel)"/>
    <s v="atendimento"/>
    <s v="Vivo "/>
    <s v=" Vivo"/>
    <x v="1"/>
    <s v="Luciana da Silva Cardoso"/>
    <x v="2"/>
    <d v="2015-09-03T17:19:00"/>
    <m/>
    <n v="179.27847222222044"/>
    <x v="4"/>
    <x v="1"/>
  </r>
  <r>
    <s v="Requisição de Serviços"/>
    <s v="CTXSPOLP-110808"/>
    <s v="Projeto - Disponibilização WiFi para cliente Cielo"/>
    <s v="atendimento"/>
    <s v="Cielo "/>
    <s v=" ARV"/>
    <x v="6"/>
    <s v="Rogerio Luiz da Silva"/>
    <x v="3"/>
    <d v="2015-09-02T19:14:00"/>
    <d v="2016-02-15T10:30:00"/>
    <n v="165.63611111111095"/>
    <x v="4"/>
    <x v="1"/>
  </r>
  <r>
    <s v="Requisição de Serviços"/>
    <s v="CTXSPOLP-108931"/>
    <s v="Projeto - Inserção de Frase Temporária da URA Cielo Fidelidade"/>
    <s v="atendimento"/>
    <s v="Cielo "/>
    <s v=" Cielo AMEX"/>
    <x v="7"/>
    <s v="Carlos Batista Alves"/>
    <x v="1"/>
    <d v="2015-07-31T12:41:00"/>
    <d v="2015-12-16T17:04:00"/>
    <n v="138.1826388888876"/>
    <x v="5"/>
    <x v="1"/>
  </r>
  <r>
    <s v="Requisição de Serviços"/>
    <s v="CTXSPOLP-108376"/>
    <s v="Projeto - Projeto - Instalação de aparelhos Avaya | Cielo"/>
    <s v="Continuidade"/>
    <s v="Contax "/>
    <s v=" Dir. Clientes Especiais"/>
    <x v="8"/>
    <s v="Fabiane Evangelista Cavalcante"/>
    <x v="1"/>
    <d v="2015-07-23T11:00:00"/>
    <d v="2016-02-04T16:49:00"/>
    <n v="196.24236111110804"/>
    <x v="5"/>
    <x v="1"/>
  </r>
  <r>
    <s v="Requisição de Serviços"/>
    <s v="CTXSPOLP-108012"/>
    <s v="Implantar URA de pesquisa de qualidade - Ilha de Contas"/>
    <s v="Qualidade"/>
    <s v="Vivo "/>
    <s v=" Vivo"/>
    <x v="1"/>
    <s v="Paloma de Azevedo Almeida"/>
    <x v="2"/>
    <d v="2015-07-16T09:08:00"/>
    <m/>
    <n v="228.61944444444089"/>
    <x v="5"/>
    <x v="1"/>
  </r>
  <r>
    <s v="Requisição de Serviços"/>
    <s v="CTXSPOLP-106246"/>
    <s v="Projeto - Desenvolvimento de Front End para a célula Small"/>
    <s v="atendimento"/>
    <s v="Cielo "/>
    <s v=" Campo"/>
    <x v="4"/>
    <s v="Rogerio Luiz da Silva"/>
    <x v="2"/>
    <d v="2015-06-17T08:50:00"/>
    <m/>
    <n v="257.63194444444525"/>
    <x v="6"/>
    <x v="1"/>
  </r>
  <r>
    <s v="Requisição de Serviços"/>
    <s v="CTXSPOLP-105680"/>
    <s v="Projeto - Continuidade no desenvolvimento do t!guidance da célula Fidelidade"/>
    <s v="atendimento"/>
    <s v="Cielo "/>
    <s v=" ARV"/>
    <x v="6"/>
    <s v="Rogerio Luiz da Silva"/>
    <x v="1"/>
    <d v="2015-06-08T09:58:00"/>
    <d v="2016-02-03T11:30:00"/>
    <n v="240.06388888888614"/>
    <x v="6"/>
    <x v="1"/>
  </r>
  <r>
    <s v="Requisição de Serviços"/>
    <s v="CTXSPOLP-104419"/>
    <s v="Projeto: Implantação t-Supervisor - BV Financeira"/>
    <s v="atendimento"/>
    <s v="BV Financeira "/>
    <s v=" SAC"/>
    <x v="1"/>
    <s v="Priscila Roberta dos S. Freitas"/>
    <x v="2"/>
    <d v="2015-05-13T13:51:00"/>
    <m/>
    <n v="292.42291666667006"/>
    <x v="7"/>
    <x v="1"/>
  </r>
  <r>
    <s v="Requisição de Serviços"/>
    <s v="CTXSPOLP-102656"/>
    <s v="Projeto - Preparação Ambiente Homologação Aspect 7.1"/>
    <s v="atendimento"/>
    <s v="Cielo "/>
    <s v=" ARV"/>
    <x v="1"/>
    <s v="Robson da Costa"/>
    <x v="2"/>
    <d v="2015-04-14T11:59:00"/>
    <m/>
    <n v="321.50069444444671"/>
    <x v="8"/>
    <x v="1"/>
  </r>
  <r>
    <s v="Requisição de Serviços"/>
    <s v="CTXSPOLP-97254"/>
    <s v="Projeto - Implantação de Front End Ayty na célula Alelo"/>
    <s v="atendimento"/>
    <s v="Cielo "/>
    <s v=" Campo"/>
    <x v="6"/>
    <s v="Rogerio Luiz da Silva"/>
    <x v="1"/>
    <d v="2015-01-30T14:37:00"/>
    <d v="2016-01-21T11:55:00"/>
    <n v="355.88750000000437"/>
    <x v="0"/>
    <x v="1"/>
  </r>
  <r>
    <s v="Requisição de Serviços"/>
    <s v="CTXSPODP-11512"/>
    <s v="Projeto - Projeto"/>
    <s v="Treinamento"/>
    <s v="Contax "/>
    <s v=" Ger Adm RH"/>
    <x v="0"/>
    <s v="BRUNO PIMENTEL DOS SANTOS"/>
    <x v="4"/>
    <d v="2015-02-26T20:19:00"/>
    <m/>
    <n v="368.15347222222044"/>
    <x v="9"/>
    <x v="1"/>
  </r>
  <r>
    <s v="Requisição de Serviços"/>
    <s v="CTXSPOBF-135197"/>
    <s v="Projeto - Colocar as frases que foram gravadas para as URAS RCI Cliente 4004-9898 e URA Parceiro 4004-2348"/>
    <s v="atendimento"/>
    <s v="Santander "/>
    <s v=" Santander"/>
    <x v="0"/>
    <s v="George Silva Dimitrov"/>
    <x v="0"/>
    <d v="2016-01-28T15:59:00"/>
    <m/>
    <n v="32.334027777775191"/>
    <x v="0"/>
    <x v="0"/>
  </r>
  <r>
    <s v="Requisição de Serviços"/>
    <s v="CTXSPOBF-135040"/>
    <s v="Implantar Ferramenta Whisbi - Ticket B2B Infra"/>
    <s v="atendimento"/>
    <s v="Ticket Serviços S/A "/>
    <s v=" Ticket B2B"/>
    <x v="0"/>
    <s v="Priscila Roberta dos S. Freitas"/>
    <x v="0"/>
    <d v="2016-01-27T15:34:00"/>
    <m/>
    <n v="33.351388888891961"/>
    <x v="0"/>
    <x v="0"/>
  </r>
  <r>
    <s v="Requisição de Serviços"/>
    <s v="CTXSPOBF-134523"/>
    <s v="Problema página Interatividade no portal Vivo - Operação Anatel"/>
    <s v="atendimento"/>
    <s v="Vivo "/>
    <s v=" Vivo"/>
    <x v="0"/>
    <s v="Luciana da Silva Cardoso"/>
    <x v="0"/>
    <d v="2016-01-21T11:21:00"/>
    <m/>
    <n v="39.527083333334303"/>
    <x v="0"/>
    <x v="0"/>
  </r>
  <r>
    <s v="Requisição de Serviços"/>
    <s v="CTXSPOBF-134042"/>
    <s v="RTI - Integração Vivo 360 x Tclock - Móvel"/>
    <s v="atendimento"/>
    <s v="Vivo "/>
    <s v=" Vivo"/>
    <x v="0"/>
    <s v="Wagner Mattos Ribeiro Pinto"/>
    <x v="0"/>
    <d v="2016-01-18T09:54:00"/>
    <m/>
    <n v="42.587500000001455"/>
    <x v="0"/>
    <x v="0"/>
  </r>
  <r>
    <s v="Requisição de Serviços"/>
    <s v="CTXSPOBF-133846"/>
    <s v="MIGRAÇÃO CONTAS PJ"/>
    <s v="atendimento"/>
    <s v="Vivo "/>
    <s v=" Vivo"/>
    <x v="9"/>
    <s v="Vania de Moraes Colella"/>
    <x v="3"/>
    <d v="2016-01-14T16:56:00"/>
    <d v="2016-02-17T10:13:00"/>
    <n v="33.72013888888614"/>
    <x v="0"/>
    <x v="0"/>
  </r>
  <r>
    <s v="Requisição de Serviços"/>
    <s v="CTXSPOBF-133023"/>
    <s v="Projeto - Mudança de máquinas da operação Santander CR - Site Antártica para o Site Alegria"/>
    <s v="atendimento"/>
    <s v="Santander "/>
    <s v=" Santander"/>
    <x v="0"/>
    <s v="George Silva Dimitrov"/>
    <x v="0"/>
    <d v="2016-01-06T11:59:00"/>
    <m/>
    <n v="54.500694444446708"/>
    <x v="0"/>
    <x v="0"/>
  </r>
  <r>
    <s v="Requisição de Serviços"/>
    <s v="CTXSPOBF-132464"/>
    <s v="CRESCIMENTO SUPORTE A PARCEIROS - SITE ANTARTICA"/>
    <s v="Suporte a Parceiros"/>
    <s v="Vivo "/>
    <s v=" Vivo"/>
    <x v="0"/>
    <s v="Vania de Moraes Colella"/>
    <x v="0"/>
    <d v="2015-12-28T11:08:00"/>
    <m/>
    <n v="63.536111111112405"/>
    <x v="1"/>
    <x v="1"/>
  </r>
  <r>
    <s v="Requisição de Serviços"/>
    <s v="CTXSPOBF-132100"/>
    <s v="Projeto - Ura Parceiro RCI 4004-2348"/>
    <s v="atendimento"/>
    <s v="Santander "/>
    <s v=" Santander"/>
    <x v="1"/>
    <s v="George Silva Dimitrov"/>
    <x v="0"/>
    <d v="2015-12-21T09:16:00"/>
    <m/>
    <n v="70.613888888889051"/>
    <x v="1"/>
    <x v="1"/>
  </r>
  <r>
    <s v="Requisição de Serviços"/>
    <s v="CTXSPOBF-131094"/>
    <s v="Implantar 12 posições Retenção PF"/>
    <s v="atendimento"/>
    <s v="Vivo "/>
    <s v=" Vivo"/>
    <x v="10"/>
    <s v="Luciana da Silva Cardoso"/>
    <x v="1"/>
    <d v="2015-12-08T15:45:00"/>
    <d v="2016-01-27T14:07:00"/>
    <n v="49.931944444440887"/>
    <x v="1"/>
    <x v="1"/>
  </r>
  <r>
    <s v="Requisição de Serviços"/>
    <s v="CTXSPOBF-130612"/>
    <s v="Inclusão de Liberação em GPO"/>
    <s v="atendimento"/>
    <s v="Vivo "/>
    <s v=" Vivo"/>
    <x v="0"/>
    <s v="Vania de Moraes Colella"/>
    <x v="1"/>
    <d v="2015-12-01T15:26:00"/>
    <d v="2015-12-17T13:07:00"/>
    <n v="15.903472222220444"/>
    <x v="1"/>
    <x v="1"/>
  </r>
  <r>
    <s v="Requisição de Serviços"/>
    <s v="CTXSPOBF-130532"/>
    <s v="TETRIS ANTARTICA - BASICO COMERCIAL"/>
    <s v="atendimento"/>
    <s v="Vivo "/>
    <s v=" Vivo"/>
    <x v="9"/>
    <s v="Vania de Moraes Colella"/>
    <x v="1"/>
    <d v="2015-11-30T16:53:00"/>
    <d v="2015-12-21T15:13:00"/>
    <n v="20.930555555554747"/>
    <x v="2"/>
    <x v="1"/>
  </r>
  <r>
    <s v="Requisição de Serviços"/>
    <s v="CTXSPOBF-130531"/>
    <s v="TETRIS ANTARTICA - RETENÇÃO PF"/>
    <s v="atendimento"/>
    <s v="Vivo "/>
    <s v=" Vivo"/>
    <x v="9"/>
    <s v="Vania de Moraes Colella"/>
    <x v="1"/>
    <d v="2015-11-30T16:48:00"/>
    <d v="2015-12-21T15:22:00"/>
    <n v="20.940277777779556"/>
    <x v="2"/>
    <x v="1"/>
  </r>
  <r>
    <s v="Requisição de Serviços"/>
    <s v="CTXSPOBF-130529"/>
    <s v="TETRIS ANTARTICA - FWT"/>
    <s v="atendimento"/>
    <s v="Vivo "/>
    <s v=" Vivo"/>
    <x v="9"/>
    <s v="Vania de Moraes Colella"/>
    <x v="1"/>
    <d v="2015-11-30T16:21:00"/>
    <d v="2015-12-21T15:15:00"/>
    <n v="20.954166666662786"/>
    <x v="2"/>
    <x v="1"/>
  </r>
  <r>
    <s v="Requisição de Serviços"/>
    <s v="CTXSPOBF-130503"/>
    <s v="TETRIS ANTARTICA - SUPORTES"/>
    <s v="atendimento"/>
    <s v="Vivo "/>
    <s v=" Vivo"/>
    <x v="9"/>
    <s v="Vania de Moraes Colella"/>
    <x v="1"/>
    <d v="2015-11-30T13:22:00"/>
    <d v="2015-12-21T15:18:00"/>
    <n v="21.080555555556202"/>
    <x v="2"/>
    <x v="1"/>
  </r>
  <r>
    <s v="Requisição de Serviços"/>
    <s v="CTXSPOBF-130502"/>
    <s v="TETRIS ANTARTICA - TECNICO MOVEL"/>
    <s v="atendimento"/>
    <s v="Vivo "/>
    <s v=" Vivo"/>
    <x v="9"/>
    <s v="Vania de Moraes Colella"/>
    <x v="1"/>
    <d v="2015-11-30T13:13:00"/>
    <d v="2015-12-21T15:20:00"/>
    <n v="21.088194444448163"/>
    <x v="2"/>
    <x v="1"/>
  </r>
  <r>
    <s v="Requisição de Serviços"/>
    <s v="CTXSPOBF-130466"/>
    <s v="TETRIS ANTARTICA - TECNICO BASICO"/>
    <s v="atendimento"/>
    <s v="Vivo "/>
    <s v=" Vivo"/>
    <x v="9"/>
    <s v="Vania de Moraes Colella"/>
    <x v="1"/>
    <d v="2015-11-30T09:50:00"/>
    <d v="2015-12-21T15:11:00"/>
    <n v="21.222916666672972"/>
    <x v="2"/>
    <x v="1"/>
  </r>
  <r>
    <s v="Requisição de Serviços"/>
    <s v="CTXSPOBF-130334"/>
    <s v="Projeto - Fraseologia Renault/ Nissan RCI 2016"/>
    <s v="atendimento"/>
    <s v="Santander "/>
    <s v=" Santander"/>
    <x v="1"/>
    <s v="George Silva Dimitrov"/>
    <x v="0"/>
    <d v="2015-11-26T17:23:00"/>
    <m/>
    <n v="95.275694444440887"/>
    <x v="2"/>
    <x v="1"/>
  </r>
  <r>
    <s v="Requisição de Serviços"/>
    <s v="CTXSPOBF-130142"/>
    <s v="Projeto - MIGRAÇÃO para NOVA PLATAFORMA de SMS - Santander"/>
    <s v="atendimento"/>
    <s v="Santander "/>
    <s v=" Santander"/>
    <x v="1"/>
    <s v="George Silva Dimitrov"/>
    <x v="0"/>
    <d v="2015-11-24T16:14:00"/>
    <m/>
    <n v="97.323611111110949"/>
    <x v="2"/>
    <x v="1"/>
  </r>
  <r>
    <s v="Requisição de Serviços"/>
    <s v="CTXSPOBF-129499"/>
    <s v="Projeto - Transbordo de Ligações de RCI para Paschoalotto (Bauru)"/>
    <s v="atendimento"/>
    <s v="Santander "/>
    <s v=" Santander"/>
    <x v="1"/>
    <s v="George Silva Dimitrov"/>
    <x v="0"/>
    <d v="2015-11-13T11:55:00"/>
    <m/>
    <n v="108.50347222221899"/>
    <x v="2"/>
    <x v="1"/>
  </r>
  <r>
    <s v="Requisição de Serviços"/>
    <s v="CTXSPOBF-128996"/>
    <s v="Migração POP 3 - REINCIDENTES PJ - LAPA Vs. ANTÁRTICA"/>
    <s v="atendimento"/>
    <s v="Vivo "/>
    <s v=" Vivo"/>
    <x v="9"/>
    <s v="Vania de Moraes Colella"/>
    <x v="1"/>
    <d v="2015-11-06T13:51:00"/>
    <d v="2016-01-19T16:30:00"/>
    <n v="74.110416666670062"/>
    <x v="2"/>
    <x v="1"/>
  </r>
  <r>
    <s v="Requisição de Serviços"/>
    <s v="CTXSPOBF-128995"/>
    <s v="Migração POP 3 - SUPORTE APODC - LAPA Vs. ANTÁRTICA"/>
    <s v="atendimento"/>
    <s v="Vivo "/>
    <s v=" Vivo"/>
    <x v="9"/>
    <s v="Vania de Moraes Colella"/>
    <x v="1"/>
    <d v="2015-11-06T13:49:00"/>
    <d v="2016-01-19T16:28:00"/>
    <n v="74.110416666670062"/>
    <x v="2"/>
    <x v="1"/>
  </r>
  <r>
    <s v="Requisição de Serviços"/>
    <s v="CTXSPOBF-128994"/>
    <s v="Migração POP 3 - IMPRENSA - LAPA Vs. ANTÁRTICA"/>
    <s v="atendimento"/>
    <s v="Vivo "/>
    <s v=" Vivo"/>
    <x v="9"/>
    <s v="Vania de Moraes Colella"/>
    <x v="1"/>
    <d v="2015-11-06T13:46:00"/>
    <d v="2016-01-19T16:28:00"/>
    <n v="74.11250000000291"/>
    <x v="2"/>
    <x v="1"/>
  </r>
  <r>
    <s v="Requisição de Serviços"/>
    <s v="CTXSPOBF-128993"/>
    <s v="Migração POP 3 - ATIVIDADE - LAPA Vs. ANTÁRTICA"/>
    <s v="atendimento"/>
    <s v="Vivo "/>
    <s v=" Vivo"/>
    <x v="9"/>
    <s v="Vania de Moraes Colella"/>
    <x v="1"/>
    <d v="2015-11-06T13:43:00"/>
    <d v="2016-01-19T16:28:00"/>
    <n v="74.114583333335759"/>
    <x v="2"/>
    <x v="1"/>
  </r>
  <r>
    <s v="Requisição de Serviços"/>
    <s v="CTXSPOBF-128992"/>
    <s v="Migração POP 3 - GRE ANATEL - LAPA Vs. ANTÁRTICA"/>
    <s v="atendimento"/>
    <s v="Vivo "/>
    <s v=" Vivo"/>
    <x v="9"/>
    <s v="Vania de Moraes Colella"/>
    <x v="1"/>
    <d v="2015-11-06T13:35:00"/>
    <d v="2016-01-19T16:27:00"/>
    <n v="74.119444444448163"/>
    <x v="2"/>
    <x v="1"/>
  </r>
  <r>
    <s v="Requisição de Serviços"/>
    <s v="CTXSPOBF-128884"/>
    <s v="Inclusão de link em Favoritos - Siga Online"/>
    <s v="atendimento"/>
    <s v="Vivo "/>
    <s v=" Vivo"/>
    <x v="1"/>
    <s v="Vania de Moraes Colella"/>
    <x v="0"/>
    <d v="2015-11-05T11:35:00"/>
    <m/>
    <n v="116.51736111110949"/>
    <x v="2"/>
    <x v="1"/>
  </r>
  <r>
    <s v="Requisição de Serviços"/>
    <s v="CTXSPOBF-128878"/>
    <s v="Migração POP 3 - GESTOR CARTEIRA - LAPA vs. ANTÁRTICA"/>
    <s v="atendimento"/>
    <s v="Vivo "/>
    <s v=" Vivo"/>
    <x v="9"/>
    <s v="Vania de Moraes Colella"/>
    <x v="1"/>
    <d v="2015-11-05T11:13:00"/>
    <d v="2016-01-19T16:27:00"/>
    <n v="75.218055555553292"/>
    <x v="2"/>
    <x v="1"/>
  </r>
  <r>
    <s v="Requisição de Serviços"/>
    <s v="CTXSPOBF-128875"/>
    <s v="Migração POP 3 - SUPORTE_CARTEIRA2 - LAPA Vs. ANTÁRTICA"/>
    <s v="atendimento"/>
    <s v="Vivo "/>
    <s v=" Vivo"/>
    <x v="9"/>
    <s v="Vania de Moraes Colella"/>
    <x v="1"/>
    <d v="2015-11-05T11:07:00"/>
    <d v="2016-01-19T16:27:00"/>
    <n v="75.222222222226264"/>
    <x v="2"/>
    <x v="1"/>
  </r>
  <r>
    <s v="Requisição de Serviços"/>
    <s v="CTXSPOBF-128873"/>
    <s v="Migração POP 3 - SUPORTE_CARTEIRA1 - LAPA Vs. ANTÁRTICA"/>
    <s v="atendimento"/>
    <s v="Vivo "/>
    <s v=" Vivo"/>
    <x v="9"/>
    <s v="Vania de Moraes Colella"/>
    <x v="1"/>
    <d v="2015-11-05T11:03:00"/>
    <d v="2016-01-19T16:27:00"/>
    <n v="75.224999999998545"/>
    <x v="2"/>
    <x v="1"/>
  </r>
  <r>
    <s v="Requisição de Serviços"/>
    <s v="CTXSPOBF-128870"/>
    <s v="Migração POP 3 - GESTOR_CARTEIRA_PJ - LAPA Vs. ANTÁRTICA"/>
    <s v="atendimento"/>
    <s v="Vivo "/>
    <s v=" Vivo"/>
    <x v="9"/>
    <s v="Vania de Moraes Colella"/>
    <x v="1"/>
    <d v="2015-11-05T10:55:00"/>
    <d v="2016-01-19T16:27:00"/>
    <n v="75.230555555557657"/>
    <x v="2"/>
    <x v="1"/>
  </r>
  <r>
    <s v="Requisição de Serviços"/>
    <s v="CTXSPOBF-128869"/>
    <s v="Migração POP 3 - CONSUL_CONSOLIDADO - LAPA Vs. ANTÁRTICA"/>
    <s v="atendimento"/>
    <s v="Vivo "/>
    <s v=" Vivo"/>
    <x v="9"/>
    <s v="Vania de Moraes Colella"/>
    <x v="1"/>
    <d v="2015-11-05T10:52:00"/>
    <d v="2016-01-19T16:26:00"/>
    <n v="75.231944444443798"/>
    <x v="2"/>
    <x v="1"/>
  </r>
  <r>
    <s v="Requisição de Serviços"/>
    <s v="CTXSPOBF-128868"/>
    <s v="Migração POP 3 - CONSUL_CARTEIRA2_GR2 - LAPA Vs. ANTÁRTICA"/>
    <s v="atendimento"/>
    <s v="Vivo "/>
    <s v=" Vivo"/>
    <x v="9"/>
    <s v="Vania de Moraes Colella"/>
    <x v="1"/>
    <d v="2015-11-05T10:48:00"/>
    <d v="2016-01-19T16:26:00"/>
    <n v="75.234722222223354"/>
    <x v="2"/>
    <x v="1"/>
  </r>
  <r>
    <s v="Requisição de Serviços"/>
    <s v="CTXSPOBF-128865"/>
    <s v="Migração POP 3 - CONSUL_CARTEIRA2_GR1 - LAPA Vs. ANTÁRTICA"/>
    <s v="atendimento"/>
    <s v="Vivo "/>
    <s v=" Vivo"/>
    <x v="9"/>
    <s v="Vania de Moraes Colella"/>
    <x v="1"/>
    <d v="2015-11-05T10:43:00"/>
    <d v="2016-01-19T16:26:00"/>
    <n v="75.238194444442343"/>
    <x v="2"/>
    <x v="1"/>
  </r>
  <r>
    <s v="Requisição de Serviços"/>
    <s v="CTXSPOBF-128864"/>
    <s v="Migração POP 3 - CONSUL_CARTEIRA1_GR2 - LAPA Vs. ANTÁRTICA"/>
    <s v="atendimento"/>
    <s v="Vivo "/>
    <s v=" Vivo"/>
    <x v="9"/>
    <s v="Vania de Moraes Colella"/>
    <x v="1"/>
    <d v="2015-11-05T10:40:00"/>
    <d v="2016-01-19T16:26:00"/>
    <n v="75.240277777775191"/>
    <x v="2"/>
    <x v="1"/>
  </r>
  <r>
    <s v="Requisição de Serviços"/>
    <s v="CTXSPOBF-128861"/>
    <s v="Migração POP 3 - CONSUL_CARTEIRA1_GR1 - LAPA Vs. ANTÁRTICA"/>
    <s v="atendimento"/>
    <s v="Vivo "/>
    <s v=" Vivo"/>
    <x v="9"/>
    <s v="Vania de Moraes Colella"/>
    <x v="1"/>
    <d v="2015-11-05T10:31:00"/>
    <d v="2016-01-19T16:25:00"/>
    <n v="75.245833333334303"/>
    <x v="2"/>
    <x v="1"/>
  </r>
  <r>
    <s v="Requisição de Serviços"/>
    <s v="CTXSPOBF-128853"/>
    <s v="Migração POP 3 - APOIOS VPR - LAPA vs. ANTÁRTICA"/>
    <s v="atendimento"/>
    <s v="Vivo "/>
    <s v=" Vivo"/>
    <x v="9"/>
    <s v="Vania de Moraes Colella"/>
    <x v="1"/>
    <d v="2015-11-05T10:05:00"/>
    <d v="2016-01-19T16:25:00"/>
    <n v="75.263888888890506"/>
    <x v="2"/>
    <x v="1"/>
  </r>
  <r>
    <s v="Requisição de Serviços"/>
    <s v="CTXSPOBF-128725"/>
    <s v="Migração POP 3 - RENEGOCIAÇÃO - LAPA vs. ANTÁRTICA"/>
    <s v="atendimento"/>
    <s v="Vivo "/>
    <s v=" Vivo"/>
    <x v="9"/>
    <s v="Vania de Moraes Colella"/>
    <x v="1"/>
    <d v="2015-11-03T18:06:00"/>
    <d v="2016-01-19T16:25:00"/>
    <n v="76.929861111115315"/>
    <x v="2"/>
    <x v="1"/>
  </r>
  <r>
    <s v="Requisição de Serviços"/>
    <s v="CTXSPOBF-128722"/>
    <s v="Migração POP 3 - PROCESSO_CARTEIRA 1 - LAPA vs. ANTÁRTICA"/>
    <s v="atendimento"/>
    <s v="Vivo "/>
    <s v=" Vivo"/>
    <x v="9"/>
    <s v="Vania de Moraes Colella"/>
    <x v="1"/>
    <d v="2015-11-03T17:47:00"/>
    <d v="2016-01-19T16:25:00"/>
    <n v="76.943055555559113"/>
    <x v="2"/>
    <x v="1"/>
  </r>
  <r>
    <s v="Requisição de Serviços"/>
    <s v="CTXSPOBF-128720"/>
    <s v="Migração POP 3 - PROCESSO_CARTEIRA 0 - LAPA vs. ANTÁRTICA"/>
    <s v="atendimento"/>
    <s v="Vivo "/>
    <s v=" Vivo"/>
    <x v="9"/>
    <s v="Vania de Moraes Colella"/>
    <x v="1"/>
    <d v="2015-11-03T17:43:00"/>
    <d v="2016-01-19T16:24:00"/>
    <n v="76.945138888891961"/>
    <x v="2"/>
    <x v="1"/>
  </r>
  <r>
    <s v="Requisição de Serviços"/>
    <s v="CTXSPOBF-128719"/>
    <s v="Migração POP 3 - GOVERNO_VPG - LAPA vs. ANTÁRTICA"/>
    <s v="atendimento"/>
    <s v="Vivo "/>
    <s v=" Vivo"/>
    <x v="9"/>
    <s v="Vania de Moraes Colella"/>
    <x v="1"/>
    <d v="2015-11-03T17:38:00"/>
    <d v="2016-01-19T16:24:00"/>
    <n v="76.948611111110949"/>
    <x v="2"/>
    <x v="1"/>
  </r>
  <r>
    <s v="Requisição de Serviços"/>
    <s v="CTXSPOBF-128718"/>
    <s v="Migração POP 3 - M2M_VPG - LAPA vs. ANTÁRTICA"/>
    <s v="atendimento"/>
    <s v="Vivo "/>
    <s v=" Vivo"/>
    <x v="9"/>
    <s v="Vania de Moraes Colella"/>
    <x v="1"/>
    <d v="2015-11-03T17:35:00"/>
    <d v="2016-01-19T16:24:00"/>
    <n v="76.950694444443798"/>
    <x v="2"/>
    <x v="1"/>
  </r>
  <r>
    <s v="Requisição de Serviços"/>
    <s v="CTXSPOBF-128717"/>
    <s v="Migração POP 3 - GT_FILTRO - LAPA vs. ANTÁRTICA"/>
    <s v="atendimento"/>
    <s v="Vivo "/>
    <s v=" Vivo"/>
    <x v="9"/>
    <s v="Vania de Moraes Colella"/>
    <x v="1"/>
    <d v="2015-11-03T17:31:00"/>
    <d v="2016-01-19T16:24:00"/>
    <n v="76.953472222223354"/>
    <x v="2"/>
    <x v="1"/>
  </r>
  <r>
    <s v="Requisição de Serviços"/>
    <s v="CTXSPOBF-128715"/>
    <s v="Migração POP 3 - AUDITORIA (QUALITY ASSURANCE) - LAPA vs. ANTÁRTICA"/>
    <s v="atendimento"/>
    <s v="Vivo "/>
    <s v=" Vivo"/>
    <x v="9"/>
    <s v="Vania de Moraes Colella"/>
    <x v="1"/>
    <d v="2015-11-03T17:28:00"/>
    <d v="2016-01-19T16:24:00"/>
    <n v="76.955555555556202"/>
    <x v="2"/>
    <x v="1"/>
  </r>
  <r>
    <s v="Requisição de Serviços"/>
    <s v="CTXSPOBF-128714"/>
    <s v="Migração POP 3 - AUDITORIA (QUALITY ASSURANCE) - LAPA vs. ANTÁRTICA"/>
    <s v="atendimento"/>
    <s v="Vivo "/>
    <s v=" Vivo"/>
    <x v="9"/>
    <s v="Vania de Moraes Colella"/>
    <x v="1"/>
    <d v="2015-11-03T17:25:00"/>
    <d v="2016-01-19T16:23:00"/>
    <n v="76.956944444442343"/>
    <x v="2"/>
    <x v="1"/>
  </r>
  <r>
    <s v="Requisição de Serviços"/>
    <s v="CTXSPOBF-128713"/>
    <s v="Migração POP 3 - CONSULT MANAGER - LAPA vs. ANTÁRTICA"/>
    <s v="atendimento"/>
    <s v="Vivo "/>
    <s v=" Vivo"/>
    <x v="9"/>
    <s v="Vania de Moraes Colella"/>
    <x v="1"/>
    <d v="2015-11-03T17:19:00"/>
    <d v="2016-01-19T16:23:00"/>
    <n v="76.961111111108039"/>
    <x v="2"/>
    <x v="1"/>
  </r>
  <r>
    <s v="Requisição de Serviços"/>
    <s v="CTXSPOBF-128712"/>
    <s v="Migração POP 3 - CORREÇÃO_CADASTRAL_ESPECIALISTA - LAPA vs. ANTÁRTICA"/>
    <s v="atendimento"/>
    <s v="Vivo "/>
    <s v=" Vivo"/>
    <x v="9"/>
    <s v="Vania de Moraes Colella"/>
    <x v="1"/>
    <d v="2015-11-03T17:15:00"/>
    <d v="2016-01-19T16:23:00"/>
    <n v="76.963888888887595"/>
    <x v="2"/>
    <x v="1"/>
  </r>
  <r>
    <s v="Requisição de Serviços"/>
    <s v="CTXSPOBF-128711"/>
    <s v="Migração POP 3 - CORREÇÃO_CADASTRAL_EXECUTORES - LAPA vs. ANTÁRTICA"/>
    <s v="atendimento"/>
    <s v="Vivo "/>
    <s v=" Vivo"/>
    <x v="9"/>
    <s v="Vania de Moraes Colella"/>
    <x v="1"/>
    <d v="2015-11-03T17:11:00"/>
    <d v="2016-01-19T16:22:00"/>
    <n v="76.965972222220444"/>
    <x v="2"/>
    <x v="1"/>
  </r>
  <r>
    <s v="Requisição de Serviços"/>
    <s v="CTXSPOBF-128702"/>
    <s v="Migração POP 3 - GRE_FATURAMENTO - LAPA vs. ANTÁRTICA"/>
    <s v="atendimento"/>
    <s v="Vivo "/>
    <s v=" Vivo"/>
    <x v="9"/>
    <s v="Vania de Moraes Colella"/>
    <x v="1"/>
    <d v="2015-11-03T14:59:00"/>
    <d v="2016-01-19T16:22:00"/>
    <n v="77.057638888887595"/>
    <x v="2"/>
    <x v="1"/>
  </r>
  <r>
    <s v="Requisição de Serviços"/>
    <s v="CTXSPOBF-128701"/>
    <s v="Migração POP 3 - ILHA_DIAGNOSTICO - LAPA vs. ANTÁRTICA"/>
    <s v="atendimento"/>
    <s v="Vivo "/>
    <s v=" Vivo"/>
    <x v="9"/>
    <s v="Vania de Moraes Colella"/>
    <x v="1"/>
    <d v="2015-11-03T14:52:00"/>
    <d v="2016-01-19T16:22:00"/>
    <n v="77.0625"/>
    <x v="2"/>
    <x v="1"/>
  </r>
  <r>
    <s v="Requisição de Serviços"/>
    <s v="CTXSPOBF-128692"/>
    <s v="Migração POP 3 - COMUNICACAO_TREINAMENTO - LAPA vs. ANTÁRTICA"/>
    <s v="atendimento"/>
    <s v="Vivo "/>
    <s v=" Vivo"/>
    <x v="9"/>
    <s v="Vania de Moraes Colella"/>
    <x v="1"/>
    <d v="2015-11-03T13:02:00"/>
    <d v="2016-01-19T16:22:00"/>
    <n v="77.13888888888323"/>
    <x v="2"/>
    <x v="1"/>
  </r>
  <r>
    <s v="Requisição de Serviços"/>
    <s v="CTXSPOBF-128691"/>
    <s v="Migração POP 3 - ROTEIRO_DINÂMICO - LAPA vs. ANTÁRTICA"/>
    <s v="atendimento"/>
    <s v="Vivo "/>
    <s v=" Vivo"/>
    <x v="9"/>
    <s v="Vania de Moraes Colella"/>
    <x v="1"/>
    <d v="2015-11-03T12:56:00"/>
    <d v="2015-12-21T15:27:00"/>
    <n v="48.104861111110949"/>
    <x v="2"/>
    <x v="1"/>
  </r>
  <r>
    <s v="Requisição de Serviços"/>
    <s v="CTXSPOBF-128690"/>
    <s v="Migração POP 3 - GT_RURAL_CEL - LAPA vs. ANTÁRTICA"/>
    <s v="atendimento"/>
    <s v="Vivo "/>
    <s v=" Vivo"/>
    <x v="9"/>
    <s v="Vania de Moraes Colella"/>
    <x v="1"/>
    <d v="2015-11-03T12:53:00"/>
    <d v="2015-12-21T15:25:00"/>
    <n v="48.105555555550382"/>
    <x v="2"/>
    <x v="1"/>
  </r>
  <r>
    <s v="Requisição de Serviços"/>
    <s v="CTXSPOBF-128688"/>
    <s v="Migração POP 3 - VPR - LAPA vs. ANTÁRTICA"/>
    <s v="atendimento"/>
    <s v="Vivo "/>
    <s v=" Vivo"/>
    <x v="9"/>
    <s v="Vania de Moraes Colella"/>
    <x v="1"/>
    <d v="2015-11-03T12:47:00"/>
    <d v="2016-01-19T16:22:00"/>
    <n v="77.149305555554747"/>
    <x v="2"/>
    <x v="1"/>
  </r>
  <r>
    <s v="Requisição de Serviços"/>
    <s v="CTXSPOBF-128686"/>
    <s v="Migração POP 3 - GT_REGISTRO_APARELHOS - LAPA vs. ANTÁRTICA"/>
    <s v="atendimento"/>
    <s v="Vivo "/>
    <s v=" Vivo"/>
    <x v="9"/>
    <s v="Vania de Moraes Colella"/>
    <x v="1"/>
    <d v="2015-11-03T12:38:00"/>
    <d v="2015-12-21T15:24:00"/>
    <n v="48.115277777782467"/>
    <x v="2"/>
    <x v="1"/>
  </r>
  <r>
    <s v="Requisição de Serviços"/>
    <s v="CTXSPOBF-128685"/>
    <s v="Migração POP 3 - RETENCAO_PJ - LAPA vs. ANTÁRTICA"/>
    <s v="atendimento"/>
    <s v="Vivo "/>
    <s v=" Vivo"/>
    <x v="9"/>
    <s v="Vania de Moraes Colella"/>
    <x v="1"/>
    <d v="2015-11-03T12:26:00"/>
    <d v="2016-01-19T16:21:00"/>
    <n v="77.163194444445253"/>
    <x v="2"/>
    <x v="1"/>
  </r>
  <r>
    <s v="Requisição de Serviços"/>
    <s v="CTXSPOBF-128684"/>
    <s v="Migração POP 3 - GRE_FALE_CONOSCO - LAPA vs. ANTÁRTICA"/>
    <s v="atendimento"/>
    <s v="Vivo "/>
    <s v=" Vivo"/>
    <x v="9"/>
    <s v="Vania de Moraes Colella"/>
    <x v="1"/>
    <d v="2015-11-03T12:12:00"/>
    <d v="2016-01-19T16:20:00"/>
    <n v="77.172222222223354"/>
    <x v="2"/>
    <x v="1"/>
  </r>
  <r>
    <s v="Requisição de Serviços"/>
    <s v="CTXSPOBF-128396"/>
    <s v="Projeto - Geração de boletagem massiva pela front end da SKY."/>
    <s v="boletagem"/>
    <s v="Credsystem "/>
    <s v=" Cobrança de 05 a 90"/>
    <x v="11"/>
    <s v="George Silva Dimitrov"/>
    <x v="1"/>
    <d v="2015-10-29T08:29:00"/>
    <d v="2015-12-18T16:54:00"/>
    <n v="50.350694444445253"/>
    <x v="3"/>
    <x v="1"/>
  </r>
  <r>
    <s v="Requisição de Serviços"/>
    <s v="CTXSPOBF-128300"/>
    <s v="DESMOBILIZAÇÃO DE PARTE DA OPERAÇÃO CITIBANK NO SITE ANTÁRTICA"/>
    <s v="atendimento"/>
    <s v="Citibank "/>
    <s v=" SAC Citibank"/>
    <x v="1"/>
    <s v="Marco Aurelio Brandao Duarte"/>
    <x v="0"/>
    <d v="2015-10-28T10:27:00"/>
    <m/>
    <n v="124.56458333333285"/>
    <x v="3"/>
    <x v="1"/>
  </r>
  <r>
    <s v="Requisição de Serviços"/>
    <s v="CTXSPOBF-126597"/>
    <s v="Implantação Basico Comercial Antartica - TETRIS VIVO"/>
    <s v="atendimento"/>
    <s v="Vivo "/>
    <s v=" Vivo"/>
    <x v="9"/>
    <s v="Vania de Moraes Colella"/>
    <x v="1"/>
    <d v="2015-10-01T20:37:00"/>
    <d v="2015-12-23T10:23:00"/>
    <n v="82.573611111110949"/>
    <x v="3"/>
    <x v="1"/>
  </r>
  <r>
    <s v="Requisição de Serviços"/>
    <s v="CTXSPOBF-126487"/>
    <s v="Projeto: Alteração do Arquivo RAW - Operação Serasa Cobrança"/>
    <s v="atendimento"/>
    <s v="Serasa "/>
    <s v=" Célula Inadimplência"/>
    <x v="1"/>
    <s v="Priscila Roberta dos S. Freitas"/>
    <x v="2"/>
    <d v="2015-09-30T15:36:00"/>
    <m/>
    <n v="152.34999999999854"/>
    <x v="4"/>
    <x v="1"/>
  </r>
  <r>
    <s v="Requisição de Serviços"/>
    <s v="CTXSPOBF-126235"/>
    <s v="Migração equipe de Suporte Vivo - De Pta para Antartica"/>
    <s v="atendimento"/>
    <s v="Vivo "/>
    <s v=" Vivo"/>
    <x v="12"/>
    <s v="Vania de Moraes Colella"/>
    <x v="5"/>
    <d v="2015-09-25T13:29:00"/>
    <m/>
    <n v="157.43819444444671"/>
    <x v="4"/>
    <x v="1"/>
  </r>
  <r>
    <s v="Requisição de Serviços"/>
    <s v="CTXSPOBF-126223"/>
    <s v="Projeto - Implantar Total View na Operação Interodonto"/>
    <s v="atendimento"/>
    <s v="Contax "/>
    <s v=" Outro"/>
    <x v="1"/>
    <s v="Carlos Batista Alves"/>
    <x v="2"/>
    <d v="2015-09-25T12:08:00"/>
    <m/>
    <n v="157.49444444444089"/>
    <x v="4"/>
    <x v="1"/>
  </r>
  <r>
    <s v="Requisição de Serviços"/>
    <s v="CTXSPOBF-126151"/>
    <s v="Projeto: Implantar Ferramenta RTI - Ticket B2C Usuários"/>
    <s v="atendimento"/>
    <s v="Ticket Serviços S/A "/>
    <s v=" Usuários/Autorizações"/>
    <x v="1"/>
    <s v="Priscila Roberta dos S. Freitas"/>
    <x v="2"/>
    <d v="2015-09-24T11:50:00"/>
    <m/>
    <n v="158.50694444444525"/>
    <x v="4"/>
    <x v="1"/>
  </r>
  <r>
    <s v="Requisição de Serviços"/>
    <s v="CTXSPOBF-125992"/>
    <s v="TETRIS VIVO - GRE ANATEL MOVEL"/>
    <s v="atendimento"/>
    <s v="Vivo "/>
    <s v=" Vivo"/>
    <x v="12"/>
    <s v="Vania de Moraes Colella"/>
    <x v="0"/>
    <d v="2015-09-22T18:33:00"/>
    <m/>
    <n v="160.22708333333139"/>
    <x v="4"/>
    <x v="1"/>
  </r>
  <r>
    <s v="Requisição de Serviços"/>
    <s v="CTXSPOBF-125991"/>
    <s v="TETRIS VIVO - COMERCIAL GRE ANATEL FIXA"/>
    <s v="atendimento"/>
    <s v="Vivo "/>
    <s v=" Vivo"/>
    <x v="12"/>
    <s v="Vania de Moraes Colella"/>
    <x v="0"/>
    <d v="2015-09-22T18:27:00"/>
    <m/>
    <n v="160.23124999999709"/>
    <x v="4"/>
    <x v="1"/>
  </r>
  <r>
    <s v="Requisição de Serviços"/>
    <s v="CTXSPOBF-125990"/>
    <s v="TETRIS VIVO - PORTABILIDADE ILHA DE EMAIL"/>
    <s v="atendimento"/>
    <s v="Vivo "/>
    <s v=" Vivo"/>
    <x v="12"/>
    <s v="Vania de Moraes Colella"/>
    <x v="0"/>
    <d v="2015-09-22T18:23:00"/>
    <m/>
    <n v="160.23402777777665"/>
    <x v="4"/>
    <x v="1"/>
  </r>
  <r>
    <s v="Requisição de Serviços"/>
    <s v="CTXSPOBF-125985"/>
    <s v="TETRIS VIVO - ILHA PORTABILIDADE DE EMAIL BKO"/>
    <s v="atendimento"/>
    <s v="Vivo "/>
    <s v=" Vivo"/>
    <x v="12"/>
    <s v="Vania de Moraes Colella"/>
    <x v="0"/>
    <d v="2015-09-22T17:56:00"/>
    <m/>
    <n v="160.25277777777956"/>
    <x v="4"/>
    <x v="1"/>
  </r>
  <r>
    <s v="Requisição de Serviços"/>
    <s v="CTXSPOBF-125983"/>
    <s v="TETRIS VIVO - FALE CONOSCO FIXA"/>
    <s v="atendimento"/>
    <s v="Vivo "/>
    <s v=" Vivo"/>
    <x v="12"/>
    <s v="Vania de Moraes Colella"/>
    <x v="0"/>
    <d v="2015-09-22T17:50:00"/>
    <m/>
    <n v="160.25694444444525"/>
    <x v="4"/>
    <x v="1"/>
  </r>
  <r>
    <s v="Requisição de Serviços"/>
    <s v="CTXSPOBF-125980"/>
    <s v="VIVO TETRIS - PROCON OFF LINE FIXA"/>
    <s v="atendimento"/>
    <s v="Vivo "/>
    <s v=" Vivo"/>
    <x v="12"/>
    <s v="Vania de Moraes Colella"/>
    <x v="0"/>
    <d v="2015-09-22T17:43:00"/>
    <m/>
    <n v="160.26180555555766"/>
    <x v="4"/>
    <x v="1"/>
  </r>
  <r>
    <s v="Requisição de Serviços"/>
    <s v="CTXSPOBF-125979"/>
    <s v="VIVO TETRIS - PROCON OFF LINE (FIXA )"/>
    <s v="atendimento"/>
    <s v="Vivo "/>
    <s v=" Vivo"/>
    <x v="12"/>
    <s v="Vania de Moraes Colella"/>
    <x v="0"/>
    <d v="2015-09-22T17:41:00"/>
    <m/>
    <n v="160.2631944444438"/>
    <x v="4"/>
    <x v="1"/>
  </r>
  <r>
    <s v="Requisição de Serviços"/>
    <s v="CTXSPOBF-125974"/>
    <s v="TETRIS VIVO - PROCON 0800 - FIXA"/>
    <s v="atendimento"/>
    <s v="Vivo "/>
    <s v=" Vivo"/>
    <x v="12"/>
    <s v="Vania de Moraes Colella"/>
    <x v="0"/>
    <d v="2015-09-22T17:03:00"/>
    <m/>
    <n v="160.28958333333139"/>
    <x v="4"/>
    <x v="1"/>
  </r>
  <r>
    <s v="Requisição de Serviços"/>
    <s v="CTXSPOBF-125971"/>
    <s v="TETRIS VIVO - RETENÇÃO PJ"/>
    <s v="atendimento"/>
    <s v="Vivo "/>
    <s v=" Vivo"/>
    <x v="9"/>
    <s v="Vania de Moraes Colella"/>
    <x v="1"/>
    <d v="2015-09-22T16:50:00"/>
    <d v="2015-12-21T10:38:00"/>
    <n v="89.741666666668607"/>
    <x v="4"/>
    <x v="1"/>
  </r>
  <r>
    <s v="Requisição de Serviços"/>
    <s v="CTXSPOBF-125921"/>
    <s v="Projeto - Instalação do Tsupervisor na Operação Santander nos Sites Antártica e Mackenzie"/>
    <s v="atendimento"/>
    <s v="Santander "/>
    <s v=" Santander"/>
    <x v="1"/>
    <s v="George Silva Dimitrov"/>
    <x v="2"/>
    <d v="2015-09-22T10:43:00"/>
    <m/>
    <n v="160.5534722222219"/>
    <x v="4"/>
    <x v="1"/>
  </r>
  <r>
    <s v="Requisição de Serviços"/>
    <s v="CTXSPOBF-125608"/>
    <s v="Projeto Proposta Chat Online RCI"/>
    <s v="atendimento"/>
    <s v="Santander "/>
    <s v=" Atendimento Empresarial"/>
    <x v="1"/>
    <s v="George Silva Dimitrov"/>
    <x v="6"/>
    <d v="2015-09-17T10:23:00"/>
    <m/>
    <n v="165.5673611111124"/>
    <x v="4"/>
    <x v="1"/>
  </r>
  <r>
    <s v="Requisição de Serviços"/>
    <s v="CTXSPOBF-125417"/>
    <s v="Projeto - Alterar o valor NÃO IDENTIFICADO para um texto genérico no Screen Pop"/>
    <s v="atendimento"/>
    <s v="Santander "/>
    <s v=" Atendimento Empresarial"/>
    <x v="1"/>
    <s v="George Silva Dimitrov"/>
    <x v="6"/>
    <d v="2015-09-14T15:59:00"/>
    <m/>
    <n v="168.33402777777519"/>
    <x v="4"/>
    <x v="1"/>
  </r>
  <r>
    <s v="Requisição de Serviços"/>
    <s v="CTXSPOBF-125012"/>
    <s v="Projeto - Alterar Papel de Parede de E-mail Customizado"/>
    <s v="boletagem"/>
    <s v="Serasa "/>
    <s v=" Célula Inadimplência"/>
    <x v="1"/>
    <s v="Carlos Batista Alves"/>
    <x v="2"/>
    <d v="2015-09-08T12:32:00"/>
    <m/>
    <n v="174.4777777777781"/>
    <x v="4"/>
    <x v="1"/>
  </r>
  <r>
    <s v="Requisição de Serviços"/>
    <s v="CTXSPOBF-124602"/>
    <s v="Projeto - Projeto - Discador para Ciclo de Vida e Finauto"/>
    <s v="atendimento"/>
    <s v="Santander "/>
    <s v=" Santander"/>
    <x v="13"/>
    <s v="Luciana da Silva Cardoso"/>
    <x v="0"/>
    <d v="2015-08-31T14:38:00"/>
    <m/>
    <n v="182.39027777777665"/>
    <x v="10"/>
    <x v="1"/>
  </r>
  <r>
    <s v="Requisição de Serviços"/>
    <s v="CTXSPOBF-123720"/>
    <s v="Troca de Máquinas Grupo Gestão de Acessos"/>
    <m/>
    <s v="Vivo "/>
    <s v=" Vivo"/>
    <x v="1"/>
    <s v="Vania de Moraes Colella"/>
    <x v="2"/>
    <d v="2015-08-12T18:07:00"/>
    <m/>
    <n v="201.2451388888876"/>
    <x v="10"/>
    <x v="1"/>
  </r>
  <r>
    <s v="Requisição de Serviços"/>
    <s v="CTXSPOBF-123499"/>
    <s v="Projeto - Configurar infraestrutura de DAC Contax para integração do SACL (automatização de protocolo)"/>
    <m/>
    <s v="Bradesco "/>
    <s v=" Outros Assuntos"/>
    <x v="1"/>
    <s v="Rogerio Luiz da Silva"/>
    <x v="0"/>
    <d v="2015-08-10T12:01:00"/>
    <m/>
    <n v="203.49930555555329"/>
    <x v="10"/>
    <x v="1"/>
  </r>
  <r>
    <s v="Requisição de Serviços"/>
    <s v="CTXSPOBF-122472"/>
    <s v="TLS, Transport Layer Security : Email Blocking Notification from the Content Monitoring Program"/>
    <m/>
    <s v="Citibank "/>
    <s v=" SAC Citibank"/>
    <x v="1"/>
    <s v="Marco Aurelio Brandao Duarte"/>
    <x v="0"/>
    <d v="2015-07-23T15:21:00"/>
    <m/>
    <n v="221.36041666667006"/>
    <x v="5"/>
    <x v="1"/>
  </r>
  <r>
    <s v="Requisição de Serviços"/>
    <s v="CTXSPOBF-121810"/>
    <s v="Projeto - Projeto - Troca de máquinas operação Ticket"/>
    <m/>
    <s v="Contax "/>
    <s v=" Dir. Clientes Especiais"/>
    <x v="14"/>
    <s v="Fabiane Evangelista Cavalcante"/>
    <x v="0"/>
    <d v="2015-07-13T18:27:00"/>
    <m/>
    <n v="231.23124999999709"/>
    <x v="5"/>
    <x v="1"/>
  </r>
  <r>
    <s v="Requisição de Serviços"/>
    <s v="CTXSPOBF-121472"/>
    <s v="Projeto - Amplicação de circuito de voz de 30 para 60 canais"/>
    <m/>
    <s v="Banco Toyota "/>
    <s v=" Suporte ao Cliente"/>
    <x v="11"/>
    <s v="Rogerio Luiz da Silva"/>
    <x v="0"/>
    <d v="2015-07-07T11:54:00"/>
    <m/>
    <n v="237.5041666666657"/>
    <x v="5"/>
    <x v="1"/>
  </r>
  <r>
    <s v="Requisição de Serviços"/>
    <s v="CTXSPOBF-121148"/>
    <s v="Projeto - Projeto - Implantar ferramenta RTI - Ticket B2B"/>
    <m/>
    <s v="Contax "/>
    <s v=" Dir. Clientes Especiais"/>
    <x v="1"/>
    <s v="Fabiane Evangelista Cavalcante"/>
    <x v="2"/>
    <d v="2015-07-01T15:30:00"/>
    <m/>
    <n v="243.35416666666424"/>
    <x v="5"/>
    <x v="1"/>
  </r>
  <r>
    <s v="Requisição de Serviços"/>
    <s v="CTXSPOBF-121133"/>
    <s v="Projeto - Projeto"/>
    <m/>
    <s v="Vivo "/>
    <s v=" Vivo"/>
    <x v="1"/>
    <s v="Elaine Aparecida de Lima Luzio"/>
    <x v="2"/>
    <d v="2015-07-01T14:07:00"/>
    <m/>
    <n v="243.41180555555911"/>
    <x v="5"/>
    <x v="1"/>
  </r>
  <r>
    <s v="Requisição de Serviços"/>
    <s v="CTXSPOBF-121132"/>
    <s v="Projeto - Projeto"/>
    <m/>
    <s v="Vivo "/>
    <s v=" Vivo"/>
    <x v="1"/>
    <s v="Elaine Aparecida de Lima Luzio"/>
    <x v="6"/>
    <d v="2015-07-01T14:02:00"/>
    <m/>
    <n v="243.4152777777781"/>
    <x v="5"/>
    <x v="1"/>
  </r>
  <r>
    <s v="Requisição de Serviços"/>
    <s v="CTXSPOBF-120102"/>
    <s v="Projeto - Projeto - Instalação de Fax - VIVO"/>
    <m/>
    <s v="Vivo "/>
    <s v=" Vivo"/>
    <x v="0"/>
    <s v="Vania de Moraes Colella"/>
    <x v="4"/>
    <d v="2015-06-16T16:47:00"/>
    <m/>
    <n v="258.30069444444234"/>
    <x v="6"/>
    <x v="1"/>
  </r>
  <r>
    <s v="Requisição de Serviços"/>
    <s v="CTXSPOBF-119863"/>
    <s v="Melhoria Relatório Screen Pop"/>
    <m/>
    <s v="Santander "/>
    <s v=" Santander"/>
    <x v="1"/>
    <s v="Fabio Pereira da Nobrega"/>
    <x v="2"/>
    <d v="2015-06-12T15:48:00"/>
    <m/>
    <n v="262.34166666666715"/>
    <x v="6"/>
    <x v="1"/>
  </r>
  <r>
    <s v="Requisição de Serviços"/>
    <s v="CTXSPOBF-119509"/>
    <s v="Projeto - Projeto - Conectar equipamento de ponto Ticket infra"/>
    <m/>
    <s v="Contax "/>
    <s v=" Dir. Clientes Especiais"/>
    <x v="0"/>
    <s v="Fabiane Evangelista Cavalcante"/>
    <x v="4"/>
    <d v="2015-06-08T15:30:00"/>
    <m/>
    <n v="266.35416666666424"/>
    <x v="6"/>
    <x v="1"/>
  </r>
  <r>
    <s v="Requisição de Serviços"/>
    <s v="CTXSPOBF-117894"/>
    <s v="Projeto - Projeto - Desmobilização Paulista 07"/>
    <m/>
    <s v="Contax "/>
    <s v=" Ger Governança de TI"/>
    <x v="12"/>
    <s v="Cleonice de Andrade Oliveira Ferreira"/>
    <x v="2"/>
    <d v="2015-05-11T18:22:00"/>
    <m/>
    <n v="294.23472222222335"/>
    <x v="7"/>
    <x v="1"/>
  </r>
  <r>
    <s v="Requisição de Serviços"/>
    <s v="CTXSPOBF-116397"/>
    <s v="Projeto - Projeto"/>
    <m/>
    <s v="Contax "/>
    <s v=" Outro"/>
    <x v="15"/>
    <s v="JONAS SANTOS DO AMOR DIVINO"/>
    <x v="1"/>
    <d v="2015-04-15T18:05:00"/>
    <d v="2016-01-15T15:58:00"/>
    <n v="274.91180555555911"/>
    <x v="8"/>
    <x v="1"/>
  </r>
  <r>
    <s v="Requisição de Serviços"/>
    <s v="CTXSPOBF-116380"/>
    <s v="Projeto - Implantação das Ilhas"/>
    <m/>
    <s v="Vivo "/>
    <s v=" Vivo"/>
    <x v="12"/>
    <s v="Joice Pereira De Souza"/>
    <x v="2"/>
    <d v="2015-04-15T14:40:00"/>
    <m/>
    <n v="320.38888888889051"/>
    <x v="8"/>
    <x v="1"/>
  </r>
  <r>
    <s v="Requisição de Serviços"/>
    <s v="CTXSPOBF-115988"/>
    <s v="Projeto - Projeto - SMS SANTANDER - ENVIO DA LINHA DIGITÁVEL (OPÇÃO NA URA A SER IMPLEMENTADA)"/>
    <m/>
    <s v="Contax "/>
    <s v=" Ger Planejamento Outbound"/>
    <x v="1"/>
    <s v="Sergio Franca Souza"/>
    <x v="2"/>
    <d v="2015-04-08T17:58:00"/>
    <m/>
    <n v="327.25138888888614"/>
    <x v="8"/>
    <x v="1"/>
  </r>
  <r>
    <s v="Requisição de Serviços"/>
    <s v="CTXSPOBF-115489"/>
    <s v="Projeto - Projeto - Excluir Opção 5 Web Motors - Santander Financiamentos"/>
    <m/>
    <s v="Contax "/>
    <s v=" Projetos Telecom"/>
    <x v="1"/>
    <s v="Sergio Franca Souza"/>
    <x v="2"/>
    <d v="2015-03-30T18:12:00"/>
    <m/>
    <n v="336.24166666666861"/>
    <x v="11"/>
    <x v="1"/>
  </r>
  <r>
    <s v="Requisição de Serviços"/>
    <s v="CTXSPOBF-114650"/>
    <s v="Projeto - Projeto - Vocalização de CPF para Identificação do Cliente - Santander Financiamentos"/>
    <m/>
    <s v="Contax "/>
    <s v=" Projetos Telecom"/>
    <x v="1"/>
    <s v="Sergio Franca Souza"/>
    <x v="2"/>
    <d v="2015-03-17T18:44:00"/>
    <m/>
    <n v="349.21944444444671"/>
    <x v="11"/>
    <x v="1"/>
  </r>
  <r>
    <s v="Requisição de Serviços"/>
    <s v="CTXSPOBF-114642"/>
    <s v="Projeto - Projeto - Pesquisa Final de Atendimento URA - Santander Financiamentos"/>
    <m/>
    <s v="Contax "/>
    <s v=" Projetos Telecom"/>
    <x v="1"/>
    <s v="Sergio Franca Souza"/>
    <x v="2"/>
    <d v="2015-03-17T18:09:00"/>
    <m/>
    <n v="349.24375000000146"/>
    <x v="11"/>
    <x v="1"/>
  </r>
  <r>
    <s v="Requisição de Serviços"/>
    <s v="CTXSPOBF-114042"/>
    <s v="Projeto - Projeto - Incluir um Pesquisa no Final da Ligação URA FINAUTO"/>
    <m/>
    <s v="Contax "/>
    <s v=" Projetos Telecom"/>
    <x v="1"/>
    <s v="Sergio Franca Souza"/>
    <x v="2"/>
    <d v="2015-03-09T19:16:00"/>
    <m/>
    <n v="357.19722222222481"/>
    <x v="11"/>
    <x v="1"/>
  </r>
  <r>
    <s v="Requisição de Serviços"/>
    <s v="CTXSPOBF-112688"/>
    <s v="Projeto - Projeto - Migração Bradesco (Site Lapa x Antartica)"/>
    <m/>
    <s v="Contax "/>
    <s v=" Dir. Clientes Especiais"/>
    <x v="8"/>
    <s v="Fabiane Evangelista Cavalcante"/>
    <x v="1"/>
    <d v="2015-02-13T16:23:00"/>
    <d v="2016-01-15T15:59:00"/>
    <n v="335.98333333333721"/>
    <x v="9"/>
    <x v="1"/>
  </r>
  <r>
    <s v="Requisição de Serviços"/>
    <s v="CTXSPOBF-100889"/>
    <s v="Projeto - Front End Ayty Cross Sell Citibank"/>
    <m/>
    <s v="Citibank "/>
    <s v=" Cross Sell"/>
    <x v="1"/>
    <s v="Priscila Roberta dos S. Freitas"/>
    <x v="2"/>
    <d v="2014-08-15T10:16:00"/>
    <m/>
    <n v="563.57222222222481"/>
    <x v="10"/>
    <x v="2"/>
  </r>
  <r>
    <s v="Requisição de Serviços"/>
    <s v="CTXSPOBF-98975"/>
    <s v="Implantação tGuidance Santander"/>
    <m/>
    <s v="Santander "/>
    <s v=" Santander"/>
    <x v="5"/>
    <s v="Barbara Louise Boff"/>
    <x v="2"/>
    <d v="2014-07-24T17:47:00"/>
    <m/>
    <n v="585.2590277777781"/>
    <x v="5"/>
    <x v="2"/>
  </r>
  <r>
    <s v="Requisição de Serviços"/>
    <s v="CTXSPOAS-4642"/>
    <s v="Adequação do tProcess - Criação de fluxo de atendimento e controle de projetos"/>
    <m/>
    <s v="Contax "/>
    <s v=" Ger Sistemas Corporativos"/>
    <x v="16"/>
    <s v="Alexandre Batista dos Anjos"/>
    <x v="3"/>
    <d v="2015-09-30T10:41:00"/>
    <d v="2016-02-16T11:31:00"/>
    <n v="139.03472222221899"/>
    <x v="4"/>
    <x v="1"/>
  </r>
  <r>
    <s v="Requisição de Serviços"/>
    <s v="CTXSPOAS-4623"/>
    <s v="Projeto - Inclusão de Serviço de Roteamento de Chamadas no Novo LAB (NGR)"/>
    <m/>
    <s v="Contax "/>
    <s v=" Ger Soluções"/>
    <x v="1"/>
    <s v="Olins Jacques dos Santos"/>
    <x v="2"/>
    <d v="2015-09-28T12:29:00"/>
    <m/>
    <n v="154.47986111111095"/>
    <x v="4"/>
    <x v="1"/>
  </r>
  <r>
    <s v="Requisição de Serviços"/>
    <s v="CTXSPOAS-4365"/>
    <s v="Projeto - Teteton - AACD"/>
    <m/>
    <s v="Contax "/>
    <s v=" Outro"/>
    <x v="17"/>
    <s v="Joice Pereira De Souza"/>
    <x v="0"/>
    <d v="2015-08-10T17:48:00"/>
    <m/>
    <n v="203.25833333333139"/>
    <x v="10"/>
    <x v="1"/>
  </r>
  <r>
    <s v="Requisição de Serviços"/>
    <s v="CTXSPOAS-4345"/>
    <s v="Criação SFTP de compartilhamento de Materiais"/>
    <m/>
    <s v="Contax "/>
    <s v=" RH"/>
    <x v="1"/>
    <s v="Daniela de Freitas Pereira"/>
    <x v="0"/>
    <d v="2015-08-04T16:03:00"/>
    <m/>
    <n v="209.33125000000291"/>
    <x v="10"/>
    <x v="1"/>
  </r>
  <r>
    <s v="Requisição de Serviços"/>
    <s v="CTXSPOAS-4228"/>
    <s v="Projeto - Projeto"/>
    <m/>
    <s v="Contax "/>
    <s v=" Auditoria"/>
    <x v="0"/>
    <s v="DANIELLE BOAVENTURA FREIRE BELEM"/>
    <x v="4"/>
    <d v="2015-05-12T17:53:00"/>
    <m/>
    <n v="293.2548611111124"/>
    <x v="7"/>
    <x v="1"/>
  </r>
  <r>
    <s v="Requisição de Serviços"/>
    <s v="CTXSPOAP407-15367"/>
    <s v="Insumos/Custo Oportunidade Danone"/>
    <m/>
    <s v="Contax "/>
    <s v=" Ger Pré"/>
    <x v="0"/>
    <s v="Agnaldo Jose de Freitas Caetano"/>
    <x v="0"/>
    <d v="2016-02-18T10:42:00"/>
    <m/>
    <n v="11.554166666668607"/>
    <x v="9"/>
    <x v="0"/>
  </r>
  <r>
    <s v="Requisição de Serviços"/>
    <s v="CTXSPOAP407-15356"/>
    <s v="Oportunidade PROMED Levantamento de Custos"/>
    <m/>
    <s v="Contax "/>
    <s v=" Ger Pré"/>
    <x v="0"/>
    <s v="Agnaldo Jose de Freitas Caetano"/>
    <x v="0"/>
    <d v="2016-02-17T19:38:00"/>
    <m/>
    <n v="12.181944444440887"/>
    <x v="9"/>
    <x v="0"/>
  </r>
  <r>
    <s v="Requisição de Serviços"/>
    <s v="CTXSPOAP407-15345"/>
    <s v="AMÉRICA MÓVIL - REFP E2E"/>
    <m/>
    <s v="Contax "/>
    <s v=" Ger Pré"/>
    <x v="0"/>
    <s v="Adilson Pires Cerveira Junior"/>
    <x v="0"/>
    <d v="2016-02-17T15:07:00"/>
    <m/>
    <n v="12.370138888887595"/>
    <x v="9"/>
    <x v="0"/>
  </r>
  <r>
    <s v="Requisição de Serviços"/>
    <s v="CTXSPOAP407-15329"/>
    <s v="Custos/Insumos para Oportunidade Magazine Luiza - Ativo"/>
    <m/>
    <s v="Contax "/>
    <s v=" Ger Pré"/>
    <x v="0"/>
    <s v="Agnaldo Jose de Freitas Caetano"/>
    <x v="0"/>
    <d v="2016-02-17T11:59:00"/>
    <m/>
    <n v="12.500694444446708"/>
    <x v="9"/>
    <x v="0"/>
  </r>
  <r>
    <s v="Requisição de Serviços"/>
    <s v="CTXSPOAP407-15301"/>
    <s v="NEXTEL - INFRAESTRUTURA"/>
    <m/>
    <s v="Contax "/>
    <s v=" Ger Pré"/>
    <x v="0"/>
    <s v="Adilson Pires Cerveira Junior"/>
    <x v="0"/>
    <d v="2016-02-16T10:53:00"/>
    <m/>
    <n v="13.546527777776646"/>
    <x v="9"/>
    <x v="0"/>
  </r>
  <r>
    <s v="Requisição de Serviços"/>
    <s v="CTXSPOAP407-15270"/>
    <s v="PROJETO COTI - INSTALAÇÃO DE LICENÇA - CONTAX"/>
    <m/>
    <s v="Claro "/>
    <s v=" Claro"/>
    <x v="1"/>
    <s v="Cleonice de Andrade Oliveira Ferreira"/>
    <x v="0"/>
    <d v="2016-02-15T12:06:00"/>
    <m/>
    <n v="14.495833333334303"/>
    <x v="9"/>
    <x v="0"/>
  </r>
  <r>
    <s v="Requisição de Serviços"/>
    <s v="CTXSPOAP407-15208"/>
    <s v="Projeto - Santander CP"/>
    <m/>
    <s v="Contax "/>
    <s v=" Ger Pré"/>
    <x v="0"/>
    <s v="Renata Varkala Sanchez"/>
    <x v="0"/>
    <d v="2016-02-11T10:20:00"/>
    <m/>
    <n v="18.569444444445253"/>
    <x v="9"/>
    <x v="0"/>
  </r>
  <r>
    <s v="Requisição de Serviços"/>
    <s v="CTXSPOAP407-15198"/>
    <s v="Insumos projeto (pré-vendas) PROMED"/>
    <m/>
    <s v="Contax "/>
    <s v=" Ger Pré"/>
    <x v="0"/>
    <s v="Agnaldo Jose de Freitas Caetano"/>
    <x v="0"/>
    <d v="2016-02-10T17:29:00"/>
    <m/>
    <n v="19.271527777775191"/>
    <x v="9"/>
    <x v="0"/>
  </r>
  <r>
    <s v="Requisição de Serviços"/>
    <s v="CTXSPOAP407-15194"/>
    <s v="Expansão do NGR Monitor - Cliente Oi"/>
    <m/>
    <s v="Contax "/>
    <s v=" Ger Pré"/>
    <x v="0"/>
    <s v="Adilson Pires Cerveira Junior"/>
    <x v="0"/>
    <d v="2016-02-10T15:45:00"/>
    <m/>
    <n v="19.34375"/>
    <x v="9"/>
    <x v="0"/>
  </r>
  <r>
    <s v="Requisição de Serviços"/>
    <s v="CTXSPOAP407-15140"/>
    <s v="Projeto - POC F5 WebSense"/>
    <m/>
    <s v="Contax "/>
    <s v=" Ger Seg Inf e Fraude"/>
    <x v="0"/>
    <s v="Frederico Crespo Henriques de Paula Aguiar"/>
    <x v="0"/>
    <d v="2016-02-04T16:21:00"/>
    <m/>
    <n v="25.318749999998545"/>
    <x v="9"/>
    <x v="0"/>
  </r>
  <r>
    <s v="Requisição de Serviços"/>
    <s v="CTXSPOAP407-15089"/>
    <s v="PROJETO - DEFENSORIA PUBLICA DO ESTADO DE SP"/>
    <m/>
    <s v="Contax "/>
    <s v=" Ger Pré"/>
    <x v="0"/>
    <s v="Renata Varkala Sanchez"/>
    <x v="0"/>
    <d v="2016-02-02T11:38:00"/>
    <m/>
    <n v="27.515277777776646"/>
    <x v="9"/>
    <x v="0"/>
  </r>
  <r>
    <s v="Requisição de Serviços"/>
    <s v="CTXSPOAP407-14995"/>
    <s v="SAMSUNG - RFP SUPORTE TECNICO"/>
    <m/>
    <s v="Contax "/>
    <s v=" Ger Pré"/>
    <x v="0"/>
    <s v="Renata Varkala Sanchez"/>
    <x v="0"/>
    <d v="2016-01-28T13:22:00"/>
    <m/>
    <n v="32.443055555559113"/>
    <x v="0"/>
    <x v="0"/>
  </r>
  <r>
    <s v="Requisição de Serviços"/>
    <s v="CTXSPOAP407-14993"/>
    <s v="Insumos Pré-Vendas - Qui Group solução de URA e Workflow"/>
    <m/>
    <s v="Contax "/>
    <s v=" Ger Pré"/>
    <x v="0"/>
    <s v="Agnaldo Jose de Freitas Caetano"/>
    <x v="0"/>
    <d v="2016-01-28T12:10:00"/>
    <m/>
    <n v="32.493055555554747"/>
    <x v="0"/>
    <x v="0"/>
  </r>
  <r>
    <s v="Requisição de Serviços"/>
    <s v="CTXSPOAP407-14972"/>
    <s v="Projeto - &quot;Por favor, usuário, utilizar este campo para informar o nome do Projeto&quot;"/>
    <m/>
    <s v="Contax "/>
    <s v=" Ger Pré"/>
    <x v="0"/>
    <s v="Renata Varkala Sanchez"/>
    <x v="0"/>
    <d v="2016-01-27T14:49:00"/>
    <m/>
    <n v="33.382638888891961"/>
    <x v="0"/>
    <x v="0"/>
  </r>
  <r>
    <s v="Requisição de Serviços"/>
    <s v="CTXSPOAP407-14925"/>
    <s v="Projeto - &quot;Por favor, usuário, utilizar este campo para informar o nome do Projeto&quot;"/>
    <m/>
    <s v="Contax "/>
    <s v=" Ger Manutenção"/>
    <x v="18"/>
    <s v="Mauricio Teixeira da Fonseca"/>
    <x v="2"/>
    <d v="2016-01-26T10:03:00"/>
    <m/>
    <n v="34.58125000000291"/>
    <x v="0"/>
    <x v="0"/>
  </r>
  <r>
    <s v="Requisição de Serviços"/>
    <s v="CTXSPOAP407-14886"/>
    <s v="Projeto - Disponbilizar 01 Servidor de Gravação para Claro"/>
    <m/>
    <s v="Claro "/>
    <s v=" Claro"/>
    <x v="0"/>
    <s v="Cleonice de Andrade Oliveira Ferreira"/>
    <x v="0"/>
    <d v="2016-01-21T15:47:00"/>
    <m/>
    <n v="39.34236111111386"/>
    <x v="0"/>
    <x v="0"/>
  </r>
  <r>
    <s v="Requisição de Serviços"/>
    <s v="CTXSPOAP407-14879"/>
    <s v="Insumos para Pre-Vendas RFP Vale"/>
    <m/>
    <s v="Contax "/>
    <s v=" Ger Pré"/>
    <x v="0"/>
    <s v="Agnaldo Jose de Freitas Caetano"/>
    <x v="0"/>
    <d v="2016-01-21T12:54:00"/>
    <m/>
    <n v="39.462500000001455"/>
    <x v="0"/>
    <x v="0"/>
  </r>
  <r>
    <s v="Requisição de Serviços"/>
    <s v="CTXSPOAP407-14854"/>
    <s v="Projeto - MIGRAÇÃO TAM SP PARA JP"/>
    <m/>
    <s v="TAM "/>
    <s v=" TAM Cargo"/>
    <x v="0"/>
    <s v="Cleonice de Andrade Oliveira Ferreira"/>
    <x v="0"/>
    <d v="2016-01-20T14:53:00"/>
    <m/>
    <n v="40.379861111112405"/>
    <x v="0"/>
    <x v="0"/>
  </r>
  <r>
    <s v="Requisição de Serviços"/>
    <s v="CTXSPOAP407-14828"/>
    <s v="VIVO RFP - Novo Contrato de Atendimento 2016"/>
    <m/>
    <s v="Contax "/>
    <s v=" Ger Pré"/>
    <x v="0"/>
    <s v="Adilson Pires Cerveira Junior"/>
    <x v="0"/>
    <d v="2016-01-19T15:41:00"/>
    <m/>
    <n v="41.346527777779556"/>
    <x v="0"/>
    <x v="0"/>
  </r>
  <r>
    <s v="Requisição de Serviços"/>
    <s v="CTXSPOAP407-14745"/>
    <s v="IMPLANTAÇÃO TAM VIAGENS - INFRA - SITE AUGUSTA"/>
    <m/>
    <s v="TAM "/>
    <s v=" Viagens"/>
    <x v="0"/>
    <s v="Cleonice de Andrade Oliveira Ferreira"/>
    <x v="0"/>
    <d v="2016-01-14T16:57:00"/>
    <m/>
    <n v="46.29374999999709"/>
    <x v="0"/>
    <x v="0"/>
  </r>
  <r>
    <s v="Requisição de Serviços"/>
    <s v="CTXSPOAP407-14689"/>
    <s v="Projeto - Licitação ENEL"/>
    <m/>
    <s v="Contax "/>
    <s v=" Ger Pré"/>
    <x v="0"/>
    <s v="Renata Varkala Sanchez"/>
    <x v="0"/>
    <d v="2016-01-12T10:20:00"/>
    <m/>
    <n v="48.569444444445253"/>
    <x v="0"/>
    <x v="0"/>
  </r>
  <r>
    <s v="Requisição de Serviços"/>
    <s v="CTXSPOAP407-14658"/>
    <s v="Projeto - &quot;Por favor, usuário, utilizar este campo para informar o nome do Projeto&quot;"/>
    <m/>
    <s v="Contax "/>
    <s v=" Ger Pré"/>
    <x v="0"/>
    <s v="Adilson Pires Cerveira Junior"/>
    <x v="0"/>
    <d v="2016-01-08T10:07:00"/>
    <m/>
    <n v="52.578472222223354"/>
    <x v="0"/>
    <x v="0"/>
  </r>
  <r>
    <s v="Requisição de Serviços"/>
    <s v="CTXSPOAP407-14651"/>
    <s v="Projeto - ACL Analytics - Workstation"/>
    <m/>
    <s v="Contax "/>
    <s v=" Ger Seg Inf e Fraude"/>
    <x v="0"/>
    <s v="Frederico Crespo Henriques de Paula Aguiar"/>
    <x v="0"/>
    <d v="2016-01-07T16:14:00"/>
    <m/>
    <n v="53.323611111110949"/>
    <x v="0"/>
    <x v="0"/>
  </r>
  <r>
    <s v="Requisição de Serviços"/>
    <s v="CTXSPOAP407-14530"/>
    <s v="Projeto - Magazine Luiza"/>
    <m/>
    <s v="Contax "/>
    <s v=" Ger Pré"/>
    <x v="0"/>
    <s v="Adilson Pires Cerveira Junior"/>
    <x v="0"/>
    <d v="2015-12-29T18:10:00"/>
    <m/>
    <n v="62.243055555554747"/>
    <x v="1"/>
    <x v="1"/>
  </r>
  <r>
    <s v="Requisição de Serviços"/>
    <s v="CTXSPOAP407-14490"/>
    <s v="Insumos de Pré-Vendas"/>
    <m/>
    <s v="Contax "/>
    <s v=" Ger Pré"/>
    <x v="0"/>
    <s v="Agnaldo Jose de Freitas Caetano"/>
    <x v="0"/>
    <d v="2015-12-23T15:49:00"/>
    <m/>
    <n v="68.340972222220444"/>
    <x v="1"/>
    <x v="1"/>
  </r>
  <r>
    <s v="Requisição de Serviços"/>
    <s v="CTXSPOAP407-14478"/>
    <s v="Projeto - Parametrização de SLA no Pentaho"/>
    <m/>
    <s v="Contax "/>
    <s v=" Ger Manutenção"/>
    <x v="19"/>
    <s v="Mauricio Teixeira da Fonseca"/>
    <x v="4"/>
    <d v="2015-12-22T19:15:00"/>
    <m/>
    <n v="69.197916666664241"/>
    <x v="1"/>
    <x v="1"/>
  </r>
  <r>
    <s v="Requisição de Serviços"/>
    <s v="CTXSPOAP407-14449"/>
    <s v="Projeto - célula de ativo GNF"/>
    <m/>
    <s v="Contax "/>
    <s v=" Ger Pré"/>
    <x v="1"/>
    <s v="Renata Varkala Sanchez"/>
    <x v="0"/>
    <d v="2015-12-21T12:02:00"/>
    <m/>
    <n v="70.49861111111386"/>
    <x v="1"/>
    <x v="1"/>
  </r>
  <r>
    <s v="Requisição de Serviços"/>
    <s v="CTXSPOAP407-14134"/>
    <s v="Insumos de TI - Claro TLV"/>
    <m/>
    <s v="Contax "/>
    <s v=" Ger Pré"/>
    <x v="1"/>
    <s v="Fernanda Esteves Zujenas"/>
    <x v="0"/>
    <d v="2015-12-02T13:05:00"/>
    <m/>
    <n v="89.454861111109494"/>
    <x v="1"/>
    <x v="1"/>
  </r>
  <r>
    <s v="Requisição de Serviços"/>
    <s v="CTXSPOAP407-13802"/>
    <s v="Insumos para URA Multiplus"/>
    <m/>
    <s v="Contax "/>
    <s v=" Ger Pré"/>
    <x v="1"/>
    <s v="Agnaldo Jose de Freitas Caetano"/>
    <x v="0"/>
    <d v="2015-11-17T17:27:00"/>
    <m/>
    <n v="104.27291666666861"/>
    <x v="2"/>
    <x v="1"/>
  </r>
  <r>
    <s v="Requisição de Serviços"/>
    <s v="CTXSPOAP407-13781"/>
    <s v="Projeto - Piloto Indigo"/>
    <m/>
    <s v="Vivo "/>
    <s v=" VIVO"/>
    <x v="4"/>
    <s v="Wagner Mattos Ribeiro Pinto"/>
    <x v="0"/>
    <d v="2015-11-16T17:42:00"/>
    <m/>
    <n v="105.26249999999709"/>
    <x v="2"/>
    <x v="1"/>
  </r>
  <r>
    <s v="Requisição de Serviços"/>
    <s v="CTXSPOAP407-13720"/>
    <s v="Projeto McKinsey - Cobrança - 100 PAs Discador Aspect"/>
    <m/>
    <s v="Contax "/>
    <s v=" Ger Pré"/>
    <x v="1"/>
    <s v="Agnaldo Jose de Freitas Caetano"/>
    <x v="0"/>
    <d v="2015-11-12T12:16:00"/>
    <m/>
    <n v="109.48888888888905"/>
    <x v="2"/>
    <x v="1"/>
  </r>
  <r>
    <s v="Requisição de Serviços"/>
    <s v="CTXSPOAP407-13610"/>
    <s v="Cotação Link de Dados 10 MBPS ponto a ponto"/>
    <m/>
    <s v="Contax "/>
    <s v=" Ger Pré"/>
    <x v="1"/>
    <s v="Agnaldo Jose de Freitas Caetano"/>
    <x v="0"/>
    <d v="2015-11-05T14:08:00"/>
    <m/>
    <n v="116.4111111111124"/>
    <x v="2"/>
    <x v="1"/>
  </r>
  <r>
    <s v="Requisição de Serviços"/>
    <s v="CTXSPOAP407-13330"/>
    <s v="Projeto - Implantação Nova Operação - Santander CP"/>
    <m/>
    <s v="Santander "/>
    <s v=" Crédito Pessoal"/>
    <x v="12"/>
    <s v="Bruno Guerra Ferreira"/>
    <x v="0"/>
    <d v="2015-10-23T16:48:00"/>
    <m/>
    <n v="129.30000000000291"/>
    <x v="3"/>
    <x v="1"/>
  </r>
  <r>
    <s v="Requisição de Serviços"/>
    <s v="CTXSPOAP407-13236"/>
    <s v="Projeto - Solução infraestrutura (servidor e link) para relatórios de Televendas"/>
    <m/>
    <s v="Contax "/>
    <s v=" Outro"/>
    <x v="1"/>
    <s v="Carolina Akemi Kakazu Arakaki"/>
    <x v="0"/>
    <d v="2015-10-20T18:17:00"/>
    <m/>
    <n v="132.23819444444234"/>
    <x v="3"/>
    <x v="1"/>
  </r>
  <r>
    <s v="Requisição de Serviços"/>
    <s v="CTXSPOAP407-13231"/>
    <s v="Pré Venda - cliente Omni"/>
    <m/>
    <s v="Contax "/>
    <s v=" Ger Pré"/>
    <x v="1"/>
    <s v="Fernanda Esteves Zujenas"/>
    <x v="0"/>
    <d v="2015-10-20T16:42:00"/>
    <m/>
    <n v="132.30416666666861"/>
    <x v="3"/>
    <x v="1"/>
  </r>
  <r>
    <s v="Requisição de Serviços"/>
    <s v="CTXSPOAP407-13197"/>
    <s v="Lenvantamento de Insumos para nova oportunidade - Infoglobo Infraestrutura"/>
    <m/>
    <s v="Contax "/>
    <s v=" Ger Pré"/>
    <x v="20"/>
    <s v="Agnaldo Jose de Freitas Caetano"/>
    <x v="1"/>
    <d v="2015-10-19T13:07:00"/>
    <d v="2016-01-19T16:18:00"/>
    <n v="92.132638888891961"/>
    <x v="3"/>
    <x v="1"/>
  </r>
  <r>
    <s v="Requisição de Serviços"/>
    <s v="CTXSPOAP407-13166"/>
    <s v="Ticket B2B - Ferramenta de acompanhamento de produtividade"/>
    <m/>
    <s v="Contax "/>
    <s v=" Ger Pré"/>
    <x v="1"/>
    <s v="Agnaldo Jose de Freitas Caetano"/>
    <x v="0"/>
    <d v="2015-10-16T11:27:00"/>
    <m/>
    <n v="136.52291666666861"/>
    <x v="3"/>
    <x v="1"/>
  </r>
  <r>
    <s v="Requisição de Serviços"/>
    <s v="CTXSPOAP407-13150"/>
    <s v="Projeto Total View 2a Fase"/>
    <m/>
    <s v="Vivo "/>
    <s v=" VIVO"/>
    <x v="12"/>
    <s v="Wagner Mattos Ribeiro Pinto"/>
    <x v="2"/>
    <d v="2015-10-15T15:34:00"/>
    <m/>
    <n v="137.35138888889196"/>
    <x v="3"/>
    <x v="1"/>
  </r>
  <r>
    <s v="Requisição de Serviços"/>
    <s v="CTXSPOAP407-13114"/>
    <s v="Projeto - Pré Projeto LATAM TAM JOAO PESSOA"/>
    <m/>
    <s v="TAM "/>
    <s v=" TAM Cargo"/>
    <x v="1"/>
    <s v="Robson da Costa"/>
    <x v="2"/>
    <d v="2015-10-13T17:19:00"/>
    <m/>
    <n v="139.27847222222044"/>
    <x v="3"/>
    <x v="1"/>
  </r>
  <r>
    <s v="Requisição de Serviços"/>
    <s v="CTXSPOAP407-12991"/>
    <s v="Projeto - Projeto"/>
    <m/>
    <s v="Contax "/>
    <s v=" Ger Produtos"/>
    <x v="1"/>
    <s v="Daniela Mesquita Monteiro"/>
    <x v="2"/>
    <d v="2015-10-06T12:25:00"/>
    <m/>
    <n v="146.48263888889051"/>
    <x v="3"/>
    <x v="1"/>
  </r>
  <r>
    <s v="Requisição de Serviços"/>
    <s v="CTXSPOAP407-12854"/>
    <s v="Projeto Separação URA Multiplus da TAM"/>
    <m/>
    <s v="TAM "/>
    <s v=" Apoio"/>
    <x v="13"/>
    <s v="Cleonice de Andrade Oliveira Ferreira"/>
    <x v="2"/>
    <d v="2015-09-30T11:55:00"/>
    <m/>
    <n v="152.50347222221899"/>
    <x v="4"/>
    <x v="1"/>
  </r>
  <r>
    <s v="Requisição de Serviços"/>
    <s v="CTXSPOAP407-12490"/>
    <s v="Projeto - Projeto"/>
    <m/>
    <s v="Contax "/>
    <s v=" Ger Produtos"/>
    <x v="1"/>
    <s v="Daniela Mesquita Monteiro"/>
    <x v="6"/>
    <d v="2015-09-10T16:32:00"/>
    <m/>
    <n v="172.31111111111386"/>
    <x v="4"/>
    <x v="1"/>
  </r>
  <r>
    <s v="Requisição de Serviços"/>
    <s v="CTXSPOAP407-12466"/>
    <s v="Insumos TI e Aplicações - Prefeitura de Porto Alegre"/>
    <m/>
    <s v="Contax "/>
    <s v=" Ger Pré"/>
    <x v="1"/>
    <s v="Agnaldo Jose de Freitas Caetano"/>
    <x v="2"/>
    <d v="2015-09-09T18:52:00"/>
    <m/>
    <n v="173.2138888888876"/>
    <x v="4"/>
    <x v="1"/>
  </r>
  <r>
    <s v="Requisição de Serviços"/>
    <s v="CTXSPOAP407-12333"/>
    <s v="Projeto - Projeto"/>
    <m/>
    <s v="Contax "/>
    <s v=" Ger Planejamento SAC"/>
    <x v="13"/>
    <s v="José Ballock Neto"/>
    <x v="2"/>
    <d v="2015-09-03T16:46:00"/>
    <m/>
    <n v="179.30138888888905"/>
    <x v="4"/>
    <x v="1"/>
  </r>
  <r>
    <s v="Requisição de Serviços"/>
    <s v="CTXSPOAP407-12306"/>
    <s v="Projeto - Projeto"/>
    <m/>
    <s v="Contax "/>
    <s v=" Ger Planejamento SAC"/>
    <x v="1"/>
    <s v="José Ballock Neto"/>
    <x v="2"/>
    <d v="2015-09-02T16:27:00"/>
    <m/>
    <n v="180.31458333333285"/>
    <x v="4"/>
    <x v="1"/>
  </r>
  <r>
    <s v="Requisição de Serviços"/>
    <s v="CTXSPOAP407-12185"/>
    <s v="RTI - Direcionamento ao Portal de informações da Vivo (AJUSTES)"/>
    <m/>
    <s v="Vivo "/>
    <s v=" VIVO"/>
    <x v="21"/>
    <s v="Wagner Mattos Ribeiro Pinto"/>
    <x v="5"/>
    <d v="2015-08-27T12:08:00"/>
    <m/>
    <n v="186.49444444444089"/>
    <x v="10"/>
    <x v="1"/>
  </r>
  <r>
    <s v="Requisição de Serviços"/>
    <s v="CTXSPOAP407-12033"/>
    <s v="Desmobilização site Joinville"/>
    <m/>
    <s v="Contax "/>
    <s v=" Outro"/>
    <x v="12"/>
    <s v="Paulo Roberto Sim�es"/>
    <x v="5"/>
    <d v="2015-08-19T15:10:00"/>
    <m/>
    <n v="194.36805555555475"/>
    <x v="10"/>
    <x v="1"/>
  </r>
  <r>
    <s v="Requisição de Serviços"/>
    <s v="CTXSPOAP407-12031"/>
    <s v="Desmobilização CTC Fortaleza"/>
    <m/>
    <s v="Contax "/>
    <s v=" Outro"/>
    <x v="12"/>
    <s v="Paulo Roberto Sim�es"/>
    <x v="6"/>
    <d v="2015-08-19T15:05:00"/>
    <m/>
    <n v="194.37152777778101"/>
    <x v="10"/>
    <x v="1"/>
  </r>
  <r>
    <s v="Requisição de Serviços"/>
    <s v="CTXSPOAP407-12030"/>
    <s v="Desmobilização CTC D. Pedro"/>
    <m/>
    <s v="Contax "/>
    <s v=" Outro"/>
    <x v="12"/>
    <s v="Paulo Roberto Sim�es"/>
    <x v="6"/>
    <d v="2015-08-19T15:00:00"/>
    <m/>
    <n v="194.375"/>
    <x v="10"/>
    <x v="1"/>
  </r>
  <r>
    <s v="Requisição de Serviços"/>
    <s v="CTXSPOAP407-12001"/>
    <s v="Implementação ACI em todos os prédios"/>
    <m/>
    <s v="Contax "/>
    <s v=" Outro"/>
    <x v="1"/>
    <s v="Paulo Roberto Sim�es"/>
    <x v="0"/>
    <d v="2015-08-18T15:47:00"/>
    <m/>
    <n v="195.34236111111386"/>
    <x v="10"/>
    <x v="1"/>
  </r>
  <r>
    <s v="Requisição de Serviços"/>
    <s v="CTXSPOAP407-11965"/>
    <s v="Projeto - Projeto"/>
    <m/>
    <s v="Contax "/>
    <s v=" Ger Produtos"/>
    <x v="1"/>
    <s v="Daniela Mesquita Monteiro"/>
    <x v="2"/>
    <d v="2015-08-17T11:56:00"/>
    <m/>
    <n v="196.50277777777956"/>
    <x v="10"/>
    <x v="1"/>
  </r>
  <r>
    <s v="Requisição de Serviços"/>
    <s v="CTXSPOAP407-11630"/>
    <s v="Tabulador - Motivos de Contato Operações Movel"/>
    <m/>
    <s v="Vivo "/>
    <s v=" VIVO"/>
    <x v="1"/>
    <s v="Vania de Moraes Colella"/>
    <x v="2"/>
    <d v="2015-07-31T16:47:00"/>
    <m/>
    <n v="213.30069444444234"/>
    <x v="5"/>
    <x v="1"/>
  </r>
  <r>
    <s v="Requisição de Serviços"/>
    <s v="CTXSPOAP407-11421"/>
    <s v="Projeto - Projeto"/>
    <m/>
    <s v="Contax "/>
    <s v=" Ger Seg Inf e Fraude"/>
    <x v="1"/>
    <s v="Jonathan Goya Nogiri"/>
    <x v="6"/>
    <d v="2015-07-22T17:29:00"/>
    <m/>
    <n v="222.27152777777519"/>
    <x v="5"/>
    <x v="1"/>
  </r>
  <r>
    <s v="Requisição de Serviços"/>
    <s v="CTXSPOAP407-11140"/>
    <s v="Projeto - Projeto"/>
    <m/>
    <s v="Contax "/>
    <s v=" Ger Seg Inf e Fraude"/>
    <x v="1"/>
    <s v="Frederico Crespo Henriques de Paula Aguiar"/>
    <x v="2"/>
    <d v="2015-07-07T19:02:00"/>
    <m/>
    <n v="237.20694444444234"/>
    <x v="5"/>
    <x v="1"/>
  </r>
  <r>
    <s v="Requisição de Serviços"/>
    <s v="CTXSPOAP407-11089"/>
    <s v="Projeto - Projeto"/>
    <m/>
    <s v="Contax "/>
    <s v=" Ger Segurança Patrimonial"/>
    <x v="22"/>
    <s v="Lucas Francisco de Oliveira"/>
    <x v="5"/>
    <d v="2015-07-06T10:58:00"/>
    <m/>
    <n v="238.54305555555766"/>
    <x v="5"/>
    <x v="1"/>
  </r>
  <r>
    <s v="Requisição de Serviços"/>
    <s v="CTXSPOAP407-11039"/>
    <s v="Projeto - Projeto"/>
    <m/>
    <s v="Contax "/>
    <s v=" Ger Segurança Patrimonial"/>
    <x v="1"/>
    <s v="Lucas Francisco de Oliveira"/>
    <x v="2"/>
    <d v="2015-07-02T12:46:00"/>
    <m/>
    <n v="242.46805555555329"/>
    <x v="5"/>
    <x v="1"/>
  </r>
  <r>
    <s v="Requisição de Serviços"/>
    <s v="CTXSPOAP407-10905"/>
    <s v="Projeto - Projeto"/>
    <m/>
    <s v="Contax "/>
    <s v=" Ger Segurança Patrimonial"/>
    <x v="1"/>
    <s v="Lucas Francisco de Oliveira"/>
    <x v="6"/>
    <d v="2015-06-25T12:35:00"/>
    <m/>
    <n v="249.47569444444525"/>
    <x v="6"/>
    <x v="1"/>
  </r>
  <r>
    <s v="Requisição de Serviços"/>
    <s v="CTXSPOAP407-10900"/>
    <s v="Projeto - Projeto"/>
    <m/>
    <s v="Contax "/>
    <s v=" Ger Segurança Patrimonial"/>
    <x v="1"/>
    <s v="Lucas Francisco de Oliveira"/>
    <x v="6"/>
    <d v="2015-06-25T11:13:00"/>
    <m/>
    <n v="249.53263888888614"/>
    <x v="6"/>
    <x v="1"/>
  </r>
  <r>
    <s v="Requisição de Serviços"/>
    <s v="CTXSPOAP407-10552"/>
    <s v="Projeto - Projeto - [Orbitall] - Integração do tGuidance com Cyber"/>
    <m/>
    <s v="Orbitall "/>
    <s v=" SAC Central Bancos (C)"/>
    <x v="1"/>
    <s v="Cristiane Akiko Sasaki"/>
    <x v="2"/>
    <d v="2015-06-03T14:46:00"/>
    <m/>
    <n v="271.38472222222481"/>
    <x v="6"/>
    <x v="1"/>
  </r>
  <r>
    <s v="Requisição de Serviços"/>
    <s v="CTXSPOAP407-10551"/>
    <s v="Projeto - Projeto - [Engenharia - Infra e Plataforma] - PRJ-ENG-051-15 Ajuste NAS HP X9730"/>
    <m/>
    <s v="Contax "/>
    <s v=" Outro"/>
    <x v="1"/>
    <s v="Cristiane Akiko Sasaki"/>
    <x v="2"/>
    <d v="2015-06-03T14:38:00"/>
    <m/>
    <n v="271.39027777777665"/>
    <x v="6"/>
    <x v="1"/>
  </r>
  <r>
    <s v="Requisição de Serviços"/>
    <s v="CTXSPOAP407-10550"/>
    <s v="Projeto - Projeto - [Engenharia - Infra e Plataforma] - PRJ-ENG-050-15 Mcafee DLP"/>
    <m/>
    <s v="Contax "/>
    <s v=" Outro"/>
    <x v="1"/>
    <s v="Cristiane Akiko Sasaki"/>
    <x v="2"/>
    <d v="2015-06-03T14:34:00"/>
    <m/>
    <n v="271.3930555555562"/>
    <x v="6"/>
    <x v="1"/>
  </r>
  <r>
    <s v="Requisição de Serviços"/>
    <s v="CTXSPOAP407-10546"/>
    <s v="Projeto - Projeto - [Engenharia - Infra e Plataforma] - PRJ-ENG-012-15 Exadata"/>
    <m/>
    <s v="Contax "/>
    <s v=" Outro"/>
    <x v="1"/>
    <s v="Cristiane Akiko Sasaki"/>
    <x v="2"/>
    <d v="2015-06-03T12:56:00"/>
    <m/>
    <n v="271.46111111110804"/>
    <x v="6"/>
    <x v="1"/>
  </r>
  <r>
    <s v="Requisição de Serviços"/>
    <s v="CTXSPOAP407-10523"/>
    <s v="Projeto - Projeto - RFI Everis"/>
    <m/>
    <s v="Contax "/>
    <s v=" Outro"/>
    <x v="16"/>
    <s v="Cristiane Akiko Sasaki"/>
    <x v="2"/>
    <d v="2015-06-02T14:17:00"/>
    <m/>
    <n v="272.40486111111386"/>
    <x v="6"/>
    <x v="1"/>
  </r>
  <r>
    <s v="Requisição de Serviços"/>
    <s v="CTXSPOAP407-10513"/>
    <s v="Projeto - Projeto - Criar ferramenta Disca Fácil"/>
    <m/>
    <s v="Oi "/>
    <s v=" SAC"/>
    <x v="1"/>
    <s v="Cristiane Akiko Sasaki"/>
    <x v="2"/>
    <d v="2015-06-02T10:41:00"/>
    <m/>
    <n v="272.55486111110804"/>
    <x v="6"/>
    <x v="1"/>
  </r>
  <r>
    <s v="Requisição de Serviços"/>
    <s v="CTXSPOAP407-10497"/>
    <s v="Projeto - Projeto - [Oi] - Criar URL para Integração com o Fornecedor CLOSER"/>
    <m/>
    <s v="Oi "/>
    <s v=" Cobrança"/>
    <x v="4"/>
    <s v="Cristiane Akiko Sasaki"/>
    <x v="2"/>
    <d v="2015-06-01T11:17:00"/>
    <m/>
    <n v="273.52986111111386"/>
    <x v="6"/>
    <x v="1"/>
  </r>
  <r>
    <s v="Requisição de Serviços"/>
    <s v="CTXSPOAP407-10493"/>
    <s v="Projeto - Projeto - Projeto para implantar a nova versão do tSupervisor em todas as operações da OI."/>
    <m/>
    <s v="Oi "/>
    <s v=" Outras Atividades"/>
    <x v="23"/>
    <s v="Cristiane Akiko Sasaki"/>
    <x v="5"/>
    <d v="2015-06-01T10:35:00"/>
    <m/>
    <n v="273.55902777778101"/>
    <x v="6"/>
    <x v="1"/>
  </r>
  <r>
    <s v="Requisição de Serviços"/>
    <s v="CTXSPOAP407-10434"/>
    <s v="Projeto - Projeto - [NET] - Migração da solução para a versão 4.9.3 de RTI"/>
    <m/>
    <s v="Net "/>
    <s v=" Net Fone"/>
    <x v="1"/>
    <s v="Cristiane Akiko Sasaki"/>
    <x v="2"/>
    <d v="2015-05-27T17:53:00"/>
    <m/>
    <n v="278.2548611111124"/>
    <x v="7"/>
    <x v="1"/>
  </r>
  <r>
    <s v="Requisição de Serviços"/>
    <s v="CTXSPOAP407-10432"/>
    <s v="Projeto - Projeto - [NET] [TGUIDANCE] - Envio de bilhete para URA - FASE 2"/>
    <m/>
    <s v="Net "/>
    <s v=" Ura"/>
    <x v="1"/>
    <s v="Cristiane Akiko Sasaki"/>
    <x v="2"/>
    <d v="2015-05-27T17:49:00"/>
    <m/>
    <n v="278.25763888889196"/>
    <x v="7"/>
    <x v="1"/>
  </r>
  <r>
    <s v="Requisição de Serviços"/>
    <s v="CTXSPOAP407-10430"/>
    <s v="Projeto - Projeto - [ITAU]; [RTI] - Desenvolvimento das Integrações para operação CAC - Fase 2"/>
    <m/>
    <s v="Itaú "/>
    <s v=" Itaú Nacional"/>
    <x v="21"/>
    <s v="Cristiane Akiko Sasaki"/>
    <x v="2"/>
    <d v="2015-05-27T17:31:00"/>
    <m/>
    <n v="278.27013888888905"/>
    <x v="7"/>
    <x v="1"/>
  </r>
  <r>
    <s v="Requisição de Serviços"/>
    <s v="CTXSPOAP407-10428"/>
    <s v="Projeto - Projeto - [SANTANDER]; Implantação tFamily"/>
    <m/>
    <s v="Santander "/>
    <s v=" Santander"/>
    <x v="1"/>
    <s v="Cristiane Akiko Sasaki"/>
    <x v="2"/>
    <d v="2015-05-27T17:07:00"/>
    <m/>
    <n v="278.28680555555911"/>
    <x v="7"/>
    <x v="1"/>
  </r>
  <r>
    <s v="Requisição de Serviços"/>
    <s v="CTXSPOAP407-10425"/>
    <s v="Projeto - Projeto - [VIVO MASSIVO] - Automação do Saldo de Recarga e Bônus"/>
    <m/>
    <s v="Vivo "/>
    <s v=" VIVO"/>
    <x v="21"/>
    <s v="Cristiane Akiko Sasaki"/>
    <x v="5"/>
    <d v="2015-05-27T15:43:00"/>
    <m/>
    <n v="278.34513888888614"/>
    <x v="7"/>
    <x v="1"/>
  </r>
  <r>
    <s v="Requisição de Serviços"/>
    <s v="CTXSPOAP407-10423"/>
    <s v="Projeto - Projeto - [VIVO];Ajustes tGuidance Lite"/>
    <m/>
    <s v="Vivo "/>
    <s v=" VIVO"/>
    <x v="1"/>
    <s v="Cristiane Akiko Sasaki"/>
    <x v="2"/>
    <d v="2015-05-27T15:37:00"/>
    <m/>
    <n v="278.34930555555911"/>
    <x v="7"/>
    <x v="1"/>
  </r>
  <r>
    <s v="Requisição de Serviços"/>
    <s v="CTXSPOAP407-10422"/>
    <s v="Projeto - Projeto - [VIVO] - Fazer com o que tGuidance! lite passe a senha do ramal para se autenticar com o One-x (Registrar Ramal)"/>
    <m/>
    <s v="Vivo "/>
    <s v=" VIVO"/>
    <x v="1"/>
    <s v="Cristiane Akiko Sasaki"/>
    <x v="2"/>
    <d v="2015-05-27T15:31:00"/>
    <m/>
    <n v="278.35347222222481"/>
    <x v="7"/>
    <x v="1"/>
  </r>
  <r>
    <s v="Requisição de Serviços"/>
    <s v="CTXSPOAP407-10421"/>
    <s v="Projeto - Projeto - [VIVO] - Integrar tGuidance! com Genesys diretamente"/>
    <m/>
    <s v="Vivo "/>
    <s v=" VIVO"/>
    <x v="1"/>
    <s v="Cristiane Akiko Sasaki"/>
    <x v="2"/>
    <d v="2015-05-27T15:27:00"/>
    <m/>
    <n v="278.35624999999709"/>
    <x v="7"/>
    <x v="1"/>
  </r>
  <r>
    <s v="Requisição de Serviços"/>
    <s v="CTXSPOAP407-10410"/>
    <s v="Projeto - Projeto - [Vivo], [RTI] - Projeto RTI Vivo - Integração TClock x Logon no vivo 360"/>
    <m/>
    <s v="Vivo "/>
    <s v=" VIVO"/>
    <x v="21"/>
    <s v="Cristiane Akiko Sasaki"/>
    <x v="2"/>
    <d v="2015-05-27T12:40:00"/>
    <m/>
    <n v="278.47222222221899"/>
    <x v="7"/>
    <x v="1"/>
  </r>
  <r>
    <s v="Requisição de Serviços"/>
    <s v="CTXSPOAP407-10407"/>
    <s v="Projeto - Projeto TAM - tReports! / Call Center"/>
    <m/>
    <s v="TAM "/>
    <s v=" TAM Viagens"/>
    <x v="24"/>
    <s v="Cristiane Akiko Sasaki"/>
    <x v="1"/>
    <d v="2015-05-27T12:12:00"/>
    <d v="2015-12-16T17:08:00"/>
    <n v="203.2055555555562"/>
    <x v="7"/>
    <x v="1"/>
  </r>
  <r>
    <s v="Requisição de Serviços"/>
    <s v="CTXSPOAP407-10381"/>
    <s v="Projeto - Projeto - Teste de Acesso"/>
    <m/>
    <s v="Contax "/>
    <s v=" Ger Adm RH"/>
    <x v="22"/>
    <s v="Cristiane Akiko Sasaki"/>
    <x v="2"/>
    <d v="2015-05-26T14:25:00"/>
    <m/>
    <n v="279.39930555555475"/>
    <x v="7"/>
    <x v="1"/>
  </r>
  <r>
    <s v="Requisição de Serviços"/>
    <s v="CTXSPOAP407-10295"/>
    <s v="Projeto - Projeto - [OI]; [RTI]; [ST VOZ] - 626 FASE 4 - Abertura dos registros automáticos"/>
    <m/>
    <s v="Oi "/>
    <s v=" Suporte Técnico"/>
    <x v="4"/>
    <s v="Cristiane Akiko Sasaki"/>
    <x v="2"/>
    <d v="2015-05-20T16:02:00"/>
    <m/>
    <n v="285.33194444444234"/>
    <x v="7"/>
    <x v="1"/>
  </r>
  <r>
    <s v="Requisição de Serviços"/>
    <s v="CTXSPOAP407-10294"/>
    <s v="Projeto - Projeto - [OI]; [RTI]; [ST VOZ] - 626 FASE 3 - Abertura dos registros automáticos"/>
    <m/>
    <s v="Oi "/>
    <s v=" Suporte Técnico"/>
    <x v="4"/>
    <s v="Cristiane Akiko Sasaki"/>
    <x v="2"/>
    <d v="2015-05-20T15:59:00"/>
    <m/>
    <n v="285.33402777777519"/>
    <x v="7"/>
    <x v="1"/>
  </r>
  <r>
    <s v="Requisição de Serviços"/>
    <s v="CTXSPOAP407-10293"/>
    <s v="Projeto - Projeto-[OI]; [RTI]; [ST VOZ] - Abertura dos registros automáticos pelo Front Fácil - Fase 2"/>
    <m/>
    <s v="Oi "/>
    <s v=" Suporte Técnico"/>
    <x v="4"/>
    <s v="Cristiane Akiko Sasaki"/>
    <x v="2"/>
    <d v="2015-05-20T15:53:00"/>
    <m/>
    <n v="285.33819444444089"/>
    <x v="7"/>
    <x v="1"/>
  </r>
  <r>
    <s v="Requisição de Serviços"/>
    <s v="CTXSPOAP407-10289"/>
    <s v="Projeto - Projeto - Alvará de resgate - DEMANDAS-1808"/>
    <m/>
    <s v="Contax "/>
    <s v=" Outro"/>
    <x v="22"/>
    <s v="Cristiane Akiko Sasaki"/>
    <x v="2"/>
    <d v="2015-05-20T14:50:00"/>
    <m/>
    <n v="285.38194444444525"/>
    <x v="7"/>
    <x v="1"/>
  </r>
  <r>
    <s v="Requisição de Serviços"/>
    <s v="CTXSPOAP407-10180"/>
    <s v="Projeto - Projeto - Adequação URA SAC Volks - Lançamento de veículos"/>
    <m/>
    <s v="Contax "/>
    <s v=" Dir. Clientes Especiais"/>
    <x v="22"/>
    <s v="Fabiane Evangelista Cavalcante"/>
    <x v="2"/>
    <d v="2015-05-14T17:12:00"/>
    <m/>
    <n v="291.28333333333285"/>
    <x v="7"/>
    <x v="1"/>
  </r>
  <r>
    <s v="Requisição de Serviços"/>
    <s v="CTXSPOAP407-10077"/>
    <s v="Abertura de portas firewall antivirus local de todas as estações."/>
    <m/>
    <s v="Contax "/>
    <s v=" Ger Implantação"/>
    <x v="22"/>
    <s v="Wanderson Marques"/>
    <x v="2"/>
    <d v="2015-05-08T10:21:00"/>
    <m/>
    <n v="297.56874999999854"/>
    <x v="7"/>
    <x v="1"/>
  </r>
  <r>
    <s v="Requisição de Serviços"/>
    <s v="CTXSPOAP407-10019"/>
    <s v="Projeto - Projeto"/>
    <m/>
    <s v="Contax "/>
    <s v=" Ger Seg Inf e Fraude"/>
    <x v="22"/>
    <s v="Jonathan Goya Nogiri"/>
    <x v="2"/>
    <d v="2015-05-04T16:31:00"/>
    <m/>
    <n v="301.31180555555329"/>
    <x v="7"/>
    <x v="1"/>
  </r>
  <r>
    <s v="Requisição de Serviços"/>
    <s v="CTXSPOAP407-9908"/>
    <s v="Projeto - Projeto - Colocation de URA DNK_Ticket"/>
    <m/>
    <s v="Contax "/>
    <s v=" Dir. Clientes Especiais"/>
    <x v="22"/>
    <s v="Fabiane Evangelista Cavalcante"/>
    <x v="2"/>
    <d v="2015-04-27T16:39:00"/>
    <m/>
    <n v="308.30625000000146"/>
    <x v="8"/>
    <x v="1"/>
  </r>
  <r>
    <s v="Requisição de Serviços"/>
    <s v="CTXSPOAP407-9433"/>
    <s v="Projeto - Projeto"/>
    <m/>
    <s v="Contax "/>
    <s v=" Ger Segurança Patrimonial"/>
    <x v="0"/>
    <s v="Lucas Francisco de Oliveira"/>
    <x v="4"/>
    <d v="2015-03-24T18:21:00"/>
    <m/>
    <n v="342.23541666667006"/>
    <x v="11"/>
    <x v="1"/>
  </r>
  <r>
    <s v="Requisição de Serviços"/>
    <s v="CTXSPOAP407-7761"/>
    <s v="Projeto - Projeto - Instalação de 2 E1's - Ticket"/>
    <m/>
    <s v="Contax "/>
    <s v=" Dir. Clientes Especiais"/>
    <x v="0"/>
    <s v="Fabiane Evangelista Cavalcante"/>
    <x v="4"/>
    <d v="2014-11-14T17:34:00"/>
    <m/>
    <n v="472.2680555555562"/>
    <x v="2"/>
    <x v="2"/>
  </r>
  <r>
    <s v="Requisição de Serviços"/>
    <s v="CTXSPOAL-103355"/>
    <s v="Projeto - Monitorar ASPCTX100SPODA via SiteScope"/>
    <m/>
    <s v="Contax "/>
    <s v=" NOC"/>
    <x v="0"/>
    <s v="Diego Vivanco Fernandez"/>
    <x v="0"/>
    <d v="2016-01-18T08:41:00"/>
    <m/>
    <n v="42.638194444443798"/>
    <x v="0"/>
    <x v="0"/>
  </r>
  <r>
    <s v="Requisição de Serviços"/>
    <s v="CTXSPOAL-101987"/>
    <s v="Projeto RTC x EPS Contax (ITAÚ CARTÕES) - TIVOLI"/>
    <m/>
    <s v="Itaú "/>
    <s v=" Itaú Cartão"/>
    <x v="0"/>
    <s v="Marco Aurelio Brandao Duarte"/>
    <x v="0"/>
    <d v="2016-01-04T14:21:00"/>
    <m/>
    <n v="56.402083333334303"/>
    <x v="0"/>
    <x v="0"/>
  </r>
  <r>
    <s v="Requisição de Serviços"/>
    <s v="CTXSPOAL-101739"/>
    <s v="Projeto - &quot;Implantação de Crescimento 3 PAs Intermédica&quot;"/>
    <m/>
    <s v="Intermédica "/>
    <s v=" Marcação de Consultas"/>
    <x v="0"/>
    <s v="Rogerio Luiz da Silva"/>
    <x v="0"/>
    <d v="2015-12-29T11:13:00"/>
    <m/>
    <n v="62.53263888888614"/>
    <x v="1"/>
    <x v="1"/>
  </r>
  <r>
    <s v="Requisição de Serviços"/>
    <s v="CTXSPOAL-101564"/>
    <s v="Projeto - Substituição de links da IDT para colocar I360"/>
    <m/>
    <s v="Santander "/>
    <s v=" Cartões"/>
    <x v="0"/>
    <s v="George Silva Dimitrov"/>
    <x v="0"/>
    <d v="2015-12-23T16:47:00"/>
    <m/>
    <n v="68.300694444442343"/>
    <x v="1"/>
    <x v="1"/>
  </r>
  <r>
    <s v="Requisição de Serviços"/>
    <s v="CTXSPOAL-101398"/>
    <s v="Projeto - Cielo ARV/L5 - Implantação de Telefone HOT"/>
    <m/>
    <s v="Cielo "/>
    <s v=" ARV"/>
    <x v="11"/>
    <s v="George Silva Dimitrov"/>
    <x v="1"/>
    <d v="2015-12-21T12:49:00"/>
    <d v="2016-02-05T16:36:00"/>
    <n v="46.15763888888614"/>
    <x v="1"/>
    <x v="1"/>
  </r>
  <r>
    <s v="Requisição de Serviços"/>
    <s v="CTXSPOAL-100158"/>
    <s v="Projeto - Ponto de rede para Wi-Fi"/>
    <m/>
    <s v="Santander "/>
    <s v=" Santander"/>
    <x v="1"/>
    <s v="Giovana Ferreira de Souza"/>
    <x v="0"/>
    <d v="2015-12-04T15:14:00"/>
    <m/>
    <n v="87.365277777775191"/>
    <x v="1"/>
    <x v="1"/>
  </r>
  <r>
    <s v="Requisição de Serviços"/>
    <s v="CTXSPOAL-100112"/>
    <s v="Projeto - Troca do parque de máquinas da operação Intermédica"/>
    <m/>
    <s v="Intermédica "/>
    <s v=" Marcação de Consultas"/>
    <x v="1"/>
    <s v="Flavio Reto"/>
    <x v="0"/>
    <d v="2015-12-03T23:59:00"/>
    <m/>
    <n v="88.000694444446708"/>
    <x v="1"/>
    <x v="1"/>
  </r>
  <r>
    <s v="Requisição de Serviços"/>
    <s v="CTXSPOAL-99944"/>
    <s v="Projeto - Migração BV Financeira (Lapa X Alegria)"/>
    <m/>
    <s v="BV Financeira "/>
    <s v=" SAC"/>
    <x v="1"/>
    <s v="Rogerio Luiz da Silva"/>
    <x v="0"/>
    <d v="2015-12-02T14:55:00"/>
    <m/>
    <n v="89.378472222218988"/>
    <x v="1"/>
    <x v="1"/>
  </r>
  <r>
    <s v="Requisição de Serviços"/>
    <s v="CTXSPOAL-99303"/>
    <s v="Projeto - Crescimento (mais do mesmo) de 13 PA's na operação Volkswagen"/>
    <m/>
    <s v="Contax "/>
    <s v=" Dir. Clientes Especiais"/>
    <x v="1"/>
    <s v="Rogerio Luiz da Silva"/>
    <x v="0"/>
    <d v="2015-11-24T10:18:00"/>
    <m/>
    <n v="97.570833333331393"/>
    <x v="2"/>
    <x v="1"/>
  </r>
  <r>
    <s v="Requisição de Serviços"/>
    <s v="CTXSPOAL-97376"/>
    <s v="Projeto - Migração POP3 - SKY Antartica - Alegria"/>
    <m/>
    <s v="Contax "/>
    <s v=" Cobrança"/>
    <x v="25"/>
    <s v="Robson da Costa"/>
    <x v="1"/>
    <d v="2015-10-30T16:51:00"/>
    <d v="2015-12-14T11:42:00"/>
    <n v="44.785416666672972"/>
    <x v="3"/>
    <x v="1"/>
  </r>
  <r>
    <s v="Requisição de Serviços"/>
    <s v="CTXSPOAL-96703"/>
    <s v="Liberação software Innwinwiwn para os sites do Brasil"/>
    <m/>
    <s v="Contax "/>
    <s v=" Outro"/>
    <x v="1"/>
    <s v="Vera Lucia Augusto de Azevedo"/>
    <x v="0"/>
    <d v="2015-10-22T15:43:00"/>
    <m/>
    <n v="130.34513888888614"/>
    <x v="3"/>
    <x v="1"/>
  </r>
  <r>
    <s v="Requisição de Serviços"/>
    <s v="CTXSPOAL-96574"/>
    <s v="Projeto - Migração SKY para site Alegria"/>
    <m/>
    <s v="Contax "/>
    <s v=" Cobrança"/>
    <x v="1"/>
    <s v="Robson da Costa"/>
    <x v="0"/>
    <d v="2015-10-21T14:01:00"/>
    <m/>
    <n v="131.41597222222481"/>
    <x v="3"/>
    <x v="1"/>
  </r>
  <r>
    <s v="Requisição de Serviços"/>
    <s v="CTXSPOAL-96495"/>
    <s v="Projeto - Precificação de novo hardware para servido de banco de dados"/>
    <m/>
    <s v="BB Mapfre "/>
    <s v=" BB Mapfre"/>
    <x v="1"/>
    <s v="Rogerio Luiz da Silva"/>
    <x v="0"/>
    <d v="2015-10-20T16:32:00"/>
    <m/>
    <n v="132.31111111111386"/>
    <x v="3"/>
    <x v="1"/>
  </r>
  <r>
    <s v="Requisição de Serviços"/>
    <s v="CTXSPOAL-96427"/>
    <s v="Projeto - Implantar t!guidance na Operação Intermédica"/>
    <m/>
    <s v="Intermédica "/>
    <s v=" Marcação de Consultas"/>
    <x v="1"/>
    <s v="Rogerio Luiz da Silva"/>
    <x v="0"/>
    <d v="2015-10-20T12:21:00"/>
    <m/>
    <n v="132.48541666667006"/>
    <x v="3"/>
    <x v="1"/>
  </r>
  <r>
    <s v="Requisição de Serviços"/>
    <s v="CTXSPOAL-96174"/>
    <s v="Projeto - Alteração dos Prompts da URA do Dealer e alteração dos áudios da operação Volkswagen"/>
    <m/>
    <s v="Contax "/>
    <s v=" Dir. Clientes Especiais"/>
    <x v="6"/>
    <s v="Rogerio Luiz da Silva"/>
    <x v="1"/>
    <d v="2015-10-16T09:21:00"/>
    <d v="2016-01-20T15:15:00"/>
    <n v="96.245833333334303"/>
    <x v="3"/>
    <x v="1"/>
  </r>
  <r>
    <s v="Requisição de Serviços"/>
    <s v="CTXSPOAL-96094"/>
    <s v="Projeto - Aquisição de 4 licenças da NetCallCenter para PA's de Chat da operação Volkswagen"/>
    <m/>
    <s v="Contax "/>
    <s v=" Dir. Clientes Especiais"/>
    <x v="6"/>
    <s v="Rogerio Luiz da Silva"/>
    <x v="1"/>
    <d v="2015-10-15T12:22:00"/>
    <d v="2016-01-29T15:50:00"/>
    <n v="106.14444444444234"/>
    <x v="3"/>
    <x v="1"/>
  </r>
  <r>
    <s v="Requisição de Serviços"/>
    <s v="CTXSPOAL-95566"/>
    <s v="Projeto - Projeto"/>
    <m/>
    <s v="Nextel "/>
    <s v=" Nextel TLV"/>
    <x v="12"/>
    <s v="JONAS SANTOS DO AMOR DIVINO"/>
    <x v="6"/>
    <d v="2015-10-07T18:23:00"/>
    <m/>
    <n v="145.23402777777665"/>
    <x v="3"/>
    <x v="1"/>
  </r>
  <r>
    <s v="Requisição de Serviços"/>
    <s v="CTXSPOAL-95026"/>
    <s v="Projeto - Disponibilização de ferramenta de Chat (proposta comercial) para operação Volkwsagen prevendo integração com CRM (SAP) do Cliente"/>
    <m/>
    <s v="Contax "/>
    <s v=" Dir. Clientes Especiais"/>
    <x v="22"/>
    <s v="Rogerio Luiz da Silva"/>
    <x v="0"/>
    <d v="2015-10-01T14:52:00"/>
    <m/>
    <n v="151.38055555555911"/>
    <x v="3"/>
    <x v="1"/>
  </r>
  <r>
    <s v="Requisição de Serviços"/>
    <s v="CTXSPOAL-94230"/>
    <s v="Projeto - Desenvolvimento de tabulador Contax para substituição do DefyIT"/>
    <m/>
    <s v="Bradesco "/>
    <s v=" Bradesco Seguros"/>
    <x v="1"/>
    <s v="Rogerio Luiz da Silva"/>
    <x v="5"/>
    <d v="2015-09-22T16:07:00"/>
    <m/>
    <n v="160.32847222222335"/>
    <x v="4"/>
    <x v="1"/>
  </r>
  <r>
    <s v="Requisição de Serviços"/>
    <s v="CTXSPOAL-94114"/>
    <s v="Projeto - Projeto"/>
    <m/>
    <s v="Contax "/>
    <s v=" NOC"/>
    <x v="22"/>
    <s v="Diego Vivanco Fernandez"/>
    <x v="5"/>
    <d v="2015-09-21T15:41:00"/>
    <m/>
    <n v="161.34652777777956"/>
    <x v="4"/>
    <x v="1"/>
  </r>
  <r>
    <s v="Requisição de Serviços"/>
    <s v="CTXSPOAL-93333"/>
    <s v="Projeto - Projeto ERP - RH + Portal - Configuração Ambiente Produção"/>
    <m/>
    <s v="Contax "/>
    <s v=" Ger Comunicação"/>
    <x v="22"/>
    <s v="Erika Andrade Miguel"/>
    <x v="0"/>
    <d v="2015-09-11T16:15:00"/>
    <m/>
    <n v="171.32291666666424"/>
    <x v="4"/>
    <x v="1"/>
  </r>
  <r>
    <s v="Requisição de Serviços"/>
    <s v="CTXSPOAL-92422"/>
    <s v="Projeto - Alteração da URL atual do web service da URA Cielo Fidelidade (Fornecedor Exclusivo)"/>
    <m/>
    <s v="Cielo "/>
    <s v=" ARV"/>
    <x v="6"/>
    <s v="Rogerio Luiz da Silva"/>
    <x v="3"/>
    <d v="2015-09-01T10:01:00"/>
    <d v="2016-02-15T10:32:00"/>
    <n v="167.02152777777519"/>
    <x v="4"/>
    <x v="1"/>
  </r>
  <r>
    <s v="Requisição de Serviços"/>
    <s v="CTXSPOAL-92107"/>
    <s v="Projeto - Implementar funcionalidade de atendimento preview no FE Ayty \ Discador Aspect da Cielo L5"/>
    <m/>
    <s v="Cielo "/>
    <s v=" Campo"/>
    <x v="22"/>
    <s v="Rogerio Luiz da Silva"/>
    <x v="5"/>
    <d v="2015-08-27T15:20:00"/>
    <m/>
    <n v="186.36111111110949"/>
    <x v="10"/>
    <x v="1"/>
  </r>
  <r>
    <s v="Requisição de Serviços"/>
    <s v="CTXSPOAL-91736"/>
    <s v="Projeto - Projeto"/>
    <m/>
    <s v="TAM "/>
    <s v=" Multiplus"/>
    <x v="13"/>
    <s v="MARIAMA POPPE COSTA"/>
    <x v="2"/>
    <d v="2015-08-24T14:45:00"/>
    <m/>
    <n v="189.38541666666424"/>
    <x v="10"/>
    <x v="1"/>
  </r>
  <r>
    <s v="Requisição de Serviços"/>
    <s v="CTXSPOAL-91696"/>
    <s v="Projeto - Implantar Link de Dados Cielo"/>
    <m/>
    <s v="Cielo "/>
    <s v=" ARV"/>
    <x v="22"/>
    <s v="Carlos Batista Alves"/>
    <x v="0"/>
    <d v="2015-08-24T11:34:00"/>
    <m/>
    <n v="189.5180555555562"/>
    <x v="10"/>
    <x v="1"/>
  </r>
  <r>
    <s v="Requisição de Serviços"/>
    <s v="CTXSPOAL-91568"/>
    <s v="Criação de servidor"/>
    <m/>
    <s v="Contax "/>
    <s v=" Outro"/>
    <x v="26"/>
    <s v="José Adriano Costa"/>
    <x v="1"/>
    <d v="2015-08-21T14:10:00"/>
    <d v="2016-01-11T16:25:00"/>
    <n v="143.09375"/>
    <x v="10"/>
    <x v="1"/>
  </r>
  <r>
    <s v="Requisição de Serviços"/>
    <s v="CTXSPOAL-91546"/>
    <s v="Projeto Infraestrutura para implantação da Assinatura Digital no tClock Contax"/>
    <m/>
    <s v="Contax "/>
    <s v=" RH"/>
    <x v="22"/>
    <s v="Erika Andrade Miguel"/>
    <x v="0"/>
    <d v="2015-08-21T10:07:00"/>
    <m/>
    <n v="192.57847222222335"/>
    <x v="10"/>
    <x v="1"/>
  </r>
  <r>
    <s v="Requisição de Serviços"/>
    <s v="CTXSPOAL-90727"/>
    <s v="Implementação de Monitoração de Perda de Pacotes, QA e Capacity Links de Dados Contax através do HPOPENVIEW"/>
    <m/>
    <s v="Contax "/>
    <s v=" NOC"/>
    <x v="22"/>
    <s v="Daniel Donaire"/>
    <x v="0"/>
    <d v="2015-08-12T16:53:00"/>
    <m/>
    <n v="201.29652777777665"/>
    <x v="10"/>
    <x v="1"/>
  </r>
  <r>
    <s v="Requisição de Serviços"/>
    <s v="CTXSPOAL-89740"/>
    <s v="Projeto - Projeto"/>
    <m/>
    <s v="Nextel "/>
    <s v=" Nextel TLV"/>
    <x v="27"/>
    <s v="Cristina Rey Kamradt"/>
    <x v="1"/>
    <d v="2015-07-30T17:42:00"/>
    <d v="2016-01-27T09:26:00"/>
    <n v="180.65555555555329"/>
    <x v="5"/>
    <x v="1"/>
  </r>
  <r>
    <s v="Requisição de Serviços"/>
    <s v="CTXSPOAL-89502"/>
    <s v="Projeto - Projeto"/>
    <m/>
    <s v="TAM "/>
    <s v=" Fale com o Presidente"/>
    <x v="5"/>
    <s v="José Ballock Neto"/>
    <x v="2"/>
    <d v="2015-07-28T11:33:00"/>
    <m/>
    <n v="216.51875000000291"/>
    <x v="5"/>
    <x v="1"/>
  </r>
  <r>
    <s v="Requisição de Serviços"/>
    <s v="CTXSPOAL-89142"/>
    <s v="Projeto - Projeto - Alteração na URA SAC | Volkswagen"/>
    <m/>
    <s v="Contax "/>
    <s v=" Dir. Clientes Especiais"/>
    <x v="22"/>
    <s v="Fabiane Evangelista Cavalcante"/>
    <x v="0"/>
    <d v="2015-07-23T11:30:00"/>
    <m/>
    <n v="221.52083333333576"/>
    <x v="5"/>
    <x v="1"/>
  </r>
  <r>
    <s v="Requisição de Serviços"/>
    <s v="CTXSPOAL-89128"/>
    <s v="Projeto - Projeto - Instalação de aparelhos Avaya | Nextel"/>
    <m/>
    <s v="Contax "/>
    <s v=" Dir. Clientes Especiais"/>
    <x v="5"/>
    <s v="Fabiane Evangelista Cavalcante"/>
    <x v="2"/>
    <d v="2015-07-23T10:53:00"/>
    <m/>
    <n v="221.54652777777665"/>
    <x v="5"/>
    <x v="1"/>
  </r>
  <r>
    <s v="Requisição de Serviços"/>
    <s v="CTXSPOAL-88112"/>
    <s v="Projeto - Projeto"/>
    <m/>
    <s v="Santander "/>
    <s v=" Santander"/>
    <x v="22"/>
    <s v="Robson da Costa"/>
    <x v="6"/>
    <d v="2015-07-10T13:15:00"/>
    <m/>
    <n v="234.44791666666424"/>
    <x v="5"/>
    <x v="1"/>
  </r>
  <r>
    <s v="Requisição de Serviços"/>
    <s v="CTXSPOAL-86278"/>
    <s v="Instalação Navigator - Cielo L5"/>
    <m/>
    <s v="Contax "/>
    <s v=" Dir. Clientes Especiais"/>
    <x v="0"/>
    <s v="Jose Edson de Lima"/>
    <x v="4"/>
    <d v="2015-06-17T18:00:00"/>
    <m/>
    <n v="257.25"/>
    <x v="6"/>
    <x v="1"/>
  </r>
  <r>
    <s v="Requisição de Serviços"/>
    <s v="CTXSPOAL-83724"/>
    <s v="Projeto - Projeto"/>
    <m/>
    <s v="Nextel "/>
    <s v=" Nextel URC"/>
    <x v="0"/>
    <s v="Robson da Costa"/>
    <x v="4"/>
    <d v="2015-05-08T18:18:00"/>
    <m/>
    <n v="297.23750000000291"/>
    <x v="7"/>
    <x v="1"/>
  </r>
  <r>
    <s v="Requisição de Serviços"/>
    <s v="CTXSPOAL-83138"/>
    <s v="Projeto - Projeto - BO Anatel Jira 6"/>
    <m/>
    <s v="Contax "/>
    <s v=" Dir. Oi"/>
    <x v="0"/>
    <s v="Juliana Moretti Rovaris"/>
    <x v="4"/>
    <d v="2015-04-30T14:24:00"/>
    <m/>
    <n v="305.40000000000146"/>
    <x v="8"/>
    <x v="1"/>
  </r>
  <r>
    <s v="Requisição de Serviços"/>
    <s v="CTXSPOAL-81556"/>
    <s v="Projeto - Sistema CW e Dashboard"/>
    <m/>
    <s v="Santander "/>
    <s v=" Produção Assistida"/>
    <x v="22"/>
    <s v="Robson da Costa"/>
    <x v="2"/>
    <d v="2015-04-07T11:30:00"/>
    <m/>
    <n v="328.52083333333576"/>
    <x v="8"/>
    <x v="1"/>
  </r>
  <r>
    <s v="Requisição de Serviços"/>
    <s v="CTXSPOAL-81007"/>
    <s v="Projeto - Implantar t-Guidance Operação Banco Toyota"/>
    <m/>
    <s v="Banco Toyota "/>
    <s v=" Suporte ao Cliente"/>
    <x v="24"/>
    <s v="Flavio Reto"/>
    <x v="3"/>
    <d v="2015-03-30T11:30:00"/>
    <d v="2016-02-17T18:22:00"/>
    <n v="324.2861111111124"/>
    <x v="11"/>
    <x v="1"/>
  </r>
  <r>
    <s v="Requisição de Serviços"/>
    <s v="CTXSPOAL-57727"/>
    <s v="Projeto - Projeto"/>
    <m/>
    <s v="Bradesco "/>
    <s v=" Bradesco Cap"/>
    <x v="22"/>
    <s v="Anderson Pinheiro Raposo"/>
    <x v="2"/>
    <d v="2014-05-15T12:38:00"/>
    <m/>
    <n v="655.4736111111124"/>
    <x v="7"/>
    <x v="2"/>
  </r>
  <r>
    <s v="Requisição de Serviços"/>
    <s v="CTXSPOAL-57726"/>
    <s v="Projeto - Projeto"/>
    <m/>
    <s v="Bradesco "/>
    <s v=" Bradesco Seguros"/>
    <x v="22"/>
    <s v="Anderson Pinheiro Raposo"/>
    <x v="2"/>
    <d v="2014-05-15T12:36:00"/>
    <m/>
    <n v="655.47499999999854"/>
    <x v="7"/>
    <x v="2"/>
  </r>
  <r>
    <s v="Requisição de Serviços"/>
    <s v="CTXSALSM-88005"/>
    <s v="Projeto - Click To Call Ferramenta TI Contax"/>
    <m/>
    <s v="Contax "/>
    <s v=" Ger Processos, Metodologia e MIS"/>
    <x v="0"/>
    <s v="Tiago dos Santos Fialho"/>
    <x v="0"/>
    <d v="2016-02-12T12:51:00"/>
    <m/>
    <n v="17.464583333334303"/>
    <x v="9"/>
    <x v="0"/>
  </r>
  <r>
    <s v="Requisição de Serviços"/>
    <s v="CTXSALSM-85211"/>
    <s v="Aplicação - Desenvolvimento Tabulador de Proposta para a Operação CAC"/>
    <m/>
    <s v="Itaú "/>
    <s v=" Itaú Cartão"/>
    <x v="0"/>
    <s v="Marco Aurelio Brandao Duarte"/>
    <x v="0"/>
    <d v="2015-12-10T18:20:00"/>
    <m/>
    <n v="81.236111111109494"/>
    <x v="1"/>
    <x v="1"/>
  </r>
  <r>
    <s v="Requisição de Serviços"/>
    <s v="CTXSALSM-84952"/>
    <s v="Projeto - &quot;Migração POP 3 - Operação Web Site Fonte Nova x Cabula"/>
    <m/>
    <s v="Oi "/>
    <s v=" Televendas Oi"/>
    <x v="28"/>
    <s v="Cristiane Gon�alves Kuzuhara"/>
    <x v="1"/>
    <d v="2015-12-03T18:39:00"/>
    <d v="2016-01-15T15:47:00"/>
    <n v="42.880555555551837"/>
    <x v="1"/>
    <x v="1"/>
  </r>
  <r>
    <s v="Requisição de Serviços"/>
    <s v="CTXSALSM-84288"/>
    <s v="Projeto - &quot;Migração POP 3 - Velox OUtbound e Site Fonte Nova x Boa Viagem&quot;"/>
    <m/>
    <s v="Oi "/>
    <s v=" Televendas Oi"/>
    <x v="28"/>
    <s v="Cristiane Gon�alves Kuzuhara"/>
    <x v="1"/>
    <d v="2015-11-17T15:11:00"/>
    <d v="2016-01-15T15:47:00"/>
    <n v="59.024999999994179"/>
    <x v="2"/>
    <x v="1"/>
  </r>
  <r>
    <s v="Requisição de Serviços"/>
    <s v="CTXSALSM-84035"/>
    <s v="Projeto - &quot;Por favor, usuário, utilizar este campo para informar o nome do Projeto&quot;"/>
    <m/>
    <s v="Contax "/>
    <s v=" Ger Processos, Metodologia e MIS"/>
    <x v="1"/>
    <s v="Tiago dos Santos Fialho"/>
    <x v="0"/>
    <d v="2015-11-11T14:56:00"/>
    <m/>
    <n v="110.37777777777956"/>
    <x v="2"/>
    <x v="1"/>
  </r>
  <r>
    <s v="Requisição de Serviços"/>
    <s v="CTXSALSM-83159"/>
    <s v="Projeto Instalar Totem para Campanha da Fatura Digital nas operações Itaú Site Cabula"/>
    <m/>
    <s v="Contax "/>
    <s v=" Outro"/>
    <x v="0"/>
    <s v="Mariana da Costa Mello"/>
    <x v="0"/>
    <d v="2015-10-19T15:48:00"/>
    <m/>
    <n v="133.34166666666715"/>
    <x v="3"/>
    <x v="1"/>
  </r>
  <r>
    <s v="Requisição de Serviços"/>
    <s v="CTXSALSM-83029"/>
    <s v="Aplicações de Hardenings : (Baseline Itaú)"/>
    <m/>
    <s v="Contax "/>
    <s v=" Outro"/>
    <x v="21"/>
    <s v="Marco Aurelio Brandao Duarte"/>
    <x v="0"/>
    <d v="2015-10-14T17:31:00"/>
    <m/>
    <n v="138.27013888888905"/>
    <x v="3"/>
    <x v="1"/>
  </r>
  <r>
    <s v="Requisição de Serviços"/>
    <s v="CTXSALSM-83016"/>
    <s v="AUDITORIA REMOTA: (Coleta de Dados Automatizada)"/>
    <m/>
    <s v="Contax "/>
    <s v=" Outro"/>
    <x v="21"/>
    <s v="Marco Aurelio Brandao Duarte"/>
    <x v="0"/>
    <d v="2015-10-14T15:12:00"/>
    <m/>
    <n v="138.36666666666861"/>
    <x v="3"/>
    <x v="1"/>
  </r>
  <r>
    <s v="Requisição de Serviços"/>
    <s v="CTXSALSM-82024"/>
    <s v="BASELINE: IMPLANTAÇÃO DO PROCESSO DE AUDITORIA PARA TODAS OPERAÇÕES DO ITAÚ e REDECARD: SAC / COBRANÇA / TLV"/>
    <m/>
    <s v="Contax "/>
    <s v=" Outro"/>
    <x v="21"/>
    <s v="Marco Aurelio Brandao Duarte"/>
    <x v="2"/>
    <d v="2015-09-15T10:50:00"/>
    <m/>
    <n v="167.54861111110949"/>
    <x v="4"/>
    <x v="1"/>
  </r>
  <r>
    <s v="Requisição de Serviços"/>
    <s v="CTXSALSM-81593"/>
    <s v="Implantação do novo pacote de PRC (Blindagem) nas operações de cartões de crédito do Itaú que são atendidas pela Contax."/>
    <m/>
    <s v="Itaú "/>
    <s v=" Itaú Cartão"/>
    <x v="21"/>
    <s v="Marco Aurelio Brandao Duarte"/>
    <x v="5"/>
    <d v="2015-09-04T16:16:00"/>
    <m/>
    <n v="178.32222222222481"/>
    <x v="4"/>
    <x v="1"/>
  </r>
  <r>
    <s v="Requisição de Serviços"/>
    <s v="CTXSALSM-79594"/>
    <s v="Projeto - Projeto"/>
    <m/>
    <s v="Contax "/>
    <s v=" Ger Processos, Metodologia e MIS"/>
    <x v="22"/>
    <s v="Tiago dos Santos Fialho"/>
    <x v="5"/>
    <d v="2015-07-21T12:16:00"/>
    <m/>
    <n v="223.48888888888905"/>
    <x v="5"/>
    <x v="1"/>
  </r>
  <r>
    <s v="Requisição de Serviços"/>
    <s v="CTXSALSM-78825"/>
    <s v="Contax - Liberação de Firewall - Novos Servidores NICE - BA"/>
    <m/>
    <s v="Itaú "/>
    <s v=" Venda de Cartões"/>
    <x v="22"/>
    <s v="Marco Aurelio Brandao Duarte"/>
    <x v="0"/>
    <d v="2015-07-07T16:34:00"/>
    <m/>
    <n v="237.30972222222044"/>
    <x v="5"/>
    <x v="1"/>
  </r>
  <r>
    <s v="Requisição de Serviços"/>
    <s v="CTXSALSM-78582"/>
    <s v="Projeto - Projeto"/>
    <m/>
    <s v="Contax "/>
    <s v=" Ger Processos, Metodologia e MIS"/>
    <x v="4"/>
    <s v="Tiago dos Santos Fialho"/>
    <x v="6"/>
    <d v="2015-07-03T18:15:00"/>
    <m/>
    <n v="241.23958333333576"/>
    <x v="5"/>
    <x v="1"/>
  </r>
  <r>
    <s v="Requisição de Serviços"/>
    <s v="CTXSALSM-74754"/>
    <s v="Troca do sistema WinXP para Win7 em todas as operações do Itaú BA"/>
    <m/>
    <s v="Itaú "/>
    <s v=" Itaú Cartão"/>
    <x v="21"/>
    <s v="Marco Aurelio Brandao Duarte"/>
    <x v="2"/>
    <d v="2015-03-18T17:36:00"/>
    <m/>
    <n v="348.26666666667006"/>
    <x v="11"/>
    <x v="1"/>
  </r>
  <r>
    <s v="Requisição de Serviços"/>
    <s v="CTXSALPB-56789"/>
    <s v="Projeto - Front Fácil + APC - Rentabilização Fixo"/>
    <m/>
    <s v="Oi "/>
    <s v=" Rentabilização"/>
    <x v="0"/>
    <s v="Alexandre Teixeira de Pinho"/>
    <x v="0"/>
    <d v="2016-02-12T18:57:00"/>
    <m/>
    <n v="17.210416666668607"/>
    <x v="9"/>
    <x v="0"/>
  </r>
  <r>
    <s v="Requisição de Serviços"/>
    <s v="CTXSALPB-55659"/>
    <s v="Projeto - &quot;Crescimento de 20 PV´s Velox Outbound&quot;"/>
    <m/>
    <s v="Oi "/>
    <s v=" Televendas Oi"/>
    <x v="0"/>
    <s v="Cristiane Gon�alves Kuzuhara"/>
    <x v="0"/>
    <d v="2016-02-02T17:15:00"/>
    <m/>
    <n v="27.28125"/>
    <x v="9"/>
    <x v="0"/>
  </r>
  <r>
    <s v="Requisição de Serviços"/>
    <s v="CTXSALPB-55459"/>
    <s v="Projeto - &quot;Gravação BO Empresarial&quot;"/>
    <m/>
    <s v="Oi "/>
    <s v=" Televendas Oi"/>
    <x v="0"/>
    <s v="Cristiane Gon�alves Kuzuhara"/>
    <x v="0"/>
    <d v="2016-02-01T19:16:00"/>
    <m/>
    <n v="28.197222222224809"/>
    <x v="9"/>
    <x v="0"/>
  </r>
  <r>
    <s v="Requisição de Serviços"/>
    <s v="CTXSALPB-53727"/>
    <s v="Projeto - &quot;Por favor, usuário, utilizar este campo para informar o nome do Projeto&quot;"/>
    <m/>
    <s v="Oi "/>
    <s v=" Televendas Oi"/>
    <x v="0"/>
    <s v="Cristiane Gon�alves Kuzuhara"/>
    <x v="0"/>
    <d v="2016-01-20T15:36:00"/>
    <m/>
    <n v="40.349999999998545"/>
    <x v="0"/>
    <x v="0"/>
  </r>
  <r>
    <s v="Requisição de Serviços"/>
    <s v="CTXSALPB-53725"/>
    <s v="Projeto - &quot;Por favor, usuário, utilizar este campo para informar o nome do Projeto&quot;"/>
    <m/>
    <s v="Oi "/>
    <s v=" Televendas Oi"/>
    <x v="0"/>
    <s v="Cristiane Gon�alves Kuzuhara"/>
    <x v="0"/>
    <d v="2016-01-20T15:31:00"/>
    <m/>
    <n v="40.353472222224809"/>
    <x v="0"/>
    <x v="0"/>
  </r>
  <r>
    <s v="Requisição de Serviços"/>
    <s v="CTXSALPB-51084"/>
    <s v="Projeto - &quot;Configuração de PV´s de incentivados Fixo&quot;"/>
    <m/>
    <s v="Oi "/>
    <s v=" Televendas Oi"/>
    <x v="29"/>
    <s v="Cristiane Gon�alves Kuzuhara"/>
    <x v="0"/>
    <d v="2015-12-29T20:28:00"/>
    <m/>
    <n v="62.147222222221899"/>
    <x v="1"/>
    <x v="1"/>
  </r>
  <r>
    <s v="Requisição de Serviços"/>
    <s v="CTXSALPB-50670"/>
    <s v="Projeto - &quot;Crescimento de 50 PA´s de Velox/Fixo&quot;"/>
    <m/>
    <s v="Oi "/>
    <s v=" Televendas Oi"/>
    <x v="28"/>
    <s v="Cristiane Gon�alves Kuzuhara"/>
    <x v="1"/>
    <d v="2015-12-23T16:03:00"/>
    <d v="2016-01-28T09:43:00"/>
    <n v="35.73611111111677"/>
    <x v="1"/>
    <x v="1"/>
  </r>
  <r>
    <s v="Requisição de Serviços"/>
    <s v="CTXSALPB-47935"/>
    <s v="Projeto - Crescimento Rentabilização"/>
    <m/>
    <s v="Oi "/>
    <s v=" Rentabilização"/>
    <x v="23"/>
    <s v="Alexandre Teixeira de Pinho"/>
    <x v="5"/>
    <d v="2015-11-25T18:18:00"/>
    <m/>
    <n v="96.23750000000291"/>
    <x v="2"/>
    <x v="1"/>
  </r>
  <r>
    <s v="Requisição de Serviços"/>
    <s v="CTXSALPB-47142"/>
    <s v="Projeto - &quot;Migração POP 3 - Auditoria varejo e Site Fonte Nova x Boa Viagem&quot;"/>
    <m/>
    <s v="Oi "/>
    <s v=" Televendas Oi"/>
    <x v="28"/>
    <s v="Cristiane Gon�alves Kuzuhara"/>
    <x v="1"/>
    <d v="2015-11-16T19:10:00"/>
    <d v="2016-01-15T15:48:00"/>
    <n v="59.859722222223354"/>
    <x v="2"/>
    <x v="1"/>
  </r>
  <r>
    <s v="Requisição de Serviços"/>
    <s v="CTXSALPB-47141"/>
    <s v="Projeto - &quot;Migração POP 3 - Inbound OI TV e Site Fonte Nova x Boa Viagem&quot;"/>
    <m/>
    <s v="Oi "/>
    <s v=" Televendas Oi"/>
    <x v="28"/>
    <s v="Cristiane Gon�alves Kuzuhara"/>
    <x v="1"/>
    <d v="2015-11-16T19:04:00"/>
    <d v="2016-01-15T15:48:00"/>
    <n v="59.863888888889051"/>
    <x v="2"/>
    <x v="1"/>
  </r>
  <r>
    <s v="Requisição de Serviços"/>
    <s v="CTXSALPB-47135"/>
    <s v="Projeto - &quot;Migração POP 3 - TLV Empresarial e Site Fonte Nova x Boa Viagem&quot;."/>
    <m/>
    <s v="Oi "/>
    <s v=" Televendas Oi"/>
    <x v="28"/>
    <s v="Cristiane Gon�alves Kuzuhara"/>
    <x v="1"/>
    <d v="2015-11-16T17:24:00"/>
    <d v="2016-01-15T15:49:00"/>
    <n v="59.934027777781012"/>
    <x v="2"/>
    <x v="1"/>
  </r>
  <r>
    <s v="Requisição de Serviços"/>
    <s v="CTXSALPB-46921"/>
    <s v="Projeto - Integração NBA x tGuidance! Inbound Rentabilização"/>
    <m/>
    <s v="Oi "/>
    <s v=" Rentabilização"/>
    <x v="29"/>
    <s v="Alexandre Teixeira de Pinho"/>
    <x v="0"/>
    <d v="2015-11-12T17:27:00"/>
    <m/>
    <n v="109.27291666666861"/>
    <x v="2"/>
    <x v="1"/>
  </r>
  <r>
    <s v="Requisição de Serviços"/>
    <s v="CTXSALPB-42304"/>
    <s v="Projeto - Projeto Tetris Boa Viagem (Televendas e Rentabilização)"/>
    <m/>
    <s v="Oi "/>
    <s v=" Rentabilização"/>
    <x v="22"/>
    <s v="Alexandre Teixeira de Pinho"/>
    <x v="6"/>
    <d v="2015-09-11T09:59:00"/>
    <m/>
    <n v="171.58402777777519"/>
    <x v="4"/>
    <x v="1"/>
  </r>
  <r>
    <s v="Requisição de Serviços"/>
    <s v="CTXSALPB-38362"/>
    <s v="Projeto - Projeto"/>
    <m/>
    <s v="Oi "/>
    <s v=" OI TV"/>
    <x v="22"/>
    <s v="Erika Andrade Miguel"/>
    <x v="0"/>
    <d v="2015-07-21T12:32:00"/>
    <m/>
    <n v="223.4777777777781"/>
    <x v="5"/>
    <x v="1"/>
  </r>
  <r>
    <s v="Requisição de Serviços"/>
    <s v="CTXSALPB-31209"/>
    <s v="Implantação APC + FF - Rentabilização"/>
    <m/>
    <s v="Oi "/>
    <s v=" Rentabilização"/>
    <x v="23"/>
    <s v="Alexandre Teixeira de Pinho"/>
    <x v="5"/>
    <d v="2015-04-28T10:41:00"/>
    <m/>
    <n v="307.55486111110804"/>
    <x v="8"/>
    <x v="1"/>
  </r>
  <r>
    <s v="Requisição de Serviços"/>
    <s v="CTXSALLM-119760"/>
    <s v="Projeto - &quot;Alteração da gravação de outbound para inbound&quot;"/>
    <m/>
    <s v="Oi "/>
    <s v=" Televendas Oi"/>
    <x v="0"/>
    <s v="Cristiane Gon�alves Kuzuhara"/>
    <x v="0"/>
    <d v="2016-01-20T15:05:00"/>
    <m/>
    <n v="40.371527777781012"/>
    <x v="0"/>
    <x v="0"/>
  </r>
  <r>
    <s v="Requisição de Serviços"/>
    <s v="CTXSALLM-119005"/>
    <s v="Adequa"/>
    <m/>
    <s v="Contax "/>
    <s v=" Ger Processos, Metodologia e MIS"/>
    <x v="30"/>
    <s v="Tiago dos Santos Fialho"/>
    <x v="1"/>
    <d v="2016-01-05T10:19:00"/>
    <d v="2016-01-22T08:27:00"/>
    <n v="16.922222222223354"/>
    <x v="0"/>
    <x v="0"/>
  </r>
  <r>
    <s v="Requisição de Serviços"/>
    <s v="CTXSALLM-118766"/>
    <s v="Projeto - &quot;Por favor, usuário, utilizar este campo para informar o nome do Projeto&quot;"/>
    <m/>
    <s v="Citibank "/>
    <s v=" Ilha Ativação"/>
    <x v="15"/>
    <s v="JONAS SANTOS DO AMOR DIVINO"/>
    <x v="1"/>
    <d v="2015-12-28T12:43:00"/>
    <d v="2016-01-11T18:37:00"/>
    <n v="14.245833333327028"/>
    <x v="1"/>
    <x v="1"/>
  </r>
  <r>
    <s v="Requisição de Serviços"/>
    <s v="CTXSALLM-118698"/>
    <s v="Crescimento mais do mesmo para atender o forecast de Jan/16 do ATC Premium"/>
    <m/>
    <s v="Citibank "/>
    <s v=" SAC Citibank"/>
    <x v="31"/>
    <s v="Marco Aurelio Brandao Duarte"/>
    <x v="1"/>
    <d v="2015-12-23T16:56:00"/>
    <d v="2016-01-13T14:31:00"/>
    <n v="20.899305555554747"/>
    <x v="1"/>
    <x v="1"/>
  </r>
  <r>
    <s v="Requisição de Serviços"/>
    <s v="CTXSALLM-118598"/>
    <s v="Crescimento de 3 Posições do Mega Ilha"/>
    <m/>
    <s v="Citibank "/>
    <s v=" Televendas PIL"/>
    <x v="31"/>
    <s v="Marco Aurelio Brandao Duarte"/>
    <x v="1"/>
    <d v="2015-12-22T11:02:00"/>
    <d v="2016-01-06T10:56:00"/>
    <n v="14.995833333334303"/>
    <x v="1"/>
    <x v="1"/>
  </r>
  <r>
    <s v="Requisição de Serviços"/>
    <s v="CTXSALLM-117664"/>
    <s v="desenvolvimento front facil"/>
    <m/>
    <s v="Citibank "/>
    <s v=" Ilha Ativação"/>
    <x v="1"/>
    <s v="JONAS SANTOS DO AMOR DIVINO"/>
    <x v="0"/>
    <d v="2015-11-30T11:29:00"/>
    <m/>
    <n v="91.521527777775191"/>
    <x v="2"/>
    <x v="1"/>
  </r>
  <r>
    <s v="Requisição de Serviços"/>
    <s v="CTXSALLM-117084"/>
    <s v="Projeto - &quot;&quot;Migração POP 3 - BO TLV Varejo e Site Fonte Nova x Comércio&quot;."/>
    <m/>
    <s v="Oi "/>
    <s v=" Televendas Oi"/>
    <x v="28"/>
    <s v="Cristiane Gon�alves Kuzuhara"/>
    <x v="1"/>
    <d v="2015-11-16T17:13:00"/>
    <d v="2016-01-05T12:15:00"/>
    <n v="49.793055555550382"/>
    <x v="2"/>
    <x v="1"/>
  </r>
  <r>
    <s v="Requisição de Serviços"/>
    <s v="CTXSALLM-117082"/>
    <s v="Projeto - Migração POP 3 - OCT Out/Inb e Fonte Nova x Comércio"/>
    <m/>
    <s v="Oi "/>
    <s v=" Televendas Oi"/>
    <x v="28"/>
    <s v="Cristiane Gon�alves Kuzuhara"/>
    <x v="1"/>
    <d v="2015-11-16T17:06:00"/>
    <d v="2016-01-05T12:16:00"/>
    <n v="49.798611111109494"/>
    <x v="2"/>
    <x v="1"/>
  </r>
  <r>
    <s v="Requisição de Serviços"/>
    <s v="CTXSALLM-115737"/>
    <s v="Projeto - Projeto - Citibank - Nova operação de Ativação/Desbloqueio de Cartões"/>
    <m/>
    <s v="Contax "/>
    <s v=" Outro"/>
    <x v="32"/>
    <s v="Mariana da Costa Mello"/>
    <x v="1"/>
    <d v="2015-10-05T18:36:00"/>
    <d v="2015-12-29T14:19:00"/>
    <n v="84.821527777778101"/>
    <x v="3"/>
    <x v="1"/>
  </r>
  <r>
    <s v="Requisição de Serviços"/>
    <s v="CTXSALLM-115129"/>
    <s v="Projeto - Adicionar VLAN para Atendimento do BBJapão"/>
    <m/>
    <s v="Contax "/>
    <s v=" Outro"/>
    <x v="7"/>
    <s v="Carlos Batista Alves"/>
    <x v="1"/>
    <d v="2015-09-09T15:35:00"/>
    <d v="2016-01-04T09:23:00"/>
    <n v="116.74166666666861"/>
    <x v="4"/>
    <x v="1"/>
  </r>
  <r>
    <s v="Requisição de Serviços"/>
    <s v="CTXSALLM-110995"/>
    <s v="Projeto - Projeto - Novo Portal de Vendas_ Ezconet"/>
    <m/>
    <s v="Contax "/>
    <s v=" Ger Processos, Metodologia e MIS"/>
    <x v="33"/>
    <s v="Priscila Menezes de Sousa Pinto"/>
    <x v="1"/>
    <d v="2015-04-06T10:06:00"/>
    <d v="2015-12-17T16:47:00"/>
    <n v="255.27847222222772"/>
    <x v="8"/>
    <x v="1"/>
  </r>
  <r>
    <s v="Requisição de Serviços"/>
    <s v="CTXSALAS-161797"/>
    <s v="Projeto - &quot;Por favor, usuário, utilizar este campo para informar o nome do Projeto&quot;"/>
    <m/>
    <s v="Oi "/>
    <s v=" Televendas Oi"/>
    <x v="1"/>
    <s v="Cristiane Gon�alves Kuzuhara"/>
    <x v="0"/>
    <d v="2015-11-13T18:08:00"/>
    <m/>
    <n v="108.24444444444089"/>
    <x v="2"/>
    <x v="1"/>
  </r>
  <r>
    <s v="Requisição de Serviços"/>
    <s v="CTXSALAS-158599"/>
    <s v="Projeto - Projeto"/>
    <m/>
    <s v="Oi "/>
    <s v=" Televendas Oi"/>
    <x v="4"/>
    <s v="Cristiane Gon�alves Kuzuhara"/>
    <x v="6"/>
    <d v="2015-09-04T19:17:00"/>
    <m/>
    <n v="178.1965277777781"/>
    <x v="4"/>
    <x v="1"/>
  </r>
  <r>
    <s v="Requisição de Serviços"/>
    <s v="CTXSALAS-156916"/>
    <s v="Projeto - Projeto"/>
    <m/>
    <s v="Contax "/>
    <s v=" Ger Processos, Metodologia e MIS"/>
    <x v="22"/>
    <s v="Tiago dos Santos Fialho"/>
    <x v="6"/>
    <d v="2015-07-31T17:33:00"/>
    <m/>
    <n v="213.26875000000291"/>
    <x v="5"/>
    <x v="1"/>
  </r>
  <r>
    <s v="Requisição de Serviços"/>
    <s v="CTXSALAS-156730"/>
    <s v="Projeto - Projeto"/>
    <m/>
    <s v="Oi "/>
    <s v=" Televendas Oi"/>
    <x v="22"/>
    <s v="Cristiane Gon�alves Kuzuhara"/>
    <x v="0"/>
    <d v="2015-07-27T19:21:00"/>
    <m/>
    <n v="217.19374999999854"/>
    <x v="5"/>
    <x v="1"/>
  </r>
  <r>
    <s v="Requisição de Serviços"/>
    <s v="CTXSALAS-155279"/>
    <s v="Projeto - Projeto"/>
    <m/>
    <s v="Oi "/>
    <s v=" Televendas Oi"/>
    <x v="23"/>
    <s v="Cristiane Gon�alves Kuzuhara"/>
    <x v="2"/>
    <d v="2015-07-02T16:18:00"/>
    <m/>
    <n v="242.32083333333139"/>
    <x v="5"/>
    <x v="1"/>
  </r>
  <r>
    <s v="Requisição de Serviços"/>
    <s v="CTXSALAS-154241"/>
    <s v="Projeto - Projeto"/>
    <m/>
    <s v="Contax "/>
    <s v=" Ger Processos, Metodologia e MIS"/>
    <x v="22"/>
    <s v="Tiago dos Santos Fialho"/>
    <x v="4"/>
    <d v="2015-06-12T16:04:00"/>
    <m/>
    <n v="262.3305555555562"/>
    <x v="6"/>
    <x v="1"/>
  </r>
  <r>
    <s v="Requisição de Serviços"/>
    <s v="CTXSALAS-150015"/>
    <s v="Projeto - Projeto"/>
    <m/>
    <s v="Contax "/>
    <s v=" Ger Processos, Metodologia e MIS"/>
    <x v="22"/>
    <s v="Tiago dos Santos Fialho"/>
    <x v="4"/>
    <d v="2015-04-06T11:12:00"/>
    <m/>
    <n v="329.53333333333285"/>
    <x v="8"/>
    <x v="1"/>
  </r>
  <r>
    <s v="Requisição de Serviços"/>
    <s v="CTXSALAS-149443"/>
    <s v="Projeto - Projeto"/>
    <m/>
    <s v="Contax "/>
    <s v=" Ger Processos, Metodologia e MIS"/>
    <x v="22"/>
    <s v="Tiago dos Santos Fialho"/>
    <x v="2"/>
    <d v="2015-03-25T13:23:00"/>
    <m/>
    <n v="341.4423611111124"/>
    <x v="11"/>
    <x v="1"/>
  </r>
  <r>
    <s v="Requisição de Serviços"/>
    <s v="CTXRJOPF-69425"/>
    <s v="Projeto - &quot;Por favor, usuário, utilizar este campo para informar o nome do Projeto&quot;"/>
    <m/>
    <s v="Contax "/>
    <s v=" Monitoria"/>
    <x v="0"/>
    <s v="Mariana de Araujo Paiva"/>
    <x v="0"/>
    <d v="2016-02-15T16:01:00"/>
    <m/>
    <n v="14.332638888889051"/>
    <x v="9"/>
    <x v="0"/>
  </r>
  <r>
    <s v="Requisição de Serviços"/>
    <s v="CTXRJOMK-125309"/>
    <s v="Projeto - &quot;Por favor, usuário, utilizar este campo para informar o nome do Projeto&quot;"/>
    <m/>
    <s v="Contax "/>
    <s v=" Dir. Oi"/>
    <x v="1"/>
    <s v="Maria da Conceicao Paiva"/>
    <x v="0"/>
    <d v="2015-10-19T15:00:00"/>
    <m/>
    <n v="133.375"/>
    <x v="3"/>
    <x v="1"/>
  </r>
  <r>
    <s v="Requisição de Serviços"/>
    <s v="CTXRJOMK-119586"/>
    <s v="Projeto - Projeto"/>
    <m/>
    <s v="Oi "/>
    <s v=" Outras Atividades"/>
    <x v="22"/>
    <s v="Lilian Bille Mesquita"/>
    <x v="0"/>
    <d v="2015-08-03T14:35:00"/>
    <m/>
    <n v="210.39236111110949"/>
    <x v="10"/>
    <x v="1"/>
  </r>
  <r>
    <s v="Requisição de Serviços"/>
    <s v="CTXRJOMK-118558"/>
    <s v="Projeto - Troca do parque de máquinas da operação Bradesco Seguros"/>
    <m/>
    <s v="Bradesco "/>
    <s v=" Bradesco Seguros"/>
    <x v="22"/>
    <s v="Rogerio Luiz da Silva"/>
    <x v="5"/>
    <d v="2015-07-20T10:41:00"/>
    <m/>
    <n v="224.55486111110804"/>
    <x v="5"/>
    <x v="1"/>
  </r>
  <r>
    <s v="Requisição de Serviços"/>
    <s v="CTXRJOMK-118064"/>
    <s v="Projeto - Projeto"/>
    <m/>
    <s v="BB Mapfre "/>
    <s v=" BB Mapfre"/>
    <x v="22"/>
    <s v="Marco Aurelio Chuim Cruz Filho"/>
    <x v="0"/>
    <d v="2015-07-14T14:30:00"/>
    <m/>
    <n v="230.39583333333576"/>
    <x v="5"/>
    <x v="1"/>
  </r>
  <r>
    <s v="Requisição de Serviços"/>
    <s v="CTXRJOMK-117938"/>
    <s v="Projeto - Projeto"/>
    <m/>
    <s v="Contax "/>
    <s v=" Ger Adm RH"/>
    <x v="34"/>
    <s v="Eduardo Lima de Souza"/>
    <x v="5"/>
    <d v="2015-07-13T11:05:00"/>
    <m/>
    <n v="231.53819444444525"/>
    <x v="5"/>
    <x v="1"/>
  </r>
  <r>
    <s v="Requisição de Serviços"/>
    <s v="CTXRJOMK-102944"/>
    <s v="Projeto - Projeto"/>
    <m/>
    <s v="Contax "/>
    <s v=" Ger Adm RH"/>
    <x v="35"/>
    <s v="Leonardo Machado Anastacio"/>
    <x v="1"/>
    <d v="2014-12-10T11:59:00"/>
    <d v="2016-01-15T16:15:00"/>
    <n v="401.17777777778247"/>
    <x v="1"/>
    <x v="2"/>
  </r>
  <r>
    <s v="Requisição de Serviços"/>
    <s v="CTXRJOMA-78225"/>
    <s v="PROJETO AUTOMAÇÕES OI | PROCESSO ALTERAÇÃO DE VELOCIDADE VELOX"/>
    <m/>
    <s v="Oi "/>
    <s v=" Outras Atividades"/>
    <x v="0"/>
    <s v="Wagner Mattos Ribeiro Pinto"/>
    <x v="0"/>
    <d v="2016-02-17T11:22:00"/>
    <m/>
    <n v="12.526388888887595"/>
    <x v="9"/>
    <x v="0"/>
  </r>
  <r>
    <s v="Requisição de Serviços"/>
    <s v="CTXRJOMA-78224"/>
    <s v="PROJETO AUTOMAÇÕES OI | PROCESSO CONTESTAÇÃO DE FATURA OI TV COM PAGAMENTO NO OI FIXO"/>
    <m/>
    <s v="Oi "/>
    <s v=" Outras Atividades"/>
    <x v="0"/>
    <s v="Wagner Mattos Ribeiro Pinto"/>
    <x v="0"/>
    <d v="2016-02-17T11:20:00"/>
    <m/>
    <n v="12.527777777781012"/>
    <x v="9"/>
    <x v="0"/>
  </r>
  <r>
    <s v="Requisição de Serviços"/>
    <s v="CTXRJOMA-78220"/>
    <s v="PROJETO AUTOMAÇÕES OI | PROCESSO CHECK LIST DE CRÉDITO POR INTERRUPÇÃO FIXO E VELOX (OCT CONTAS)"/>
    <m/>
    <s v="Oi "/>
    <s v=" Outras Atividades"/>
    <x v="0"/>
    <s v="Wagner Mattos Ribeiro Pinto"/>
    <x v="0"/>
    <d v="2016-02-17T11:09:00"/>
    <m/>
    <n v="12.535416666665697"/>
    <x v="9"/>
    <x v="0"/>
  </r>
  <r>
    <s v="Requisição de Serviços"/>
    <s v="CTXRJOMA-78219"/>
    <s v="PROJETO AUTOMAÇÕES OI | PROCESSO VERIFICAÇÃO DE CAMPANHAS PRÉ-PAGO"/>
    <m/>
    <s v="Oi "/>
    <s v=" Outras Atividades"/>
    <x v="0"/>
    <s v="Wagner Mattos Ribeiro Pinto"/>
    <x v="0"/>
    <d v="2016-02-17T11:04:00"/>
    <m/>
    <n v="12.538888888891961"/>
    <x v="9"/>
    <x v="0"/>
  </r>
  <r>
    <s v="Requisição de Serviços"/>
    <s v="CTXRJOMA-78217"/>
    <s v="PROJETO AUTOMAÇÕES OI | PROCESSO CHECKLIST DE MUDEND"/>
    <m/>
    <s v="Oi "/>
    <s v=" Outras Atividades"/>
    <x v="0"/>
    <s v="Wagner Mattos Ribeiro Pinto"/>
    <x v="0"/>
    <d v="2016-02-17T11:00:00"/>
    <m/>
    <n v="12.541666666664241"/>
    <x v="9"/>
    <x v="0"/>
  </r>
  <r>
    <s v="Requisição de Serviços"/>
    <s v="CTXRJOMA-78215"/>
    <s v="PROJETO AUTOMAÇÕES OI | PROCESSO VERIFICAÇÃO DE PROMOÇÕES PÓS-PAGO"/>
    <m/>
    <s v="Oi "/>
    <s v=" Outras Atividades"/>
    <x v="0"/>
    <s v="Wagner Mattos Ribeiro Pinto"/>
    <x v="0"/>
    <d v="2016-02-17T10:55:00"/>
    <m/>
    <n v="12.545138888890506"/>
    <x v="9"/>
    <x v="0"/>
  </r>
  <r>
    <s v="Requisição de Serviços"/>
    <s v="CTXRJOMA-78212"/>
    <s v="PROJETO AUTOMAÇÕES OI | PROCESSO INCLUSÃO DE DEPENDENTE OI MÓVEL"/>
    <m/>
    <s v="Oi "/>
    <s v=" Outras Atividades"/>
    <x v="0"/>
    <s v="Wagner Mattos Ribeiro Pinto"/>
    <x v="0"/>
    <d v="2016-02-17T10:37:00"/>
    <m/>
    <n v="12.557638888887595"/>
    <x v="9"/>
    <x v="0"/>
  </r>
  <r>
    <s v="Requisição de Serviços"/>
    <s v="CTXRJOMA-78210"/>
    <s v="PROJETO AUTOMAÇÕES OI | PROCESSO ALTERAÇÃO DE VELOCIDADE VELOX"/>
    <m/>
    <s v="Oi "/>
    <s v=" Outras Atividades"/>
    <x v="0"/>
    <s v="Wagner Mattos Ribeiro Pinto"/>
    <x v="0"/>
    <d v="2016-02-17T10:33:00"/>
    <m/>
    <n v="12.560416666667152"/>
    <x v="9"/>
    <x v="0"/>
  </r>
  <r>
    <s v="Requisição de Serviços"/>
    <s v="CTXRJOMA-78208"/>
    <s v="PROJETO AUTOMAÇÕES OI | PROCESSO ABERTURA E FECHAMENTO CONTESTAÇÃO"/>
    <m/>
    <s v="Oi "/>
    <s v=" Outras Atividades"/>
    <x v="0"/>
    <s v="Wagner Mattos Ribeiro Pinto"/>
    <x v="0"/>
    <d v="2016-02-17T10:25:00"/>
    <m/>
    <n v="12.565972222218988"/>
    <x v="9"/>
    <x v="0"/>
  </r>
  <r>
    <s v="Requisição de Serviços"/>
    <s v="CTXRJOMA-78045"/>
    <s v="Projeto Automações Oi | FLUXO LIMITAÇÃO DA CHAMADA MANUAL"/>
    <m/>
    <s v="Contax "/>
    <s v=" Outro"/>
    <x v="0"/>
    <s v="Wagner Mattos Ribeiro Pinto"/>
    <x v="0"/>
    <d v="2016-02-11T14:22:00"/>
    <m/>
    <n v="18.401388888887595"/>
    <x v="9"/>
    <x v="0"/>
  </r>
  <r>
    <s v="Requisição de Serviços"/>
    <s v="CTXRJOMA-78044"/>
    <s v="Projeto Automações Oi | RTI - AUTOMAÇÃO CONSULTA HISTÓRICO TERMINAL"/>
    <m/>
    <s v="Contax "/>
    <s v=" Outro"/>
    <x v="0"/>
    <s v="Wagner Mattos Ribeiro Pinto"/>
    <x v="0"/>
    <d v="2016-02-11T14:17:00"/>
    <m/>
    <n v="18.40486111111386"/>
    <x v="9"/>
    <x v="0"/>
  </r>
  <r>
    <s v="Requisição de Serviços"/>
    <s v="CTXRJOMA-78043"/>
    <s v="Projeto - Playground - Otimização da distribuição de chamadas"/>
    <m/>
    <s v="Contax "/>
    <s v=" Dir. Oi"/>
    <x v="0"/>
    <s v="Fabricio Hinein Peixoto Guimaraes"/>
    <x v="0"/>
    <d v="2016-02-11T13:41:00"/>
    <m/>
    <n v="18.429861111108039"/>
    <x v="9"/>
    <x v="0"/>
  </r>
  <r>
    <s v="Requisição de Serviços"/>
    <s v="CTXRJOMA-77877"/>
    <s v="Projeto Automações OI | RTI - REGISTRO AUTOMÁTICO DE REPARO DE VOZ (G1)"/>
    <m/>
    <s v="Contax "/>
    <s v=" Dir. Oi"/>
    <x v="21"/>
    <s v="Wagner Mattos Ribeiro Pinto"/>
    <x v="5"/>
    <d v="2016-02-03T14:52:00"/>
    <m/>
    <n v="26.380555555559113"/>
    <x v="9"/>
    <x v="0"/>
  </r>
  <r>
    <s v="Requisição de Serviços"/>
    <s v="CTXRJOMA-77615"/>
    <s v="Projeto - Implantar Cochicho &quot;Reajuste&quot; nas operações da Cadeia Fixa"/>
    <m/>
    <s v="Oi "/>
    <s v=" Atendimento"/>
    <x v="29"/>
    <s v="Fernanda Nazario Menezes"/>
    <x v="0"/>
    <d v="2016-01-25T12:03:00"/>
    <m/>
    <n v="35.497916666667152"/>
    <x v="0"/>
    <x v="0"/>
  </r>
  <r>
    <s v="Requisição de Serviços"/>
    <s v="CTXRJOMA-77362"/>
    <s v="Projeto_PassWork_interface telefonia"/>
    <m/>
    <s v="Contax "/>
    <s v=" Ger Planejamento SAC"/>
    <x v="36"/>
    <s v="Joyce Faria Barbosa"/>
    <x v="1"/>
    <d v="2016-01-14T11:20:00"/>
    <d v="2016-02-02T12:08:00"/>
    <n v="19.033333333340124"/>
    <x v="0"/>
    <x v="0"/>
  </r>
  <r>
    <s v="Requisição de Serviços"/>
    <s v="CTXRJOMA-77361"/>
    <s v="Projeto_PassWork_integraçao escala"/>
    <m/>
    <s v="Contax "/>
    <s v=" Ger Planejamento SAC"/>
    <x v="36"/>
    <s v="Joyce Faria Barbosa"/>
    <x v="1"/>
    <d v="2016-01-14T11:15:00"/>
    <d v="2016-02-02T12:07:00"/>
    <n v="19.036111111112405"/>
    <x v="0"/>
    <x v="0"/>
  </r>
  <r>
    <s v="Requisição de Serviços"/>
    <s v="CTXRJOMA-77360"/>
    <s v="Projeto_PassWork_integraçao_hierarquia"/>
    <m/>
    <s v="Contax "/>
    <s v=" Ger Planejamento SAC"/>
    <x v="36"/>
    <s v="Joyce Faria Barbosa"/>
    <x v="1"/>
    <d v="2016-01-14T11:11:00"/>
    <d v="2016-02-02T12:07:00"/>
    <n v="19.038888888891961"/>
    <x v="0"/>
    <x v="0"/>
  </r>
  <r>
    <s v="Requisição de Serviços"/>
    <s v="CTXRJOMA-77291"/>
    <s v="Projeto - Front End para BO CONTRATOS"/>
    <m/>
    <s v="Contax "/>
    <s v=" Dir. Oi"/>
    <x v="0"/>
    <s v="Leonardo Pellegrini Vieira"/>
    <x v="0"/>
    <d v="2016-01-12T18:37:00"/>
    <m/>
    <n v="48.224305555559113"/>
    <x v="0"/>
    <x v="0"/>
  </r>
  <r>
    <s v="Requisição de Serviços"/>
    <s v="CTXRJOMA-77290"/>
    <s v="Projeto - NICE Operações BO CONTRATOS"/>
    <m/>
    <s v="Contax "/>
    <s v=" Dir. Oi"/>
    <x v="0"/>
    <s v="Leonardo Pellegrini Vieira"/>
    <x v="0"/>
    <d v="2016-01-12T18:29:00"/>
    <m/>
    <n v="48.229861111110949"/>
    <x v="0"/>
    <x v="0"/>
  </r>
  <r>
    <s v="Requisição de Serviços"/>
    <s v="CTXRJOMA-77272"/>
    <s v="Reestruturação do DW, BIGDATA and ANALYTICS (RFP)"/>
    <m/>
    <s v="Contax "/>
    <s v=" Ger Planejamento SAC"/>
    <x v="0"/>
    <s v="Joyce Faria Barbosa"/>
    <x v="0"/>
    <d v="2016-01-11T18:16:00"/>
    <m/>
    <n v="49.238888888889051"/>
    <x v="0"/>
    <x v="0"/>
  </r>
  <r>
    <s v="Requisição de Serviços"/>
    <s v="CTXRJOMA-77042"/>
    <s v="CATRACA - Desenvolvimento de coleta"/>
    <m/>
    <s v="Contax "/>
    <s v=" Ger Planejamento SAC"/>
    <x v="37"/>
    <s v="Joyce Faria Barbosa"/>
    <x v="2"/>
    <d v="2015-12-29T16:17:00"/>
    <m/>
    <n v="62.321527777778101"/>
    <x v="1"/>
    <x v="1"/>
  </r>
  <r>
    <s v="Requisição de Serviços"/>
    <s v="CTXRJOMA-76887"/>
    <s v="Requisição de coleta de base TLV e Perfilcall"/>
    <m/>
    <s v="Contax "/>
    <s v=" Ger Planejamento SAC"/>
    <x v="1"/>
    <s v="Joyce Faria Barbosa"/>
    <x v="0"/>
    <d v="2015-12-18T15:38:00"/>
    <m/>
    <n v="73.348611111112405"/>
    <x v="1"/>
    <x v="1"/>
  </r>
  <r>
    <s v="Requisição de Serviços"/>
    <s v="CTXRJOMA-76875"/>
    <s v="Mapeamento de IP por posição com localização em planta"/>
    <m/>
    <s v="Contax "/>
    <s v=" Ger Planejamento SAC"/>
    <x v="36"/>
    <s v="Joyce Faria Barbosa"/>
    <x v="1"/>
    <d v="2015-12-17T19:01:00"/>
    <d v="2016-02-02T12:06:00"/>
    <n v="46.711805555554747"/>
    <x v="1"/>
    <x v="1"/>
  </r>
  <r>
    <s v="Requisição de Serviços"/>
    <s v="CTXRJOMA-76819"/>
    <s v="Permissão de leitura a Procedure"/>
    <m/>
    <s v="Contax "/>
    <s v=" Ger Planejamento SAC"/>
    <x v="1"/>
    <s v="Joyce Faria Barbosa"/>
    <x v="0"/>
    <d v="2015-12-15T15:01:00"/>
    <m/>
    <n v="76.374305555553292"/>
    <x v="1"/>
    <x v="1"/>
  </r>
  <r>
    <s v="Requisição de Serviços"/>
    <s v="CTXRJOMA-73888"/>
    <s v="Projeto - Projeto - Ferramenta de Automação OFF Line"/>
    <m/>
    <s v="Contax "/>
    <s v=" Dir. Oi"/>
    <x v="29"/>
    <s v="Elaine Fortunato da Silva"/>
    <x v="0"/>
    <d v="2015-08-10T12:38:00"/>
    <m/>
    <n v="203.4736111111124"/>
    <x v="10"/>
    <x v="1"/>
  </r>
  <r>
    <s v="Requisição de Serviços"/>
    <s v="CTXRJOMA-73573"/>
    <s v="Projeto - Projeto - Melhoria TLV OFF Line"/>
    <m/>
    <s v="Contax "/>
    <s v=" Dir. Oi"/>
    <x v="23"/>
    <s v="Elaine Fortunato da Silva"/>
    <x v="5"/>
    <d v="2015-07-24T15:17:00"/>
    <m/>
    <n v="220.36319444444234"/>
    <x v="5"/>
    <x v="1"/>
  </r>
  <r>
    <s v="Requisição de Serviços"/>
    <s v="CTXRJOMA-72849"/>
    <s v="Projeto - Projeto - Evalyser Lista de Espera - SOC"/>
    <m/>
    <s v="Contax "/>
    <s v=" Dir. Oi"/>
    <x v="23"/>
    <s v="Livia de Deus Henriques Rodrigues"/>
    <x v="5"/>
    <d v="2015-06-23T16:35:00"/>
    <m/>
    <n v="251.30902777778101"/>
    <x v="6"/>
    <x v="1"/>
  </r>
  <r>
    <s v="Requisição de Serviços"/>
    <s v="CTXRJOED-57910"/>
    <s v="Projeto - &quot;Relatorios SISO&quot;"/>
    <m/>
    <s v="Prefeitura RJ "/>
    <s v=" Atendimento Nivel 1"/>
    <x v="38"/>
    <s v="Marco Aurelio Chuim Cruz Filho"/>
    <x v="0"/>
    <d v="2015-12-15T18:05:00"/>
    <m/>
    <n v="76.246527777781012"/>
    <x v="1"/>
    <x v="1"/>
  </r>
  <r>
    <s v="Requisição de Serviços"/>
    <s v="CTXRJOED-57908"/>
    <s v="Projeto - &quot;Por favor, usuário, utilizar este campo para informar o nome do Projeto&quot;"/>
    <m/>
    <s v="Prefeitura RJ "/>
    <s v=" Atendimento Nivel 1"/>
    <x v="38"/>
    <s v="Marco Aurelio Chuim Cruz Filho"/>
    <x v="0"/>
    <d v="2015-12-15T17:30:00"/>
    <m/>
    <n v="76.270833333335759"/>
    <x v="1"/>
    <x v="1"/>
  </r>
  <r>
    <s v="Requisição de Serviços"/>
    <s v="CTXRJOED-57907"/>
    <s v="Projeto - &quot;Por favor, usuário, utilizar este campo para informar o nome do Projeto&quot;"/>
    <m/>
    <s v="Prefeitura RJ "/>
    <s v=" Atendimento Nivel 1"/>
    <x v="38"/>
    <s v="Marco Aurelio Chuim Cruz Filho"/>
    <x v="0"/>
    <d v="2015-12-15T17:08:00"/>
    <m/>
    <n v="76.286111111112405"/>
    <x v="1"/>
    <x v="1"/>
  </r>
  <r>
    <s v="Requisição de Serviços"/>
    <s v="CTXRJOED-57427"/>
    <s v="Implantação Gas Natural Fenosa"/>
    <m/>
    <s v="Contax "/>
    <s v=" Ger Implantação"/>
    <x v="23"/>
    <s v="Robson da Costa"/>
    <x v="5"/>
    <d v="2015-11-30T17:02:00"/>
    <m/>
    <n v="91.290277777778101"/>
    <x v="2"/>
    <x v="1"/>
  </r>
  <r>
    <s v="Requisição de Serviços"/>
    <s v="CTXRJOED-56989"/>
    <s v="Projeto - Instalar Ferramenta de Automações Célula GFE - Engenho de Dentro"/>
    <m/>
    <s v="Contax "/>
    <s v=" Dir. Oi"/>
    <x v="29"/>
    <s v="Elaine Fortunato da Silva"/>
    <x v="0"/>
    <d v="2015-11-13T10:52:00"/>
    <m/>
    <n v="108.54722222222335"/>
    <x v="2"/>
    <x v="1"/>
  </r>
  <r>
    <s v="Requisição de Serviços"/>
    <s v="CTXRJOED-55097"/>
    <s v="Projeto - Projeto"/>
    <m/>
    <s v="Prefeitura RJ "/>
    <s v=" Atendimento Nivel 1"/>
    <x v="38"/>
    <s v="Marco Aurelio Chuim Cruz Filho"/>
    <x v="2"/>
    <d v="2015-09-16T16:46:00"/>
    <m/>
    <n v="166.30138888888905"/>
    <x v="4"/>
    <x v="1"/>
  </r>
  <r>
    <s v="Requisição de Serviços"/>
    <s v="CTXRJOED-54399"/>
    <s v="Projeto - Usabilidade SGRC"/>
    <m/>
    <s v="Contax "/>
    <s v=" Outro"/>
    <x v="4"/>
    <s v="Kathleen Porto"/>
    <x v="0"/>
    <d v="2015-08-27T17:52:00"/>
    <m/>
    <n v="186.25555555555911"/>
    <x v="10"/>
    <x v="1"/>
  </r>
  <r>
    <s v="Requisição de Serviços"/>
    <s v="CTXRJOED-54040"/>
    <s v="Projeto - Projeto - Discador GFE RJ"/>
    <m/>
    <s v="Contax "/>
    <s v=" Dir. Oi"/>
    <x v="23"/>
    <s v="Elaine Fortunato da Silva"/>
    <x v="5"/>
    <d v="2015-08-18T17:23:00"/>
    <m/>
    <n v="195.27569444444089"/>
    <x v="10"/>
    <x v="1"/>
  </r>
  <r>
    <s v="Requisição de Serviços"/>
    <s v="CTXRJOED-54029"/>
    <s v="Projeto - Projeto"/>
    <m/>
    <s v="Prefeitura RJ "/>
    <s v=" Atendimento Nivel 1"/>
    <x v="39"/>
    <s v="Marco Aurelio Chuim Cruz Filho"/>
    <x v="1"/>
    <d v="2015-08-18T11:33:00"/>
    <d v="2016-01-28T14:02:00"/>
    <n v="163.10347222222481"/>
    <x v="10"/>
    <x v="1"/>
  </r>
  <r>
    <s v="Requisição de Serviços"/>
    <s v="CTXRJOED-51677"/>
    <s v="Sem acesso tprocess"/>
    <m/>
    <s v="Prefeitura RJ "/>
    <s v=" Atendimento Nivel 1"/>
    <x v="0"/>
    <s v="Alyne Souza Berriel"/>
    <x v="4"/>
    <d v="2015-06-10T17:49:00"/>
    <m/>
    <n v="264.25763888889196"/>
    <x v="6"/>
    <x v="1"/>
  </r>
  <r>
    <s v="Requisição de Serviços"/>
    <s v="CTXRJOED-49497"/>
    <s v="Projeto - Projeto"/>
    <m/>
    <s v="Prefeitura RJ "/>
    <s v=" Atendimento Nivel 1"/>
    <x v="22"/>
    <s v="Marco Aurelio Chuim Cruz Filho"/>
    <x v="2"/>
    <d v="2015-04-10T15:22:00"/>
    <m/>
    <n v="325.35972222222335"/>
    <x v="8"/>
    <x v="1"/>
  </r>
  <r>
    <s v="Requisição de Serviços"/>
    <s v="CTXRECSA-463298"/>
    <s v="Movimentação Máquinas Suporte Técnico"/>
    <m/>
    <s v="Contax "/>
    <s v=" Dir. Oi"/>
    <x v="0"/>
    <s v="F�bio Prazeres da Silva"/>
    <x v="0"/>
    <d v="2016-02-17T16:28:00"/>
    <m/>
    <n v="12.31388888888614"/>
    <x v="9"/>
    <x v="0"/>
  </r>
  <r>
    <s v="Requisição de Serviços"/>
    <s v="CTXRECSA-462461"/>
    <s v="Projeto - Inclusão do 9º digito na ferramenta Ayty"/>
    <m/>
    <s v="Santander "/>
    <s v=" Cartões"/>
    <x v="0"/>
    <s v="George Silva Dimitrov"/>
    <x v="0"/>
    <d v="2016-02-15T10:49:00"/>
    <m/>
    <n v="14.549305555556202"/>
    <x v="9"/>
    <x v="0"/>
  </r>
  <r>
    <s v="Requisição de Serviços"/>
    <s v="CTXRECSA-461808"/>
    <s v="Projeto - Projeto - Implantação de licenças COTI - Monitoramento do NET SMS"/>
    <m/>
    <s v="Contax "/>
    <s v=" Dir. Clientes Premium"/>
    <x v="1"/>
    <s v="Juliano Molina"/>
    <x v="0"/>
    <d v="2016-02-12T09:39:00"/>
    <m/>
    <n v="17.597916666665697"/>
    <x v="9"/>
    <x v="0"/>
  </r>
  <r>
    <s v="Requisição de Serviços"/>
    <s v="CTXRECSA-460567"/>
    <s v="Projeto - Sinergia célula híbrida + PDA URA com o CRV"/>
    <m/>
    <s v="Oi "/>
    <s v=" Oi Movél"/>
    <x v="0"/>
    <s v="Anthonny Stallone Santos de Souza"/>
    <x v="0"/>
    <d v="2016-02-05T19:22:00"/>
    <m/>
    <n v="24.193055555559113"/>
    <x v="9"/>
    <x v="0"/>
  </r>
  <r>
    <s v="Requisição de Serviços"/>
    <s v="CTXRECSA-457626"/>
    <s v="Projeto - Substituição do front end Ayty pelo Tguidance - Operação Santander Cartões"/>
    <m/>
    <s v="Santander "/>
    <s v=" Cartões"/>
    <x v="0"/>
    <s v="George Silva Dimitrov"/>
    <x v="0"/>
    <d v="2016-01-29T09:09:00"/>
    <m/>
    <n v="31.618750000001455"/>
    <x v="0"/>
    <x v="0"/>
  </r>
  <r>
    <s v="Requisição de Serviços"/>
    <s v="CTXRECSA-456620"/>
    <s v="Projeto - Implantar ferramenta Evalyze no BO Fixa"/>
    <m/>
    <s v="Oi "/>
    <s v=" Back Office"/>
    <x v="0"/>
    <s v="Fernanda Nazario Menezes"/>
    <x v="0"/>
    <d v="2016-01-26T11:02:00"/>
    <m/>
    <n v="34.540277777778101"/>
    <x v="0"/>
    <x v="0"/>
  </r>
  <r>
    <s v="Requisição de Serviços"/>
    <s v="CTXRECSA-455203"/>
    <s v="TLS: Protocolo de criptografia TLS 1.2"/>
    <m/>
    <s v="Contax "/>
    <s v=" Outro"/>
    <x v="0"/>
    <s v="Marco Aurelio Brandao Duarte"/>
    <x v="0"/>
    <d v="2016-01-20T09:53:00"/>
    <m/>
    <n v="40.588194444440887"/>
    <x v="0"/>
    <x v="0"/>
  </r>
  <r>
    <s v="Requisição de Serviços"/>
    <s v="CTXRECSA-454137"/>
    <s v="Projeto - Crescimento de 50 posições"/>
    <m/>
    <s v="Santander "/>
    <s v=" Santander"/>
    <x v="0"/>
    <s v="George Silva Dimitrov"/>
    <x v="0"/>
    <d v="2016-01-15T10:57:00"/>
    <m/>
    <n v="45.54374999999709"/>
    <x v="0"/>
    <x v="0"/>
  </r>
  <r>
    <s v="Requisição de Serviços"/>
    <s v="CTXRECSA-453800"/>
    <s v="Projeto - &quot;instalar google chrome na célula híbrda&quot;"/>
    <m/>
    <s v="Oi "/>
    <s v=" Oi Movél"/>
    <x v="0"/>
    <s v="Anthonny Stallone Santos de Souza"/>
    <x v="0"/>
    <d v="2016-01-14T12:24:00"/>
    <m/>
    <n v="46.483333333329938"/>
    <x v="0"/>
    <x v="0"/>
  </r>
  <r>
    <s v="Requisição de Serviços"/>
    <s v="CTXRECSA-452887"/>
    <s v="Projeto - Integração URA CO x Ferramenta Automação"/>
    <m/>
    <s v="Oi "/>
    <s v=" Oi Movél"/>
    <x v="29"/>
    <s v="Anthonny Stallone Santos de Souza"/>
    <x v="0"/>
    <d v="2016-01-11T20:13:00"/>
    <m/>
    <n v="49.15763888888614"/>
    <x v="0"/>
    <x v="0"/>
  </r>
  <r>
    <s v="Requisição de Serviços"/>
    <s v="CTXRECSA-448642"/>
    <s v="Projeto - Migrar a Célula de Backoffice do Site Antártica para o Site Santo Amaro"/>
    <m/>
    <s v="Bradesco "/>
    <s v=" Back office"/>
    <x v="12"/>
    <s v="Carlos Batista Alves"/>
    <x v="2"/>
    <d v="2015-12-23T11:42:00"/>
    <m/>
    <n v="68.51249999999709"/>
    <x v="1"/>
    <x v="1"/>
  </r>
  <r>
    <s v="Requisição de Serviços"/>
    <s v="CTXRECSA-447220"/>
    <s v="50 PAS DE CRESCIMENTO MAIS DO MESMO DA REDECARD"/>
    <m/>
    <s v="Contax "/>
    <s v=" Outro"/>
    <x v="31"/>
    <s v="Marco Aurelio Brandao Duarte"/>
    <x v="1"/>
    <d v="2015-12-15T10:39:00"/>
    <d v="2016-01-11T18:15:00"/>
    <n v="27.316666666665697"/>
    <x v="1"/>
    <x v="1"/>
  </r>
  <r>
    <s v="Requisição de Serviços"/>
    <s v="CTXRECSA-446234"/>
    <s v="SERVIDOR - TABULADOR DE VENDAS"/>
    <m/>
    <s v="Itaú "/>
    <s v=" Itaú Cartão"/>
    <x v="1"/>
    <s v="Marco Aurelio Brandao Duarte"/>
    <x v="0"/>
    <d v="2015-12-10T15:27:00"/>
    <m/>
    <n v="81.35624999999709"/>
    <x v="1"/>
    <x v="1"/>
  </r>
  <r>
    <s v="Requisição de Serviços"/>
    <s v="CTXRECSA-446175"/>
    <s v="Projeto - &quot;Demanda no Relatório Perfilador&quot;"/>
    <m/>
    <s v="Oi "/>
    <s v=" Oi Movél"/>
    <x v="1"/>
    <s v="MILANE LINS DA SILVA"/>
    <x v="0"/>
    <d v="2015-12-10T12:37:00"/>
    <m/>
    <n v="81.474305555559113"/>
    <x v="1"/>
    <x v="1"/>
  </r>
  <r>
    <s v="Requisição de Serviços"/>
    <s v="CTXRECSA-443731"/>
    <s v="Projeto - Adequação das Salas de TRN para o crescimento da operação NET em PE"/>
    <m/>
    <e v="#N/A"/>
    <e v="#N/A"/>
    <x v="40"/>
    <s v="Juliano Molina"/>
    <x v="1"/>
    <d v="2015-12-02T11:58:00"/>
    <d v="2015-12-16T10:12:00"/>
    <n v="13.926388888889051"/>
    <x v="1"/>
    <x v="1"/>
  </r>
  <r>
    <s v="Requisição de Serviços"/>
    <s v="CTXRECSA-442185"/>
    <s v="Projeto - Configurar 3 posições para a auditoria de vendas do Itaú"/>
    <m/>
    <s v="Contax "/>
    <s v=" Outro"/>
    <x v="1"/>
    <s v="Mariana da Costa Mello"/>
    <x v="0"/>
    <d v="2015-11-26T14:27:00"/>
    <m/>
    <n v="95.397916666668607"/>
    <x v="2"/>
    <x v="1"/>
  </r>
  <r>
    <s v="Requisição de Serviços"/>
    <s v="CTXRECSA-441544"/>
    <s v="Projeto - &quot;Migração POP 3 - Posto PA Conquista vs. Sto Amaro&quot;"/>
    <m/>
    <s v="Oi "/>
    <s v=" BO ATENDIMENTO"/>
    <x v="41"/>
    <s v="Anderson Luiz Gon�alves de Alcantara"/>
    <x v="1"/>
    <d v="2015-11-24T19:45:00"/>
    <d v="2016-01-15T15:49:00"/>
    <n v="51.836111111115315"/>
    <x v="2"/>
    <x v="1"/>
  </r>
  <r>
    <s v="Requisição de Serviços"/>
    <s v="CTXRECSA-441539"/>
    <s v="Projeto - &quot;Migração POP 3 - Pendencia de Serviços Conquista vs. Sto Amaro&quot;"/>
    <m/>
    <s v="Oi "/>
    <s v=" BO ATENDIMENTO"/>
    <x v="41"/>
    <s v="Anderson Luiz Gon�alves de Alcantara"/>
    <x v="1"/>
    <d v="2015-11-24T19:12:00"/>
    <d v="2016-01-15T15:51:00"/>
    <n v="51.860416666662786"/>
    <x v="2"/>
    <x v="1"/>
  </r>
  <r>
    <s v="Requisição de Serviços"/>
    <s v="CTXRECSA-441538"/>
    <s v="Projeto - &quot;Migração POP 3 - pendencia de Contas Conquista vs. Sto Amaro&quot;"/>
    <m/>
    <s v="Oi "/>
    <s v=" BO ATENDIMENTO"/>
    <x v="41"/>
    <s v="Anderson Luiz Gon�alves de Alcantara"/>
    <x v="1"/>
    <d v="2015-11-24T19:06:00"/>
    <d v="2016-01-15T15:51:00"/>
    <n v="51.864583333335759"/>
    <x v="2"/>
    <x v="1"/>
  </r>
  <r>
    <s v="Requisição de Serviços"/>
    <s v="CTXRECSA-441537"/>
    <s v="Projeto - &quot;Migração POP 3 - Lojista Conquista vs. Sto Amaro&quot;"/>
    <m/>
    <s v="Oi "/>
    <s v=" BO ATENDIMENTO"/>
    <x v="41"/>
    <s v="Anderson Luiz Gon�alves de Alcantara"/>
    <x v="1"/>
    <d v="2015-11-24T18:59:00"/>
    <d v="2016-01-15T15:52:00"/>
    <n v="51.870138888887595"/>
    <x v="2"/>
    <x v="1"/>
  </r>
  <r>
    <s v="Requisição de Serviços"/>
    <s v="CTXRECSA-441535"/>
    <s v="Projeto - &quot;Migração POP 3 - Ilha de Auditoria Conquista vs. Sto Amaro&quot;"/>
    <m/>
    <s v="Oi "/>
    <s v=" BO ATENDIMENTO"/>
    <x v="41"/>
    <s v="Anderson Luiz Gon�alves de Alcantara"/>
    <x v="1"/>
    <d v="2015-11-24T18:53:00"/>
    <d v="2016-01-15T15:52:00"/>
    <n v="51.874305555553292"/>
    <x v="2"/>
    <x v="1"/>
  </r>
  <r>
    <s v="Requisição de Serviços"/>
    <s v="CTXRECSA-441525"/>
    <s v="Projeto - &quot;Migração POP 3 - Fale Conosco Conquista vs. Sto Amaro&quot;"/>
    <m/>
    <s v="Oi "/>
    <s v=" BO ATENDIMENTO"/>
    <x v="41"/>
    <s v="Anderson Luiz Gon�alves de Alcantara"/>
    <x v="1"/>
    <d v="2015-11-24T17:54:00"/>
    <d v="2016-01-15T15:52:00"/>
    <n v="51.915277777778101"/>
    <x v="2"/>
    <x v="1"/>
  </r>
  <r>
    <s v="Requisição de Serviços"/>
    <s v="CTXRECSA-441523"/>
    <s v="Projeto - &quot;Migração POP 3 - Correspondencia Conquista vs. Sto Amaro&quot;"/>
    <m/>
    <s v="Oi "/>
    <s v=" BO ATENDIMENTO"/>
    <x v="41"/>
    <s v="Anderson Luiz Gon�alves de Alcantara"/>
    <x v="1"/>
    <d v="2015-11-24T17:50:00"/>
    <d v="2016-01-15T15:53:00"/>
    <n v="51.918750000004366"/>
    <x v="2"/>
    <x v="1"/>
  </r>
  <r>
    <s v="Requisição de Serviços"/>
    <s v="CTXRECSA-441507"/>
    <s v="Projeto - &quot;Migração POP 3 - Contas Fixa Conquista vs. Sto Amaro&quot;"/>
    <m/>
    <s v="Oi "/>
    <s v=" BO ATENDIMENTO"/>
    <x v="41"/>
    <s v="Anderson Luiz Gon�alves de Alcantara"/>
    <x v="1"/>
    <d v="2015-11-24T17:02:00"/>
    <d v="2016-01-15T15:54:00"/>
    <n v="51.952777777776646"/>
    <x v="2"/>
    <x v="1"/>
  </r>
  <r>
    <s v="Requisição de Serviços"/>
    <s v="CTXRECSA-441505"/>
    <s v="Projeto - &quot;Migração POP 3 - Chat R2 Conquista vs. Sto Amaro&quot;"/>
    <m/>
    <s v="Oi "/>
    <s v=" BO ATENDIMENTO"/>
    <x v="41"/>
    <s v="Anderson Luiz Gon�alves de Alcantara"/>
    <x v="1"/>
    <d v="2015-11-24T16:53:00"/>
    <d v="2016-01-15T15:54:00"/>
    <n v="51.959027777775191"/>
    <x v="2"/>
    <x v="1"/>
  </r>
  <r>
    <s v="Requisição de Serviços"/>
    <s v="CTXRECSA-441504"/>
    <s v="Projeto - &quot;Migração POP 3 - Chat R1 Conquista vs. Sto Amaro&quot;"/>
    <m/>
    <s v="Oi "/>
    <s v=" BO ATENDIMENTO"/>
    <x v="41"/>
    <s v="Anderson Luiz Gon�alves de Alcantara"/>
    <x v="1"/>
    <d v="2015-11-24T16:50:00"/>
    <d v="2016-01-15T15:55:00"/>
    <n v="51.961805555554747"/>
    <x v="2"/>
    <x v="1"/>
  </r>
  <r>
    <s v="Requisição de Serviços"/>
    <s v="CTXRECSA-441495"/>
    <s v="Projeto - &quot;Migração POP 3 - BO OI TV Conquista vs. Sto Amaro&quot;"/>
    <m/>
    <s v="Oi "/>
    <s v=" BO ATENDIMENTO"/>
    <x v="41"/>
    <s v="Anderson Luiz Gon�alves de Alcantara"/>
    <x v="1"/>
    <d v="2015-11-24T16:41:00"/>
    <d v="2016-01-15T15:55:00"/>
    <n v="51.968055555553292"/>
    <x v="2"/>
    <x v="1"/>
  </r>
  <r>
    <s v="Requisição de Serviços"/>
    <s v="CTXRECSA-440043"/>
    <s v="Discador SOC PE (GFE)"/>
    <m/>
    <s v="Contax "/>
    <s v=" Dir. Oi"/>
    <x v="29"/>
    <s v="Livia de Deus Henriques Rodrigues"/>
    <x v="0"/>
    <d v="2015-11-17T13:37:00"/>
    <m/>
    <n v="104.4326388888876"/>
    <x v="2"/>
    <x v="1"/>
  </r>
  <r>
    <s v="Requisição de Serviços"/>
    <s v="CTXRECSA-439346"/>
    <s v="Projeto - Migração POP 3 - Operação REDE e Site Origem Conquista vs. Destino Santo Amaro"/>
    <m/>
    <s v="Contax "/>
    <s v=" Outro"/>
    <x v="32"/>
    <s v="Mariana da Costa Mello"/>
    <x v="1"/>
    <d v="2015-11-13T19:52:00"/>
    <d v="2016-01-15T15:35:00"/>
    <n v="62.821527777778101"/>
    <x v="2"/>
    <x v="1"/>
  </r>
  <r>
    <s v="Requisição de Serviços"/>
    <s v="CTXRECSA-439329"/>
    <s v="PROJETO TIVOLI REDECARD"/>
    <m/>
    <s v="Contax "/>
    <s v=" Outro"/>
    <x v="0"/>
    <s v="Marco Aurelio Brandao Duarte"/>
    <x v="0"/>
    <d v="2015-11-13T18:28:00"/>
    <m/>
    <n v="108.23055555555766"/>
    <x v="2"/>
    <x v="1"/>
  </r>
  <r>
    <s v="Requisição de Serviços"/>
    <s v="CTXRECSA-439328"/>
    <s v="Projeto - &quot;Inclusão do DDD 96 na URA do CO&quot; (Pendência do projeto da URA do CO)"/>
    <m/>
    <s v="Oi "/>
    <s v=" Oi Movél"/>
    <x v="1"/>
    <s v="Anthonny Stallone Santos de Souza"/>
    <x v="0"/>
    <d v="2015-11-13T18:22:00"/>
    <m/>
    <n v="108.23472222222335"/>
    <x v="2"/>
    <x v="1"/>
  </r>
  <r>
    <s v="Requisição de Serviços"/>
    <s v="CTXRECSA-439238"/>
    <s v="Projeto - Instalar Ferramenta Automação Célula GFE - Santo Amaro e Integrar Ferramenta de Automação com TLV"/>
    <m/>
    <s v="Contax "/>
    <s v=" Dir. Oi"/>
    <x v="29"/>
    <s v="Elaine Fortunato da Silva"/>
    <x v="0"/>
    <d v="2015-11-13T14:52:00"/>
    <m/>
    <n v="108.38055555555911"/>
    <x v="2"/>
    <x v="1"/>
  </r>
  <r>
    <s v="Requisição de Serviços"/>
    <s v="CTXRECSA-438942"/>
    <s v="Projeto - Liberação de acesso Gerencias Velox , nas maquinas da Operação Suporte Avançado Velox"/>
    <m/>
    <s v="Oi "/>
    <s v=" Velox"/>
    <x v="1"/>
    <s v="Iosmar Ferreira Teixeira"/>
    <x v="0"/>
    <d v="2015-11-12T12:43:00"/>
    <m/>
    <n v="109.47013888888614"/>
    <x v="2"/>
    <x v="1"/>
  </r>
  <r>
    <s v="Requisição de Serviços"/>
    <s v="CTXRECSA-433478"/>
    <s v="Projeto - Implantar sistema de Prova on Line na operação NET - Santo Amaro"/>
    <m/>
    <s v="Contax "/>
    <s v=" Dir. Clientes Premium"/>
    <x v="40"/>
    <s v="Juliano Molina"/>
    <x v="1"/>
    <d v="2015-10-23T09:19:00"/>
    <d v="2016-02-03T10:41:00"/>
    <n v="103.05694444444816"/>
    <x v="3"/>
    <x v="1"/>
  </r>
  <r>
    <s v="Requisição de Serviços"/>
    <s v="CTXRECSA-430770"/>
    <s v="Aplicações de Hardenings : (Baseline Itaú)"/>
    <m/>
    <s v="Contax "/>
    <s v=" Outro"/>
    <x v="21"/>
    <s v="Marco Aurelio Brandao Duarte"/>
    <x v="0"/>
    <d v="2015-10-14T17:36:00"/>
    <m/>
    <n v="138.26666666667006"/>
    <x v="3"/>
    <x v="1"/>
  </r>
  <r>
    <s v="Requisição de Serviços"/>
    <s v="CTXRECSA-430668"/>
    <s v="AUDITORIA REMOTA: (Coleta de Dados Automatizada)"/>
    <m/>
    <s v="Contax "/>
    <s v=" Outro"/>
    <x v="21"/>
    <s v="Marco Aurelio Brandao Duarte"/>
    <x v="0"/>
    <d v="2015-10-14T15:06:00"/>
    <m/>
    <n v="138.3708333333343"/>
    <x v="3"/>
    <x v="1"/>
  </r>
  <r>
    <s v="Requisição de Serviços"/>
    <s v="CTXRECSA-430340"/>
    <s v="Projeto - Projeto Instalar Totem para Campanha da Fatura Digital"/>
    <m/>
    <s v="Contax "/>
    <s v=" Outro"/>
    <x v="1"/>
    <s v="Mariana da Costa Mello"/>
    <x v="0"/>
    <d v="2015-10-13T14:52:00"/>
    <m/>
    <n v="139.38055555555911"/>
    <x v="3"/>
    <x v="1"/>
  </r>
  <r>
    <s v="Requisição de Serviços"/>
    <s v="CTXRECSA-424149"/>
    <s v="Projeto - Projeto"/>
    <m/>
    <s v="Oi "/>
    <s v=" Pré Pago"/>
    <x v="42"/>
    <s v="Fabiana Hoffmann"/>
    <x v="1"/>
    <d v="2015-09-21T18:25:00"/>
    <d v="2016-01-14T14:54:00"/>
    <n v="114.85347222222481"/>
    <x v="4"/>
    <x v="1"/>
  </r>
  <r>
    <s v="Requisição de Serviços"/>
    <s v="CTXRECSA-422496"/>
    <s v="BASELINE: IMPLANTAÇÃO DO PROCESSO DE AUDITORIA PARA TODAS OPERAÇÕES DO ITAÚ e REDECARD: SAC / COBRANÇA / TLV"/>
    <m/>
    <s v="Contax "/>
    <s v=" Outro"/>
    <x v="21"/>
    <s v="Marco Aurelio Brandao Duarte"/>
    <x v="2"/>
    <d v="2015-09-15T10:44:00"/>
    <m/>
    <n v="167.55277777777519"/>
    <x v="4"/>
    <x v="1"/>
  </r>
  <r>
    <s v="Requisição de Serviços"/>
    <s v="CTXRECSA-422212"/>
    <s v="CONTROLE DE ACESSO COM O PROTOCOLO 802.1x"/>
    <m/>
    <s v="Contax "/>
    <s v=" Outro"/>
    <x v="21"/>
    <s v="Marco Aurelio Brandao Duarte"/>
    <x v="2"/>
    <d v="2015-09-14T14:50:00"/>
    <m/>
    <n v="168.38194444444525"/>
    <x v="4"/>
    <x v="1"/>
  </r>
  <r>
    <s v="Requisição de Serviços"/>
    <s v="CTXRECSA-422165"/>
    <s v="Projeto - Projeto"/>
    <m/>
    <s v="Oi "/>
    <s v=" Oi Movél"/>
    <x v="29"/>
    <s v="MILANE LINS DA SILVA"/>
    <x v="4"/>
    <d v="2015-09-14T13:36:00"/>
    <m/>
    <n v="168.4333333333343"/>
    <x v="4"/>
    <x v="1"/>
  </r>
  <r>
    <s v="Requisição de Serviços"/>
    <s v="CTXRECSA-419831"/>
    <s v="Implantação do novo pacote de PRC (Blindagem) nas operações de cartões de crédito do Itaú que são atendidas pela Contax."/>
    <m/>
    <s v="Itaú "/>
    <s v=" Itaú Cartão"/>
    <x v="21"/>
    <s v="Marco Aurelio Brandao Duarte"/>
    <x v="5"/>
    <d v="2015-09-04T16:13:00"/>
    <m/>
    <n v="178.32430555555766"/>
    <x v="4"/>
    <x v="1"/>
  </r>
  <r>
    <s v="Requisição de Serviços"/>
    <s v="CTXRECSA-419337"/>
    <s v="TROCA DO WIN7 - a criação da estrutura do tsupervisor, o SMPA não funciona com Win 7."/>
    <m/>
    <s v="Contax "/>
    <s v=" Outro"/>
    <x v="21"/>
    <s v="Marco Aurelio Brandao Duarte"/>
    <x v="2"/>
    <d v="2015-09-03T09:25:00"/>
    <m/>
    <n v="179.60763888889051"/>
    <x v="4"/>
    <x v="1"/>
  </r>
  <r>
    <s v="Requisição de Serviços"/>
    <s v="CTXRECSA-414952"/>
    <s v="Implantação ferramenta RTI - CAC Itaú"/>
    <m/>
    <s v="Itaú "/>
    <s v=" CAC Não Correntista"/>
    <x v="21"/>
    <s v="Luciana da Silva Cardoso"/>
    <x v="6"/>
    <d v="2015-08-20T12:44:00"/>
    <m/>
    <n v="193.46944444444671"/>
    <x v="10"/>
    <x v="1"/>
  </r>
  <r>
    <s v="Requisição de Serviços"/>
    <s v="CTXRECSA-413131"/>
    <s v="Projeto - Projeto"/>
    <m/>
    <s v="Oi "/>
    <s v=" Oi Movél"/>
    <x v="4"/>
    <s v="Anthonny Stallone Santos de Souza"/>
    <x v="4"/>
    <d v="2015-08-14T20:08:00"/>
    <m/>
    <n v="199.1611111111124"/>
    <x v="10"/>
    <x v="1"/>
  </r>
  <r>
    <s v="Requisição de Serviços"/>
    <s v="CTXRECSA-410282"/>
    <s v="Projeto - Projeto - Instalação WEDO SAC pós e OCT"/>
    <m/>
    <s v="Oi "/>
    <s v=" SAC"/>
    <x v="41"/>
    <s v="Anderson Luiz Gon�alves de Alcantara"/>
    <x v="1"/>
    <d v="2015-08-06T18:19:00"/>
    <d v="2016-01-14T14:57:00"/>
    <n v="160.85972222222335"/>
    <x v="10"/>
    <x v="1"/>
  </r>
  <r>
    <s v="Requisição de Serviços"/>
    <s v="CTXRECSA-410083"/>
    <s v="BASELINE ITAÚ (APLICAR TODAS AS OPERAÇÕES)"/>
    <m/>
    <s v="Itaú "/>
    <s v=" Itaú Nacional"/>
    <x v="31"/>
    <s v="Marco Aurelio Brandao Duarte"/>
    <x v="3"/>
    <d v="2015-08-06T10:47:00"/>
    <d v="2015-10-22T15:35:00"/>
    <n v="77.19999999999709"/>
    <x v="10"/>
    <x v="1"/>
  </r>
  <r>
    <s v="Requisição de Serviços"/>
    <s v="CTXRECSA-407387"/>
    <s v="Projeto - Projeto"/>
    <m/>
    <s v="Oi "/>
    <s v=" Oi Movél"/>
    <x v="4"/>
    <s v="Anthonny Stallone Santos de Souza"/>
    <x v="4"/>
    <d v="2015-07-29T19:22:00"/>
    <m/>
    <n v="215.19305555555911"/>
    <x v="5"/>
    <x v="1"/>
  </r>
  <r>
    <s v="Requisição de Serviços"/>
    <s v="CTXRECSA-407337"/>
    <s v="Projeto - Projeto"/>
    <m/>
    <s v="Oi "/>
    <s v=" Oi Movél"/>
    <x v="4"/>
    <s v="Anthonny Stallone Santos de Souza"/>
    <x v="0"/>
    <d v="2015-07-29T15:48:00"/>
    <m/>
    <n v="215.34166666666715"/>
    <x v="5"/>
    <x v="1"/>
  </r>
  <r>
    <s v="Requisição de Serviços"/>
    <s v="CTXRECSA-403870"/>
    <s v="Projeto - Disponibilizar Gravação NICE na Operação SOC GFE PE/RJ e SOC OffLines"/>
    <m/>
    <s v="Contax "/>
    <s v=" Dir. Oi"/>
    <x v="23"/>
    <s v="Edison Nei Siqueira"/>
    <x v="5"/>
    <d v="2015-07-14T18:32:00"/>
    <m/>
    <n v="230.2277777777781"/>
    <x v="5"/>
    <x v="1"/>
  </r>
  <r>
    <s v="Requisição de Serviços"/>
    <s v="CTXRECSA-402181"/>
    <s v="Projeto - Projeto"/>
    <m/>
    <s v="Oi "/>
    <s v=" Oi Movél"/>
    <x v="43"/>
    <s v="Anthonny Stallone Santos de Souza"/>
    <x v="1"/>
    <d v="2015-07-08T10:52:00"/>
    <d v="2016-01-28T11:56:00"/>
    <n v="204.0444444444438"/>
    <x v="5"/>
    <x v="1"/>
  </r>
  <r>
    <s v="Requisição de Serviços"/>
    <s v="CTXRECSA-401969"/>
    <s v="Contax - Liberação de Firewall - Novos Servidores NICE - PE"/>
    <m/>
    <s v="Itaú "/>
    <s v=" Venda de Cartões"/>
    <x v="22"/>
    <s v="Marco Aurelio Brandao Duarte"/>
    <x v="0"/>
    <d v="2015-07-07T16:31:00"/>
    <m/>
    <n v="237.31180555555329"/>
    <x v="5"/>
    <x v="1"/>
  </r>
  <r>
    <s v="Requisição de Serviços"/>
    <s v="CTXRECSA-391509"/>
    <s v="Liberação do portal Credibilidade na operação Bradesco Financiamento em PE"/>
    <m/>
    <s v="Bradesco "/>
    <s v=" Bradesco Oferta de Crédito"/>
    <x v="22"/>
    <s v="Luciana da Silva Cardoso"/>
    <x v="2"/>
    <d v="2015-05-28T18:57:00"/>
    <m/>
    <n v="277.21041666666861"/>
    <x v="7"/>
    <x v="1"/>
  </r>
  <r>
    <s v="Requisição de Serviços"/>
    <s v="CTXRECSA-382919"/>
    <s v="Projeto - Projeto"/>
    <m/>
    <s v="Contax "/>
    <s v=" Ger Jurídico Contencioso e Consultivo"/>
    <x v="44"/>
    <s v="LIGIA MARIA DE ALMEIDA ALVES"/>
    <x v="1"/>
    <d v="2015-04-27T10:37:00"/>
    <d v="2016-01-15T16:20:00"/>
    <n v="263.23819444444234"/>
    <x v="8"/>
    <x v="1"/>
  </r>
  <r>
    <s v="Requisição de Serviços"/>
    <s v="CTXRECSA-371873"/>
    <s v="Troca do sistema WinXP para Win7 em todas as operações do Itaú nos estados de PE"/>
    <m/>
    <s v="Itaú "/>
    <s v=" Itaú Cartão"/>
    <x v="21"/>
    <s v="Marco Aurelio Brandao Duarte"/>
    <x v="2"/>
    <d v="2015-03-18T17:40:00"/>
    <m/>
    <n v="348.26388888889051"/>
    <x v="11"/>
    <x v="1"/>
  </r>
  <r>
    <s v="Requisição de Serviços"/>
    <s v="CTXRECSA-358319"/>
    <s v="Projeto - Projeto"/>
    <m/>
    <s v="Oi "/>
    <s v=" Oi Movél"/>
    <x v="4"/>
    <s v="Anthonny Stallone Santos de Souza"/>
    <x v="2"/>
    <d v="2015-02-02T15:00:00"/>
    <m/>
    <n v="392.375"/>
    <x v="9"/>
    <x v="1"/>
  </r>
  <r>
    <s v="Requisição de Serviços"/>
    <s v="CTXRECSA-338313"/>
    <s v="Projeto - Projeto"/>
    <m/>
    <s v="Santander "/>
    <s v=" Cartões"/>
    <x v="0"/>
    <s v="Joice Pereira De Souza"/>
    <x v="4"/>
    <d v="2014-11-13T10:45:00"/>
    <m/>
    <n v="473.55208333333576"/>
    <x v="2"/>
    <x v="2"/>
  </r>
  <r>
    <s v="Requisição de Serviços"/>
    <s v="CTXRECAU-63167"/>
    <s v="Projeto - Migração POP 3 - Operação Itaú 2.0 Site Origem Conquista vs. Destino Aurora"/>
    <m/>
    <s v="Contax "/>
    <s v=" Outro"/>
    <x v="32"/>
    <s v="Mariana da Costa Mello"/>
    <x v="1"/>
    <d v="2015-11-24T14:27:00"/>
    <d v="2016-01-15T15:56:00"/>
    <n v="52.061805555560568"/>
    <x v="2"/>
    <x v="1"/>
  </r>
  <r>
    <s v="Requisição de Serviços"/>
    <s v="CTXRECAM-56450"/>
    <s v="Crescimento de 3 Posições do Mega Ilha"/>
    <m/>
    <s v="Citibank "/>
    <s v=" Televendas PIL"/>
    <x v="31"/>
    <s v="Marco Aurelio Brandao Duarte"/>
    <x v="1"/>
    <d v="2015-12-22T10:46:00"/>
    <d v="2015-12-22T11:45:00"/>
    <n v="4.0972222224809229E-2"/>
    <x v="1"/>
    <x v="1"/>
  </r>
  <r>
    <s v="Requisição de Serviços"/>
    <s v="CTXRECAM-56254"/>
    <s v="Migração POP 3 - Televendas Santander e Site Conquista X Site Santo Amaro"/>
    <m/>
    <s v="Santander "/>
    <s v=" Santander"/>
    <x v="45"/>
    <s v="Giovana Ferreira de Souza"/>
    <x v="1"/>
    <d v="2015-11-24T10:24:00"/>
    <d v="2016-01-15T15:56:00"/>
    <n v="52.230555555557657"/>
    <x v="2"/>
    <x v="1"/>
  </r>
  <r>
    <s v="Requisição de Serviços"/>
    <s v="CTXRECAM-55921"/>
    <s v="Projeto - Implantar o processo de auditoria Clientis em uma posição de antedimento da REDE"/>
    <m/>
    <s v="Contax "/>
    <s v=" Outro"/>
    <x v="32"/>
    <s v="Mariana da Costa Mello"/>
    <x v="1"/>
    <d v="2015-11-03T18:25:00"/>
    <d v="2016-01-18T09:13:00"/>
    <n v="75.616666666668607"/>
    <x v="2"/>
    <x v="1"/>
  </r>
  <r>
    <s v="Requisição de Serviços"/>
    <s v="CTXRECAM-55620"/>
    <s v="Projeto - Implantar o Portal Clientis na operação REDE"/>
    <m/>
    <s v="Contax "/>
    <s v=" Outro"/>
    <x v="32"/>
    <s v="Mariana da Costa Mello"/>
    <x v="1"/>
    <d v="2015-10-19T15:02:00"/>
    <d v="2016-01-18T09:13:00"/>
    <n v="90.757638888891961"/>
    <x v="3"/>
    <x v="1"/>
  </r>
  <r>
    <s v="Requisição de Serviços"/>
    <s v="CTXRECAM-55516"/>
    <s v="Aplicações de Hardenings : (Baseline Itaú)"/>
    <m/>
    <s v="Contax "/>
    <s v=" Outro"/>
    <x v="31"/>
    <s v="Marco Aurelio Brandao Duarte"/>
    <x v="1"/>
    <d v="2015-10-14T17:39:00"/>
    <d v="2016-01-18T09:10:00"/>
    <n v="95.646527777775191"/>
    <x v="3"/>
    <x v="1"/>
  </r>
  <r>
    <s v="Requisição de Serviços"/>
    <s v="CTXRECAM-55511"/>
    <s v="AUDITORIA REMOTA: (Coleta de Dados Automatizada)"/>
    <m/>
    <s v="Contax "/>
    <s v=" Outro"/>
    <x v="31"/>
    <s v="Marco Aurelio Brandao Duarte"/>
    <x v="1"/>
    <d v="2015-10-14T15:10:00"/>
    <d v="2016-01-18T09:11:00"/>
    <n v="95.750694444446708"/>
    <x v="3"/>
    <x v="1"/>
  </r>
  <r>
    <s v="Requisição de Serviços"/>
    <s v="CTXRECAM-55397"/>
    <s v="Projeto - Projeto"/>
    <m/>
    <s v="Oi "/>
    <s v=" Oi SAC"/>
    <x v="46"/>
    <s v="Fernanda Nazario Menezes"/>
    <x v="1"/>
    <d v="2015-10-06T15:46:00"/>
    <d v="2016-01-14T14:53:00"/>
    <n v="99.963194444440887"/>
    <x v="3"/>
    <x v="1"/>
  </r>
  <r>
    <s v="Requisição de Serviços"/>
    <s v="CTXRECAM-55054"/>
    <s v="Troca do sistema WinXP para Win7 em todas as operações do Itaú nos estados de PE"/>
    <m/>
    <s v="Contax "/>
    <s v=" Outro"/>
    <x v="31"/>
    <s v="Marco Aurelio Brandao Duarte"/>
    <x v="1"/>
    <d v="2015-09-17T17:08:00"/>
    <d v="2016-01-18T09:12:00"/>
    <n v="122.6694444444438"/>
    <x v="4"/>
    <x v="1"/>
  </r>
  <r>
    <s v="Requisição de Serviços"/>
    <s v="CTXRECAM-55052"/>
    <s v="BASELINE: IMPLANTAÇÃO DO PROCESSO DE AUDITORIA PARA TODAS OPERAÇÕES DO ITAÚ e REDECARD: SAC / COBRANÇA / TLV"/>
    <m/>
    <s v="Contax "/>
    <s v=" Outro"/>
    <x v="31"/>
    <s v="Marco Aurelio Brandao Duarte"/>
    <x v="1"/>
    <d v="2015-09-17T16:51:00"/>
    <d v="2016-01-18T09:12:00"/>
    <n v="122.68125000000146"/>
    <x v="4"/>
    <x v="1"/>
  </r>
  <r>
    <s v="Requisição de Serviços"/>
    <s v="CTXRECAM-54297"/>
    <s v="TLS: Protocolo de criptografia TLS 1.2"/>
    <m/>
    <s v="Contax "/>
    <s v=" Outro"/>
    <x v="31"/>
    <s v="Marco Aurelio Brandao Duarte"/>
    <x v="1"/>
    <d v="2015-08-07T14:26:00"/>
    <d v="2016-01-18T09:14:00"/>
    <n v="163.78333333333285"/>
    <x v="10"/>
    <x v="1"/>
  </r>
  <r>
    <s v="Requisição de Serviços"/>
    <s v="CTXRECAM-51761"/>
    <s v="BASELINE - ITAU TELEVENDAS"/>
    <m/>
    <s v="Itaú "/>
    <s v=" Venda de Cartões"/>
    <x v="31"/>
    <s v="Marco Aurelio Brandao Duarte"/>
    <x v="1"/>
    <d v="2015-05-13T14:20:00"/>
    <d v="2016-01-18T09:12:00"/>
    <n v="249.7861111111124"/>
    <x v="7"/>
    <x v="1"/>
  </r>
  <r>
    <s v="Requisição de Serviços"/>
    <s v="CTXRBRSA-28"/>
    <s v="Projeto - Projeto"/>
    <m/>
    <s v="Contax "/>
    <s v=" Ger Implantação"/>
    <x v="47"/>
    <s v="THIAGO ALVES FELIPPE"/>
    <x v="0"/>
    <d v="2015-08-10T14:59:00"/>
    <m/>
    <n v="203.37569444444671"/>
    <x v="10"/>
    <x v="1"/>
  </r>
  <r>
    <s v="Requisição de Serviços"/>
    <s v="CTXPOARB-102110"/>
    <s v="Projeto - Implantação de licenças COTI - Monitoramento do NET SMS"/>
    <m/>
    <s v="Contax "/>
    <s v=" Dir. Clientes Premium"/>
    <x v="40"/>
    <s v="Juliano Molina"/>
    <x v="3"/>
    <d v="2016-02-12T09:37:00"/>
    <d v="2016-02-17T18:42:00"/>
    <n v="5.3784722222262644"/>
    <x v="9"/>
    <x v="0"/>
  </r>
  <r>
    <s v="Requisição de Serviços"/>
    <s v="CTXPOARB-101511"/>
    <s v="Projeto - Migração da operação Souza Cruz - Mesmo site"/>
    <m/>
    <s v="Contax "/>
    <s v=" Dir. Clientes Premium"/>
    <x v="0"/>
    <s v="Juliano Molina"/>
    <x v="0"/>
    <d v="2016-02-03T10:29:00"/>
    <m/>
    <n v="26.563194444446708"/>
    <x v="9"/>
    <x v="0"/>
  </r>
  <r>
    <s v="Requisição de Serviços"/>
    <s v="CTXPOARB-101274"/>
    <s v="Projeto - Crescimento da Operação Souza Cruz"/>
    <m/>
    <s v="Contax "/>
    <s v=" Dir. Clientes Premium"/>
    <x v="0"/>
    <s v="Juliano Molina"/>
    <x v="0"/>
    <d v="2016-01-29T16:35:00"/>
    <m/>
    <n v="31.309027777781012"/>
    <x v="0"/>
    <x v="0"/>
  </r>
  <r>
    <s v="Requisição de Serviços"/>
    <s v="CTXPOARB-101179"/>
    <s v="Projeto - Implantar acionamento de pausas pelo supervisor - tSupervisor"/>
    <m/>
    <s v="Souza Cruz "/>
    <s v=" Souza Cruz"/>
    <x v="0"/>
    <s v="Juliano Molina"/>
    <x v="0"/>
    <d v="2016-01-28T10:13:00"/>
    <m/>
    <n v="32.574305555557657"/>
    <x v="0"/>
    <x v="0"/>
  </r>
  <r>
    <s v="Requisição de Serviços"/>
    <s v="CTXPOARB-100112"/>
    <s v="Projeto - Automatizar processo de cargas de mailing na Operação Souza Cruz"/>
    <m/>
    <s v="Souza Cruz "/>
    <s v=" Souza Cruz"/>
    <x v="0"/>
    <s v="Juliano Molina"/>
    <x v="0"/>
    <d v="2016-01-12T14:19:00"/>
    <m/>
    <n v="48.403472222220444"/>
    <x v="0"/>
    <x v="0"/>
  </r>
  <r>
    <s v="Requisição de Serviços"/>
    <s v="CTXPOARB-94333"/>
    <s v="Projeto - Adequação do RTI NET para uso com o Internet Explorer 10"/>
    <m/>
    <s v="Contax "/>
    <s v=" Dir. Clientes Premium"/>
    <x v="40"/>
    <s v="Juliano Molina"/>
    <x v="1"/>
    <d v="2015-09-29T09:45:00"/>
    <d v="2016-01-21T17:15:00"/>
    <n v="114.3125"/>
    <x v="4"/>
    <x v="1"/>
  </r>
  <r>
    <s v="Requisição de Serviços"/>
    <s v="CTXPOARB-93327"/>
    <s v="Projeto - Implantar o link de dados e voz da Operação Souza Cruz"/>
    <m/>
    <s v="Souza Cruz "/>
    <s v=" Souza Cruz"/>
    <x v="22"/>
    <s v="Juliano Molina"/>
    <x v="5"/>
    <d v="2015-09-03T15:41:00"/>
    <m/>
    <n v="179.34652777777956"/>
    <x v="4"/>
    <x v="1"/>
  </r>
  <r>
    <s v="Requisição de Serviços"/>
    <s v="CTXPOARB-92840"/>
    <s v="Projeto - Projeto Implantar servidor para Ferramenta Evalyze"/>
    <m/>
    <s v="Contax "/>
    <s v=" Dir. Clientes Premium"/>
    <x v="40"/>
    <s v="Juliano Molina"/>
    <x v="1"/>
    <d v="2015-08-24T10:05:00"/>
    <d v="2016-01-13T15:40:00"/>
    <n v="142.23263888889051"/>
    <x v="10"/>
    <x v="1"/>
  </r>
  <r>
    <s v="Requisição de Serviços"/>
    <s v="CTXPOARB-91371"/>
    <s v="Projeto - Implantar um novo tronco entre Almaviva Aracaju X Contax com 60 canais"/>
    <m/>
    <s v="Contax "/>
    <s v=" Dir. Clientes Premium"/>
    <x v="40"/>
    <s v="Juliano Molina"/>
    <x v="1"/>
    <d v="2015-07-21T15:20:00"/>
    <d v="2016-01-08T16:46:00"/>
    <n v="171.05972222222044"/>
    <x v="5"/>
    <x v="1"/>
  </r>
  <r>
    <s v="Requisição de Serviços"/>
    <s v="CTXPOARB-91289"/>
    <s v="Projeto - Ampliar 90 portas de URA do atendimento RJO (Tronco Chave 051 3455-1300)"/>
    <m/>
    <s v="Contax "/>
    <s v=" Dir. Clientes Premium"/>
    <x v="40"/>
    <s v="Juliano Molina"/>
    <x v="1"/>
    <d v="2015-07-20T10:20:00"/>
    <d v="2016-01-08T11:48:00"/>
    <n v="172.06111111111386"/>
    <x v="5"/>
    <x v="1"/>
  </r>
  <r>
    <s v="Requisição de Serviços"/>
    <s v="CTXPOARB-90275"/>
    <s v="Adequação versão 1117022 RTI NET - de SIGMA para NOVOSIGMA"/>
    <m/>
    <s v="Net "/>
    <s v=" Outras Ocorrências"/>
    <x v="24"/>
    <s v="Flavio Reto"/>
    <x v="1"/>
    <d v="2015-06-26T19:57:00"/>
    <d v="2015-12-15T11:40:00"/>
    <n v="171.65486111110658"/>
    <x v="6"/>
    <x v="1"/>
  </r>
  <r>
    <s v="Requisição de Serviços"/>
    <s v="CTXPOARB-90126"/>
    <s v="RTI NET - Alteração na mensagem do Pop Up"/>
    <m/>
    <s v="Net "/>
    <s v=" Outras Ocorrências"/>
    <x v="22"/>
    <s v="Flavio Reto"/>
    <x v="0"/>
    <d v="2015-06-23T20:00:00"/>
    <m/>
    <n v="251.16666666666424"/>
    <x v="6"/>
    <x v="1"/>
  </r>
  <r>
    <s v="Requisição de Serviços"/>
    <s v="CTXPOARB-90125"/>
    <s v="RTI NET- Desabilitado por Opção"/>
    <m/>
    <s v="Net "/>
    <s v=" Outras Ocorrências"/>
    <x v="22"/>
    <s v="Flavio Reto"/>
    <x v="0"/>
    <d v="2015-06-23T19:46:00"/>
    <m/>
    <n v="251.17638888888905"/>
    <x v="6"/>
    <x v="1"/>
  </r>
  <r>
    <s v="Requisição de Serviços"/>
    <s v="CTXPOARB-87226"/>
    <s v="Projeto - Substituição de servidor - MIS operação NET"/>
    <m/>
    <s v="Contax "/>
    <s v=" Dir. Clientes Premium"/>
    <x v="48"/>
    <s v="Juliano Molina"/>
    <x v="2"/>
    <d v="2015-04-23T15:55:00"/>
    <m/>
    <n v="312.33680555555475"/>
    <x v="8"/>
    <x v="1"/>
  </r>
  <r>
    <s v="Requisição de Serviços"/>
    <s v="CTXPOARB-85985"/>
    <s v="Projeto - RTI - Auxílio no atendimento de Busca Pagamentos"/>
    <m/>
    <s v="Net "/>
    <s v=" Outras Ocorrências"/>
    <x v="24"/>
    <s v="Flavio Reto"/>
    <x v="1"/>
    <d v="2015-03-27T17:20:00"/>
    <d v="2015-12-15T12:53:00"/>
    <n v="262.81458333334012"/>
    <x v="11"/>
    <x v="1"/>
  </r>
  <r>
    <s v="Requisição de Serviços"/>
    <s v="CTXPOARB-85984"/>
    <s v="Projeto RTI - Registro da Ocorrência de Callback"/>
    <m/>
    <s v="Net "/>
    <s v=" Outras Ocorrências"/>
    <x v="21"/>
    <s v="Flavio Reto"/>
    <x v="2"/>
    <d v="2015-03-27T17:16:00"/>
    <m/>
    <n v="339.28055555555329"/>
    <x v="11"/>
    <x v="1"/>
  </r>
  <r>
    <s v="Requisição de Serviços"/>
    <s v="CTXNITSP-178545"/>
    <s v="Projeto - TLV - BO NBA"/>
    <m/>
    <s v="Contax "/>
    <s v=" Dir. Oi"/>
    <x v="0"/>
    <s v="Rodrigo Ribeiro de Araujo"/>
    <x v="0"/>
    <d v="2016-02-18T13:33:00"/>
    <m/>
    <n v="11.435416666667152"/>
    <x v="9"/>
    <x v="0"/>
  </r>
  <r>
    <s v="Requisição de Serviços"/>
    <s v="CTXNITSP-178541"/>
    <s v="Projeto - TLV - BO DADOS"/>
    <m/>
    <s v="Contax "/>
    <s v=" Dir. Oi"/>
    <x v="0"/>
    <s v="Rodrigo Ribeiro de Araujo"/>
    <x v="0"/>
    <d v="2016-02-18T12:58:00"/>
    <m/>
    <n v="11.459722222221899"/>
    <x v="9"/>
    <x v="0"/>
  </r>
  <r>
    <s v="Requisição de Serviços"/>
    <s v="CTXNITSP-178375"/>
    <s v="Projeto - Automação: Cancelamento / Liberação de OS"/>
    <m/>
    <s v="Contax "/>
    <s v=" Dir. Oi"/>
    <x v="0"/>
    <s v="Leonardo Pellegrini Vieira"/>
    <x v="0"/>
    <d v="2016-02-16T13:20:00"/>
    <m/>
    <n v="13.444444444445253"/>
    <x v="9"/>
    <x v="0"/>
  </r>
  <r>
    <s v="Requisição de Serviços"/>
    <s v="CTXNITSP-178374"/>
    <s v="Projeto - Automação: Busca de contato"/>
    <m/>
    <s v="Contax "/>
    <s v=" Dir. Oi"/>
    <x v="0"/>
    <s v="Leonardo Pellegrini Vieira"/>
    <x v="0"/>
    <d v="2016-02-16T13:15:00"/>
    <m/>
    <n v="13.447916666664241"/>
    <x v="9"/>
    <x v="0"/>
  </r>
  <r>
    <s v="Requisição de Serviços"/>
    <s v="CTXNITSP-178373"/>
    <s v="Projeto - Automação: Pendenciar e Cancelar OS"/>
    <m/>
    <s v="Contax "/>
    <s v=" Dir. Oi"/>
    <x v="0"/>
    <s v="Leonardo Pellegrini Vieira"/>
    <x v="0"/>
    <d v="2016-02-16T13:04:00"/>
    <m/>
    <n v="13.455555555556202"/>
    <x v="9"/>
    <x v="0"/>
  </r>
  <r>
    <s v="Requisição de Serviços"/>
    <s v="CTXNITSP-178203"/>
    <s v="Projeto - Gravação das Chamadas do CRV com Telas"/>
    <m/>
    <s v="Contax "/>
    <s v=" Dir. Oi"/>
    <x v="0"/>
    <s v="Rodrigo Ribeiro de Araujo"/>
    <x v="0"/>
    <d v="2016-02-12T13:45:00"/>
    <m/>
    <n v="17.427083333335759"/>
    <x v="9"/>
    <x v="0"/>
  </r>
  <r>
    <s v="Requisição de Serviços"/>
    <s v="CTXNITSP-177717"/>
    <s v="Projeto - Favor criar plano de gravação para 24 posições do BO DADOS e BO NBA. Essa solução de gravação deve ser NICE e garantir integração com TLV."/>
    <m/>
    <s v="Contax "/>
    <s v=" Dir. Oi"/>
    <x v="0"/>
    <s v="Rodrigo Ribeiro de Araujo"/>
    <x v="0"/>
    <d v="2016-02-02T16:30:00"/>
    <m/>
    <n v="27.3125"/>
    <x v="9"/>
    <x v="0"/>
  </r>
  <r>
    <s v="Requisição de Serviços"/>
    <s v="CTXNITSP-177716"/>
    <s v="Projeto - Criar 0800 para atender ao volume de chamadas classifficadas como pendência Fixo e Velox."/>
    <m/>
    <s v="Contax "/>
    <s v=" Dir. Oi"/>
    <x v="0"/>
    <s v="Rodrigo Ribeiro de Araujo"/>
    <x v="0"/>
    <d v="2016-02-02T15:56:00"/>
    <m/>
    <n v="27.336111111108039"/>
    <x v="9"/>
    <x v="0"/>
  </r>
  <r>
    <s v="Requisição de Serviços"/>
    <s v="CTXNITSP-177715"/>
    <s v="Projeto - Criar 0800 para atender ao volume de chamados classifficadas como pendência Fixo e Velox."/>
    <m/>
    <s v="Contax "/>
    <s v=" Dir. Oi"/>
    <x v="0"/>
    <s v="Rodrigo Ribeiro de Araujo"/>
    <x v="0"/>
    <d v="2016-02-02T15:54:00"/>
    <m/>
    <n v="27.337500000001455"/>
    <x v="9"/>
    <x v="0"/>
  </r>
  <r>
    <s v="Requisição de Serviços"/>
    <s v="CTXNITSP-177581"/>
    <s v="Tetris Niterói - Operação Suporte Unificado"/>
    <m/>
    <s v="Contax "/>
    <s v=" Ger Produtos SAC"/>
    <x v="0"/>
    <s v="Alexsander Alves Santos"/>
    <x v="0"/>
    <d v="2016-02-01T14:14:00"/>
    <m/>
    <n v="28.406944444446708"/>
    <x v="9"/>
    <x v="0"/>
  </r>
  <r>
    <s v="Requisição de Serviços"/>
    <s v="CTXNITSP-177338"/>
    <s v="POP 4 - Otimização Site Niterói - Retenção Empresarial"/>
    <m/>
    <s v="Oi "/>
    <s v=" Retenção Empresarial"/>
    <x v="0"/>
    <s v="Tatiane Rodrigues Dallecrode"/>
    <x v="0"/>
    <d v="2016-01-28T11:08:00"/>
    <m/>
    <n v="32.536111111112405"/>
    <x v="0"/>
    <x v="0"/>
  </r>
  <r>
    <s v="Requisição de Serviços"/>
    <s v="CTXNITSP-177305"/>
    <s v="Baixa Diária Clientes R2"/>
    <m/>
    <s v="Oi "/>
    <s v=" Retenção Empresarial"/>
    <x v="29"/>
    <s v="Tatiane Rodrigues Dallecrode"/>
    <x v="0"/>
    <d v="2016-01-27T17:10:00"/>
    <m/>
    <n v="33.284722222218988"/>
    <x v="0"/>
    <x v="0"/>
  </r>
  <r>
    <s v="Requisição de Serviços"/>
    <s v="CTXNITSP-177143"/>
    <s v="Projeto - Tetris Niterói Fase 9"/>
    <m/>
    <s v="Contax "/>
    <s v=" Dir. Oi"/>
    <x v="0"/>
    <s v="Rodrigo Ribeiro de Araujo"/>
    <x v="0"/>
    <d v="2016-01-25T15:59:00"/>
    <m/>
    <n v="35.334027777775191"/>
    <x v="0"/>
    <x v="0"/>
  </r>
  <r>
    <s v="Requisição de Serviços"/>
    <s v="CTXNITSP-177142"/>
    <s v="Projeto - &quot;Por favor, usuário, utilizar este campo para informar o nome do Projeto&quot;"/>
    <m/>
    <s v="Contax "/>
    <s v=" Dir. Oi"/>
    <x v="0"/>
    <s v="Rodrigo Ribeiro de Araujo"/>
    <x v="0"/>
    <d v="2016-01-25T15:56:00"/>
    <m/>
    <n v="35.336111111108039"/>
    <x v="0"/>
    <x v="0"/>
  </r>
  <r>
    <s v="Requisição de Serviços"/>
    <s v="CTXNITSP-176576"/>
    <s v="Projeto - &quot;Tetris Niteroi Fase 8&quot;"/>
    <m/>
    <s v="Contax "/>
    <s v=" Dir. Oi"/>
    <x v="0"/>
    <s v="Jill Ullmann Ortiz"/>
    <x v="0"/>
    <d v="2016-01-15T18:47:00"/>
    <m/>
    <n v="45.21736111111386"/>
    <x v="0"/>
    <x v="0"/>
  </r>
  <r>
    <s v="Requisição de Serviços"/>
    <s v="CTXNITSP-176570"/>
    <s v="Projeto - &quot;Tetris Niterói fase 4&quot;"/>
    <m/>
    <s v="Contax "/>
    <s v=" Dir. Oi"/>
    <x v="0"/>
    <s v="Jill Ullmann Ortiz"/>
    <x v="0"/>
    <d v="2016-01-15T17:24:00"/>
    <m/>
    <n v="45.275000000001455"/>
    <x v="0"/>
    <x v="0"/>
  </r>
  <r>
    <s v="Requisição de Serviços"/>
    <s v="CTXNITSP-176458"/>
    <s v="Projeto - &quot;Tetris Niterói&quot;"/>
    <m/>
    <s v="Contax "/>
    <s v=" Dir. Oi"/>
    <x v="0"/>
    <s v="Jill Ullmann Ortiz"/>
    <x v="0"/>
    <d v="2016-01-14T15:07:00"/>
    <m/>
    <n v="46.370138888887595"/>
    <x v="0"/>
    <x v="0"/>
  </r>
  <r>
    <s v="Requisição de Serviços"/>
    <s v="CTXNITSP-176231"/>
    <s v="Projeto - Front End para a operação BLITZ DA AUDITORIA DE VENDAS"/>
    <m/>
    <s v="Contax "/>
    <s v=" Dir. Oi"/>
    <x v="0"/>
    <s v="Leonardo Pellegrini Vieira"/>
    <x v="0"/>
    <d v="2016-01-12T18:42:00"/>
    <m/>
    <n v="48.220833333332848"/>
    <x v="0"/>
    <x v="0"/>
  </r>
  <r>
    <s v="Requisição de Serviços"/>
    <s v="CTXNITSP-176228"/>
    <s v="Projeto - NICE Operações Auditorias e BO's"/>
    <m/>
    <s v="Contax "/>
    <s v=" Dir. Oi"/>
    <x v="0"/>
    <s v="Leonardo Pellegrini Vieira"/>
    <x v="0"/>
    <d v="2016-01-12T18:25:00"/>
    <m/>
    <n v="48.232638888890506"/>
    <x v="0"/>
    <x v="0"/>
  </r>
  <r>
    <s v="Requisição de Serviços"/>
    <s v="CTXNITSP-176226"/>
    <s v="Projeto - &quot;Nice SAV Entrega&quot;"/>
    <m/>
    <s v="Contax "/>
    <s v=" Dir. Oi"/>
    <x v="0"/>
    <s v="Jill Ullmann Ortiz"/>
    <x v="0"/>
    <d v="2016-01-12T18:05:00"/>
    <m/>
    <n v="48.246527777781012"/>
    <x v="0"/>
    <x v="0"/>
  </r>
  <r>
    <s v="Requisição de Serviços"/>
    <s v="CTXNITSP-176224"/>
    <s v="Projeto - &quot;Discador 4011&quot;"/>
    <m/>
    <s v="Contax "/>
    <s v=" Dir. Oi"/>
    <x v="0"/>
    <s v="Jill Ullmann Ortiz"/>
    <x v="0"/>
    <d v="2016-01-12T17:38:00"/>
    <m/>
    <n v="48.265277777776646"/>
    <x v="0"/>
    <x v="0"/>
  </r>
  <r>
    <s v="Requisição de Serviços"/>
    <s v="CTXNITSP-176223"/>
    <s v="Projeto - &quot;Front End SAV Entrega&quot;"/>
    <m/>
    <s v="Contax "/>
    <s v=" Dir. Oi"/>
    <x v="0"/>
    <s v="Jill Ullmann Ortiz"/>
    <x v="0"/>
    <d v="2016-01-12T17:34:00"/>
    <m/>
    <n v="48.268055555556202"/>
    <x v="0"/>
    <x v="0"/>
  </r>
  <r>
    <s v="Requisição de Serviços"/>
    <s v="CTXNITSP-176042"/>
    <s v="Transferência da Equipe de Treinamento para o 12º andar - Niterói"/>
    <m/>
    <s v="Contax "/>
    <s v=" Ger Oper RH"/>
    <x v="1"/>
    <s v="Eduardo Lima de Souza"/>
    <x v="2"/>
    <d v="2016-01-11T10:46:00"/>
    <m/>
    <n v="49.551388888889051"/>
    <x v="0"/>
    <x v="0"/>
  </r>
  <r>
    <s v="Requisição de Serviços"/>
    <s v="CTXNITSP-175831"/>
    <s v="Projeto - Discador Automático (CRV Fixo, CRV Velox)"/>
    <m/>
    <s v="Contax "/>
    <s v=" Dir. Oi"/>
    <x v="0"/>
    <s v="Leonardo Pellegrini Vieira"/>
    <x v="0"/>
    <d v="2016-01-07T12:14:00"/>
    <m/>
    <n v="53.490277777775191"/>
    <x v="0"/>
    <x v="0"/>
  </r>
  <r>
    <s v="Requisição de Serviços"/>
    <s v="CTXNITSP-175152"/>
    <s v="TLV"/>
    <m/>
    <s v="Oi "/>
    <s v=" Dealer"/>
    <x v="1"/>
    <s v="Eloise pereira ciqueira gra�a"/>
    <x v="0"/>
    <d v="2015-12-21T14:14:00"/>
    <m/>
    <n v="70.406944444446708"/>
    <x v="1"/>
    <x v="1"/>
  </r>
  <r>
    <s v="Requisição de Serviços"/>
    <s v="CTXNITSP-173491"/>
    <s v="Projeto - Favor restruturar ambiente da sala de Macros MIS - MG, garantindo todas as exigências da Segurança da Informação Contax."/>
    <m/>
    <s v="Contax "/>
    <s v=" Dir. Oi"/>
    <x v="1"/>
    <s v="Rodrigo Ribeiro de Araujo"/>
    <x v="0"/>
    <d v="2015-11-24T12:25:00"/>
    <m/>
    <n v="97.482638888890506"/>
    <x v="2"/>
    <x v="1"/>
  </r>
  <r>
    <s v="Requisição de Serviços"/>
    <s v="CTXNITSP-172871"/>
    <s v="Implantação de TTW"/>
    <m/>
    <s v="Oi "/>
    <s v=" Retenção"/>
    <x v="1"/>
    <s v="Tatiane Rodrigues Dallecrode"/>
    <x v="0"/>
    <d v="2015-11-12T14:39:00"/>
    <m/>
    <n v="109.38958333332994"/>
    <x v="2"/>
    <x v="1"/>
  </r>
  <r>
    <s v="Requisição de Serviços"/>
    <s v="CTXNITSP-172870"/>
    <s v="Implantação de Front Fácil - Diretoria Retenção"/>
    <m/>
    <s v="Oi "/>
    <s v=" Retenção"/>
    <x v="1"/>
    <s v="Tatiane Rodrigues Dallecrode"/>
    <x v="0"/>
    <d v="2015-11-12T14:37:00"/>
    <m/>
    <n v="109.39097222222335"/>
    <x v="2"/>
    <x v="1"/>
  </r>
  <r>
    <s v="Requisição de Serviços"/>
    <s v="CTXNITSP-172869"/>
    <s v="Bloqueio de Pausas - TGuidance"/>
    <m/>
    <s v="Oi "/>
    <s v=" Retenção"/>
    <x v="49"/>
    <s v="Tatiane Rodrigues Dallecrode"/>
    <x v="1"/>
    <d v="2015-11-12T14:36:00"/>
    <d v="2016-01-06T07:48:00"/>
    <n v="54.716666666667152"/>
    <x v="2"/>
    <x v="1"/>
  </r>
  <r>
    <s v="Requisição de Serviços"/>
    <s v="CTXNITSP-172868"/>
    <s v="Implantação de RTI"/>
    <m/>
    <s v="Oi "/>
    <s v=" Retenção"/>
    <x v="1"/>
    <s v="Tatiane Rodrigues Dallecrode"/>
    <x v="0"/>
    <d v="2015-11-12T14:33:00"/>
    <m/>
    <n v="109.39375000000291"/>
    <x v="2"/>
    <x v="1"/>
  </r>
  <r>
    <s v="Requisição de Serviços"/>
    <s v="CTXNITSP-172614"/>
    <s v="Projeto - Projeto: Migração da URA do PAP (0800 033 1140 e 0800 642 1431) p/ ambiente NGR"/>
    <m/>
    <s v="Contax "/>
    <s v=" Dir. Oi"/>
    <x v="29"/>
    <s v="Leonardo Pellegrini Vieira"/>
    <x v="0"/>
    <d v="2015-11-09T18:25:00"/>
    <m/>
    <n v="112.23263888889051"/>
    <x v="2"/>
    <x v="1"/>
  </r>
  <r>
    <s v="Requisição de Serviços"/>
    <s v="CTXNITSP-172611"/>
    <s v="Projeto - Projeto cm"/>
    <m/>
    <s v="Oi "/>
    <s v=" Dealer"/>
    <x v="1"/>
    <s v="Anne Catharina de Oliveira Coutinho"/>
    <x v="0"/>
    <d v="2015-11-09T18:03:00"/>
    <m/>
    <n v="112.24791666666715"/>
    <x v="2"/>
    <x v="1"/>
  </r>
  <r>
    <s v="Requisição de Serviços"/>
    <s v="CTXNITSP-172566"/>
    <s v="Implantação do BO Strategy - Retenção Empresarial"/>
    <m/>
    <s v="Oi "/>
    <s v=" Retenção Empresarial"/>
    <x v="29"/>
    <s v="Tatiane Rodrigues Dallecrode"/>
    <x v="0"/>
    <d v="2015-11-09T10:53:00"/>
    <m/>
    <n v="112.54652777777665"/>
    <x v="2"/>
    <x v="1"/>
  </r>
  <r>
    <s v="Requisição de Serviços"/>
    <s v="CTXNITSP-172565"/>
    <s v="Alteração no Layout - Ativos"/>
    <m/>
    <s v="Oi "/>
    <s v=" Retenção Empresarial"/>
    <x v="49"/>
    <s v="Tatiane Rodrigues Dallecrode"/>
    <x v="1"/>
    <d v="2015-11-09T10:41:00"/>
    <d v="2016-01-12T11:08:00"/>
    <n v="64.018749999995634"/>
    <x v="2"/>
    <x v="1"/>
  </r>
  <r>
    <s v="Requisição de Serviços"/>
    <s v="CTXNITSP-172461"/>
    <s v="Implantar Célula BO DADOS&gt;&gt; 17 PA`S &gt;&gt;SIEBEL e Front(À Definir) SMS &gt;&gt; Site NIterói &gt;&gt; Funionamento de Segunda à Domingo"/>
    <m/>
    <s v="Contax "/>
    <s v=" Dir. Oi"/>
    <x v="23"/>
    <s v="Rodrigo Ribeiro de Araujo"/>
    <x v="0"/>
    <d v="2015-11-06T11:24:00"/>
    <m/>
    <n v="115.52500000000146"/>
    <x v="2"/>
    <x v="1"/>
  </r>
  <r>
    <s v="Requisição de Serviços"/>
    <s v="CTXNITSP-172449"/>
    <s v="Implantar célula BO NBA &gt;&gt; 7 PA´S &gt;&gt; STC SAC SIAC &gt;&gt; Front Específico e envio SMS &gt;&gt; Operação Convergente: Fixo, Velox -R1 e R2."/>
    <m/>
    <s v="Contax "/>
    <s v=" Dir. Oi"/>
    <x v="1"/>
    <s v="Rodrigo Ribeiro de Araujo"/>
    <x v="0"/>
    <d v="2015-11-06T10:46:00"/>
    <m/>
    <n v="115.55138888888905"/>
    <x v="2"/>
    <x v="1"/>
  </r>
  <r>
    <s v="Requisição de Serviços"/>
    <s v="CTXNITSP-170972"/>
    <s v="Projeto - &quot;Por favor, usuário, utilizar este campo para informar o nome do Projeto&quot;"/>
    <m/>
    <s v="Oi "/>
    <s v=" SAC"/>
    <x v="46"/>
    <s v="Fernanda Nazario Menezes"/>
    <x v="1"/>
    <d v="2015-10-15T17:50:00"/>
    <d v="2016-01-14T14:58:00"/>
    <n v="90.880555555559113"/>
    <x v="3"/>
    <x v="1"/>
  </r>
  <r>
    <s v="Requisição de Serviços"/>
    <s v="CTXNITSP-168713"/>
    <s v="Projeto - Projeto - Necessário a disponibilização/verificação da infra de voz para implantação de aplicação CMS/Avaya ou Softfone para operação BO Contratos para apuração do log das PA's. Criação de login de CMS/Avaya para os supervisores e ADM's para adm"/>
    <m/>
    <s v="Contax "/>
    <s v=" Dir. Oi"/>
    <x v="50"/>
    <s v="Rodrigo Ribeiro de Araujo"/>
    <x v="1"/>
    <d v="2015-09-15T13:27:00"/>
    <d v="2016-01-14T14:48:00"/>
    <n v="121.05625000000146"/>
    <x v="4"/>
    <x v="1"/>
  </r>
  <r>
    <s v="Requisição de Serviços"/>
    <s v="CTXNITSP-167961"/>
    <s v="Projeto - Projeto - Reconstrução da SALA MIS - Realizar alterações físicas, instalações necessárias e levantamentos."/>
    <m/>
    <s v="Contax "/>
    <s v=" Dir. Oi"/>
    <x v="1"/>
    <s v="Rodrigo Ribeiro de Araujo"/>
    <x v="5"/>
    <d v="2015-09-04T12:35:00"/>
    <m/>
    <n v="178.47569444444525"/>
    <x v="4"/>
    <x v="1"/>
  </r>
  <r>
    <s v="Requisição de Serviços"/>
    <s v="CTXNITSP-166786"/>
    <s v="Projeto - Projeto Criação Macro de Consulta no STC e SAC"/>
    <m/>
    <s v="Oi "/>
    <s v=" Outras Atividades"/>
    <x v="22"/>
    <s v="Josiane Pereira Bello"/>
    <x v="5"/>
    <d v="2015-08-18T12:22:00"/>
    <m/>
    <n v="195.48472222222335"/>
    <x v="10"/>
    <x v="1"/>
  </r>
  <r>
    <s v="Requisição de Serviços"/>
    <s v="CTXNITSP-165356"/>
    <s v="Projeto - Projeto - Disponibilizar um servidor de armazenamento de dados para a equipe de planejamento MIS Niterói, onde será possível, guardar grande volume de informações para agilizar e centralizar a busca e localização de informações com a finalidade"/>
    <m/>
    <s v="Contax "/>
    <s v=" Dir. Oi"/>
    <x v="50"/>
    <s v="Rodrigo Ribeiro de Araujo"/>
    <x v="1"/>
    <d v="2015-07-30T19:05:00"/>
    <d v="2016-01-14T14:49:00"/>
    <n v="167.82222222221753"/>
    <x v="5"/>
    <x v="1"/>
  </r>
  <r>
    <s v="Requisição de Serviços"/>
    <s v="CTXNITSP-164920"/>
    <s v="Projeto - Projeto - Favor liberar endereço: http://contax-ftp.cloudapp.net/MOToolsQual/Login.aspx e inserir o ícone no menu inciar com o nome: Evalyzer Front"/>
    <m/>
    <s v="Contax "/>
    <s v=" Dir. Oi"/>
    <x v="50"/>
    <s v="Rodrigo Ribeiro de Araujo"/>
    <x v="1"/>
    <d v="2015-07-24T11:11:00"/>
    <d v="2016-01-14T14:49:00"/>
    <n v="174.1513888888876"/>
    <x v="5"/>
    <x v="1"/>
  </r>
  <r>
    <s v="Requisição de Serviços"/>
    <s v="CTXNITSP-164460"/>
    <s v="Projeto - Projeto - URA Oi total"/>
    <m/>
    <s v="Contax "/>
    <s v=" Dir. Oi"/>
    <x v="22"/>
    <s v="Rodrigo Ribeiro de Araujo"/>
    <x v="5"/>
    <d v="2015-07-20T15:24:00"/>
    <m/>
    <n v="224.35833333332994"/>
    <x v="5"/>
    <x v="1"/>
  </r>
  <r>
    <s v="Requisição de Serviços"/>
    <s v="CTXNITSP-164357"/>
    <s v="Projeto - Projeto: Migração da URA Dealer (*803) p/ NGR"/>
    <m/>
    <s v="Contax "/>
    <s v=" Dir. Oi"/>
    <x v="29"/>
    <s v="Leonardo Pellegrini Vieira"/>
    <x v="2"/>
    <d v="2015-07-17T17:19:00"/>
    <m/>
    <n v="227.27847222222044"/>
    <x v="5"/>
    <x v="1"/>
  </r>
  <r>
    <s v="Requisição de Serviços"/>
    <s v="CTXNITSP-163520"/>
    <s v="Projeto - Projeto"/>
    <m/>
    <s v="Contax "/>
    <s v=" Ger Planejamento SAC"/>
    <x v="22"/>
    <s v="ine Goncalves Ramalho"/>
    <x v="0"/>
    <d v="2015-07-08T09:53:00"/>
    <m/>
    <n v="236.58819444444089"/>
    <x v="5"/>
    <x v="1"/>
  </r>
  <r>
    <s v="Requisição de Serviços"/>
    <s v="CTXNITSP-163395"/>
    <s v="Projeto - Projeto - Migrar atividade de input do mailing BOS, Auditoria Fixo e Pós, para MIS NIterói. PRGSOFT Anderson Marques."/>
    <m/>
    <s v="Contax "/>
    <s v=" Dir. Oi"/>
    <x v="50"/>
    <s v="Rodrigo Ribeiro de Araujo"/>
    <x v="1"/>
    <d v="2015-07-07T11:19:00"/>
    <d v="2016-01-14T14:50:00"/>
    <n v="191.14652777777519"/>
    <x v="5"/>
    <x v="1"/>
  </r>
  <r>
    <s v="Requisição de Serviços"/>
    <s v="CTXNITSP-162696"/>
    <s v="Projeto - Projeto - Favor precificar alteração/customização da ferramenta BOS Fixo. Essa projeto deve ser direcionado para PRG SOFT(Anderson Marques)."/>
    <m/>
    <s v="Contax "/>
    <s v=" Dir. Oi"/>
    <x v="50"/>
    <s v="Rodrigo Ribeiro de Araujo"/>
    <x v="1"/>
    <d v="2015-06-30T10:35:00"/>
    <d v="2016-01-14T14:51:00"/>
    <n v="198.17777777778247"/>
    <x v="6"/>
    <x v="1"/>
  </r>
  <r>
    <s v="Requisição de Serviços"/>
    <s v="CTXNITSP-161527"/>
    <s v="Projeto - Projeto - Complementar estrutura da 5ª onda Migração BH x NIT (Ativo Fixo)"/>
    <m/>
    <s v="Contax "/>
    <s v=" Dir. Oi"/>
    <x v="50"/>
    <s v="Rodrigo Ribeiro de Araujo"/>
    <x v="1"/>
    <d v="2015-06-15T17:43:00"/>
    <d v="2016-01-14T14:51:00"/>
    <n v="212.88055555555911"/>
    <x v="6"/>
    <x v="1"/>
  </r>
  <r>
    <s v="Requisição de Serviços"/>
    <s v="CTXNITSP-160928"/>
    <s v="Projeto - Projeto Implantar Discador Aspect + TLV 5.0 no CRV Oi TV"/>
    <m/>
    <s v="Oi "/>
    <s v=" Outras Atividades"/>
    <x v="4"/>
    <s v="Josiane Pereira Bello"/>
    <x v="2"/>
    <d v="2015-06-09T10:48:00"/>
    <m/>
    <n v="265.55000000000291"/>
    <x v="6"/>
    <x v="1"/>
  </r>
  <r>
    <s v="Requisição de Serviços"/>
    <s v="CTXNITSP-154454"/>
    <s v="Projeto - Tratamento de Contestação de 0800 e DDR via Planilha de Minutagem"/>
    <m/>
    <s v="Oi "/>
    <s v=" Back Office"/>
    <x v="51"/>
    <s v="Alexsander Alves Santos"/>
    <x v="1"/>
    <d v="2015-04-01T15:18:00"/>
    <d v="2016-01-14T14:53:00"/>
    <n v="287.98263888889051"/>
    <x v="8"/>
    <x v="1"/>
  </r>
  <r>
    <s v="Requisição de Serviços"/>
    <s v="CTXNITSP-153179"/>
    <s v="Projeto - Projeto - Criar um versão da ferramenta BOS, para atender a célula de Auditoria CPF Duplicado."/>
    <m/>
    <s v="Contax "/>
    <s v=" Dir. Oi"/>
    <x v="50"/>
    <s v="Rodrigo Ribeiro de Araujo"/>
    <x v="1"/>
    <d v="2015-03-19T12:11:00"/>
    <d v="2016-01-14T14:51:00"/>
    <n v="301.11111111110949"/>
    <x v="11"/>
    <x v="1"/>
  </r>
  <r>
    <s v="Requisição de Serviços"/>
    <s v="CTXMTZRP-43918"/>
    <s v="Projeto - Projeto - TReport"/>
    <m/>
    <s v="Oi "/>
    <s v=" SAC"/>
    <x v="22"/>
    <s v="Luiz Matheus Aragao do Nascimento"/>
    <x v="6"/>
    <d v="2015-08-25T11:54:00"/>
    <m/>
    <n v="188.5041666666657"/>
    <x v="10"/>
    <x v="1"/>
  </r>
  <r>
    <s v="Requisição de Serviços"/>
    <s v="CTXMTZRP-43581"/>
    <s v="Plano de Recuperação - Projeto Rentabilização BO Anatel Automações (RTIs) - Serviço proteção ao crédito"/>
    <m/>
    <s v="Oi "/>
    <s v=" BO ANATEL"/>
    <x v="21"/>
    <s v="Luciana Mattos Andrade"/>
    <x v="5"/>
    <d v="2015-08-11T18:03:00"/>
    <m/>
    <n v="202.24791666666715"/>
    <x v="10"/>
    <x v="1"/>
  </r>
  <r>
    <s v="Requisição de Serviços"/>
    <s v="CTXMTZRP-43580"/>
    <s v="Plano de Recuperação - Projeto Rentabilização BO Anatel Automações (RTIs) - Planejamento TUP"/>
    <m/>
    <s v="Oi "/>
    <s v=" BO ANATEL"/>
    <x v="52"/>
    <s v="Luciana Mattos Andrade"/>
    <x v="1"/>
    <d v="2015-08-11T18:01:00"/>
    <d v="2016-01-26T14:48:00"/>
    <n v="167.8659722222219"/>
    <x v="10"/>
    <x v="1"/>
  </r>
  <r>
    <s v="Requisição de Serviços"/>
    <s v="CTXMTZRP-43579"/>
    <s v="Plano de Recuperação - Projeto Rentabilização BO Anatel Automações (RTIs) - Não recebimento de gravações de atendimento."/>
    <m/>
    <s v="Oi "/>
    <s v=" BO ANATEL"/>
    <x v="21"/>
    <s v="Luciana Mattos Andrade"/>
    <x v="5"/>
    <d v="2015-08-11T18:00:00"/>
    <m/>
    <n v="202.25"/>
    <x v="10"/>
    <x v="1"/>
  </r>
  <r>
    <s v="Requisição de Serviços"/>
    <s v="CTXMTZRP-43575"/>
    <s v="2- Plano de Recuperação - Projeto Rentabilização BO Anatel Automações (RTIs) - Direcionamento Automático para Área Potes Não Agendáveis"/>
    <m/>
    <s v="Oi "/>
    <s v=" BO ANATEL"/>
    <x v="21"/>
    <s v="Luciana Mattos Andrade"/>
    <x v="5"/>
    <d v="2015-08-11T17:55:00"/>
    <m/>
    <n v="202.25347222221899"/>
    <x v="10"/>
    <x v="1"/>
  </r>
  <r>
    <s v="Requisição de Serviços"/>
    <s v="CTXMTZRP-43574"/>
    <s v="1- Plano de Recuperação - Projeto Rentabilização BO Anatel Automações (RTIs) - Direcionamento Automático para Área Sem SLOT"/>
    <m/>
    <s v="Oi "/>
    <s v=" BO ANATEL"/>
    <x v="21"/>
    <s v="Luciana Mattos Andrade"/>
    <x v="5"/>
    <d v="2015-08-11T17:53:00"/>
    <m/>
    <n v="202.2548611111124"/>
    <x v="10"/>
    <x v="1"/>
  </r>
  <r>
    <s v="Requisição de Serviços"/>
    <s v="CTXMTZRP-43360"/>
    <s v="Plano de Recuperação - Projeto Rentabilização BO Anatel - Discador"/>
    <m/>
    <s v="Oi "/>
    <s v=" BO ANATEL"/>
    <x v="23"/>
    <s v="Luciana Mattos Andrade"/>
    <x v="5"/>
    <d v="2015-08-03T18:09:00"/>
    <m/>
    <n v="210.24375000000146"/>
    <x v="10"/>
    <x v="1"/>
  </r>
  <r>
    <s v="Requisição de Serviços"/>
    <s v="CTXMTZRP-43359"/>
    <s v="Plano de Recuperação - Projeto Rentabilização BO Anatel - Automações (RTIs)"/>
    <m/>
    <s v="Oi "/>
    <s v=" BO ANATEL"/>
    <x v="52"/>
    <s v="Luciana Mattos Andrade"/>
    <x v="1"/>
    <d v="2015-08-03T18:06:00"/>
    <d v="2015-12-14T11:36:00"/>
    <n v="132.72916666666424"/>
    <x v="10"/>
    <x v="1"/>
  </r>
  <r>
    <s v="Requisição de Serviços"/>
    <s v="CTXMTZRP-43358"/>
    <s v="Plano de Recuperação - Projeto Rentabilização BO Anatel - Evalyze"/>
    <m/>
    <s v="Oi "/>
    <s v=" BO ANATEL"/>
    <x v="23"/>
    <s v="Luciana Mattos Andrade"/>
    <x v="5"/>
    <d v="2015-08-03T18:04:00"/>
    <m/>
    <n v="210.24722222222044"/>
    <x v="10"/>
    <x v="1"/>
  </r>
  <r>
    <s v="Requisição de Serviços"/>
    <s v="CTXMTZRP-43213"/>
    <s v="Criação de ambiente de staging para o Whatacenter - Central de Atendimento via Whatsapp"/>
    <m/>
    <s v="Contax "/>
    <s v=" Ger Governança de TI"/>
    <x v="22"/>
    <s v="ALEXANDRE FONSECA PAPANIS"/>
    <x v="6"/>
    <d v="2015-07-27T14:50:00"/>
    <m/>
    <n v="217.38194444444525"/>
    <x v="5"/>
    <x v="1"/>
  </r>
  <r>
    <s v="Requisição de Serviços"/>
    <s v="CTXMTZRP-43198"/>
    <s v="Projeto - Projeto"/>
    <m/>
    <s v="Contax "/>
    <s v=" Dir. Clientes Especiais"/>
    <x v="22"/>
    <s v="Maria da Conceicao Paiva"/>
    <x v="0"/>
    <d v="2015-07-25T15:30:00"/>
    <m/>
    <n v="219.35416666666424"/>
    <x v="5"/>
    <x v="1"/>
  </r>
  <r>
    <s v="Requisição de Serviços"/>
    <s v="CTXMTZRP-43045"/>
    <s v="Projeto - Projeto (Restrições e Liberações de Proxy - Operação itau)"/>
    <m/>
    <s v="Contax "/>
    <s v=" Outro"/>
    <x v="22"/>
    <s v="David Lopes da Costa Chaves"/>
    <x v="6"/>
    <d v="2015-07-20T12:23:00"/>
    <m/>
    <n v="224.48402777777665"/>
    <x v="5"/>
    <x v="1"/>
  </r>
  <r>
    <s v="Requisição de Serviços"/>
    <s v="CTXMTZRP-42974"/>
    <s v="Criação de SVN para Diretoria de Mobilidade"/>
    <m/>
    <s v="Contax "/>
    <s v=" Ger Governança de TI"/>
    <x v="22"/>
    <s v="ALEXANDRE FONSECA PAPANIS"/>
    <x v="5"/>
    <d v="2015-07-15T11:12:00"/>
    <m/>
    <n v="229.53333333333285"/>
    <x v="5"/>
    <x v="1"/>
  </r>
  <r>
    <s v="Requisição de Serviços"/>
    <s v="CTXMTZRP-42689"/>
    <s v="Projeto - Projeto"/>
    <m/>
    <s v="Contax "/>
    <s v=" Dir. Oi"/>
    <x v="23"/>
    <s v="Fabricio Hinein Peixoto Guimaraes"/>
    <x v="5"/>
    <d v="2015-06-30T14:52:00"/>
    <m/>
    <n v="244.38055555555911"/>
    <x v="6"/>
    <x v="1"/>
  </r>
  <r>
    <s v="Requisição de Serviços"/>
    <s v="CTXMTZRP-42601"/>
    <s v="Projeto - Projeto"/>
    <m/>
    <s v="Oi "/>
    <s v=" Outras Atividades"/>
    <x v="0"/>
    <s v="Reinaldo Cervantes De Oliveira"/>
    <x v="0"/>
    <d v="2015-06-26T11:05:00"/>
    <m/>
    <n v="248.53819444444525"/>
    <x v="6"/>
    <x v="1"/>
  </r>
  <r>
    <s v="Requisição de Serviços"/>
    <s v="CTXMTZRP-42203"/>
    <s v="Projeto - Integração Barra Atendimento ao OSvC (Novo CRM Oi)"/>
    <m/>
    <s v="Contax "/>
    <s v=" Dir. Oi"/>
    <x v="1"/>
    <s v="Fabricio Hinein Peixoto Guimaraes"/>
    <x v="2"/>
    <d v="2015-06-11T17:20:00"/>
    <m/>
    <n v="263.27777777778101"/>
    <x v="6"/>
    <x v="1"/>
  </r>
  <r>
    <s v="Requisição de Serviços"/>
    <s v="CTXMTZRP-42198"/>
    <s v="Projeto - Projeto - Requisitos de hardware OTP"/>
    <m/>
    <s v="Contax "/>
    <s v=" Outro"/>
    <x v="22"/>
    <s v="Cristiane Akiko Sasaki"/>
    <x v="2"/>
    <d v="2015-06-11T16:19:00"/>
    <m/>
    <n v="263.32013888889196"/>
    <x v="6"/>
    <x v="1"/>
  </r>
  <r>
    <s v="Requisição de Serviços"/>
    <s v="CTXMTZRP-42159"/>
    <s v="Projeto - Projeto"/>
    <m/>
    <s v="Contax "/>
    <s v=" Ger Planejamento SAC"/>
    <x v="22"/>
    <s v="Joyce Faria Barbosa"/>
    <x v="2"/>
    <d v="2015-06-10T16:25:00"/>
    <m/>
    <n v="264.31597222221899"/>
    <x v="6"/>
    <x v="1"/>
  </r>
  <r>
    <s v="Requisição de Serviços"/>
    <s v="CTXMTZRP-42143"/>
    <s v="Projeto - Projeto - Implantar o Projeto JiraDemandas no Data Center"/>
    <m/>
    <s v="Contax "/>
    <s v=" Ger Governança de TI"/>
    <x v="22"/>
    <s v="Cristiane Akiko Sasaki"/>
    <x v="2"/>
    <d v="2015-06-10T10:15:00"/>
    <m/>
    <n v="264.57291666666424"/>
    <x v="6"/>
    <x v="1"/>
  </r>
  <r>
    <s v="Requisição de Serviços"/>
    <s v="CTXMTZRP-41269"/>
    <s v="Projeto Contax 2.0 - Praça PR"/>
    <m/>
    <s v="Contax "/>
    <s v=" Outro"/>
    <x v="22"/>
    <s v="Alex Tonini Nogueira"/>
    <x v="2"/>
    <d v="2015-05-14T12:12:00"/>
    <m/>
    <n v="291.49166666666861"/>
    <x v="7"/>
    <x v="1"/>
  </r>
  <r>
    <s v="Requisição de Serviços"/>
    <s v="CTXMTZRP-41268"/>
    <s v="Projeto Contax 2.0 - Praça RS"/>
    <m/>
    <s v="Contax "/>
    <s v=" Outro"/>
    <x v="22"/>
    <s v="Alex Tonini Nogueira"/>
    <x v="2"/>
    <d v="2015-05-14T12:01:00"/>
    <m/>
    <n v="291.49930555555329"/>
    <x v="7"/>
    <x v="1"/>
  </r>
  <r>
    <s v="Requisição de Serviços"/>
    <s v="CTXMTZRP-40787"/>
    <s v="Projeto - Projeto"/>
    <m/>
    <s v="Contax "/>
    <s v=" Dir. Oi"/>
    <x v="53"/>
    <s v="Fabiana Aparecida Lopes de Carvalho"/>
    <x v="1"/>
    <d v="2015-04-29T17:08:00"/>
    <d v="2016-01-14T08:31:00"/>
    <n v="259.64097222222335"/>
    <x v="8"/>
    <x v="1"/>
  </r>
  <r>
    <s v="Requisição de Serviços"/>
    <s v="CTXMTZRP-40585"/>
    <s v="Projeto - Projeto - DAC Único Móvel"/>
    <m/>
    <s v="Contax "/>
    <s v=" Dir. Oi"/>
    <x v="23"/>
    <s v="Fabricio Hinein Peixoto Guimaraes"/>
    <x v="5"/>
    <d v="2015-04-22T08:31:00"/>
    <m/>
    <n v="313.64513888888905"/>
    <x v="8"/>
    <x v="1"/>
  </r>
  <r>
    <s v="Requisição de Serviços"/>
    <s v="CTXMTZRP-39707"/>
    <s v="Projeto - Projeto DAC Único"/>
    <m/>
    <s v="Contax "/>
    <s v=" Dir. Oi"/>
    <x v="23"/>
    <s v="Fabricio Hinein Peixoto Guimaraes"/>
    <x v="4"/>
    <d v="2015-03-23T13:54:00"/>
    <m/>
    <n v="343.42083333332994"/>
    <x v="11"/>
    <x v="1"/>
  </r>
  <r>
    <s v="Requisição de Serviços"/>
    <s v="CTXMTZRP-35945"/>
    <s v="Projeto Contax 2.0 - Praça MG"/>
    <m/>
    <s v="Contax "/>
    <s v=" Outro"/>
    <x v="0"/>
    <s v="Alex Tonini Nogueira"/>
    <x v="4"/>
    <d v="2014-10-28T16:07:00"/>
    <m/>
    <n v="489.32847222222335"/>
    <x v="3"/>
    <x v="2"/>
  </r>
  <r>
    <s v="Requisição de Serviços"/>
    <s v="CTXMTZRP-35944"/>
    <s v="Projeto Contax 2.0 - Praça CE"/>
    <m/>
    <s v="Contax "/>
    <s v=" Outro"/>
    <x v="0"/>
    <s v="Alex Tonini Nogueira"/>
    <x v="4"/>
    <d v="2014-10-28T16:04:00"/>
    <m/>
    <n v="489.3305555555562"/>
    <x v="3"/>
    <x v="2"/>
  </r>
  <r>
    <s v="Requisição de Serviços"/>
    <s v="CTXMTZRP-35943"/>
    <s v="Projeto Contax 2.0 - Praça PE"/>
    <m/>
    <s v="Contax "/>
    <s v=" Outro"/>
    <x v="0"/>
    <s v="Alex Tonini Nogueira"/>
    <x v="4"/>
    <d v="2014-10-28T16:00:00"/>
    <m/>
    <n v="489.33333333333576"/>
    <x v="3"/>
    <x v="2"/>
  </r>
  <r>
    <s v="Requisição de Serviços"/>
    <s v="CTXMTZRP-35941"/>
    <s v="Projeto Contax 2.0 - Praça BA"/>
    <m/>
    <s v="Contax "/>
    <s v=" Outro"/>
    <x v="0"/>
    <s v="Alex Tonini Nogueira"/>
    <x v="4"/>
    <d v="2014-10-28T15:54:00"/>
    <m/>
    <n v="489.33750000000146"/>
    <x v="3"/>
    <x v="2"/>
  </r>
  <r>
    <s v="Requisição de Serviços"/>
    <s v="CTXMTZRP-35937"/>
    <s v="Projeto Contax 2.0 - Praça SC"/>
    <m/>
    <s v="Contax "/>
    <s v=" Outro"/>
    <x v="22"/>
    <s v="Alex Tonini Nogueira"/>
    <x v="4"/>
    <d v="2014-10-28T15:39:00"/>
    <m/>
    <n v="489.3479166666657"/>
    <x v="3"/>
    <x v="2"/>
  </r>
  <r>
    <s v="Requisição de Serviços"/>
    <s v="CTXMTZRP-35936"/>
    <s v="Projeto Contax 2.0 - Praça RJ"/>
    <m/>
    <s v="Contax "/>
    <s v=" Outro"/>
    <x v="0"/>
    <s v="Alex Tonini Nogueira"/>
    <x v="4"/>
    <d v="2014-10-28T15:36:00"/>
    <m/>
    <n v="489.34999999999854"/>
    <x v="3"/>
    <x v="2"/>
  </r>
  <r>
    <s v="Requisição de Serviços"/>
    <s v="CTXMTZPB-1259"/>
    <s v="Projeto - Crescimento Suporte Técnico Velox"/>
    <m/>
    <s v="Oi "/>
    <s v=" Suporte Técnico"/>
    <x v="0"/>
    <s v="rafael da costa cezar"/>
    <x v="0"/>
    <d v="2016-02-04T19:36:00"/>
    <m/>
    <n v="25.183333333334303"/>
    <x v="9"/>
    <x v="0"/>
  </r>
  <r>
    <s v="Requisição de Serviços"/>
    <s v="CTXMTZPB-1258"/>
    <s v="Cabemento de rede - sala 2º andar/Mezanino - site Rio Comprido"/>
    <m/>
    <s v="Contax "/>
    <s v=" Ger Planejamento SAC"/>
    <x v="0"/>
    <s v="Joyce Faria Barbosa"/>
    <x v="0"/>
    <d v="2016-02-04T17:29:00"/>
    <m/>
    <n v="25.271527777775191"/>
    <x v="9"/>
    <x v="0"/>
  </r>
  <r>
    <s v="Requisição de Serviços"/>
    <s v="CTXMTZPB-1214"/>
    <s v="Projeto - &quot;Implantação Solução de Contas Pré Pago Site Boa Viagem Bahia&quot;"/>
    <m/>
    <s v="Contax "/>
    <s v=" Outro"/>
    <x v="54"/>
    <s v="F�bio Prazeres da Silva"/>
    <x v="1"/>
    <d v="2016-01-12T17:21:00"/>
    <d v="2016-02-11T13:55:00"/>
    <n v="29.856944444443798"/>
    <x v="0"/>
    <x v="0"/>
  </r>
  <r>
    <s v="Requisição de Serviços"/>
    <s v="CTXMTZPB-1118"/>
    <s v="Projeto - Restrição de Transferência"/>
    <m/>
    <s v="Oi "/>
    <s v=" SAC"/>
    <x v="29"/>
    <s v="Luiz Matheus Aragao do Nascimento"/>
    <x v="2"/>
    <d v="2015-12-03T15:43:00"/>
    <m/>
    <n v="88.34513888888614"/>
    <x v="1"/>
    <x v="1"/>
  </r>
  <r>
    <s v="Requisição de Serviços"/>
    <s v="CTXMTZPB-1116"/>
    <s v="Projeto - Feirão do nome limpo - RJ Shop Nova America"/>
    <m/>
    <s v="Contax "/>
    <s v=" Dir. Oi"/>
    <x v="55"/>
    <s v="Livia de Deus Henriques Rodrigues"/>
    <x v="1"/>
    <d v="2015-12-03T12:06:00"/>
    <d v="2016-01-14T14:52:00"/>
    <n v="42.115277777775191"/>
    <x v="1"/>
    <x v="1"/>
  </r>
  <r>
    <s v="Requisição de Serviços"/>
    <s v="CTXMTZPB-1098"/>
    <s v="TCLOCK - Interface Near Real Time"/>
    <m/>
    <s v="Contax "/>
    <s v=" Ger Planejamento SAC"/>
    <x v="36"/>
    <s v="Joyce Faria Barbosa"/>
    <x v="1"/>
    <d v="2015-11-30T16:08:00"/>
    <d v="2016-02-02T12:05:00"/>
    <n v="63.831249999995634"/>
    <x v="2"/>
    <x v="1"/>
  </r>
  <r>
    <s v="Requisição de Serviços"/>
    <s v="CTXMTZPB-1091"/>
    <s v="Projeto - PASSWORK - PILOTO"/>
    <m/>
    <s v="Contax "/>
    <s v=" Ger Planejamento SAC"/>
    <x v="1"/>
    <s v="Joyce Faria Barbosa"/>
    <x v="0"/>
    <d v="2015-11-27T10:16:00"/>
    <m/>
    <n v="94.572222222224809"/>
    <x v="2"/>
    <x v="1"/>
  </r>
  <r>
    <s v="Requisição de Serviços"/>
    <s v="CTXMTZPB-1044"/>
    <s v="Aquisição de servidor - file server"/>
    <m/>
    <s v="Contax "/>
    <s v=" Ger Planejamento SAC"/>
    <x v="1"/>
    <s v="Joyce Faria Barbosa"/>
    <x v="0"/>
    <d v="2015-11-17T11:45:00"/>
    <m/>
    <n v="104.51041666666424"/>
    <x v="2"/>
    <x v="1"/>
  </r>
  <r>
    <s v="Requisição de Serviços"/>
    <s v="CTXMTZPB-1001"/>
    <s v="Projeto - Nova chamada teste/Chamada Ativa para o FF"/>
    <m/>
    <s v="Oi "/>
    <s v=" SAC"/>
    <x v="1"/>
    <s v="Marcel Garcia da Silva"/>
    <x v="0"/>
    <d v="2015-11-09T17:11:00"/>
    <m/>
    <n v="112.28402777777956"/>
    <x v="2"/>
    <x v="1"/>
  </r>
  <r>
    <s v="Requisição de Serviços"/>
    <s v="CTXMTZPB-944"/>
    <s v="Aquisição de servidor"/>
    <m/>
    <s v="Contax "/>
    <s v=" Ger Planejamento SAC"/>
    <x v="1"/>
    <s v="Joyce Faria Barbosa"/>
    <x v="0"/>
    <d v="2015-10-29T19:43:00"/>
    <m/>
    <n v="123.1784722222219"/>
    <x v="3"/>
    <x v="1"/>
  </r>
  <r>
    <s v="Requisição de Serviços"/>
    <s v="CTXMTZPB-860"/>
    <s v="Inclusão de chamadas ativas no Credibilidade"/>
    <m/>
    <s v="Contax "/>
    <s v=" Ger Planejamento SAC"/>
    <x v="56"/>
    <s v="Joyce Faria Barbosa"/>
    <x v="0"/>
    <d v="2015-10-22T16:09:00"/>
    <m/>
    <n v="130.32708333332994"/>
    <x v="3"/>
    <x v="1"/>
  </r>
  <r>
    <s v="Requisição de Serviços"/>
    <s v="CTXMTZPB-758"/>
    <s v="Projeto - Projeto"/>
    <m/>
    <s v="Contax "/>
    <s v=" Dir. Oi"/>
    <x v="1"/>
    <s v="Fabricio Hinein Peixoto Guimaraes"/>
    <x v="0"/>
    <d v="2015-10-15T10:00:00"/>
    <m/>
    <n v="137.58333333333576"/>
    <x v="3"/>
    <x v="1"/>
  </r>
  <r>
    <s v="Requisição de Serviços"/>
    <s v="CTXMTZPB-510"/>
    <s v="Criação de ambiente de produção - Azure"/>
    <m/>
    <s v="Contax "/>
    <s v=" Ger Planejamento SAC"/>
    <x v="21"/>
    <s v="Joyce Faria Barbosa"/>
    <x v="5"/>
    <d v="2015-09-22T15:32:00"/>
    <m/>
    <n v="160.3527777777781"/>
    <x v="4"/>
    <x v="1"/>
  </r>
  <r>
    <s v="Requisição de Serviços"/>
    <s v="CTXMTZPB-452"/>
    <s v="Base NBA intraday"/>
    <m/>
    <s v="Contax "/>
    <s v=" Ger Planejamento SAC"/>
    <x v="22"/>
    <s v="Joyce Faria Barbosa"/>
    <x v="5"/>
    <d v="2015-09-18T11:29:00"/>
    <m/>
    <n v="164.52152777777519"/>
    <x v="4"/>
    <x v="1"/>
  </r>
  <r>
    <s v="Requisição de Serviços"/>
    <s v="CTXMTZPB-307"/>
    <s v="Projeto - Projeto - Linhas para Modem externo SA"/>
    <m/>
    <s v="Oi "/>
    <s v=" SAC"/>
    <x v="1"/>
    <s v="Luiz Matheus Aragao do Nascimento"/>
    <x v="5"/>
    <d v="2015-09-04T17:13:00"/>
    <m/>
    <n v="178.28263888888614"/>
    <x v="4"/>
    <x v="1"/>
  </r>
  <r>
    <s v="Requisição de Serviços"/>
    <s v="CTXMTZPB-300"/>
    <s v="Migração de servidores para o Azure"/>
    <m/>
    <s v="Contax "/>
    <s v=" Ger Planejamento SAC"/>
    <x v="21"/>
    <s v="Joyce Faria Barbosa"/>
    <x v="5"/>
    <d v="2015-09-03T19:33:00"/>
    <m/>
    <n v="179.18541666666715"/>
    <x v="4"/>
    <x v="1"/>
  </r>
  <r>
    <s v="Requisição de Serviços"/>
    <s v="CTXMTZPB-201"/>
    <s v="Ambiente de Homologação e Produção do 1746"/>
    <m/>
    <s v="Contax "/>
    <s v=" Ger Governança de TI"/>
    <x v="22"/>
    <s v="ALEXANDRE FONSECA PAPANIS"/>
    <x v="5"/>
    <d v="2015-08-28T16:55:00"/>
    <m/>
    <n v="185.29513888889051"/>
    <x v="10"/>
    <x v="1"/>
  </r>
  <r>
    <s v="Requisição de Serviços"/>
    <s v="CTXMTZPB-88"/>
    <s v="Alteração de Layout do Mailing do Televendas"/>
    <m/>
    <s v="Contax "/>
    <s v=" Outro"/>
    <x v="1"/>
    <s v="Tatiane Rodrigues Dallecrode"/>
    <x v="5"/>
    <d v="2015-08-06T13:57:00"/>
    <m/>
    <n v="207.41874999999709"/>
    <x v="10"/>
    <x v="1"/>
  </r>
  <r>
    <s v="Requisição de Serviços"/>
    <s v="CTXMLTREG-6041"/>
    <s v="Projeto - Migração das URAs de Cadastro para o IPCC/NGR"/>
    <m/>
    <s v="Oi "/>
    <s v=" Oi Movél"/>
    <x v="0"/>
    <s v="Ricardo Jose Souza de Albuquerque"/>
    <x v="0"/>
    <d v="2016-02-12T10:22:00"/>
    <m/>
    <n v="17.568055555559113"/>
    <x v="9"/>
    <x v="0"/>
  </r>
  <r>
    <s v="Requisição de Serviços"/>
    <s v="CTXMLTREG-5634"/>
    <s v="Projeto - Projeto Souza Cruz - Integração Discafácil x DAC x Chipeira"/>
    <m/>
    <s v="Souza Cruz "/>
    <s v=" Souza Cruz"/>
    <x v="0"/>
    <s v="Luiz Washington Gianezzi"/>
    <x v="0"/>
    <d v="2016-01-22T15:39:00"/>
    <m/>
    <n v="38.347916666665697"/>
    <x v="0"/>
    <x v="0"/>
  </r>
  <r>
    <s v="Requisição de Serviços"/>
    <s v="CTXMLTREG-4755"/>
    <s v="Projeto - Implantação Produto Folha On Line"/>
    <m/>
    <s v="Contax "/>
    <s v=" Ger Soluções e Processos RH"/>
    <x v="1"/>
    <s v="Erika Andrade Miguel"/>
    <x v="0"/>
    <d v="2015-11-24T18:23:00"/>
    <m/>
    <n v="97.234027777776646"/>
    <x v="2"/>
    <x v="1"/>
  </r>
  <r>
    <s v="Requisição de Serviços"/>
    <s v="CTXMLTREG-4553"/>
    <s v="Projeto - &quot;Proposta comercial para upgrade dos servidores do NGR Monitor&quot;"/>
    <m/>
    <s v="Oi "/>
    <s v=" Ura"/>
    <x v="1"/>
    <s v="Ricardo Jose Souza de Albuquerque"/>
    <x v="0"/>
    <d v="2015-10-30T18:56:00"/>
    <m/>
    <n v="122.21111111110804"/>
    <x v="3"/>
    <x v="1"/>
  </r>
  <r>
    <s v="Requisição de Serviços"/>
    <s v="CTXMLTREG-4428"/>
    <s v="Projeto - Substituição do Emulador Passport pelo Emulador PW3270"/>
    <m/>
    <s v="Itaú "/>
    <s v=" Ação Conta Corrente"/>
    <x v="57"/>
    <s v="Luiz Washington Gianezzi"/>
    <x v="0"/>
    <d v="2015-10-20T15:27:00"/>
    <m/>
    <n v="132.35624999999709"/>
    <x v="3"/>
    <x v="1"/>
  </r>
  <r>
    <s v="Requisição de Serviços"/>
    <s v="CTXMLTREG-4427"/>
    <s v="Projeto - Substituição do Emulador Passport pelo Emulado PW3270"/>
    <m/>
    <s v="Orbitall "/>
    <s v=" Bonsucesso (C)"/>
    <x v="57"/>
    <s v="Luiz Washington Gianezzi"/>
    <x v="0"/>
    <d v="2015-10-20T15:21:00"/>
    <m/>
    <n v="132.36041666667006"/>
    <x v="3"/>
    <x v="1"/>
  </r>
  <r>
    <s v="Requisição de Serviços"/>
    <s v="CTXMLTREG-4375"/>
    <s v="Projeto - &quot;Definir o modelo de atendimento das URAs de Cadastro&quot;"/>
    <m/>
    <s v="Oi "/>
    <s v=" Oi Movél"/>
    <x v="58"/>
    <s v="Ricardo Jose Souza de Albuquerque"/>
    <x v="1"/>
    <d v="2015-10-15T17:38:00"/>
    <d v="2016-02-15T09:36:00"/>
    <n v="122.6652777777781"/>
    <x v="3"/>
    <x v="1"/>
  </r>
  <r>
    <s v="Requisição de Serviços"/>
    <s v="CTXMLTREG-4307"/>
    <s v="Projeto - Projeto"/>
    <m/>
    <s v="Orbitall "/>
    <s v=" Central Bancos"/>
    <x v="22"/>
    <s v="Juliana Souza de Moraes"/>
    <x v="0"/>
    <d v="2015-10-08T18:37:00"/>
    <m/>
    <n v="144.22430555555911"/>
    <x v="3"/>
    <x v="1"/>
  </r>
  <r>
    <s v="Requisição de Serviços"/>
    <s v="CTXMLTREG-4245"/>
    <s v="Projeto - Projeto"/>
    <m/>
    <s v="Contax "/>
    <s v=" Ger Soluções e Processos RH"/>
    <x v="1"/>
    <s v="Erika Andrade Miguel"/>
    <x v="0"/>
    <d v="2015-10-05T09:18:00"/>
    <m/>
    <n v="147.61250000000291"/>
    <x v="3"/>
    <x v="1"/>
  </r>
  <r>
    <s v="Requisição de Serviços"/>
    <s v="CTXMLTREG-4207"/>
    <s v="Projeto - Infraestrutura_PortalCorporativo_Chrome"/>
    <m/>
    <s v="Contax "/>
    <s v=" Ger Adm RH"/>
    <x v="22"/>
    <s v="Erika Andrade Miguel"/>
    <x v="6"/>
    <d v="2015-09-29T16:47:00"/>
    <m/>
    <n v="153.30069444444234"/>
    <x v="4"/>
    <x v="1"/>
  </r>
  <r>
    <s v="Requisição de Serviços"/>
    <s v="CTXMLTREG-4086"/>
    <s v="Projeto - Projeto"/>
    <m/>
    <s v="Orbitall "/>
    <s v=" Central Bancos"/>
    <x v="22"/>
    <s v="Juliana Souza de Moraes"/>
    <x v="5"/>
    <d v="2015-09-15T10:46:00"/>
    <m/>
    <n v="167.55138888888905"/>
    <x v="4"/>
    <x v="1"/>
  </r>
  <r>
    <s v="Requisição de Serviços"/>
    <s v="CTXMLTREG-3841"/>
    <s v="Projeto - Projeto"/>
    <m/>
    <s v="Oi "/>
    <s v=" SAC Pré Pago"/>
    <x v="22"/>
    <s v="Anderson Luiz Gon�alves de Alcantara"/>
    <x v="0"/>
    <d v="2015-07-06T16:33:00"/>
    <m/>
    <n v="238.31041666666715"/>
    <x v="5"/>
    <x v="1"/>
  </r>
  <r>
    <s v="Requisição de Serviços"/>
    <s v="CTXMLTREG-3831"/>
    <s v="Projeto - Projeto"/>
    <m/>
    <s v="Oi "/>
    <s v=" SAC"/>
    <x v="0"/>
    <s v="Anderson Luiz Gon�alves de Alcantara"/>
    <x v="0"/>
    <d v="2015-06-30T17:02:00"/>
    <m/>
    <n v="244.2902777777781"/>
    <x v="6"/>
    <x v="1"/>
  </r>
  <r>
    <s v="Requisição de Serviços"/>
    <s v="CTXMLTREG-3703"/>
    <s v="Projeto - Projeto"/>
    <m/>
    <s v="Contax "/>
    <s v=" Ambulatório"/>
    <x v="0"/>
    <s v="Erika Andrade Miguel"/>
    <x v="4"/>
    <d v="2015-04-29T15:24:00"/>
    <m/>
    <n v="306.35833333332994"/>
    <x v="8"/>
    <x v="1"/>
  </r>
  <r>
    <s v="Requisição de Serviços"/>
    <s v="CTXMLTREG-3663"/>
    <s v="Liberação de novo link para Operações Oi"/>
    <m/>
    <s v="Contax "/>
    <s v=" Outro"/>
    <x v="0"/>
    <s v="Maiara Tavares da Cruz"/>
    <x v="4"/>
    <d v="2015-04-09T15:46:00"/>
    <m/>
    <n v="326.34305555555329"/>
    <x v="8"/>
    <x v="1"/>
  </r>
  <r>
    <s v="Requisição de Serviços"/>
    <s v="CTXMLTREG-3647"/>
    <s v="Projeto - Projeto"/>
    <m/>
    <s v="Contax "/>
    <s v=" Ger Sistemas Corporativos"/>
    <x v="22"/>
    <s v="Erika Andrade Miguel"/>
    <x v="2"/>
    <d v="2015-04-01T15:41:00"/>
    <m/>
    <n v="334.34652777777956"/>
    <x v="8"/>
    <x v="1"/>
  </r>
  <r>
    <s v="Requisição de Serviços"/>
    <s v="CTXMLTREG-3442"/>
    <s v="Projeto Atendimento 102 (URA unificada R1 e R2)"/>
    <m/>
    <s v="Oi "/>
    <n v="102"/>
    <x v="59"/>
    <s v="Maiara Tavares da Cruz"/>
    <x v="1"/>
    <d v="2014-12-05T12:17:00"/>
    <d v="2016-01-14T14:53:00"/>
    <n v="405.10833333332994"/>
    <x v="1"/>
    <x v="2"/>
  </r>
  <r>
    <s v="Requisição de Serviços"/>
    <s v="CTXLONLA-28251"/>
    <s v="Migração POP 3 - TÉCNICO UNIFICADO - JOINVILLE Vs. LONDRINA"/>
    <m/>
    <s v="Vivo "/>
    <s v=" Vivo"/>
    <x v="9"/>
    <s v="Vania de Moraes Colella"/>
    <x v="1"/>
    <d v="2015-11-06T16:22:00"/>
    <d v="2015-12-15T09:30:00"/>
    <n v="38.713888888894871"/>
    <x v="2"/>
    <x v="1"/>
  </r>
  <r>
    <s v="Requisição de Serviços"/>
    <s v="CTXLONLA-28211"/>
    <s v="Migração POP 3 *4979 - JOINVILLE vs. LONDRINA"/>
    <m/>
    <s v="Vivo "/>
    <s v=" Vivo"/>
    <x v="9"/>
    <s v="Vania de Moraes Colella"/>
    <x v="1"/>
    <d v="2015-11-05T17:41:00"/>
    <d v="2015-12-15T09:44:00"/>
    <n v="39.66874999999709"/>
    <x v="2"/>
    <x v="1"/>
  </r>
  <r>
    <s v="Requisição de Serviços"/>
    <s v="CTXLONLA-28210"/>
    <s v="Migração POP 3 SUPORTE 4979 - JOINVILLE vs. LONDRINA"/>
    <m/>
    <s v="Vivo "/>
    <s v=" Vivo"/>
    <x v="9"/>
    <s v="Vania de Moraes Colella"/>
    <x v="1"/>
    <d v="2015-11-05T17:35:00"/>
    <d v="2015-12-15T09:33:00"/>
    <n v="39.665277777778101"/>
    <x v="2"/>
    <x v="1"/>
  </r>
  <r>
    <s v="Requisição de Serviços"/>
    <s v="CTXLONLA-28201"/>
    <s v="Migração POP 3 ALTO VALOR SEGMENTADO - JOINVILLE vs. LONDRINA"/>
    <m/>
    <s v="Vivo "/>
    <s v=" Vivo"/>
    <x v="9"/>
    <s v="Vania de Moraes Colella"/>
    <x v="1"/>
    <d v="2015-11-05T13:04:00"/>
    <d v="2015-12-15T09:36:00"/>
    <n v="39.855555555557657"/>
    <x v="2"/>
    <x v="1"/>
  </r>
  <r>
    <s v="Requisição de Serviços"/>
    <s v="CTXLONLA-28200"/>
    <s v="Migração POP 3 -BASICO SEGMENTADO - JOINVILLE vs. LONDRINA"/>
    <m/>
    <s v="Vivo "/>
    <s v=" Vivo"/>
    <x v="9"/>
    <s v="Vania de Moraes Colella"/>
    <x v="1"/>
    <d v="2015-11-05T13:02:00"/>
    <d v="2015-12-15T09:38:00"/>
    <n v="39.858333333329938"/>
    <x v="2"/>
    <x v="1"/>
  </r>
  <r>
    <s v="Requisição de Serviços"/>
    <s v="CTXLONLA-28199"/>
    <s v="Migração POP 3 TOP SEGMENTADO - JOINVILLE vs. LONDRINA"/>
    <m/>
    <s v="Vivo "/>
    <s v=" Vivo"/>
    <x v="9"/>
    <s v="Vania de Moraes Colella"/>
    <x v="1"/>
    <d v="2015-11-05T12:56:00"/>
    <d v="2015-12-15T09:40:00"/>
    <n v="39.863888888889051"/>
    <x v="2"/>
    <x v="1"/>
  </r>
  <r>
    <s v="Requisição de Serviços"/>
    <s v="CTXLONLA-28170"/>
    <s v="Migração POP 3 - MASSIVO SEGMENTADO - JOINVILLE vs. LONDRINA"/>
    <m/>
    <s v="Vivo "/>
    <s v=" Vivo"/>
    <x v="9"/>
    <s v="Vania de Moraes Colella"/>
    <x v="1"/>
    <d v="2015-11-04T18:47:00"/>
    <d v="2015-12-15T09:41:00"/>
    <n v="40.620833333334303"/>
    <x v="2"/>
    <x v="1"/>
  </r>
  <r>
    <s v="Requisição de Serviços"/>
    <s v="CTXLONLA-26632"/>
    <s v="VIVO TETRIS - *4979"/>
    <m/>
    <s v="Vivo "/>
    <s v=" Vivo"/>
    <x v="12"/>
    <s v="Vania de Moraes Colella"/>
    <x v="0"/>
    <d v="2015-09-22T19:01:00"/>
    <m/>
    <n v="160.20763888888905"/>
    <x v="4"/>
    <x v="1"/>
  </r>
  <r>
    <s v="Requisição de Serviços"/>
    <s v="CTXJOINP-11673"/>
    <s v="Projeto - Projeto"/>
    <m/>
    <s v="Vivo "/>
    <s v=" Vivo"/>
    <x v="0"/>
    <s v="Vania de Moraes Colella"/>
    <x v="4"/>
    <d v="2015-02-24T16:24:00"/>
    <m/>
    <n v="370.3166666666657"/>
    <x v="9"/>
    <x v="1"/>
  </r>
  <r>
    <s v="Requisição de Serviços"/>
    <s v="CTXJOINP-11654"/>
    <s v="Substituição máquinas operação Vivo"/>
    <m/>
    <s v="Vivo "/>
    <s v=" Vivo"/>
    <x v="0"/>
    <s v="Luciana da Silva Cardoso"/>
    <x v="4"/>
    <d v="2015-02-24T09:11:00"/>
    <m/>
    <n v="370.61736111110804"/>
    <x v="9"/>
    <x v="1"/>
  </r>
  <r>
    <s v="Requisição de Serviços"/>
    <s v="CTXFORNA-28061"/>
    <s v="Projeto - Movimentar ramais no salão do Citi"/>
    <m/>
    <s v="Contax "/>
    <s v=" Outro"/>
    <x v="0"/>
    <s v="Mariana da Costa Mello"/>
    <x v="0"/>
    <d v="2016-02-16T18:04:00"/>
    <m/>
    <n v="13.247222222220444"/>
    <x v="9"/>
    <x v="0"/>
  </r>
  <r>
    <s v="Requisição de Serviços"/>
    <s v="CTXFORNA-27596"/>
    <s v="Projeto - Crescer 2 pa's na operação Citibank Cobrança no Site Nascente 2º andar"/>
    <m/>
    <s v="Contax "/>
    <s v=" Outro"/>
    <x v="32"/>
    <s v="Mariana da Costa Mello"/>
    <x v="1"/>
    <d v="2016-01-14T16:00:00"/>
    <d v="2016-01-21T09:33:00"/>
    <n v="6.7312500000043656"/>
    <x v="0"/>
    <x v="0"/>
  </r>
  <r>
    <s v="Requisição de Serviços"/>
    <s v="CTXFORNA-26367"/>
    <s v="Projeto - Acompanhar migração do Sistema do Citi"/>
    <m/>
    <s v="Contax "/>
    <s v=" Outro"/>
    <x v="1"/>
    <s v="Mariana da Costa Mello"/>
    <x v="0"/>
    <d v="2015-10-21T11:46:00"/>
    <m/>
    <n v="131.50972222222481"/>
    <x v="3"/>
    <x v="1"/>
  </r>
  <r>
    <s v="Requisição de Serviços"/>
    <s v="CTXFORNA-25436"/>
    <s v="Projeto - Substituir Front End e Discador Operação Leader"/>
    <m/>
    <s v="Leader Magazine "/>
    <s v=" Cobrança Leader"/>
    <x v="12"/>
    <s v="Carlos Batista Alves"/>
    <x v="2"/>
    <d v="2015-08-18T10:42:00"/>
    <m/>
    <n v="195.55416666666861"/>
    <x v="10"/>
    <x v="1"/>
  </r>
  <r>
    <s v="Requisição de Serviços"/>
    <s v="CTXFORBM-357993"/>
    <s v="Projeto - 'Implantação da retenção loja pós pago&quot;"/>
    <m/>
    <s v="Oi "/>
    <s v=" Retenção"/>
    <x v="0"/>
    <s v="David Lima Cavalcante"/>
    <x v="0"/>
    <d v="2016-02-17T17:11:00"/>
    <m/>
    <n v="12.284027777779556"/>
    <x v="9"/>
    <x v="0"/>
  </r>
  <r>
    <s v="Requisição de Serviços"/>
    <s v="CTXFORBM-357817"/>
    <s v="Projeto - Implantação Ativo de Reversão Oi Controle"/>
    <m/>
    <s v="Oi "/>
    <s v=" Retenção"/>
    <x v="0"/>
    <s v="Lucas Lourenco de Melo"/>
    <x v="0"/>
    <d v="2016-02-16T19:37:00"/>
    <m/>
    <n v="13.182638888887595"/>
    <x v="9"/>
    <x v="0"/>
  </r>
  <r>
    <s v="Requisição de Serviços"/>
    <s v="CTXFORBM-356683"/>
    <s v="Projeto - &quot;Novo Mailing Ativo Portabilidade Móvel&quot;"/>
    <m/>
    <s v="Oi "/>
    <s v=" Retenção"/>
    <x v="0"/>
    <s v="Cristiano Fernandes Melo"/>
    <x v="0"/>
    <d v="2016-02-12T11:23:00"/>
    <m/>
    <n v="17.525694444440887"/>
    <x v="9"/>
    <x v="0"/>
  </r>
  <r>
    <s v="Requisição de Serviços"/>
    <s v="CTXFORBM-356566"/>
    <s v="Projeto - Crescimento de 2 p.a's para o ativo de reversão Fixo"/>
    <m/>
    <s v="Oi "/>
    <s v=" Retenção"/>
    <x v="0"/>
    <s v="Lisandra Pereira do Nascimento"/>
    <x v="0"/>
    <d v="2016-02-11T20:20:00"/>
    <m/>
    <n v="18.152777777781012"/>
    <x v="9"/>
    <x v="0"/>
  </r>
  <r>
    <s v="Requisição de Serviços"/>
    <s v="CTXFORBM-356564"/>
    <s v="Projeto - Crescimento de 10 p.a's para os ativos de reversão TV"/>
    <m/>
    <s v="Oi "/>
    <s v=" Retenção"/>
    <x v="0"/>
    <s v="Lisandra Pereira do Nascimento"/>
    <x v="0"/>
    <d v="2016-02-11T20:16:00"/>
    <m/>
    <n v="18.155555555553292"/>
    <x v="9"/>
    <x v="0"/>
  </r>
  <r>
    <s v="Requisição de Serviços"/>
    <s v="CTXFORBM-356562"/>
    <s v="Projeto - Crescimento de 42 p.a's para o Receptivo TV"/>
    <m/>
    <s v="Oi "/>
    <s v=" Retenção"/>
    <x v="0"/>
    <s v="Lisandra Pereira do Nascimento"/>
    <x v="0"/>
    <d v="2016-02-11T20:08:00"/>
    <m/>
    <n v="18.161111111112405"/>
    <x v="9"/>
    <x v="0"/>
  </r>
  <r>
    <s v="Requisição de Serviços"/>
    <s v="CTXFORBM-356561"/>
    <s v="Projeto - Crescimento de 15 p.a's para o Receptivo Oi Total"/>
    <m/>
    <s v="Oi "/>
    <s v=" Retenção"/>
    <x v="0"/>
    <s v="Lisandra Pereira do Nascimento"/>
    <x v="0"/>
    <d v="2016-02-11T20:01:00"/>
    <m/>
    <n v="18.165972222224809"/>
    <x v="9"/>
    <x v="0"/>
  </r>
  <r>
    <s v="Requisição de Serviços"/>
    <s v="CTXFORBM-356558"/>
    <s v="Projeto - Crescimento de 6 p.a's para o Receptivo OCT"/>
    <m/>
    <s v="Oi "/>
    <s v=" Retenção"/>
    <x v="0"/>
    <s v="Lisandra Pereira do Nascimento"/>
    <x v="0"/>
    <d v="2016-02-11T19:51:00"/>
    <m/>
    <n v="18.172916666670062"/>
    <x v="9"/>
    <x v="0"/>
  </r>
  <r>
    <s v="Requisição de Serviços"/>
    <s v="CTXFORBM-356556"/>
    <s v="Projeto - Crescimento de 35 p.a's para a Retenção Móvel - Receptivo Pós"/>
    <m/>
    <s v="Oi "/>
    <s v=" Retenção"/>
    <x v="0"/>
    <s v="Lisandra Pereira do Nascimento"/>
    <x v="0"/>
    <d v="2016-02-11T19:45:00"/>
    <m/>
    <n v="18.177083333335759"/>
    <x v="9"/>
    <x v="0"/>
  </r>
  <r>
    <s v="Requisição de Serviços"/>
    <s v="CTXFORBM-356553"/>
    <s v="Projeto - Crescimento de 3 p.a's para a Ilha de Receita Pós + OCT"/>
    <m/>
    <s v="Oi "/>
    <s v=" Retenção"/>
    <x v="0"/>
    <s v="Lisandra Pereira do Nascimento"/>
    <x v="0"/>
    <d v="2016-02-11T19:30:00"/>
    <m/>
    <n v="18.1875"/>
    <x v="9"/>
    <x v="0"/>
  </r>
  <r>
    <s v="Requisição de Serviços"/>
    <s v="CTXFORBM-356551"/>
    <s v="Projeto - Crescimento de 10 p.a's para a Ilha de Receita R1"/>
    <m/>
    <s v="Oi "/>
    <s v=" Retenção"/>
    <x v="0"/>
    <s v="Lisandra Pereira do Nascimento"/>
    <x v="0"/>
    <d v="2016-02-11T19:21:00"/>
    <m/>
    <n v="18.193749999998545"/>
    <x v="9"/>
    <x v="0"/>
  </r>
  <r>
    <s v="Requisição de Serviços"/>
    <s v="CTXFORBM-356544"/>
    <s v="Projeto - Crescimento de 7 p.a's para o b.o da blindagem"/>
    <m/>
    <s v="Oi "/>
    <s v=" Retenção"/>
    <x v="0"/>
    <s v="Lisandra Pereira do Nascimento"/>
    <x v="0"/>
    <d v="2016-02-11T18:56:00"/>
    <m/>
    <n v="18.211111111108039"/>
    <x v="9"/>
    <x v="0"/>
  </r>
  <r>
    <s v="Requisição de Serviços"/>
    <s v="CTXFORBM-356540"/>
    <s v="Projeto - Crescimento de 8 p.a's para a blindagem refidelização"/>
    <m/>
    <s v="Oi "/>
    <s v=" Retenção"/>
    <x v="0"/>
    <s v="Lisandra Pereira do Nascimento"/>
    <x v="0"/>
    <d v="2016-02-11T18:33:00"/>
    <m/>
    <n v="18.227083333331393"/>
    <x v="9"/>
    <x v="0"/>
  </r>
  <r>
    <s v="Requisição de Serviços"/>
    <s v="CTXFORBM-356388"/>
    <s v="Projeto - &quot;Processamento Mailing Carga de Débitos Retenção Invol&quot;"/>
    <m/>
    <s v="Oi "/>
    <s v=" Retenção"/>
    <x v="0"/>
    <s v="Cristiano Fernandes Melo"/>
    <x v="0"/>
    <d v="2016-02-11T12:12:00"/>
    <m/>
    <n v="18.491666666668607"/>
    <x v="9"/>
    <x v="0"/>
  </r>
  <r>
    <s v="Requisição de Serviços"/>
    <s v="CTXFORBM-356205"/>
    <s v="Projeto - &quot;Customização TLV Atendimento Receptivo_Portabilidade Móvel&quot;"/>
    <m/>
    <s v="Oi "/>
    <s v=" Retenção"/>
    <x v="60"/>
    <s v="Cristiano Fernandes Melo"/>
    <x v="0"/>
    <d v="2016-02-10T18:12:00"/>
    <m/>
    <n v="19.241666666668607"/>
    <x v="9"/>
    <x v="0"/>
  </r>
  <r>
    <s v="Requisição de Serviços"/>
    <s v="CTXFORBM-354610"/>
    <s v="Projeto - &quot;Alterar visão da base da pesquisa_Retenção Invol&quot;"/>
    <m/>
    <s v="Oi "/>
    <s v=" Retenção"/>
    <x v="0"/>
    <s v="Cristiano Fernandes Melo"/>
    <x v="0"/>
    <d v="2016-02-03T15:45:00"/>
    <m/>
    <n v="26.34375"/>
    <x v="9"/>
    <x v="0"/>
  </r>
  <r>
    <s v="Requisição de Serviços"/>
    <s v="CTXFORBM-354062"/>
    <s v="Projeto - &quot;Processamento dos Mailings de Carga Retenção Invol&quot;"/>
    <m/>
    <s v="Oi "/>
    <s v=" Retenção"/>
    <x v="61"/>
    <s v="Cristiano Fernandes Melo"/>
    <x v="1"/>
    <d v="2016-02-02T11:36:00"/>
    <d v="2016-02-04T20:33:00"/>
    <n v="2.3729166666671517"/>
    <x v="9"/>
    <x v="0"/>
  </r>
  <r>
    <s v="Requisição de Serviços"/>
    <s v="CTXFORBM-350901"/>
    <s v="Projeto - Migração Oi Total Ilha de Downgrade"/>
    <m/>
    <s v="Oi "/>
    <s v=" Retenção"/>
    <x v="62"/>
    <s v="Lisandra Pereira do Nascimento"/>
    <x v="1"/>
    <d v="2016-01-22T19:23:00"/>
    <d v="2016-01-29T11:50:00"/>
    <n v="6.6854166666671517"/>
    <x v="0"/>
    <x v="0"/>
  </r>
  <r>
    <s v="Requisição de Serviços"/>
    <s v="CTXFORBM-350825"/>
    <s v="Projeto - Filtro de score para atuarmos no melhor publico para o segmento A10"/>
    <m/>
    <s v="Leader Magazine "/>
    <s v=" Cobrança Leader"/>
    <x v="0"/>
    <s v="Elmara Cernauskas Riolo Iglesias"/>
    <x v="0"/>
    <d v="2016-01-22T16:48:00"/>
    <m/>
    <n v="38.30000000000291"/>
    <x v="0"/>
    <x v="0"/>
  </r>
  <r>
    <s v="Requisição de Serviços"/>
    <s v="CTXFORBM-350823"/>
    <s v="Projeto - &quot;Por favor, usuário, utilizar este campo para informar o nome do Projeto&quot;"/>
    <m/>
    <s v="Leader Magazine "/>
    <s v=" Cobrança Leader"/>
    <x v="0"/>
    <s v="Elmara Cernauskas Riolo Iglesias"/>
    <x v="0"/>
    <d v="2016-01-22T16:45:00"/>
    <m/>
    <n v="38.302083333335759"/>
    <x v="0"/>
    <x v="0"/>
  </r>
  <r>
    <s v="Requisição de Serviços"/>
    <s v="CTXFORBM-349886"/>
    <s v="Projeto - Migração em Massa - Oi Total"/>
    <m/>
    <s v="Oi "/>
    <s v=" Retenção"/>
    <x v="29"/>
    <s v="Lisandra Pereira do Nascimento"/>
    <x v="0"/>
    <d v="2016-01-20T10:31:00"/>
    <m/>
    <n v="40.561805555553292"/>
    <x v="0"/>
    <x v="0"/>
  </r>
  <r>
    <s v="Requisição de Serviços"/>
    <s v="CTXFORBM-348749"/>
    <s v="Projeto - &quot;Reforecast fev/16&quot;"/>
    <m/>
    <s v="Oi "/>
    <s v=" Suporte Técnico"/>
    <x v="0"/>
    <s v="Anderson Luiz Gon�alves de Alcantara"/>
    <x v="0"/>
    <d v="2016-01-15T10:55:00"/>
    <m/>
    <n v="45.545138888890506"/>
    <x v="0"/>
    <x v="0"/>
  </r>
  <r>
    <s v="Requisição de Serviços"/>
    <s v="CTXFORBM-348646"/>
    <s v="Projeto - Atualização do simulador do receptivo Pós"/>
    <m/>
    <s v="Oi "/>
    <s v=" Retenção"/>
    <x v="0"/>
    <s v="Lisandra Pereira do Nascimento"/>
    <x v="0"/>
    <d v="2016-01-14T20:43:00"/>
    <m/>
    <n v="46.136805555557657"/>
    <x v="0"/>
    <x v="0"/>
  </r>
  <r>
    <s v="Requisição de Serviços"/>
    <s v="CTXFORBM-348625"/>
    <s v="Projeto - Tetris Retenção"/>
    <m/>
    <s v="Oi "/>
    <s v=" Retenção"/>
    <x v="62"/>
    <s v="Lisandra Pereira do Nascimento"/>
    <x v="3"/>
    <d v="2016-01-14T18:37:00"/>
    <d v="2016-02-18T09:47:00"/>
    <n v="34.631944444445253"/>
    <x v="0"/>
    <x v="0"/>
  </r>
  <r>
    <s v="Requisição de Serviços"/>
    <s v="CTXFORBM-348606"/>
    <s v="SIMULADOR RETENÇÃO OI TOTAL"/>
    <m/>
    <s v="Oi "/>
    <s v=" Retenção"/>
    <x v="1"/>
    <s v="Sterlaine Priscila Araujo Gomes"/>
    <x v="2"/>
    <d v="2016-01-14T17:45:00"/>
    <m/>
    <n v="46.260416666664241"/>
    <x v="0"/>
    <x v="0"/>
  </r>
  <r>
    <s v="Requisição de Serviços"/>
    <s v="CTXFORBM-348601"/>
    <s v="Projeto - &quot;Ativo Pesquisa de Satisfação Retenção Unificado&quot;"/>
    <m/>
    <s v="Oi "/>
    <s v=" Retenção"/>
    <x v="29"/>
    <s v="Cristiano Fernandes Melo"/>
    <x v="0"/>
    <d v="2016-01-14T17:26:00"/>
    <m/>
    <n v="46.273611111108039"/>
    <x v="0"/>
    <x v="0"/>
  </r>
  <r>
    <s v="Requisição de Serviços"/>
    <s v="CTXFORBM-348261"/>
    <s v="Projeto - Implantação Retenção Involuntária R2"/>
    <m/>
    <s v="Oi "/>
    <s v=" Retenção"/>
    <x v="1"/>
    <s v="Lucas Lourenco de Melo"/>
    <x v="0"/>
    <d v="2016-01-13T15:20:00"/>
    <m/>
    <n v="47.361111111109494"/>
    <x v="0"/>
    <x v="0"/>
  </r>
  <r>
    <s v="Requisição de Serviços"/>
    <s v="CTXFORBM-347867"/>
    <s v="Projeto - Crescimento de 5 p.a's para a Blindagem Oi Total 3p"/>
    <m/>
    <s v="Oi "/>
    <s v=" Retenção"/>
    <x v="62"/>
    <s v="Lisandra Pereira do Nascimento"/>
    <x v="3"/>
    <d v="2016-01-12T12:18:00"/>
    <d v="2016-02-18T09:41:00"/>
    <n v="36.890972222223354"/>
    <x v="0"/>
    <x v="0"/>
  </r>
  <r>
    <s v="Requisição de Serviços"/>
    <s v="CTXFORBM-347687"/>
    <s v="Projeto - Crescimento de 1 p.a's para o b.o blindagem multiprodutos"/>
    <m/>
    <s v="Oi "/>
    <s v=" Retenção"/>
    <x v="62"/>
    <s v="Lisandra Pereira do Nascimento"/>
    <x v="3"/>
    <d v="2016-01-11T17:46:00"/>
    <d v="2016-02-18T09:45:00"/>
    <n v="37.665972222224809"/>
    <x v="0"/>
    <x v="0"/>
  </r>
  <r>
    <s v="Requisição de Serviços"/>
    <s v="CTXFORBM-347679"/>
    <s v="Projeto - Crescimento de 5 p.a's para o propenso TV"/>
    <m/>
    <s v="Oi "/>
    <s v=" Retenção"/>
    <x v="62"/>
    <s v="Lisandra Pereira do Nascimento"/>
    <x v="3"/>
    <d v="2016-01-11T17:31:00"/>
    <d v="2016-02-18T09:43:00"/>
    <n v="37.67500000000291"/>
    <x v="0"/>
    <x v="0"/>
  </r>
  <r>
    <s v="Requisição de Serviços"/>
    <s v="CTXFORBM-347671"/>
    <s v="Projeto - Crescimento de 7 p.a's para o Receptivo OCT"/>
    <m/>
    <s v="Oi "/>
    <s v=" Retenção"/>
    <x v="62"/>
    <s v="Lisandra Pereira do Nascimento"/>
    <x v="3"/>
    <d v="2016-01-11T17:16:00"/>
    <d v="2016-02-18T09:39:00"/>
    <n v="37.682638888887595"/>
    <x v="0"/>
    <x v="0"/>
  </r>
  <r>
    <s v="Requisição de Serviços"/>
    <s v="CTXFORBM-347668"/>
    <s v="Projeto - Crescimento de 14 p.a's para o Receptivo Pós"/>
    <m/>
    <s v="Oi "/>
    <s v=" Retenção"/>
    <x v="62"/>
    <s v="Lisandra Pereira do Nascimento"/>
    <x v="3"/>
    <d v="2016-01-11T17:15:00"/>
    <d v="2016-02-18T09:29:00"/>
    <n v="37.676388888889051"/>
    <x v="0"/>
    <x v="0"/>
  </r>
  <r>
    <s v="Requisição de Serviços"/>
    <s v="CTXFORBM-345719"/>
    <s v="Projeto - &quot;Configuração 0800 Retenção Portabilidade Móvel&quot;"/>
    <m/>
    <s v="Oi "/>
    <s v=" Retenção"/>
    <x v="0"/>
    <s v="Cristiano Fernandes Melo"/>
    <x v="0"/>
    <d v="2016-01-05T16:50:00"/>
    <m/>
    <n v="55.298611111109494"/>
    <x v="0"/>
    <x v="0"/>
  </r>
  <r>
    <s v="Requisição de Serviços"/>
    <s v="CTXFORBM-344418"/>
    <s v="Projeto - Reestruturação BO Strategy"/>
    <m/>
    <s v="Oi "/>
    <s v=" Retenção"/>
    <x v="29"/>
    <s v="Lucas Lourenco de Melo"/>
    <x v="0"/>
    <d v="2015-12-30T17:12:00"/>
    <m/>
    <n v="61.283333333332848"/>
    <x v="1"/>
    <x v="1"/>
  </r>
  <r>
    <s v="Requisição de Serviços"/>
    <s v="CTXFORBM-344109"/>
    <s v="Projeto - &quot;Novos Campos Mailing de Ofertas Retenção Invol&quot;"/>
    <m/>
    <s v="Oi "/>
    <s v=" Retenção"/>
    <x v="29"/>
    <s v="Cristiano Fernandes Melo"/>
    <x v="0"/>
    <d v="2015-12-29T18:23:00"/>
    <m/>
    <n v="62.234027777776646"/>
    <x v="1"/>
    <x v="1"/>
  </r>
  <r>
    <s v="Requisição de Serviços"/>
    <s v="CTXFORBM-342171"/>
    <s v="Projeto - Crescimento de 5 p.a's para o RAC R2"/>
    <m/>
    <s v="Oi "/>
    <s v=" Retenção"/>
    <x v="62"/>
    <s v="Lisandra Pereira do Nascimento"/>
    <x v="1"/>
    <d v="2015-12-18T15:34:00"/>
    <d v="2016-01-07T11:48:00"/>
    <n v="19.843055555560568"/>
    <x v="1"/>
    <x v="1"/>
  </r>
  <r>
    <s v="Requisição de Serviços"/>
    <s v="CTXFORBM-342169"/>
    <s v="Projeto - Crescimento de 3 p.a's para a retenção invol TV"/>
    <m/>
    <s v="Oi "/>
    <s v=" Retenção"/>
    <x v="62"/>
    <s v="Lisandra Pereira do Nascimento"/>
    <x v="1"/>
    <d v="2015-12-18T15:33:00"/>
    <d v="2016-01-07T11:26:00"/>
    <n v="19.828472222223354"/>
    <x v="1"/>
    <x v="1"/>
  </r>
  <r>
    <s v="Requisição de Serviços"/>
    <s v="CTXFORBM-342167"/>
    <s v="Projeto - Crescimento de 9 p.a's para Retenção Invol fixo e velox"/>
    <m/>
    <s v="Oi "/>
    <s v=" Retenção"/>
    <x v="62"/>
    <s v="Lisandra Pereira do Nascimento"/>
    <x v="1"/>
    <d v="2015-12-18T15:32:00"/>
    <d v="2016-01-07T11:22:00"/>
    <n v="19.826388888890506"/>
    <x v="1"/>
    <x v="1"/>
  </r>
  <r>
    <s v="Requisição de Serviços"/>
    <s v="CTXFORBM-342165"/>
    <s v="Projeto - Crescimento de 12 p.a's para o receptivo Oi total"/>
    <m/>
    <s v="Oi "/>
    <s v=" Retenção"/>
    <x v="62"/>
    <s v="Lisandra Pereira do Nascimento"/>
    <x v="1"/>
    <d v="2015-12-18T15:29:00"/>
    <d v="2016-01-07T11:17:00"/>
    <n v="19.82499999999709"/>
    <x v="1"/>
    <x v="1"/>
  </r>
  <r>
    <s v="Requisição de Serviços"/>
    <s v="CTXFORBM-342164"/>
    <s v="Projeto - Crescimento de 43 p.a's para a Blindagem Oi Total 3p (multiprodutos)"/>
    <m/>
    <s v="Oi "/>
    <s v=" Retenção"/>
    <x v="62"/>
    <s v="Lisandra Pereira do Nascimento"/>
    <x v="1"/>
    <d v="2015-12-18T15:28:00"/>
    <d v="2016-01-07T11:13:00"/>
    <n v="19.822916666671517"/>
    <x v="1"/>
    <x v="1"/>
  </r>
  <r>
    <s v="Requisição de Serviços"/>
    <s v="CTXFORBM-342163"/>
    <s v="Projeto - Crescimento de 14 p.a's para o Receptivo OCT"/>
    <m/>
    <s v="Oi "/>
    <s v=" Retenção"/>
    <x v="62"/>
    <s v="Lisandra Pereira do Nascimento"/>
    <x v="1"/>
    <d v="2015-12-18T15:26:00"/>
    <d v="2016-01-07T10:53:00"/>
    <n v="19.810416666667152"/>
    <x v="1"/>
    <x v="1"/>
  </r>
  <r>
    <s v="Requisição de Serviços"/>
    <s v="CTXFORBM-342162"/>
    <s v="Projeto - Crescimento de 6 p.as para o Receptivo Pós"/>
    <m/>
    <s v="Contax "/>
    <s v=" Dir. Oi"/>
    <x v="62"/>
    <s v="Lisandra Pereira do Nascimento"/>
    <x v="1"/>
    <d v="2015-12-18T15:25:00"/>
    <d v="2016-01-07T10:50:00"/>
    <n v="19.809027777781012"/>
    <x v="1"/>
    <x v="1"/>
  </r>
  <r>
    <s v="Requisição de Serviços"/>
    <s v="CTXFORBM-342161"/>
    <s v="Projeto - Crescimento de 9 p.a's para o B.O Mobilidade"/>
    <m/>
    <s v="Oi "/>
    <s v=" Retenção"/>
    <x v="62"/>
    <s v="Lisandra Pereira do Nascimento"/>
    <x v="1"/>
    <d v="2015-12-18T15:24:00"/>
    <d v="2016-01-07T10:46:00"/>
    <n v="19.806944444440887"/>
    <x v="1"/>
    <x v="1"/>
  </r>
  <r>
    <s v="Requisição de Serviços"/>
    <s v="CTXFORBM-342159"/>
    <s v="Projeto - Crescimento de 27 p.a's para o receptivo Controle"/>
    <m/>
    <s v="Oi "/>
    <s v=" Retenção"/>
    <x v="62"/>
    <s v="Lisandra Pereira do Nascimento"/>
    <x v="1"/>
    <d v="2015-12-18T15:22:00"/>
    <d v="2016-01-07T10:44:00"/>
    <n v="19.806944444448163"/>
    <x v="1"/>
    <x v="1"/>
  </r>
  <r>
    <s v="Requisição de Serviços"/>
    <s v="CTXFORBM-341752"/>
    <s v="Projeto - Incluir fleg DACC no Tcollect da Retenção Invol"/>
    <m/>
    <s v="Oi "/>
    <s v=" Retenção"/>
    <x v="61"/>
    <s v="Cristiano Fernandes Melo"/>
    <x v="1"/>
    <d v="2015-12-16T18:58:00"/>
    <d v="2016-01-14T14:55:00"/>
    <n v="28.83125000000291"/>
    <x v="1"/>
    <x v="1"/>
  </r>
  <r>
    <s v="Requisição de Serviços"/>
    <s v="CTXFORBM-339448"/>
    <s v="Projeto - &quot;Implantação Blindagem Oi Total 2P&quot;"/>
    <m/>
    <s v="Oi "/>
    <s v=" Retenção"/>
    <x v="63"/>
    <s v="José Perboyre Cavalcante Pinheiro Neto"/>
    <x v="1"/>
    <d v="2015-12-08T19:14:00"/>
    <d v="2016-01-14T14:47:00"/>
    <n v="36.814583333332848"/>
    <x v="1"/>
    <x v="1"/>
  </r>
  <r>
    <s v="Requisição de Serviços"/>
    <s v="CTXFORBM-335280"/>
    <s v="Projeto - Alteração no fluxo de carga"/>
    <m/>
    <s v="Oi "/>
    <s v=" Retenção"/>
    <x v="64"/>
    <s v="Lucas Lourenco de Melo"/>
    <x v="1"/>
    <d v="2015-11-20T17:56:00"/>
    <d v="2015-12-14T18:32:00"/>
    <n v="24.025000000001455"/>
    <x v="2"/>
    <x v="1"/>
  </r>
  <r>
    <s v="Requisição de Serviços"/>
    <s v="CTXFORBM-335279"/>
    <s v="Projeto - Ajuste no processamento de carga"/>
    <m/>
    <s v="Oi "/>
    <s v=" Retenção"/>
    <x v="1"/>
    <s v="Lucas Lourenco de Melo"/>
    <x v="0"/>
    <d v="2015-11-20T17:49:00"/>
    <m/>
    <n v="101.25763888889196"/>
    <x v="2"/>
    <x v="1"/>
  </r>
  <r>
    <s v="Requisição de Serviços"/>
    <s v="CTXFORBM-335112"/>
    <s v="Projeto - Ura de Pesquisa Retenção Oi Total"/>
    <m/>
    <s v="Oi "/>
    <s v=" Retenção"/>
    <x v="65"/>
    <s v="Sterlaine Priscila Araujo Gomes"/>
    <x v="1"/>
    <d v="2015-11-20T08:34:00"/>
    <d v="2016-01-14T14:55:00"/>
    <n v="55.264583333337214"/>
    <x v="2"/>
    <x v="1"/>
  </r>
  <r>
    <s v="Requisição de Serviços"/>
    <s v="CTXFORBM-333926"/>
    <s v="Projeto - OCT Madrugada - Atendimento Fibra e 4P"/>
    <m/>
    <s v="Oi "/>
    <s v=" Retenção"/>
    <x v="64"/>
    <s v="Lucas Lourenco de Melo"/>
    <x v="1"/>
    <d v="2015-11-16T09:43:00"/>
    <d v="2016-01-12T12:36:00"/>
    <n v="57.120138888887595"/>
    <x v="2"/>
    <x v="1"/>
  </r>
  <r>
    <s v="Requisição de Serviços"/>
    <s v="CTXFORBM-332803"/>
    <s v="Projeto - Processo 2ª via TV"/>
    <m/>
    <s v="Oi "/>
    <s v=" Retenção"/>
    <x v="64"/>
    <s v="Lucas Lourenco de Melo"/>
    <x v="1"/>
    <d v="2015-11-10T13:09:00"/>
    <d v="2016-01-14T14:58:00"/>
    <n v="65.075694444443798"/>
    <x v="2"/>
    <x v="1"/>
  </r>
  <r>
    <s v="Requisição de Serviços"/>
    <s v="CTXFORBM-332092"/>
    <s v="Projeto - &quot;Implantação de NBA na Retenção Mobilidade OCT e Pós&quot;"/>
    <m/>
    <s v="Oi "/>
    <s v=" Retenção"/>
    <x v="29"/>
    <s v="David Lima Cavalcante"/>
    <x v="0"/>
    <d v="2015-11-06T15:08:00"/>
    <m/>
    <n v="115.36944444444089"/>
    <x v="2"/>
    <x v="1"/>
  </r>
  <r>
    <s v="Requisição de Serviços"/>
    <s v="CTXFORBM-326935"/>
    <s v="Projeto - Projeto - Limpeza de Base (Faturas ativas &gt; 199 dias) RETENÇÃO INVOL FIXA e MOVEL"/>
    <m/>
    <s v="Oi "/>
    <s v=" Retenção"/>
    <x v="61"/>
    <s v="Cristiano Fernandes Melo"/>
    <x v="1"/>
    <d v="2015-10-14T14:36:00"/>
    <d v="2016-01-14T14:56:00"/>
    <n v="92.013888888890506"/>
    <x v="3"/>
    <x v="1"/>
  </r>
  <r>
    <s v="Requisição de Serviços"/>
    <s v="CTXFORBM-326889"/>
    <s v="Projeto Implantação NBA_Ilha de Contas Fixo"/>
    <m/>
    <s v="Contax "/>
    <s v=" Ger Produtos SAC"/>
    <x v="22"/>
    <s v="Alexsander Alves Santos"/>
    <x v="0"/>
    <d v="2015-10-14T10:24:00"/>
    <m/>
    <n v="138.5666666666657"/>
    <x v="3"/>
    <x v="1"/>
  </r>
  <r>
    <s v="Requisição de Serviços"/>
    <s v="CTXFORBM-326758"/>
    <s v="Projeto - Projeto - Implantação NBA para Retenção Receita Móvel (OCT e Pós Pago)"/>
    <m/>
    <s v="Oi "/>
    <s v=" Retenção"/>
    <x v="4"/>
    <s v="Cristiano Fernandes Melo"/>
    <x v="2"/>
    <d v="2015-10-13T17:56:00"/>
    <m/>
    <n v="139.25277777777956"/>
    <x v="3"/>
    <x v="1"/>
  </r>
  <r>
    <s v="Requisição de Serviços"/>
    <s v="CTXFORBM-326194"/>
    <s v="Projeto - Projeto - JOB BO"/>
    <m/>
    <s v="Oi "/>
    <s v=" Retenção"/>
    <x v="63"/>
    <s v="José Perboyre Cavalcante Pinheiro Neto"/>
    <x v="1"/>
    <d v="2015-10-09T14:56:00"/>
    <d v="2016-01-14T14:56:00"/>
    <n v="97"/>
    <x v="3"/>
    <x v="1"/>
  </r>
  <r>
    <s v="Requisição de Serviços"/>
    <s v="CTXFORBM-324853"/>
    <s v="Projeto - Projeto - Gravações Oi atende (Lojas) Fixo e Velox"/>
    <m/>
    <s v="Oi "/>
    <s v=" Retenção"/>
    <x v="22"/>
    <s v="José Perboyre Cavalcante Pinheiro Neto"/>
    <x v="0"/>
    <d v="2015-10-05T10:17:00"/>
    <m/>
    <n v="147.5715277777781"/>
    <x v="3"/>
    <x v="1"/>
  </r>
  <r>
    <s v="Requisição de Serviços"/>
    <s v="CTXFORBM-323275"/>
    <s v="Projeto - Projeto"/>
    <m/>
    <s v="Oi "/>
    <s v=" Retenção"/>
    <x v="22"/>
    <s v="José Perboyre Cavalcante Pinheiro Neto"/>
    <x v="5"/>
    <d v="2015-09-29T11:00:00"/>
    <m/>
    <n v="153.54166666666424"/>
    <x v="4"/>
    <x v="1"/>
  </r>
  <r>
    <s v="Requisição de Serviços"/>
    <s v="CTXFORBM-322363"/>
    <s v="Projeto - Projeto - Implantação NBA para Retenção Receita TV e ofertas Multiprodutos"/>
    <m/>
    <s v="Oi "/>
    <s v=" Retenção"/>
    <x v="61"/>
    <s v="Cristiano Fernandes Melo"/>
    <x v="1"/>
    <d v="2015-09-23T17:52:00"/>
    <d v="2016-01-27T10:25:00"/>
    <n v="125.68958333334012"/>
    <x v="4"/>
    <x v="1"/>
  </r>
  <r>
    <s v="Requisição de Serviços"/>
    <s v="CTXFORBM-322126"/>
    <s v="Projeto - Projeto Simulador Retenção Involuntária"/>
    <m/>
    <s v="Oi "/>
    <s v=" Retenção"/>
    <x v="22"/>
    <s v="Alexandre Teixeira de Pinho"/>
    <x v="6"/>
    <d v="2015-09-22T18:52:00"/>
    <m/>
    <n v="160.2138888888876"/>
    <x v="4"/>
    <x v="1"/>
  </r>
  <r>
    <s v="Requisição de Serviços"/>
    <s v="CTXFORBM-321509"/>
    <s v="Projeto - Projeto - Criação de operação 4p na blindagem"/>
    <m/>
    <s v="Contax "/>
    <s v=" Dir. Oi"/>
    <x v="62"/>
    <s v="Lisandra Pereira do Nascimento"/>
    <x v="1"/>
    <d v="2015-09-18T18:21:00"/>
    <d v="2016-01-12T21:09:00"/>
    <n v="116.11666666666861"/>
    <x v="4"/>
    <x v="1"/>
  </r>
  <r>
    <s v="Requisição de Serviços"/>
    <s v="CTXFORBM-321427"/>
    <s v="Projeto - Ferramenta de Automação UNIFIC"/>
    <m/>
    <s v="Contax "/>
    <s v=" Ger Produtos SAC"/>
    <x v="22"/>
    <s v="Alexsander Alves Santos"/>
    <x v="2"/>
    <d v="2015-09-18T13:54:00"/>
    <m/>
    <n v="164.42083333332994"/>
    <x v="4"/>
    <x v="1"/>
  </r>
  <r>
    <s v="Requisição de Serviços"/>
    <s v="CTXFORBM-320922"/>
    <s v="Projeto - Projeto - alteração no fluxo de envio do arquivo de retorno TLV / ASPECT"/>
    <m/>
    <s v="Oi "/>
    <s v=" Retenção"/>
    <x v="22"/>
    <s v="David Lima Cavalcante"/>
    <x v="0"/>
    <d v="2015-09-16T12:25:00"/>
    <m/>
    <n v="166.48263888889051"/>
    <x v="4"/>
    <x v="1"/>
  </r>
  <r>
    <s v="Requisição de Serviços"/>
    <s v="CTXFORBM-320915"/>
    <s v="Projeto - Projeto - Alteração questionário motivo não pagamento retenção invol TV"/>
    <m/>
    <e v="#N/A"/>
    <e v="#N/A"/>
    <x v="61"/>
    <s v="Cristiano Fernandes Melo"/>
    <x v="1"/>
    <d v="2015-09-16T11:54:00"/>
    <d v="2015-12-14T18:34:00"/>
    <n v="89.277777777773736"/>
    <x v="4"/>
    <x v="1"/>
  </r>
  <r>
    <s v="Requisição de Serviços"/>
    <s v="CTXFORBM-320345"/>
    <s v="Projeto - Projeto"/>
    <m/>
    <s v="Oi "/>
    <s v=" Retenção"/>
    <x v="63"/>
    <s v="José Perboyre Cavalcante Pinheiro Neto"/>
    <x v="1"/>
    <d v="2015-09-14T10:14:00"/>
    <d v="2016-01-14T14:56:00"/>
    <n v="122.19583333333139"/>
    <x v="4"/>
    <x v="1"/>
  </r>
  <r>
    <s v="Requisição de Serviços"/>
    <s v="CTXFORBM-319828"/>
    <s v="Projeto - Projeto - integração de saída X arquivo de retorno blindagem residencial"/>
    <m/>
    <s v="Oi "/>
    <s v=" Retenção"/>
    <x v="4"/>
    <s v="David Lima Cavalcante"/>
    <x v="2"/>
    <d v="2015-09-10T17:40:00"/>
    <m/>
    <n v="172.26388888889051"/>
    <x v="4"/>
    <x v="1"/>
  </r>
  <r>
    <s v="Requisição de Serviços"/>
    <s v="CTXFORBM-314772"/>
    <s v="Projeto - Projeto Simulador Pós e OCT Ilha de Migração"/>
    <m/>
    <s v="Oi "/>
    <s v=" Retenção"/>
    <x v="22"/>
    <s v="Alexandre Teixeira de Pinho"/>
    <x v="5"/>
    <d v="2015-08-18T20:28:00"/>
    <m/>
    <n v="195.1472222222219"/>
    <x v="10"/>
    <x v="1"/>
  </r>
  <r>
    <s v="Requisição de Serviços"/>
    <s v="CTXFORBM-313079"/>
    <s v="Projeto - Projeto - Receptivo Refidelização"/>
    <m/>
    <s v="Contax "/>
    <s v=" Dir. Oi"/>
    <x v="62"/>
    <s v="Lisandra Pereira do Nascimento"/>
    <x v="1"/>
    <d v="2015-08-11T16:02:00"/>
    <d v="2015-12-18T10:45:00"/>
    <n v="128.77986111110658"/>
    <x v="10"/>
    <x v="1"/>
  </r>
  <r>
    <s v="Requisição de Serviços"/>
    <s v="CTXFORBM-307164"/>
    <s v="Projeto - Projeto -"/>
    <m/>
    <s v="Contax "/>
    <s v=" Dir. Oi"/>
    <x v="1"/>
    <s v="Lisandra Pereira do Nascimento"/>
    <x v="5"/>
    <d v="2015-07-17T16:52:00"/>
    <m/>
    <n v="227.29722222222335"/>
    <x v="5"/>
    <x v="1"/>
  </r>
  <r>
    <s v="Requisição de Serviços"/>
    <s v="CTXFORBM-304805"/>
    <s v="Projeto - Processo Indevido_BO Mobilidade"/>
    <m/>
    <s v="Oi "/>
    <s v=" Retenção"/>
    <x v="64"/>
    <s v="Lucas Lourenco de Melo"/>
    <x v="1"/>
    <d v="2015-07-08T14:37:00"/>
    <d v="2016-01-15T17:04:00"/>
    <n v="191.10208333333139"/>
    <x v="5"/>
    <x v="1"/>
  </r>
  <r>
    <s v="Requisição de Serviços"/>
    <s v="CTXFORBM-302024"/>
    <s v="Projeto - Implantação ferramenta NBA (Piloto)_Ilha de contas Fixo"/>
    <m/>
    <s v="Contax "/>
    <s v=" Ger Produtos SAC"/>
    <x v="22"/>
    <s v="Alexsander Alves Santos"/>
    <x v="6"/>
    <d v="2015-06-30T17:44:00"/>
    <m/>
    <n v="244.26111111111095"/>
    <x v="6"/>
    <x v="1"/>
  </r>
  <r>
    <s v="Requisição de Serviços"/>
    <s v="CTXFORBM-300174"/>
    <s v="Projeto - Projeto - SINN Portabilidade"/>
    <m/>
    <s v="Oi "/>
    <s v=" Retenção"/>
    <x v="63"/>
    <s v="José Perboyre Cavalcante Pinheiro Neto"/>
    <x v="1"/>
    <d v="2015-06-23T15:49:00"/>
    <d v="2016-01-14T14:57:00"/>
    <n v="204.9638888888876"/>
    <x v="6"/>
    <x v="1"/>
  </r>
  <r>
    <s v="Requisição de Serviços"/>
    <s v="CTXFORBM-298953"/>
    <s v="Projeto - Projeto Ajustes Simulador Pós X Pré"/>
    <m/>
    <s v="Oi "/>
    <s v=" Retenção"/>
    <x v="66"/>
    <s v="Alexandre Teixeira de Pinho"/>
    <x v="1"/>
    <d v="2015-06-17T15:45:00"/>
    <d v="2016-02-02T10:11:00"/>
    <n v="229.7680555555562"/>
    <x v="6"/>
    <x v="1"/>
  </r>
  <r>
    <s v="Requisição de Serviços"/>
    <s v="CTXFORBM-294169"/>
    <s v="Projeto - Servidores - Itau"/>
    <m/>
    <s v="Itaú "/>
    <s v=" Atendimento Financeiras"/>
    <x v="22"/>
    <s v="Joice Pereira De Souza"/>
    <x v="2"/>
    <d v="2015-05-28T17:11:00"/>
    <m/>
    <n v="277.28402777777956"/>
    <x v="7"/>
    <x v="1"/>
  </r>
  <r>
    <s v="Requisição de Serviços"/>
    <s v="CTXFORBM-292807"/>
    <s v="Projeto - Projeto - Guia/Simulador Pós [Substituição dos links do Canal Contax pelo Oi Atende]"/>
    <m/>
    <s v="Oi "/>
    <s v=" Retenção"/>
    <x v="0"/>
    <s v="Cristiano Fernandes Melo"/>
    <x v="4"/>
    <d v="2015-05-22T15:14:00"/>
    <m/>
    <n v="283.36527777777519"/>
    <x v="7"/>
    <x v="1"/>
  </r>
  <r>
    <s v="Requisição de Serviços"/>
    <s v="CTXFORBM-291757"/>
    <s v="Projeto - Projeto - SISGO"/>
    <m/>
    <s v="Oi "/>
    <s v=" Retenção"/>
    <x v="22"/>
    <s v="José Perboyre Cavalcante Pinheiro Neto"/>
    <x v="2"/>
    <d v="2015-05-18T15:08:00"/>
    <m/>
    <n v="287.36944444444089"/>
    <x v="7"/>
    <x v="1"/>
  </r>
  <r>
    <s v="Requisição de Serviços"/>
    <s v="CTXFORBM-288081"/>
    <s v="Projeto - Projeto"/>
    <m/>
    <s v="Oi "/>
    <s v=" Retenção"/>
    <x v="67"/>
    <s v="Sterlaine Priscila Araujo Gomes"/>
    <x v="4"/>
    <d v="2015-04-30T13:44:00"/>
    <m/>
    <n v="305.42777777777519"/>
    <x v="8"/>
    <x v="1"/>
  </r>
  <r>
    <s v="Requisição de Serviços"/>
    <s v="CTXFORBM-288047"/>
    <s v="Projeto - Projeto - Blended Blindagem Refidelização"/>
    <m/>
    <s v="Oi "/>
    <s v=" Retenção"/>
    <x v="68"/>
    <s v="David Lima Cavalcante"/>
    <x v="1"/>
    <d v="2015-04-30T12:38:00"/>
    <d v="2016-01-14T14:57:00"/>
    <n v="259.09652777777956"/>
    <x v="8"/>
    <x v="1"/>
  </r>
  <r>
    <s v="Requisição de Serviços"/>
    <s v="CTXFORBM-287648"/>
    <s v="Projeto - Projeto - Ajuste BO Strategy"/>
    <m/>
    <s v="Oi "/>
    <s v=" Retenção"/>
    <x v="22"/>
    <s v="David Lima Cavalcante"/>
    <x v="2"/>
    <d v="2015-04-29T10:32:00"/>
    <m/>
    <n v="306.56111111111386"/>
    <x v="8"/>
    <x v="1"/>
  </r>
  <r>
    <s v="Requisição de Serviços"/>
    <s v="CTXFORBM-270660"/>
    <s v="Projeto - Projeto"/>
    <m/>
    <s v="Oi "/>
    <s v=" Retenção Oi Controle"/>
    <x v="23"/>
    <s v="Alexandre Teixeira de Pinho"/>
    <x v="5"/>
    <d v="2015-02-20T15:13:00"/>
    <m/>
    <n v="374.3659722222219"/>
    <x v="9"/>
    <x v="1"/>
  </r>
  <r>
    <s v="Requisição de Serviços"/>
    <s v="CTXFORBM-235310"/>
    <s v="Projeto - Segmentação OCT e TV"/>
    <m/>
    <s v="Oi "/>
    <s v=" Retenção"/>
    <x v="4"/>
    <s v="Emanuele Carvalho Ferreira Freitas"/>
    <x v="2"/>
    <d v="2014-09-17T17:00:00"/>
    <m/>
    <n v="530.29166666666424"/>
    <x v="4"/>
    <x v="2"/>
  </r>
  <r>
    <s v="Requisição de Serviços"/>
    <s v="CTXCTCRA-17222"/>
    <s v="Projeto - Projeto"/>
    <m/>
    <s v="TAM "/>
    <s v=" Reservas"/>
    <x v="69"/>
    <s v="Janaina Bossan"/>
    <x v="1"/>
    <d v="2015-07-21T09:22:00"/>
    <d v="2016-01-27T14:56:00"/>
    <n v="190.2319444444438"/>
    <x v="5"/>
    <x v="1"/>
  </r>
  <r>
    <s v="Requisição de Serviços"/>
    <s v="CTXCASEK-1594"/>
    <s v="Projeto - Alteração do endereçamento IP do CRC e Sede para o padrão utilizado pela Elektro"/>
    <m/>
    <s v="ELEKTRO "/>
    <s v=" ELEKTRO"/>
    <x v="1"/>
    <s v="Alexandre Magno Pereira da Silva"/>
    <x v="0"/>
    <d v="2015-12-04T11:27:00"/>
    <m/>
    <n v="87.522916666668607"/>
    <x v="1"/>
    <x v="1"/>
  </r>
  <r>
    <s v="Requisição de Serviços"/>
    <s v="CTXCASEK-1593"/>
    <s v="Projeto - Alteração do range de IPs Call Center e Sede corporativa"/>
    <m/>
    <s v="ELEKTRO "/>
    <s v=" ELEKTRO"/>
    <x v="1"/>
    <s v="Alexandre Magno Pereira da Silva"/>
    <x v="0"/>
    <d v="2015-12-04T11:12:00"/>
    <m/>
    <n v="87.533333333332848"/>
    <x v="1"/>
    <x v="1"/>
  </r>
  <r>
    <s v="Requisição de Serviços"/>
    <s v="CTXCASEK-1528"/>
    <s v="Projeto - &quot;Por favor, usuário, utilizar este campo para informar o nome do Projeto&quot;"/>
    <m/>
    <s v="ELEKTRO "/>
    <s v=" ELEKTRO"/>
    <x v="1"/>
    <s v="Alexandre Magno Pereira da Silva"/>
    <x v="0"/>
    <d v="2015-11-04T11:06:00"/>
    <m/>
    <n v="117.53749999999854"/>
    <x v="2"/>
    <x v="1"/>
  </r>
  <r>
    <s v="Requisição de Serviços"/>
    <s v="CTXCASEK-1359"/>
    <s v="Projeto - Interligação SIP PABX Cisco x PABX Avaya"/>
    <m/>
    <s v="ELEKTRO "/>
    <s v=" ELEKTRO"/>
    <x v="22"/>
    <s v="Alexandre Magno Pereira da Silva"/>
    <x v="2"/>
    <d v="2015-06-18T17:01:00"/>
    <m/>
    <n v="256.29097222222481"/>
    <x v="6"/>
    <x v="1"/>
  </r>
  <r>
    <s v="Requisição de Serviços"/>
    <s v="CTXCASEK-1292"/>
    <s v="Projeto - Gravação de tela cliente Elektro"/>
    <m/>
    <s v="ELEKTRO "/>
    <s v=" ELEKTRO"/>
    <x v="1"/>
    <s v="Alexandre Magno Pereira da Silva"/>
    <x v="2"/>
    <d v="2015-05-28T16:33:00"/>
    <m/>
    <n v="277.31041666666715"/>
    <x v="7"/>
    <x v="1"/>
  </r>
  <r>
    <s v="Requisição de Serviços"/>
    <s v="CTXBHZRP-217559"/>
    <s v="Projeto Automações OI | RTI - ABERTURA E FECHAMENTO DE CONTESTAÇÃO (G1)"/>
    <m/>
    <s v="Contax "/>
    <s v=" Dir. Oi"/>
    <x v="21"/>
    <s v="Wagner Mattos Ribeiro Pinto"/>
    <x v="5"/>
    <d v="2016-02-03T14:47:00"/>
    <m/>
    <n v="26.384027777778101"/>
    <x v="9"/>
    <x v="0"/>
  </r>
  <r>
    <s v="Requisição de Serviços"/>
    <s v="CTXBHZRP-217019"/>
    <s v="Projeto - &quot;Por favor, usuário, utilizar este campo para informar o nome do Projeto&quot;"/>
    <m/>
    <s v="Contax "/>
    <s v=" Dir. Oi"/>
    <x v="29"/>
    <s v="Livia de Deus Henriques Rodrigues"/>
    <x v="0"/>
    <d v="2015-11-12T09:39:00"/>
    <m/>
    <n v="109.5979166666657"/>
    <x v="2"/>
    <x v="1"/>
  </r>
  <r>
    <s v="Requisição de Serviços"/>
    <s v="CTXBHZRI-98120"/>
    <s v="Implantação de Front Fácil na célula de Fraude (1º nível)"/>
    <m/>
    <s v="Oi "/>
    <s v=" Cobrança"/>
    <x v="0"/>
    <s v="Tatiane Rodrigues Dallecrode"/>
    <x v="0"/>
    <d v="2016-02-12T11:33:00"/>
    <m/>
    <n v="17.51875000000291"/>
    <x v="9"/>
    <x v="0"/>
  </r>
  <r>
    <s v="Requisição de Serviços"/>
    <s v="CTXBHZRI-98067"/>
    <s v="Projeto - Implantar tCollect!+Aspect Operação - Escob OI TV"/>
    <m/>
    <s v="Oi "/>
    <s v=" Cobrança"/>
    <x v="0"/>
    <s v="Fabricio Hinein Peixoto Guimaraes"/>
    <x v="0"/>
    <d v="2016-02-11T09:34:00"/>
    <m/>
    <n v="18.601388888891961"/>
    <x v="9"/>
    <x v="0"/>
  </r>
  <r>
    <s v="Requisição de Serviços"/>
    <s v="CTXBHZRI-98066"/>
    <s v="Projeto - Implantar tCollect!+Aspect Operação - CD R2"/>
    <m/>
    <s v="Oi "/>
    <s v=" Cobrança"/>
    <x v="0"/>
    <s v="Fabricio Hinein Peixoto Guimaraes"/>
    <x v="0"/>
    <d v="2016-02-11T09:32:00"/>
    <m/>
    <n v="18.602777777778101"/>
    <x v="9"/>
    <x v="0"/>
  </r>
  <r>
    <s v="Requisição de Serviços"/>
    <s v="CTXBHZRI-98065"/>
    <s v="Projeto - &quot;Por favor, usuário, utilizar este campo para informar o nome do Projeto&quot;"/>
    <m/>
    <s v="Oi "/>
    <s v=" Cobrança"/>
    <x v="0"/>
    <s v="Fabricio Hinein Peixoto Guimaraes"/>
    <x v="0"/>
    <d v="2016-02-11T09:29:00"/>
    <m/>
    <n v="18.604861111110949"/>
    <x v="9"/>
    <x v="0"/>
  </r>
  <r>
    <s v="Requisição de Serviços"/>
    <s v="CTXBHZRI-97664"/>
    <s v="Novos Arquivos de Atualização R1 Fixa"/>
    <m/>
    <s v="Oi "/>
    <s v=" Retenção Empresarial"/>
    <x v="0"/>
    <s v="Tatiane Rodrigues Dallecrode"/>
    <x v="0"/>
    <d v="2016-01-28T14:25:00"/>
    <m/>
    <n v="32.399305555554747"/>
    <x v="0"/>
    <x v="0"/>
  </r>
  <r>
    <s v="Requisição de Serviços"/>
    <s v="CTXBHZRI-96230"/>
    <s v="Projeto - &quot;Migração Corporativo B2B&quot;"/>
    <m/>
    <s v="Contax "/>
    <s v=" Dir. Oi"/>
    <x v="1"/>
    <s v="Jill Ullmann Ortiz"/>
    <x v="0"/>
    <d v="2015-12-18T18:16:00"/>
    <m/>
    <n v="73.238888888889051"/>
    <x v="1"/>
    <x v="1"/>
  </r>
  <r>
    <s v="Requisição de Serviços"/>
    <s v="CTXBHZRI-95756"/>
    <s v="Projeto - &quot;Arquivo de Retorno&quot;"/>
    <m/>
    <s v="Contax "/>
    <s v=" Dir. Oi"/>
    <x v="1"/>
    <s v="Jill Ullmann Ortiz"/>
    <x v="0"/>
    <d v="2015-12-02T20:21:00"/>
    <m/>
    <n v="89.152083333334303"/>
    <x v="1"/>
    <x v="1"/>
  </r>
  <r>
    <s v="Requisição de Serviços"/>
    <s v="CTXBHZRI-94988"/>
    <s v="Mudança de Andar das PA's VIP 5 (5 PA's + 1 supervisor)"/>
    <m/>
    <s v="Oi "/>
    <s v=" Back Office"/>
    <x v="70"/>
    <s v="Luciana Aparecida Muniz Gon�alves"/>
    <x v="1"/>
    <d v="2015-11-13T12:11:00"/>
    <d v="2015-12-17T14:01:00"/>
    <n v="34.07638888888323"/>
    <x v="2"/>
    <x v="1"/>
  </r>
  <r>
    <s v="Requisição de Serviços"/>
    <s v="CTXBHZRI-94859"/>
    <s v="Projeto - Implantar TCollect / Aspect: Escob R2, CD R2 e CD Móvel"/>
    <m/>
    <s v="Contax "/>
    <s v=" Dir. Oi"/>
    <x v="29"/>
    <s v="Elaine Fortunato da Silva"/>
    <x v="0"/>
    <d v="2015-11-10T18:50:00"/>
    <m/>
    <n v="111.21527777778101"/>
    <x v="2"/>
    <x v="1"/>
  </r>
  <r>
    <s v="Requisição de Serviços"/>
    <s v="CTXBHZRI-94837"/>
    <s v="Projeto - Projeto: Migração da URA do Hotline Empresarial (0800 280 3120) p/ ambiente NGR"/>
    <m/>
    <s v="Contax "/>
    <s v=" Dir. Oi"/>
    <x v="29"/>
    <s v="Leonardo Pellegrini Vieira"/>
    <x v="0"/>
    <d v="2015-11-10T11:57:00"/>
    <m/>
    <n v="111.50208333333285"/>
    <x v="2"/>
    <x v="1"/>
  </r>
  <r>
    <s v="Requisição de Serviços"/>
    <s v="CTXBHZRI-93377"/>
    <s v="Projeto_OI TV ESCOB _2ª VIA E-MAIL"/>
    <m/>
    <s v="Contax "/>
    <s v=" Ger Estratégia e Análise"/>
    <x v="22"/>
    <s v="Erickson Madsen Ferreira Medeiros"/>
    <x v="5"/>
    <d v="2015-09-29T09:02:00"/>
    <m/>
    <n v="153.62361111111386"/>
    <x v="4"/>
    <x v="1"/>
  </r>
  <r>
    <s v="Requisição de Serviços"/>
    <s v="CTXBHZRI-92004"/>
    <s v="Projeto - Projeto"/>
    <m/>
    <s v="Contax "/>
    <s v=" Dir. Oi"/>
    <x v="71"/>
    <s v="Leonardo Pellegrini Vieira"/>
    <x v="1"/>
    <d v="2015-08-21T18:19:00"/>
    <d v="2016-02-01T13:27:00"/>
    <n v="163.79722222222335"/>
    <x v="10"/>
    <x v="1"/>
  </r>
  <r>
    <s v="Requisição de Serviços"/>
    <s v="CTXBHZRI-89940"/>
    <s v="Projeto - Implantação do TCollect para a operação CD"/>
    <m/>
    <s v="Oi "/>
    <s v=" Cobrança"/>
    <x v="49"/>
    <s v="Tatiane Rodrigues Dallecrode"/>
    <x v="1"/>
    <d v="2015-07-01T17:45:00"/>
    <d v="2016-01-29T11:37:00"/>
    <n v="211.74444444444089"/>
    <x v="5"/>
    <x v="1"/>
  </r>
  <r>
    <s v="Requisição de Serviços"/>
    <s v="CTXBHZRI-87861"/>
    <s v="Projeto - Projeto"/>
    <m/>
    <s v="Contax "/>
    <s v=" Ger Segurança Patrimonial"/>
    <x v="22"/>
    <s v="Walternei Aparecido Pizii"/>
    <x v="2"/>
    <d v="2015-05-18T16:55:00"/>
    <m/>
    <n v="287.29513888889051"/>
    <x v="7"/>
    <x v="1"/>
  </r>
  <r>
    <s v="Requisição de Serviços"/>
    <s v="CTXBHZRI-87549"/>
    <s v="Projeto - Projeto"/>
    <m/>
    <s v="Contax "/>
    <s v=" Ger Governança de TI"/>
    <x v="12"/>
    <s v="Cleonice de Andrade Oliveira Ferreira"/>
    <x v="2"/>
    <d v="2015-05-12T18:51:00"/>
    <m/>
    <n v="293.2145833333343"/>
    <x v="7"/>
    <x v="1"/>
  </r>
  <r>
    <s v="Requisição de Serviços"/>
    <s v="CTXBHZRI-84138"/>
    <s v="Projeto - Projeto"/>
    <m/>
    <s v="Oi "/>
    <s v=" Outras Atividades"/>
    <x v="72"/>
    <s v="Elaine Cristina Ferreira"/>
    <x v="1"/>
    <d v="2015-03-13T10:45:00"/>
    <d v="2015-12-17T13:41:00"/>
    <n v="279.12222222222772"/>
    <x v="11"/>
    <x v="1"/>
  </r>
  <r>
    <s v="Requisição de Serviços"/>
    <s v="CTXBHZRI-82191"/>
    <s v="Projeto - Projeto- Macro AT-IT (Fornecedor PGR SOFT)"/>
    <m/>
    <s v="Oi "/>
    <s v=" Outras Atividades"/>
    <x v="72"/>
    <s v="Elaine Cristina Ferreira"/>
    <x v="1"/>
    <d v="2015-01-27T16:14:00"/>
    <d v="2015-12-17T14:09:00"/>
    <n v="323.91319444444525"/>
    <x v="0"/>
    <x v="1"/>
  </r>
  <r>
    <s v="Requisição de Serviços"/>
    <s v="CTXBHZRI-82119"/>
    <s v="Projeto - Projeto- TLV Blended"/>
    <m/>
    <s v="Oi "/>
    <s v=" Outras Atividades"/>
    <x v="4"/>
    <s v="Elaine Cristina Ferreira"/>
    <x v="4"/>
    <d v="2015-01-26T17:39:00"/>
    <m/>
    <n v="399.26458333332994"/>
    <x v="0"/>
    <x v="1"/>
  </r>
  <r>
    <s v="Requisição de Serviços"/>
    <s v="CTXBHZRI-75393"/>
    <s v="Projeto - Macro Mailing"/>
    <m/>
    <s v="Oi "/>
    <s v=" Varejo"/>
    <x v="72"/>
    <s v="Elaine Cristina Ferreira"/>
    <x v="1"/>
    <d v="2014-08-11T13:59:00"/>
    <d v="2015-12-17T14:02:00"/>
    <n v="493.00208333333285"/>
    <x v="10"/>
    <x v="2"/>
  </r>
  <r>
    <s v="Requisição de Serviços"/>
    <s v="CLIORBSAN-131"/>
    <s v="Projeto - &quot;Substituição da MPLS Contax pela MPLS Orbitall&quot;"/>
    <m/>
    <s v="Orbitall "/>
    <s v=" Caixa Cobrança SP"/>
    <x v="47"/>
    <s v="Fernando Silva Oliveira"/>
    <x v="0"/>
    <d v="2016-02-12T15:16:00"/>
    <m/>
    <n v="17.363888888889051"/>
    <x v="9"/>
    <x v="0"/>
  </r>
  <r>
    <s v="Requisição de Serviços"/>
    <s v="CLIORBCG-397"/>
    <s v="Desenvolver e disponibilizar a ferramenta do tSupervisor"/>
    <m/>
    <s v="Orbitall "/>
    <s v=" Bonsucesso"/>
    <x v="47"/>
    <s v="Juliana Souza de Moraes"/>
    <x v="0"/>
    <d v="2015-12-03T17:59:00"/>
    <m/>
    <n v="88.250694444446708"/>
    <x v="1"/>
    <x v="1"/>
  </r>
  <r>
    <s v="Requisição de Serviços"/>
    <s v="CLIORBCG-240"/>
    <s v="Projeto - Projeto"/>
    <m/>
    <s v="Orbitall "/>
    <s v=" Bonsucesso"/>
    <x v="47"/>
    <s v="Fernando Silva Oliveira"/>
    <x v="0"/>
    <d v="2015-07-29T12:11:00"/>
    <m/>
    <n v="215.49236111110804"/>
    <x v="5"/>
    <x v="1"/>
  </r>
  <r>
    <s v="Requisição de Serviços"/>
    <s v="CLIORBCG-187"/>
    <s v="Projeto - Projeto"/>
    <m/>
    <s v="Orbitall "/>
    <s v=" Bonsucesso"/>
    <x v="0"/>
    <s v="Fernando Silva Oliveira"/>
    <x v="2"/>
    <d v="2015-06-03T18:50:00"/>
    <m/>
    <n v="271.21527777778101"/>
    <x v="6"/>
    <x v="1"/>
  </r>
  <r>
    <s v="Requisição de Serviços"/>
    <s v="CLIORBCG-174"/>
    <s v="Projeto - Projeto"/>
    <m/>
    <s v="Orbitall "/>
    <s v=" Bonsucesso"/>
    <x v="0"/>
    <s v="Juliana Souza de Moraes"/>
    <x v="4"/>
    <d v="2015-05-27T12:18:00"/>
    <m/>
    <n v="278.48750000000291"/>
    <x v="7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1:H26" firstHeaderRow="1" firstDataRow="2" firstDataCol="1"/>
  <pivotFields count="14"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axis="axisCol" showAll="0">
      <items count="8">
        <item x="2"/>
        <item x="5"/>
        <item h="1" x="1"/>
        <item x="6"/>
        <item x="4"/>
        <item x="0"/>
        <item x="3"/>
        <item t="default"/>
      </items>
    </pivotField>
    <pivotField dataField="1" numFmtId="22" showAll="0"/>
    <pivotField showAll="0"/>
    <pivotField numFmtId="164" showAll="0" defaultSubtotal="0"/>
    <pivotField axis="axisRow" showAll="0" defaultSubtotal="0">
      <items count="12">
        <item x="0"/>
        <item x="9"/>
        <item x="11"/>
        <item x="8"/>
        <item x="7"/>
        <item x="6"/>
        <item x="5"/>
        <item x="10"/>
        <item x="4"/>
        <item x="3"/>
        <item x="2"/>
        <item x="1"/>
      </items>
    </pivotField>
    <pivotField axis="axisRow" showAll="0" defaultSubtotal="0">
      <items count="3">
        <item x="2"/>
        <item x="1"/>
        <item x="0"/>
      </items>
    </pivotField>
  </pivotFields>
  <rowFields count="2">
    <field x="13"/>
    <field x="12"/>
  </rowFields>
  <rowItems count="24">
    <i>
      <x/>
    </i>
    <i r="1">
      <x v="4"/>
    </i>
    <i r="1">
      <x v="6"/>
    </i>
    <i r="1">
      <x v="7"/>
    </i>
    <i r="1">
      <x v="8"/>
    </i>
    <i r="1">
      <x v="9"/>
    </i>
    <i r="1">
      <x v="10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2"/>
    </i>
    <i r="1">
      <x/>
    </i>
    <i r="1">
      <x v="1"/>
    </i>
    <i t="grand">
      <x/>
    </i>
  </rowItems>
  <colFields count="1">
    <field x="8"/>
  </colFields>
  <colItems count="7">
    <i>
      <x/>
    </i>
    <i>
      <x v="1"/>
    </i>
    <i>
      <x v="3"/>
    </i>
    <i>
      <x v="4"/>
    </i>
    <i>
      <x v="5"/>
    </i>
    <i>
      <x v="6"/>
    </i>
    <i t="grand">
      <x/>
    </i>
  </colItems>
  <dataFields count="1">
    <dataField name="Contagem de Criado" fld="9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rowHeaderCaption="Responsável">
  <location ref="A47:B80" firstHeaderRow="1" firstDataRow="1" firstDataCol="1" rowPageCount="1" colPageCount="1"/>
  <pivotFields count="14">
    <pivotField showAll="0"/>
    <pivotField showAll="0"/>
    <pivotField showAll="0"/>
    <pivotField showAll="0" defaultSubtotal="0"/>
    <pivotField showAll="0" defaultSubtotal="0"/>
    <pivotField showAll="0" defaultSubtotal="0"/>
    <pivotField axis="axisRow" showAll="0" sortType="descending">
      <items count="74">
        <item x="47"/>
        <item x="20"/>
        <item x="66"/>
        <item x="51"/>
        <item n="Anderson Luiz Gonçalves de Alcantara" x="41"/>
        <item x="43"/>
        <item x="12"/>
        <item x="1"/>
        <item x="7"/>
        <item x="17"/>
        <item n="Cristiane Gonçalves Kuzuhara" x="28"/>
        <item x="61"/>
        <item x="27"/>
        <item x="22"/>
        <item x="68"/>
        <item x="21"/>
        <item x="23"/>
        <item x="72"/>
        <item x="4"/>
        <item x="11"/>
        <item x="53"/>
        <item x="42"/>
        <item x="8"/>
        <item x="54"/>
        <item x="46"/>
        <item x="24"/>
        <item x="45"/>
        <item x="18"/>
        <item x="69"/>
        <item x="37"/>
        <item x="16"/>
        <item x="15"/>
        <item x="26"/>
        <item x="63"/>
        <item x="36"/>
        <item x="67"/>
        <item x="40"/>
        <item x="29"/>
        <item x="38"/>
        <item x="5"/>
        <item x="35"/>
        <item x="71"/>
        <item x="2"/>
        <item x="44"/>
        <item x="62"/>
        <item x="55"/>
        <item x="64"/>
        <item x="70"/>
        <item x="10"/>
        <item x="52"/>
        <item x="59"/>
        <item x="56"/>
        <item x="31"/>
        <item x="39"/>
        <item x="34"/>
        <item x="32"/>
        <item x="14"/>
        <item x="19"/>
        <item x="48"/>
        <item x="13"/>
        <item x="33"/>
        <item x="60"/>
        <item x="57"/>
        <item x="58"/>
        <item x="25"/>
        <item x="50"/>
        <item x="6"/>
        <item x="0"/>
        <item x="65"/>
        <item x="49"/>
        <item x="30"/>
        <item x="9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axis="axisPage" multipleItemSelectionAllowed="1" showAll="0">
      <items count="8">
        <item x="2"/>
        <item x="5"/>
        <item h="1" x="1"/>
        <item x="6"/>
        <item x="4"/>
        <item x="0"/>
        <item x="3"/>
        <item t="default"/>
      </items>
    </pivotField>
    <pivotField numFmtId="22" showAll="0"/>
    <pivotField showAll="0"/>
    <pivotField numFmtId="164" showAll="0" defaultSubtotal="0"/>
    <pivotField showAll="0"/>
    <pivotField showAll="0"/>
  </pivotFields>
  <rowFields count="1">
    <field x="6"/>
  </rowFields>
  <rowItems count="33">
    <i>
      <x v="67"/>
    </i>
    <i>
      <x v="7"/>
    </i>
    <i>
      <x v="13"/>
    </i>
    <i>
      <x v="15"/>
    </i>
    <i>
      <x v="37"/>
    </i>
    <i>
      <x v="6"/>
    </i>
    <i>
      <x v="18"/>
    </i>
    <i>
      <x v="16"/>
    </i>
    <i>
      <x v="44"/>
    </i>
    <i>
      <x v="59"/>
    </i>
    <i>
      <x v="38"/>
    </i>
    <i>
      <x/>
    </i>
    <i>
      <x v="39"/>
    </i>
    <i>
      <x v="62"/>
    </i>
    <i>
      <x v="30"/>
    </i>
    <i>
      <x v="66"/>
    </i>
    <i>
      <x v="56"/>
    </i>
    <i>
      <x v="61"/>
    </i>
    <i>
      <x v="58"/>
    </i>
    <i>
      <x v="71"/>
    </i>
    <i>
      <x v="54"/>
    </i>
    <i>
      <x v="9"/>
    </i>
    <i>
      <x v="57"/>
    </i>
    <i>
      <x v="27"/>
    </i>
    <i>
      <x v="29"/>
    </i>
    <i>
      <x v="36"/>
    </i>
    <i>
      <x v="25"/>
    </i>
    <i>
      <x v="19"/>
    </i>
    <i>
      <x v="51"/>
    </i>
    <i>
      <x v="35"/>
    </i>
    <i>
      <x v="52"/>
    </i>
    <i>
      <x v="42"/>
    </i>
    <i t="grand">
      <x/>
    </i>
  </rowItems>
  <colItems count="1">
    <i/>
  </colItems>
  <pageFields count="1">
    <pageField fld="8" hier="-1"/>
  </pageFields>
  <dataFields count="1">
    <dataField name="Total" fld="7" subtotal="count" baseField="0" baseItem="0"/>
  </dataFields>
  <formats count="16">
    <format dxfId="39">
      <pivotArea collapsedLevelsAreSubtotals="1" fieldPosition="0">
        <references count="1">
          <reference field="6" count="15">
            <x v="4"/>
            <x v="6"/>
            <x v="7"/>
            <x v="10"/>
            <x v="13"/>
            <x v="15"/>
            <x v="16"/>
            <x v="18"/>
            <x v="36"/>
            <x v="37"/>
            <x v="44"/>
            <x v="52"/>
            <x v="65"/>
            <x v="67"/>
            <x v="71"/>
          </reference>
        </references>
      </pivotArea>
    </format>
    <format dxfId="38">
      <pivotArea field="6" type="button" dataOnly="0" labelOnly="1" outline="0" axis="axisRow" fieldPosition="0"/>
    </format>
    <format dxfId="37">
      <pivotArea dataOnly="0" labelOnly="1" outline="0" axis="axisValues" fieldPosition="0"/>
    </format>
    <format dxfId="36">
      <pivotArea dataOnly="0" labelOnly="1" fieldPosition="0">
        <references count="1">
          <reference field="6" count="15">
            <x v="4"/>
            <x v="6"/>
            <x v="7"/>
            <x v="10"/>
            <x v="13"/>
            <x v="15"/>
            <x v="16"/>
            <x v="18"/>
            <x v="36"/>
            <x v="37"/>
            <x v="44"/>
            <x v="52"/>
            <x v="65"/>
            <x v="67"/>
            <x v="71"/>
          </reference>
        </references>
      </pivotArea>
    </format>
    <format dxfId="35">
      <pivotArea collapsedLevelsAreSubtotals="1" fieldPosition="0">
        <references count="1">
          <reference field="6" count="15">
            <x v="0"/>
            <x v="6"/>
            <x v="7"/>
            <x v="13"/>
            <x v="15"/>
            <x v="16"/>
            <x v="18"/>
            <x v="30"/>
            <x v="37"/>
            <x v="38"/>
            <x v="39"/>
            <x v="44"/>
            <x v="59"/>
            <x v="62"/>
            <x v="67"/>
          </reference>
        </references>
      </pivotArea>
    </format>
    <format dxfId="34">
      <pivotArea dataOnly="0" labelOnly="1" fieldPosition="0">
        <references count="1">
          <reference field="6" count="15">
            <x v="0"/>
            <x v="6"/>
            <x v="7"/>
            <x v="13"/>
            <x v="15"/>
            <x v="16"/>
            <x v="18"/>
            <x v="30"/>
            <x v="37"/>
            <x v="38"/>
            <x v="39"/>
            <x v="44"/>
            <x v="59"/>
            <x v="62"/>
            <x v="67"/>
          </reference>
        </references>
      </pivotArea>
    </format>
    <format dxfId="33">
      <pivotArea field="6" type="button" dataOnly="0" labelOnly="1" outline="0" axis="axisRow" fieldPosition="0"/>
    </format>
    <format dxfId="32">
      <pivotArea dataOnly="0" labelOnly="1" outline="0" axis="axisValues" fieldPosition="0"/>
    </format>
    <format dxfId="31">
      <pivotArea collapsedLevelsAreSubtotals="1" fieldPosition="0">
        <references count="1">
          <reference field="6" count="13">
            <x v="0"/>
            <x v="6"/>
            <x v="7"/>
            <x v="13"/>
            <x v="15"/>
            <x v="16"/>
            <x v="18"/>
            <x v="37"/>
            <x v="38"/>
            <x v="39"/>
            <x v="44"/>
            <x v="59"/>
            <x v="67"/>
          </reference>
        </references>
      </pivotArea>
    </format>
    <format dxfId="30">
      <pivotArea dataOnly="0" labelOnly="1" fieldPosition="0">
        <references count="1">
          <reference field="6" count="13">
            <x v="0"/>
            <x v="6"/>
            <x v="7"/>
            <x v="13"/>
            <x v="15"/>
            <x v="16"/>
            <x v="18"/>
            <x v="37"/>
            <x v="38"/>
            <x v="39"/>
            <x v="44"/>
            <x v="59"/>
            <x v="67"/>
          </reference>
        </references>
      </pivotArea>
    </format>
    <format dxfId="29">
      <pivotArea collapsedLevelsAreSubtotals="1" fieldPosition="0">
        <references count="1">
          <reference field="6" count="13">
            <x v="0"/>
            <x v="6"/>
            <x v="7"/>
            <x v="13"/>
            <x v="15"/>
            <x v="16"/>
            <x v="18"/>
            <x v="37"/>
            <x v="38"/>
            <x v="39"/>
            <x v="44"/>
            <x v="59"/>
            <x v="67"/>
          </reference>
        </references>
      </pivotArea>
    </format>
    <format dxfId="28">
      <pivotArea dataOnly="0" labelOnly="1" fieldPosition="0">
        <references count="1">
          <reference field="6" count="13">
            <x v="0"/>
            <x v="6"/>
            <x v="7"/>
            <x v="13"/>
            <x v="15"/>
            <x v="16"/>
            <x v="18"/>
            <x v="37"/>
            <x v="38"/>
            <x v="39"/>
            <x v="44"/>
            <x v="59"/>
            <x v="67"/>
          </reference>
        </references>
      </pivotArea>
    </format>
    <format dxfId="11">
      <pivotArea collapsedLevelsAreSubtotals="1" fieldPosition="0">
        <references count="1">
          <reference field="6" count="13">
            <x v="0"/>
            <x v="6"/>
            <x v="7"/>
            <x v="13"/>
            <x v="15"/>
            <x v="16"/>
            <x v="18"/>
            <x v="37"/>
            <x v="38"/>
            <x v="39"/>
            <x v="44"/>
            <x v="59"/>
            <x v="67"/>
          </reference>
        </references>
      </pivotArea>
    </format>
    <format dxfId="10">
      <pivotArea dataOnly="0" labelOnly="1" fieldPosition="0">
        <references count="1">
          <reference field="6" count="13">
            <x v="0"/>
            <x v="6"/>
            <x v="7"/>
            <x v="13"/>
            <x v="15"/>
            <x v="16"/>
            <x v="18"/>
            <x v="37"/>
            <x v="38"/>
            <x v="39"/>
            <x v="44"/>
            <x v="59"/>
            <x v="67"/>
          </reference>
        </references>
      </pivotArea>
    </format>
    <format dxfId="9">
      <pivotArea collapsedLevelsAreSubtotals="1" fieldPosition="0">
        <references count="1">
          <reference field="6" count="13">
            <x v="0"/>
            <x v="6"/>
            <x v="7"/>
            <x v="13"/>
            <x v="15"/>
            <x v="16"/>
            <x v="18"/>
            <x v="37"/>
            <x v="38"/>
            <x v="39"/>
            <x v="44"/>
            <x v="59"/>
            <x v="67"/>
          </reference>
        </references>
      </pivotArea>
    </format>
    <format dxfId="8">
      <pivotArea dataOnly="0" labelOnly="1" fieldPosition="0">
        <references count="1">
          <reference field="6" count="13">
            <x v="0"/>
            <x v="6"/>
            <x v="7"/>
            <x v="13"/>
            <x v="15"/>
            <x v="16"/>
            <x v="18"/>
            <x v="37"/>
            <x v="38"/>
            <x v="39"/>
            <x v="44"/>
            <x v="59"/>
            <x v="67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ela dinâmica2" cacheId="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5">
  <location ref="A33:B41" firstHeaderRow="1" firstDataRow="1" firstDataCol="1" rowPageCount="2" colPageCount="1"/>
  <pivotFields count="14"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axis="axisRow" dataField="1" showAll="0">
      <items count="8">
        <item x="2"/>
        <item x="5"/>
        <item x="1"/>
        <item x="6"/>
        <item x="4"/>
        <item x="0"/>
        <item x="3"/>
        <item t="default"/>
      </items>
    </pivotField>
    <pivotField numFmtId="22" showAll="0"/>
    <pivotField showAll="0"/>
    <pivotField numFmtId="164" showAll="0" defaultSubtotal="0"/>
    <pivotField axis="axisPage" showAll="0">
      <items count="13">
        <item x="0"/>
        <item x="9"/>
        <item x="11"/>
        <item x="8"/>
        <item x="7"/>
        <item x="6"/>
        <item x="5"/>
        <item x="10"/>
        <item x="4"/>
        <item x="3"/>
        <item x="2"/>
        <item x="1"/>
        <item t="default"/>
      </items>
    </pivotField>
    <pivotField axis="axisPage" showAll="0">
      <items count="4">
        <item x="2"/>
        <item x="1"/>
        <item x="0"/>
        <item t="default"/>
      </items>
    </pivotField>
  </pivotFields>
  <rowFields count="1">
    <field x="8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pageFields count="2">
    <pageField fld="13" hier="-1"/>
    <pageField fld="12" hier="-1"/>
  </pageFields>
  <dataFields count="1">
    <dataField name="Contagem de Status" fld="8" subtotal="count" baseField="0" baseItem="0"/>
  </dataFields>
  <formats count="8">
    <format dxfId="43">
      <pivotArea collapsedLevelsAreSubtotals="1" fieldPosition="0">
        <references count="1">
          <reference field="8" count="0"/>
        </references>
      </pivotArea>
    </format>
    <format dxfId="42">
      <pivotArea dataOnly="0" labelOnly="1" fieldPosition="0">
        <references count="1">
          <reference field="8" count="0"/>
        </references>
      </pivotArea>
    </format>
    <format dxfId="41">
      <pivotArea collapsedLevelsAreSubtotals="1" fieldPosition="0">
        <references count="1">
          <reference field="8" count="0"/>
        </references>
      </pivotArea>
    </format>
    <format dxfId="40">
      <pivotArea dataOnly="0" labelOnly="1" fieldPosition="0">
        <references count="1">
          <reference field="8" count="0"/>
        </references>
      </pivotArea>
    </format>
    <format dxfId="15">
      <pivotArea collapsedLevelsAreSubtotals="1" fieldPosition="0">
        <references count="1">
          <reference field="8" count="0"/>
        </references>
      </pivotArea>
    </format>
    <format dxfId="14">
      <pivotArea dataOnly="0" labelOnly="1" fieldPosition="0">
        <references count="1">
          <reference field="8" count="0"/>
        </references>
      </pivotArea>
    </format>
    <format dxfId="13">
      <pivotArea collapsedLevelsAreSubtotals="1" fieldPosition="0">
        <references count="1">
          <reference field="8" count="0"/>
        </references>
      </pivotArea>
    </format>
    <format dxfId="12">
      <pivotArea dataOnly="0" labelOnly="1" fieldPosition="0">
        <references count="1">
          <reference field="8" count="0"/>
        </references>
      </pivotArea>
    </format>
  </format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8" count="1" selected="0">
            <x v="4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8" count="1" selected="0">
            <x v="6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ela dinâmica4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2" rowHeaderCaption="Faixa de Tempo">
  <location ref="A3:H10" firstHeaderRow="1" firstDataRow="2" firstDataCol="1"/>
  <pivotFields count="15"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axis="axisCol" multipleItemSelectionAllowed="1" showAll="0">
      <items count="8">
        <item x="2"/>
        <item x="5"/>
        <item h="1" x="1"/>
        <item x="6"/>
        <item x="4"/>
        <item x="0"/>
        <item x="3"/>
        <item t="default"/>
      </items>
    </pivotField>
    <pivotField numFmtId="22" showAll="0"/>
    <pivotField showAll="0"/>
    <pivotField numFmtId="164" showAll="0"/>
    <pivotField showAll="0"/>
    <pivotField showAll="0"/>
    <pivotField axis="axisRow" dataField="1" showAll="0">
      <items count="7">
        <item m="1" x="5"/>
        <item x="4"/>
        <item x="0"/>
        <item x="1"/>
        <item x="2"/>
        <item x="3"/>
        <item t="default"/>
      </items>
    </pivotField>
  </pivotFields>
  <rowFields count="1">
    <field x="14"/>
  </rowFields>
  <rowItems count="6">
    <i>
      <x v="1"/>
    </i>
    <i>
      <x v="2"/>
    </i>
    <i>
      <x v="3"/>
    </i>
    <i>
      <x v="4"/>
    </i>
    <i>
      <x v="5"/>
    </i>
    <i t="grand">
      <x/>
    </i>
  </rowItems>
  <colFields count="1">
    <field x="8"/>
  </colFields>
  <colItems count="7">
    <i>
      <x/>
    </i>
    <i>
      <x v="1"/>
    </i>
    <i>
      <x v="3"/>
    </i>
    <i>
      <x v="4"/>
    </i>
    <i>
      <x v="5"/>
    </i>
    <i>
      <x v="6"/>
    </i>
    <i t="grand">
      <x/>
    </i>
  </colItems>
  <dataFields count="1">
    <dataField name="Contagem de Faixa duração" fld="14" subtotal="count" baseField="0" baseItem="0"/>
  </dataFields>
  <formats count="6">
    <format dxfId="17">
      <pivotArea dataOnly="0" fieldPosition="0">
        <references count="1">
          <reference field="14" count="0"/>
        </references>
      </pivotArea>
    </format>
    <format dxfId="16">
      <pivotArea dataOnly="0" fieldPosition="0">
        <references count="1">
          <reference field="14" count="0"/>
        </references>
      </pivotArea>
    </format>
    <format dxfId="3">
      <pivotArea collapsedLevelsAreSubtotals="1" fieldPosition="0">
        <references count="1">
          <reference field="14" count="0"/>
        </references>
      </pivotArea>
    </format>
    <format dxfId="2">
      <pivotArea dataOnly="0" labelOnly="1" fieldPosition="0">
        <references count="1">
          <reference field="14" count="0"/>
        </references>
      </pivotArea>
    </format>
    <format dxfId="1">
      <pivotArea collapsedLevelsAreSubtotals="1" fieldPosition="0">
        <references count="1">
          <reference field="14" count="0"/>
        </references>
      </pivotArea>
    </format>
    <format dxfId="0">
      <pivotArea dataOnly="0" labelOnly="1" fieldPosition="0">
        <references count="1">
          <reference field="14" count="0"/>
        </references>
      </pivotArea>
    </format>
  </formats>
  <chartFormats count="6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rowHeaderCaption="Cliente">
  <location ref="A31:B55" firstHeaderRow="1" firstDataRow="1" firstDataCol="1" rowPageCount="1" colPageCount="1"/>
  <pivotFields count="15">
    <pivotField showAll="0"/>
    <pivotField showAll="0"/>
    <pivotField showAll="0"/>
    <pivotField showAll="0" defaultSubtotal="0"/>
    <pivotField axis="axisRow" dataField="1" showAll="0" sortType="descending" defaultSubtotal="0">
      <items count="25">
        <item x="2"/>
        <item x="18"/>
        <item x="10"/>
        <item x="1"/>
        <item x="0"/>
        <item x="8"/>
        <item x="11"/>
        <item x="6"/>
        <item x="7"/>
        <item x="24"/>
        <item x="17"/>
        <item x="16"/>
        <item x="23"/>
        <item x="15"/>
        <item x="19"/>
        <item x="14"/>
        <item x="13"/>
        <item x="20"/>
        <item x="3"/>
        <item x="9"/>
        <item x="22"/>
        <item x="12"/>
        <item x="5"/>
        <item x="4"/>
        <item x="2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/>
    <pivotField showAll="0"/>
    <pivotField axis="axisPage" multipleItemSelectionAllowed="1" showAll="0">
      <items count="8">
        <item x="2"/>
        <item x="5"/>
        <item h="1" x="1"/>
        <item x="6"/>
        <item x="4"/>
        <item x="0"/>
        <item x="3"/>
        <item t="default"/>
      </items>
    </pivotField>
    <pivotField numFmtId="22" showAll="0"/>
    <pivotField showAll="0"/>
    <pivotField numFmtId="164" showAll="0"/>
    <pivotField showAll="0"/>
    <pivotField showAll="0"/>
    <pivotField showAll="0"/>
  </pivotFields>
  <rowFields count="1">
    <field x="4"/>
  </rowFields>
  <rowItems count="24">
    <i>
      <x v="7"/>
    </i>
    <i>
      <x v="15"/>
    </i>
    <i>
      <x v="23"/>
    </i>
    <i>
      <x v="18"/>
    </i>
    <i>
      <x v="11"/>
    </i>
    <i>
      <x v="4"/>
    </i>
    <i>
      <x v="16"/>
    </i>
    <i>
      <x v="2"/>
    </i>
    <i>
      <x v="21"/>
    </i>
    <i>
      <x v="17"/>
    </i>
    <i>
      <x v="22"/>
    </i>
    <i>
      <x v="13"/>
    </i>
    <i>
      <x v="9"/>
    </i>
    <i>
      <x v="3"/>
    </i>
    <i>
      <x v="5"/>
    </i>
    <i>
      <x v="20"/>
    </i>
    <i>
      <x/>
    </i>
    <i>
      <x v="10"/>
    </i>
    <i>
      <x v="12"/>
    </i>
    <i>
      <x v="19"/>
    </i>
    <i>
      <x v="1"/>
    </i>
    <i>
      <x v="6"/>
    </i>
    <i>
      <x v="14"/>
    </i>
    <i t="grand">
      <x/>
    </i>
  </rowItems>
  <colItems count="1">
    <i/>
  </colItems>
  <pageFields count="1">
    <pageField fld="8" hier="-1"/>
  </pageFields>
  <dataFields count="1">
    <dataField name="Total" fld="4" subtotal="count" baseField="0" baseItem="0"/>
  </dataFields>
  <formats count="14">
    <format dxfId="27">
      <pivotArea collapsedLevelsAreSubtotals="1" fieldPosition="0">
        <references count="1">
          <reference field="4" count="10">
            <x v="2"/>
            <x v="4"/>
            <x v="7"/>
            <x v="11"/>
            <x v="15"/>
            <x v="16"/>
            <x v="17"/>
            <x v="18"/>
            <x v="21"/>
            <x v="23"/>
          </reference>
        </references>
      </pivotArea>
    </format>
    <format dxfId="26">
      <pivotArea field="4" type="button" dataOnly="0" labelOnly="1" outline="0" axis="axisRow" fieldPosition="0"/>
    </format>
    <format dxfId="25">
      <pivotArea dataOnly="0" labelOnly="1" outline="0" axis="axisValues" fieldPosition="0"/>
    </format>
    <format dxfId="24">
      <pivotArea dataOnly="0" labelOnly="1" fieldPosition="0">
        <references count="1">
          <reference field="4" count="10">
            <x v="2"/>
            <x v="4"/>
            <x v="7"/>
            <x v="11"/>
            <x v="15"/>
            <x v="16"/>
            <x v="17"/>
            <x v="18"/>
            <x v="21"/>
            <x v="23"/>
          </reference>
        </references>
      </pivotArea>
    </format>
    <format dxfId="23">
      <pivotArea field="4" type="button" dataOnly="0" labelOnly="1" outline="0" axis="axisRow" fieldPosition="0"/>
    </format>
    <format dxfId="22">
      <pivotArea dataOnly="0" labelOnly="1" outline="0" axis="axisValues" fieldPosition="0"/>
    </format>
    <format dxfId="21">
      <pivotArea collapsedLevelsAreSubtotals="1" fieldPosition="0">
        <references count="1">
          <reference field="4" count="16">
            <x v="2"/>
            <x v="3"/>
            <x v="4"/>
            <x v="5"/>
            <x v="7"/>
            <x v="9"/>
            <x v="11"/>
            <x v="13"/>
            <x v="15"/>
            <x v="16"/>
            <x v="17"/>
            <x v="18"/>
            <x v="20"/>
            <x v="21"/>
            <x v="22"/>
            <x v="23"/>
          </reference>
        </references>
      </pivotArea>
    </format>
    <format dxfId="20">
      <pivotArea dataOnly="0" labelOnly="1" fieldPosition="0">
        <references count="1">
          <reference field="4" count="16">
            <x v="2"/>
            <x v="3"/>
            <x v="4"/>
            <x v="5"/>
            <x v="7"/>
            <x v="9"/>
            <x v="11"/>
            <x v="13"/>
            <x v="15"/>
            <x v="16"/>
            <x v="17"/>
            <x v="18"/>
            <x v="20"/>
            <x v="21"/>
            <x v="22"/>
            <x v="23"/>
          </reference>
        </references>
      </pivotArea>
    </format>
    <format dxfId="19">
      <pivotArea collapsedLevelsAreSubtotals="1" fieldPosition="0">
        <references count="1">
          <reference field="4" count="16">
            <x v="2"/>
            <x v="3"/>
            <x v="4"/>
            <x v="5"/>
            <x v="7"/>
            <x v="9"/>
            <x v="11"/>
            <x v="13"/>
            <x v="15"/>
            <x v="16"/>
            <x v="17"/>
            <x v="18"/>
            <x v="20"/>
            <x v="21"/>
            <x v="22"/>
            <x v="23"/>
          </reference>
        </references>
      </pivotArea>
    </format>
    <format dxfId="18">
      <pivotArea dataOnly="0" labelOnly="1" fieldPosition="0">
        <references count="1">
          <reference field="4" count="16">
            <x v="2"/>
            <x v="3"/>
            <x v="4"/>
            <x v="5"/>
            <x v="7"/>
            <x v="9"/>
            <x v="11"/>
            <x v="13"/>
            <x v="15"/>
            <x v="16"/>
            <x v="17"/>
            <x v="18"/>
            <x v="20"/>
            <x v="21"/>
            <x v="22"/>
            <x v="23"/>
          </reference>
        </references>
      </pivotArea>
    </format>
    <format dxfId="7">
      <pivotArea collapsedLevelsAreSubtotals="1" fieldPosition="0">
        <references count="1">
          <reference field="4" count="16">
            <x v="2"/>
            <x v="3"/>
            <x v="4"/>
            <x v="5"/>
            <x v="7"/>
            <x v="9"/>
            <x v="11"/>
            <x v="13"/>
            <x v="15"/>
            <x v="16"/>
            <x v="17"/>
            <x v="18"/>
            <x v="20"/>
            <x v="21"/>
            <x v="22"/>
            <x v="23"/>
          </reference>
        </references>
      </pivotArea>
    </format>
    <format dxfId="6">
      <pivotArea dataOnly="0" labelOnly="1" fieldPosition="0">
        <references count="1">
          <reference field="4" count="16">
            <x v="2"/>
            <x v="3"/>
            <x v="4"/>
            <x v="5"/>
            <x v="7"/>
            <x v="9"/>
            <x v="11"/>
            <x v="13"/>
            <x v="15"/>
            <x v="16"/>
            <x v="17"/>
            <x v="18"/>
            <x v="20"/>
            <x v="21"/>
            <x v="22"/>
            <x v="23"/>
          </reference>
        </references>
      </pivotArea>
    </format>
    <format dxfId="5">
      <pivotArea collapsedLevelsAreSubtotals="1" fieldPosition="0">
        <references count="1">
          <reference field="4" count="16">
            <x v="2"/>
            <x v="3"/>
            <x v="4"/>
            <x v="5"/>
            <x v="7"/>
            <x v="9"/>
            <x v="11"/>
            <x v="13"/>
            <x v="15"/>
            <x v="16"/>
            <x v="17"/>
            <x v="18"/>
            <x v="20"/>
            <x v="21"/>
            <x v="22"/>
            <x v="23"/>
          </reference>
        </references>
      </pivotArea>
    </format>
    <format dxfId="4">
      <pivotArea dataOnly="0" labelOnly="1" fieldPosition="0">
        <references count="1">
          <reference field="4" count="16">
            <x v="2"/>
            <x v="3"/>
            <x v="4"/>
            <x v="5"/>
            <x v="7"/>
            <x v="9"/>
            <x v="11"/>
            <x v="13"/>
            <x v="15"/>
            <x v="16"/>
            <x v="17"/>
            <x v="18"/>
            <x v="20"/>
            <x v="21"/>
            <x v="22"/>
            <x v="2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tprocess-contax/browse/CTXSPOBF-116380" TargetMode="External"/><Relationship Id="rId299" Type="http://schemas.openxmlformats.org/officeDocument/2006/relationships/hyperlink" Target="http://tprocess-contax/browse/CTXSALAS-158599" TargetMode="External"/><Relationship Id="rId671" Type="http://schemas.openxmlformats.org/officeDocument/2006/relationships/hyperlink" Target="http://tprocess-contax/browse/CTXBHZRI-84138" TargetMode="External"/><Relationship Id="rId21" Type="http://schemas.openxmlformats.org/officeDocument/2006/relationships/hyperlink" Target="http://tprocess-contax/browse/CTXSPOLP-108012" TargetMode="External"/><Relationship Id="rId63" Type="http://schemas.openxmlformats.org/officeDocument/2006/relationships/hyperlink" Target="http://tprocess-contax/browse/CTXSPOBF-128725" TargetMode="External"/><Relationship Id="rId159" Type="http://schemas.openxmlformats.org/officeDocument/2006/relationships/hyperlink" Target="http://tprocess-contax/browse/CTXSPOAP407-13802" TargetMode="External"/><Relationship Id="rId324" Type="http://schemas.openxmlformats.org/officeDocument/2006/relationships/hyperlink" Target="http://tprocess-contax/browse/CTXRJOMA-78043" TargetMode="External"/><Relationship Id="rId366" Type="http://schemas.openxmlformats.org/officeDocument/2006/relationships/hyperlink" Target="http://tprocess-contax/browse/CTXRECSA-442185" TargetMode="External"/><Relationship Id="rId531" Type="http://schemas.openxmlformats.org/officeDocument/2006/relationships/hyperlink" Target="http://tprocess-contax/browse/CTXMTZPB-452" TargetMode="External"/><Relationship Id="rId573" Type="http://schemas.openxmlformats.org/officeDocument/2006/relationships/hyperlink" Target="http://tprocess-contax/browse/CTXFORBM-356561" TargetMode="External"/><Relationship Id="rId629" Type="http://schemas.openxmlformats.org/officeDocument/2006/relationships/hyperlink" Target="http://tprocess-contax/browse/CTXFORBM-320922" TargetMode="External"/><Relationship Id="rId170" Type="http://schemas.openxmlformats.org/officeDocument/2006/relationships/hyperlink" Target="http://tprocess-contax/browse/CTXSPOAP407-12991" TargetMode="External"/><Relationship Id="rId226" Type="http://schemas.openxmlformats.org/officeDocument/2006/relationships/hyperlink" Target="http://tprocess-contax/browse/CTXSPOAL-99303" TargetMode="External"/><Relationship Id="rId433" Type="http://schemas.openxmlformats.org/officeDocument/2006/relationships/hyperlink" Target="http://tprocess-contax/browse/CTXPOARB-90125" TargetMode="External"/><Relationship Id="rId268" Type="http://schemas.openxmlformats.org/officeDocument/2006/relationships/hyperlink" Target="http://tprocess-contax/browse/CTXSALSM-79594" TargetMode="External"/><Relationship Id="rId475" Type="http://schemas.openxmlformats.org/officeDocument/2006/relationships/hyperlink" Target="http://tprocess-contax/browse/CTXNITSP-167961" TargetMode="External"/><Relationship Id="rId640" Type="http://schemas.openxmlformats.org/officeDocument/2006/relationships/hyperlink" Target="http://tprocess-contax/browse/CTXFORBM-294169" TargetMode="External"/><Relationship Id="rId32" Type="http://schemas.openxmlformats.org/officeDocument/2006/relationships/hyperlink" Target="http://tprocess-contax/browse/CTXSPOBF-133846" TargetMode="External"/><Relationship Id="rId74" Type="http://schemas.openxmlformats.org/officeDocument/2006/relationships/hyperlink" Target="http://tprocess-contax/browse/CTXSPOBF-128702" TargetMode="External"/><Relationship Id="rId128" Type="http://schemas.openxmlformats.org/officeDocument/2006/relationships/hyperlink" Target="http://tprocess-contax/browse/CTXSPOAS-4365" TargetMode="External"/><Relationship Id="rId335" Type="http://schemas.openxmlformats.org/officeDocument/2006/relationships/hyperlink" Target="http://tprocess-contax/browse/CTXRJOMA-76875" TargetMode="External"/><Relationship Id="rId377" Type="http://schemas.openxmlformats.org/officeDocument/2006/relationships/hyperlink" Target="http://tprocess-contax/browse/CTXRECSA-441495" TargetMode="External"/><Relationship Id="rId500" Type="http://schemas.openxmlformats.org/officeDocument/2006/relationships/hyperlink" Target="http://tprocess-contax/browse/CTXMTZRP-42974" TargetMode="External"/><Relationship Id="rId542" Type="http://schemas.openxmlformats.org/officeDocument/2006/relationships/hyperlink" Target="http://tprocess-contax/browse/CTXMLTREG-4375" TargetMode="External"/><Relationship Id="rId584" Type="http://schemas.openxmlformats.org/officeDocument/2006/relationships/hyperlink" Target="http://tprocess-contax/browse/CTXFORBM-350901" TargetMode="External"/><Relationship Id="rId5" Type="http://schemas.openxmlformats.org/officeDocument/2006/relationships/hyperlink" Target="http://tprocess-contax/browse/CTXSPOLP-115727" TargetMode="External"/><Relationship Id="rId181" Type="http://schemas.openxmlformats.org/officeDocument/2006/relationships/hyperlink" Target="http://tprocess-contax/browse/CTXSPOAP407-11965" TargetMode="External"/><Relationship Id="rId237" Type="http://schemas.openxmlformats.org/officeDocument/2006/relationships/hyperlink" Target="http://tprocess-contax/browse/CTXSPOAL-94114" TargetMode="External"/><Relationship Id="rId402" Type="http://schemas.openxmlformats.org/officeDocument/2006/relationships/hyperlink" Target="http://tprocess-contax/browse/CTXRECSA-401969" TargetMode="External"/><Relationship Id="rId279" Type="http://schemas.openxmlformats.org/officeDocument/2006/relationships/hyperlink" Target="http://tprocess-contax/browse/CTXSALPB-47935" TargetMode="External"/><Relationship Id="rId444" Type="http://schemas.openxmlformats.org/officeDocument/2006/relationships/hyperlink" Target="http://tprocess-contax/browse/CTXNITSP-177716" TargetMode="External"/><Relationship Id="rId486" Type="http://schemas.openxmlformats.org/officeDocument/2006/relationships/hyperlink" Target="http://tprocess-contax/browse/CTXNITSP-154454" TargetMode="External"/><Relationship Id="rId651" Type="http://schemas.openxmlformats.org/officeDocument/2006/relationships/hyperlink" Target="http://tprocess-contax/browse/CTXCASEK-1528" TargetMode="External"/><Relationship Id="rId43" Type="http://schemas.openxmlformats.org/officeDocument/2006/relationships/hyperlink" Target="http://tprocess-contax/browse/CTXSPOBF-130466" TargetMode="External"/><Relationship Id="rId139" Type="http://schemas.openxmlformats.org/officeDocument/2006/relationships/hyperlink" Target="http://tprocess-contax/browse/CTXSPOAP407-15194" TargetMode="External"/><Relationship Id="rId290" Type="http://schemas.openxmlformats.org/officeDocument/2006/relationships/hyperlink" Target="http://tprocess-contax/browse/CTXSALLM-118698" TargetMode="External"/><Relationship Id="rId304" Type="http://schemas.openxmlformats.org/officeDocument/2006/relationships/hyperlink" Target="http://tprocess-contax/browse/CTXSALAS-150015" TargetMode="External"/><Relationship Id="rId346" Type="http://schemas.openxmlformats.org/officeDocument/2006/relationships/hyperlink" Target="http://tprocess-contax/browse/CTXRJOED-54399" TargetMode="External"/><Relationship Id="rId388" Type="http://schemas.openxmlformats.org/officeDocument/2006/relationships/hyperlink" Target="http://tprocess-contax/browse/CTXRECSA-424149" TargetMode="External"/><Relationship Id="rId511" Type="http://schemas.openxmlformats.org/officeDocument/2006/relationships/hyperlink" Target="http://tprocess-contax/browse/CTXMTZRP-39707" TargetMode="External"/><Relationship Id="rId553" Type="http://schemas.openxmlformats.org/officeDocument/2006/relationships/hyperlink" Target="http://tprocess-contax/browse/CTXLONLA-28251" TargetMode="External"/><Relationship Id="rId609" Type="http://schemas.openxmlformats.org/officeDocument/2006/relationships/hyperlink" Target="http://tprocess-contax/browse/CTXFORBM-342161" TargetMode="External"/><Relationship Id="rId85" Type="http://schemas.openxmlformats.org/officeDocument/2006/relationships/hyperlink" Target="http://tprocess-contax/browse/CTXSPOBF-126597" TargetMode="External"/><Relationship Id="rId150" Type="http://schemas.openxmlformats.org/officeDocument/2006/relationships/hyperlink" Target="http://tprocess-contax/browse/CTXSPOAP407-14745" TargetMode="External"/><Relationship Id="rId192" Type="http://schemas.openxmlformats.org/officeDocument/2006/relationships/hyperlink" Target="http://tprocess-contax/browse/CTXSPOAP407-10546" TargetMode="External"/><Relationship Id="rId206" Type="http://schemas.openxmlformats.org/officeDocument/2006/relationships/hyperlink" Target="http://tprocess-contax/browse/CTXSPOAP407-10407" TargetMode="External"/><Relationship Id="rId413" Type="http://schemas.openxmlformats.org/officeDocument/2006/relationships/hyperlink" Target="http://tprocess-contax/browse/CTXRECAM-55516" TargetMode="External"/><Relationship Id="rId595" Type="http://schemas.openxmlformats.org/officeDocument/2006/relationships/hyperlink" Target="http://tprocess-contax/browse/CTXFORBM-347687" TargetMode="External"/><Relationship Id="rId248" Type="http://schemas.openxmlformats.org/officeDocument/2006/relationships/hyperlink" Target="http://tprocess-contax/browse/CTXSPOAL-89142" TargetMode="External"/><Relationship Id="rId455" Type="http://schemas.openxmlformats.org/officeDocument/2006/relationships/hyperlink" Target="http://tprocess-contax/browse/CTXNITSP-176228" TargetMode="External"/><Relationship Id="rId497" Type="http://schemas.openxmlformats.org/officeDocument/2006/relationships/hyperlink" Target="http://tprocess-contax/browse/CTXMTZRP-43213" TargetMode="External"/><Relationship Id="rId620" Type="http://schemas.openxmlformats.org/officeDocument/2006/relationships/hyperlink" Target="http://tprocess-contax/browse/CTXFORBM-326889" TargetMode="External"/><Relationship Id="rId662" Type="http://schemas.openxmlformats.org/officeDocument/2006/relationships/hyperlink" Target="http://tprocess-contax/browse/CTXBHZRI-95756" TargetMode="External"/><Relationship Id="rId12" Type="http://schemas.openxmlformats.org/officeDocument/2006/relationships/hyperlink" Target="http://tprocess-contax/browse/CTXSPOLP-111956" TargetMode="External"/><Relationship Id="rId108" Type="http://schemas.openxmlformats.org/officeDocument/2006/relationships/hyperlink" Target="http://tprocess-contax/browse/CTXSPOBF-121472" TargetMode="External"/><Relationship Id="rId315" Type="http://schemas.openxmlformats.org/officeDocument/2006/relationships/hyperlink" Target="http://tprocess-contax/browse/CTXRJOMA-78220" TargetMode="External"/><Relationship Id="rId357" Type="http://schemas.openxmlformats.org/officeDocument/2006/relationships/hyperlink" Target="http://tprocess-contax/browse/CTXRECSA-455203" TargetMode="External"/><Relationship Id="rId522" Type="http://schemas.openxmlformats.org/officeDocument/2006/relationships/hyperlink" Target="http://tprocess-contax/browse/CTXMTZPB-1116" TargetMode="External"/><Relationship Id="rId54" Type="http://schemas.openxmlformats.org/officeDocument/2006/relationships/hyperlink" Target="http://tprocess-contax/browse/CTXSPOBF-128875" TargetMode="External"/><Relationship Id="rId96" Type="http://schemas.openxmlformats.org/officeDocument/2006/relationships/hyperlink" Target="http://tprocess-contax/browse/CTXSPOBF-125979" TargetMode="External"/><Relationship Id="rId161" Type="http://schemas.openxmlformats.org/officeDocument/2006/relationships/hyperlink" Target="http://tprocess-contax/browse/CTXSPOAP407-13720" TargetMode="External"/><Relationship Id="rId217" Type="http://schemas.openxmlformats.org/officeDocument/2006/relationships/hyperlink" Target="http://tprocess-contax/browse/CTXSPOAP407-7761" TargetMode="External"/><Relationship Id="rId399" Type="http://schemas.openxmlformats.org/officeDocument/2006/relationships/hyperlink" Target="http://tprocess-contax/browse/CTXRECSA-407337" TargetMode="External"/><Relationship Id="rId564" Type="http://schemas.openxmlformats.org/officeDocument/2006/relationships/hyperlink" Target="http://tprocess-contax/browse/CTXFORNA-27596" TargetMode="External"/><Relationship Id="rId259" Type="http://schemas.openxmlformats.org/officeDocument/2006/relationships/hyperlink" Target="http://tprocess-contax/browse/CTXSALSM-85211" TargetMode="External"/><Relationship Id="rId424" Type="http://schemas.openxmlformats.org/officeDocument/2006/relationships/hyperlink" Target="http://tprocess-contax/browse/CTXPOARB-101179" TargetMode="External"/><Relationship Id="rId466" Type="http://schemas.openxmlformats.org/officeDocument/2006/relationships/hyperlink" Target="http://tprocess-contax/browse/CTXNITSP-172868" TargetMode="External"/><Relationship Id="rId631" Type="http://schemas.openxmlformats.org/officeDocument/2006/relationships/hyperlink" Target="http://tprocess-contax/browse/CTXFORBM-320345" TargetMode="External"/><Relationship Id="rId673" Type="http://schemas.openxmlformats.org/officeDocument/2006/relationships/hyperlink" Target="http://tprocess-contax/browse/CTXBHZRI-82119" TargetMode="External"/><Relationship Id="rId23" Type="http://schemas.openxmlformats.org/officeDocument/2006/relationships/hyperlink" Target="http://tprocess-contax/browse/CTXSPOLP-105680" TargetMode="External"/><Relationship Id="rId119" Type="http://schemas.openxmlformats.org/officeDocument/2006/relationships/hyperlink" Target="http://tprocess-contax/browse/CTXSPOBF-115489" TargetMode="External"/><Relationship Id="rId270" Type="http://schemas.openxmlformats.org/officeDocument/2006/relationships/hyperlink" Target="http://tprocess-contax/browse/CTXSALSM-78582" TargetMode="External"/><Relationship Id="rId326" Type="http://schemas.openxmlformats.org/officeDocument/2006/relationships/hyperlink" Target="http://tprocess-contax/browse/CTXRJOMA-77615" TargetMode="External"/><Relationship Id="rId533" Type="http://schemas.openxmlformats.org/officeDocument/2006/relationships/hyperlink" Target="http://tprocess-contax/browse/CTXMTZPB-300" TargetMode="External"/><Relationship Id="rId65" Type="http://schemas.openxmlformats.org/officeDocument/2006/relationships/hyperlink" Target="http://tprocess-contax/browse/CTXSPOBF-128720" TargetMode="External"/><Relationship Id="rId130" Type="http://schemas.openxmlformats.org/officeDocument/2006/relationships/hyperlink" Target="http://tprocess-contax/browse/CTXSPOAS-4228" TargetMode="External"/><Relationship Id="rId368" Type="http://schemas.openxmlformats.org/officeDocument/2006/relationships/hyperlink" Target="http://tprocess-contax/browse/CTXRECSA-441539" TargetMode="External"/><Relationship Id="rId575" Type="http://schemas.openxmlformats.org/officeDocument/2006/relationships/hyperlink" Target="http://tprocess-contax/browse/CTXFORBM-356556" TargetMode="External"/><Relationship Id="rId172" Type="http://schemas.openxmlformats.org/officeDocument/2006/relationships/hyperlink" Target="http://tprocess-contax/browse/CTXSPOAP407-12490" TargetMode="External"/><Relationship Id="rId228" Type="http://schemas.openxmlformats.org/officeDocument/2006/relationships/hyperlink" Target="http://tprocess-contax/browse/CTXSPOAL-96703" TargetMode="External"/><Relationship Id="rId435" Type="http://schemas.openxmlformats.org/officeDocument/2006/relationships/hyperlink" Target="http://tprocess-contax/browse/CTXPOARB-85985" TargetMode="External"/><Relationship Id="rId477" Type="http://schemas.openxmlformats.org/officeDocument/2006/relationships/hyperlink" Target="http://tprocess-contax/browse/CTXNITSP-165356" TargetMode="External"/><Relationship Id="rId600" Type="http://schemas.openxmlformats.org/officeDocument/2006/relationships/hyperlink" Target="http://tprocess-contax/browse/CTXFORBM-344418" TargetMode="External"/><Relationship Id="rId642" Type="http://schemas.openxmlformats.org/officeDocument/2006/relationships/hyperlink" Target="http://tprocess-contax/browse/CTXFORBM-291757" TargetMode="External"/><Relationship Id="rId281" Type="http://schemas.openxmlformats.org/officeDocument/2006/relationships/hyperlink" Target="http://tprocess-contax/browse/CTXSALPB-47141" TargetMode="External"/><Relationship Id="rId337" Type="http://schemas.openxmlformats.org/officeDocument/2006/relationships/hyperlink" Target="http://tprocess-contax/browse/CTXRJOMA-73888" TargetMode="External"/><Relationship Id="rId502" Type="http://schemas.openxmlformats.org/officeDocument/2006/relationships/hyperlink" Target="http://tprocess-contax/browse/CTXMTZRP-42601" TargetMode="External"/><Relationship Id="rId34" Type="http://schemas.openxmlformats.org/officeDocument/2006/relationships/hyperlink" Target="http://tprocess-contax/browse/CTXSPOBF-132464" TargetMode="External"/><Relationship Id="rId76" Type="http://schemas.openxmlformats.org/officeDocument/2006/relationships/hyperlink" Target="http://tprocess-contax/browse/CTXSPOBF-128692" TargetMode="External"/><Relationship Id="rId141" Type="http://schemas.openxmlformats.org/officeDocument/2006/relationships/hyperlink" Target="http://tprocess-contax/browse/CTXSPOAP407-15089" TargetMode="External"/><Relationship Id="rId379" Type="http://schemas.openxmlformats.org/officeDocument/2006/relationships/hyperlink" Target="http://tprocess-contax/browse/CTXRECSA-439346" TargetMode="External"/><Relationship Id="rId544" Type="http://schemas.openxmlformats.org/officeDocument/2006/relationships/hyperlink" Target="http://tprocess-contax/browse/CTXMLTREG-4245" TargetMode="External"/><Relationship Id="rId586" Type="http://schemas.openxmlformats.org/officeDocument/2006/relationships/hyperlink" Target="http://tprocess-contax/browse/CTXFORBM-350823" TargetMode="External"/><Relationship Id="rId7" Type="http://schemas.openxmlformats.org/officeDocument/2006/relationships/hyperlink" Target="http://tprocess-contax/browse/CTXSPOLP-115119" TargetMode="External"/><Relationship Id="rId183" Type="http://schemas.openxmlformats.org/officeDocument/2006/relationships/hyperlink" Target="http://tprocess-contax/browse/CTXSPOAP407-11421" TargetMode="External"/><Relationship Id="rId239" Type="http://schemas.openxmlformats.org/officeDocument/2006/relationships/hyperlink" Target="http://tprocess-contax/browse/CTXSPOAL-92422" TargetMode="External"/><Relationship Id="rId390" Type="http://schemas.openxmlformats.org/officeDocument/2006/relationships/hyperlink" Target="http://tprocess-contax/browse/CTXRECSA-422212" TargetMode="External"/><Relationship Id="rId404" Type="http://schemas.openxmlformats.org/officeDocument/2006/relationships/hyperlink" Target="http://tprocess-contax/browse/CTXRECSA-382919" TargetMode="External"/><Relationship Id="rId446" Type="http://schemas.openxmlformats.org/officeDocument/2006/relationships/hyperlink" Target="http://tprocess-contax/browse/CTXNITSP-177581" TargetMode="External"/><Relationship Id="rId611" Type="http://schemas.openxmlformats.org/officeDocument/2006/relationships/hyperlink" Target="http://tprocess-contax/browse/CTXFORBM-341752" TargetMode="External"/><Relationship Id="rId653" Type="http://schemas.openxmlformats.org/officeDocument/2006/relationships/hyperlink" Target="http://tprocess-contax/browse/CTXCASEK-1292" TargetMode="External"/><Relationship Id="rId250" Type="http://schemas.openxmlformats.org/officeDocument/2006/relationships/hyperlink" Target="http://tprocess-contax/browse/CTXSPOAL-88112" TargetMode="External"/><Relationship Id="rId292" Type="http://schemas.openxmlformats.org/officeDocument/2006/relationships/hyperlink" Target="http://tprocess-contax/browse/CTXSALLM-117664" TargetMode="External"/><Relationship Id="rId306" Type="http://schemas.openxmlformats.org/officeDocument/2006/relationships/hyperlink" Target="http://tprocess-contax/browse/CTXRJOPF-69425" TargetMode="External"/><Relationship Id="rId488" Type="http://schemas.openxmlformats.org/officeDocument/2006/relationships/hyperlink" Target="http://tprocess-contax/browse/CTXMTZRP-43918" TargetMode="External"/><Relationship Id="rId45" Type="http://schemas.openxmlformats.org/officeDocument/2006/relationships/hyperlink" Target="http://tprocess-contax/browse/CTXSPOBF-130142" TargetMode="External"/><Relationship Id="rId87" Type="http://schemas.openxmlformats.org/officeDocument/2006/relationships/hyperlink" Target="http://tprocess-contax/browse/CTXSPOBF-126235" TargetMode="External"/><Relationship Id="rId110" Type="http://schemas.openxmlformats.org/officeDocument/2006/relationships/hyperlink" Target="http://tprocess-contax/browse/CTXSPOBF-121133" TargetMode="External"/><Relationship Id="rId348" Type="http://schemas.openxmlformats.org/officeDocument/2006/relationships/hyperlink" Target="http://tprocess-contax/browse/CTXRJOED-54029" TargetMode="External"/><Relationship Id="rId513" Type="http://schemas.openxmlformats.org/officeDocument/2006/relationships/hyperlink" Target="http://tprocess-contax/browse/CTXMTZRP-35944" TargetMode="External"/><Relationship Id="rId555" Type="http://schemas.openxmlformats.org/officeDocument/2006/relationships/hyperlink" Target="http://tprocess-contax/browse/CTXLONLA-28210" TargetMode="External"/><Relationship Id="rId597" Type="http://schemas.openxmlformats.org/officeDocument/2006/relationships/hyperlink" Target="http://tprocess-contax/browse/CTXFORBM-347671" TargetMode="External"/><Relationship Id="rId152" Type="http://schemas.openxmlformats.org/officeDocument/2006/relationships/hyperlink" Target="http://tprocess-contax/browse/CTXSPOAP407-14658" TargetMode="External"/><Relationship Id="rId194" Type="http://schemas.openxmlformats.org/officeDocument/2006/relationships/hyperlink" Target="http://tprocess-contax/browse/CTXSPOAP407-10513" TargetMode="External"/><Relationship Id="rId208" Type="http://schemas.openxmlformats.org/officeDocument/2006/relationships/hyperlink" Target="http://tprocess-contax/browse/CTXSPOAP407-10295" TargetMode="External"/><Relationship Id="rId415" Type="http://schemas.openxmlformats.org/officeDocument/2006/relationships/hyperlink" Target="http://tprocess-contax/browse/CTXRECAM-55397" TargetMode="External"/><Relationship Id="rId457" Type="http://schemas.openxmlformats.org/officeDocument/2006/relationships/hyperlink" Target="http://tprocess-contax/browse/CTXNITSP-176224" TargetMode="External"/><Relationship Id="rId622" Type="http://schemas.openxmlformats.org/officeDocument/2006/relationships/hyperlink" Target="http://tprocess-contax/browse/CTXFORBM-326194" TargetMode="External"/><Relationship Id="rId261" Type="http://schemas.openxmlformats.org/officeDocument/2006/relationships/hyperlink" Target="http://tprocess-contax/browse/CTXSALSM-84288" TargetMode="External"/><Relationship Id="rId499" Type="http://schemas.openxmlformats.org/officeDocument/2006/relationships/hyperlink" Target="http://tprocess-contax/browse/CTXMTZRP-43045" TargetMode="External"/><Relationship Id="rId664" Type="http://schemas.openxmlformats.org/officeDocument/2006/relationships/hyperlink" Target="http://tprocess-contax/browse/CTXBHZRI-94859" TargetMode="External"/><Relationship Id="rId14" Type="http://schemas.openxmlformats.org/officeDocument/2006/relationships/hyperlink" Target="http://tprocess-contax/browse/CTXSPOLP-111246" TargetMode="External"/><Relationship Id="rId56" Type="http://schemas.openxmlformats.org/officeDocument/2006/relationships/hyperlink" Target="http://tprocess-contax/browse/CTXSPOBF-128870" TargetMode="External"/><Relationship Id="rId317" Type="http://schemas.openxmlformats.org/officeDocument/2006/relationships/hyperlink" Target="http://tprocess-contax/browse/CTXRJOMA-78217" TargetMode="External"/><Relationship Id="rId359" Type="http://schemas.openxmlformats.org/officeDocument/2006/relationships/hyperlink" Target="http://tprocess-contax/browse/CTXRECSA-453800" TargetMode="External"/><Relationship Id="rId524" Type="http://schemas.openxmlformats.org/officeDocument/2006/relationships/hyperlink" Target="http://tprocess-contax/browse/CTXMTZPB-1091" TargetMode="External"/><Relationship Id="rId566" Type="http://schemas.openxmlformats.org/officeDocument/2006/relationships/hyperlink" Target="http://tprocess-contax/browse/CTXFORNA-25436" TargetMode="External"/><Relationship Id="rId98" Type="http://schemas.openxmlformats.org/officeDocument/2006/relationships/hyperlink" Target="http://tprocess-contax/browse/CTXSPOBF-125971" TargetMode="External"/><Relationship Id="rId121" Type="http://schemas.openxmlformats.org/officeDocument/2006/relationships/hyperlink" Target="http://tprocess-contax/browse/CTXSPOBF-114642" TargetMode="External"/><Relationship Id="rId163" Type="http://schemas.openxmlformats.org/officeDocument/2006/relationships/hyperlink" Target="http://tprocess-contax/browse/CTXSPOAP407-13330" TargetMode="External"/><Relationship Id="rId219" Type="http://schemas.openxmlformats.org/officeDocument/2006/relationships/hyperlink" Target="http://tprocess-contax/browse/CTXSPOAL-101987" TargetMode="External"/><Relationship Id="rId370" Type="http://schemas.openxmlformats.org/officeDocument/2006/relationships/hyperlink" Target="http://tprocess-contax/browse/CTXRECSA-441537" TargetMode="External"/><Relationship Id="rId426" Type="http://schemas.openxmlformats.org/officeDocument/2006/relationships/hyperlink" Target="http://tprocess-contax/browse/CTXPOARB-94333" TargetMode="External"/><Relationship Id="rId633" Type="http://schemas.openxmlformats.org/officeDocument/2006/relationships/hyperlink" Target="http://tprocess-contax/browse/CTXFORBM-314772" TargetMode="External"/><Relationship Id="rId230" Type="http://schemas.openxmlformats.org/officeDocument/2006/relationships/hyperlink" Target="http://tprocess-contax/browse/CTXSPOAL-96495" TargetMode="External"/><Relationship Id="rId468" Type="http://schemas.openxmlformats.org/officeDocument/2006/relationships/hyperlink" Target="http://tprocess-contax/browse/CTXNITSP-172611" TargetMode="External"/><Relationship Id="rId675" Type="http://schemas.openxmlformats.org/officeDocument/2006/relationships/hyperlink" Target="http://tprocess-contax/browse/CLIORBSAN-131" TargetMode="External"/><Relationship Id="rId25" Type="http://schemas.openxmlformats.org/officeDocument/2006/relationships/hyperlink" Target="http://tprocess-contax/browse/CTXSPOLP-102656" TargetMode="External"/><Relationship Id="rId67" Type="http://schemas.openxmlformats.org/officeDocument/2006/relationships/hyperlink" Target="http://tprocess-contax/browse/CTXSPOBF-128718" TargetMode="External"/><Relationship Id="rId272" Type="http://schemas.openxmlformats.org/officeDocument/2006/relationships/hyperlink" Target="http://tprocess-contax/browse/CTXSALPB-56789" TargetMode="External"/><Relationship Id="rId328" Type="http://schemas.openxmlformats.org/officeDocument/2006/relationships/hyperlink" Target="http://tprocess-contax/browse/CTXRJOMA-77361" TargetMode="External"/><Relationship Id="rId535" Type="http://schemas.openxmlformats.org/officeDocument/2006/relationships/hyperlink" Target="http://tprocess-contax/browse/CTXMTZPB-88" TargetMode="External"/><Relationship Id="rId577" Type="http://schemas.openxmlformats.org/officeDocument/2006/relationships/hyperlink" Target="http://tprocess-contax/browse/CTXFORBM-356551" TargetMode="External"/><Relationship Id="rId132" Type="http://schemas.openxmlformats.org/officeDocument/2006/relationships/hyperlink" Target="http://tprocess-contax/browse/CTXSPOAP407-15356" TargetMode="External"/><Relationship Id="rId174" Type="http://schemas.openxmlformats.org/officeDocument/2006/relationships/hyperlink" Target="http://tprocess-contax/browse/CTXSPOAP407-12333" TargetMode="External"/><Relationship Id="rId381" Type="http://schemas.openxmlformats.org/officeDocument/2006/relationships/hyperlink" Target="http://tprocess-contax/browse/CTXRECSA-439328" TargetMode="External"/><Relationship Id="rId602" Type="http://schemas.openxmlformats.org/officeDocument/2006/relationships/hyperlink" Target="http://tprocess-contax/browse/CTXFORBM-342171" TargetMode="External"/><Relationship Id="rId241" Type="http://schemas.openxmlformats.org/officeDocument/2006/relationships/hyperlink" Target="http://tprocess-contax/browse/CTXSPOAL-91736" TargetMode="External"/><Relationship Id="rId437" Type="http://schemas.openxmlformats.org/officeDocument/2006/relationships/hyperlink" Target="http://tprocess-contax/browse/CTXNITSP-178545" TargetMode="External"/><Relationship Id="rId479" Type="http://schemas.openxmlformats.org/officeDocument/2006/relationships/hyperlink" Target="http://tprocess-contax/browse/CTXNITSP-164460" TargetMode="External"/><Relationship Id="rId644" Type="http://schemas.openxmlformats.org/officeDocument/2006/relationships/hyperlink" Target="http://tprocess-contax/browse/CTXFORBM-288047" TargetMode="External"/><Relationship Id="rId36" Type="http://schemas.openxmlformats.org/officeDocument/2006/relationships/hyperlink" Target="http://tprocess-contax/browse/CTXSPOBF-131094" TargetMode="External"/><Relationship Id="rId283" Type="http://schemas.openxmlformats.org/officeDocument/2006/relationships/hyperlink" Target="http://tprocess-contax/browse/CTXSALPB-46921" TargetMode="External"/><Relationship Id="rId339" Type="http://schemas.openxmlformats.org/officeDocument/2006/relationships/hyperlink" Target="http://tprocess-contax/browse/CTXRJOMA-72849" TargetMode="External"/><Relationship Id="rId490" Type="http://schemas.openxmlformats.org/officeDocument/2006/relationships/hyperlink" Target="http://tprocess-contax/browse/CTXMTZRP-43580" TargetMode="External"/><Relationship Id="rId504" Type="http://schemas.openxmlformats.org/officeDocument/2006/relationships/hyperlink" Target="http://tprocess-contax/browse/CTXMTZRP-42198" TargetMode="External"/><Relationship Id="rId546" Type="http://schemas.openxmlformats.org/officeDocument/2006/relationships/hyperlink" Target="http://tprocess-contax/browse/CTXMLTREG-4086" TargetMode="External"/><Relationship Id="rId78" Type="http://schemas.openxmlformats.org/officeDocument/2006/relationships/hyperlink" Target="http://tprocess-contax/browse/CTXSPOBF-128690" TargetMode="External"/><Relationship Id="rId101" Type="http://schemas.openxmlformats.org/officeDocument/2006/relationships/hyperlink" Target="http://tprocess-contax/browse/CTXSPOBF-125417" TargetMode="External"/><Relationship Id="rId143" Type="http://schemas.openxmlformats.org/officeDocument/2006/relationships/hyperlink" Target="http://tprocess-contax/browse/CTXSPOAP407-14993" TargetMode="External"/><Relationship Id="rId185" Type="http://schemas.openxmlformats.org/officeDocument/2006/relationships/hyperlink" Target="http://tprocess-contax/browse/CTXSPOAP407-11089" TargetMode="External"/><Relationship Id="rId350" Type="http://schemas.openxmlformats.org/officeDocument/2006/relationships/hyperlink" Target="http://tprocess-contax/browse/CTXRJOED-49497" TargetMode="External"/><Relationship Id="rId406" Type="http://schemas.openxmlformats.org/officeDocument/2006/relationships/hyperlink" Target="http://tprocess-contax/browse/CTXRECSA-358319" TargetMode="External"/><Relationship Id="rId588" Type="http://schemas.openxmlformats.org/officeDocument/2006/relationships/hyperlink" Target="http://tprocess-contax/browse/CTXFORBM-348749" TargetMode="External"/><Relationship Id="rId9" Type="http://schemas.openxmlformats.org/officeDocument/2006/relationships/hyperlink" Target="http://tprocess-contax/browse/CTXSPOLP-115114" TargetMode="External"/><Relationship Id="rId210" Type="http://schemas.openxmlformats.org/officeDocument/2006/relationships/hyperlink" Target="http://tprocess-contax/browse/CTXSPOAP407-10293" TargetMode="External"/><Relationship Id="rId392" Type="http://schemas.openxmlformats.org/officeDocument/2006/relationships/hyperlink" Target="http://tprocess-contax/browse/CTXRECSA-419831" TargetMode="External"/><Relationship Id="rId448" Type="http://schemas.openxmlformats.org/officeDocument/2006/relationships/hyperlink" Target="http://tprocess-contax/browse/CTXNITSP-177305" TargetMode="External"/><Relationship Id="rId613" Type="http://schemas.openxmlformats.org/officeDocument/2006/relationships/hyperlink" Target="http://tprocess-contax/browse/CTXFORBM-335280" TargetMode="External"/><Relationship Id="rId655" Type="http://schemas.openxmlformats.org/officeDocument/2006/relationships/hyperlink" Target="http://tprocess-contax/browse/CTXBHZRP-217019" TargetMode="External"/><Relationship Id="rId252" Type="http://schemas.openxmlformats.org/officeDocument/2006/relationships/hyperlink" Target="http://tprocess-contax/browse/CTXSPOAL-83724" TargetMode="External"/><Relationship Id="rId294" Type="http://schemas.openxmlformats.org/officeDocument/2006/relationships/hyperlink" Target="http://tprocess-contax/browse/CTXSALLM-117082" TargetMode="External"/><Relationship Id="rId308" Type="http://schemas.openxmlformats.org/officeDocument/2006/relationships/hyperlink" Target="http://tprocess-contax/browse/CTXRJOMK-119586" TargetMode="External"/><Relationship Id="rId515" Type="http://schemas.openxmlformats.org/officeDocument/2006/relationships/hyperlink" Target="http://tprocess-contax/browse/CTXMTZRP-35941" TargetMode="External"/><Relationship Id="rId47" Type="http://schemas.openxmlformats.org/officeDocument/2006/relationships/hyperlink" Target="http://tprocess-contax/browse/CTXSPOBF-128996" TargetMode="External"/><Relationship Id="rId89" Type="http://schemas.openxmlformats.org/officeDocument/2006/relationships/hyperlink" Target="http://tprocess-contax/browse/CTXSPOBF-126151" TargetMode="External"/><Relationship Id="rId112" Type="http://schemas.openxmlformats.org/officeDocument/2006/relationships/hyperlink" Target="http://tprocess-contax/browse/CTXSPOBF-120102" TargetMode="External"/><Relationship Id="rId154" Type="http://schemas.openxmlformats.org/officeDocument/2006/relationships/hyperlink" Target="http://tprocess-contax/browse/CTXSPOAP407-14530" TargetMode="External"/><Relationship Id="rId361" Type="http://schemas.openxmlformats.org/officeDocument/2006/relationships/hyperlink" Target="http://tprocess-contax/browse/CTXRECSA-448642" TargetMode="External"/><Relationship Id="rId557" Type="http://schemas.openxmlformats.org/officeDocument/2006/relationships/hyperlink" Target="http://tprocess-contax/browse/CTXLONLA-28200" TargetMode="External"/><Relationship Id="rId599" Type="http://schemas.openxmlformats.org/officeDocument/2006/relationships/hyperlink" Target="http://tprocess-contax/browse/CTXFORBM-345719" TargetMode="External"/><Relationship Id="rId196" Type="http://schemas.openxmlformats.org/officeDocument/2006/relationships/hyperlink" Target="http://tprocess-contax/browse/CTXSPOAP407-10493" TargetMode="External"/><Relationship Id="rId417" Type="http://schemas.openxmlformats.org/officeDocument/2006/relationships/hyperlink" Target="http://tprocess-contax/browse/CTXRECAM-55052" TargetMode="External"/><Relationship Id="rId459" Type="http://schemas.openxmlformats.org/officeDocument/2006/relationships/hyperlink" Target="http://tprocess-contax/browse/CTXNITSP-176042" TargetMode="External"/><Relationship Id="rId624" Type="http://schemas.openxmlformats.org/officeDocument/2006/relationships/hyperlink" Target="http://tprocess-contax/browse/CTXFORBM-323275" TargetMode="External"/><Relationship Id="rId666" Type="http://schemas.openxmlformats.org/officeDocument/2006/relationships/hyperlink" Target="http://tprocess-contax/browse/CTXBHZRI-93377" TargetMode="External"/><Relationship Id="rId16" Type="http://schemas.openxmlformats.org/officeDocument/2006/relationships/hyperlink" Target="http://tprocess-contax/browse/CTXSPOLP-110901" TargetMode="External"/><Relationship Id="rId221" Type="http://schemas.openxmlformats.org/officeDocument/2006/relationships/hyperlink" Target="http://tprocess-contax/browse/CTXSPOAL-101564" TargetMode="External"/><Relationship Id="rId263" Type="http://schemas.openxmlformats.org/officeDocument/2006/relationships/hyperlink" Target="http://tprocess-contax/browse/CTXSALSM-83159" TargetMode="External"/><Relationship Id="rId319" Type="http://schemas.openxmlformats.org/officeDocument/2006/relationships/hyperlink" Target="http://tprocess-contax/browse/CTXRJOMA-78212" TargetMode="External"/><Relationship Id="rId470" Type="http://schemas.openxmlformats.org/officeDocument/2006/relationships/hyperlink" Target="http://tprocess-contax/browse/CTXNITSP-172565" TargetMode="External"/><Relationship Id="rId526" Type="http://schemas.openxmlformats.org/officeDocument/2006/relationships/hyperlink" Target="http://tprocess-contax/browse/CTXMTZPB-1001" TargetMode="External"/><Relationship Id="rId58" Type="http://schemas.openxmlformats.org/officeDocument/2006/relationships/hyperlink" Target="http://tprocess-contax/browse/CTXSPOBF-128868" TargetMode="External"/><Relationship Id="rId123" Type="http://schemas.openxmlformats.org/officeDocument/2006/relationships/hyperlink" Target="http://tprocess-contax/browse/CTXSPOBF-112688" TargetMode="External"/><Relationship Id="rId330" Type="http://schemas.openxmlformats.org/officeDocument/2006/relationships/hyperlink" Target="http://tprocess-contax/browse/CTXRJOMA-77291" TargetMode="External"/><Relationship Id="rId568" Type="http://schemas.openxmlformats.org/officeDocument/2006/relationships/hyperlink" Target="http://tprocess-contax/browse/CTXFORBM-357817" TargetMode="External"/><Relationship Id="rId165" Type="http://schemas.openxmlformats.org/officeDocument/2006/relationships/hyperlink" Target="http://tprocess-contax/browse/CTXSPOAP407-13231" TargetMode="External"/><Relationship Id="rId372" Type="http://schemas.openxmlformats.org/officeDocument/2006/relationships/hyperlink" Target="http://tprocess-contax/browse/CTXRECSA-441525" TargetMode="External"/><Relationship Id="rId428" Type="http://schemas.openxmlformats.org/officeDocument/2006/relationships/hyperlink" Target="http://tprocess-contax/browse/CTXPOARB-92840" TargetMode="External"/><Relationship Id="rId635" Type="http://schemas.openxmlformats.org/officeDocument/2006/relationships/hyperlink" Target="http://tprocess-contax/browse/CTXFORBM-307164" TargetMode="External"/><Relationship Id="rId677" Type="http://schemas.openxmlformats.org/officeDocument/2006/relationships/hyperlink" Target="http://tprocess-contax/browse/CLIORBCG-240" TargetMode="External"/><Relationship Id="rId232" Type="http://schemas.openxmlformats.org/officeDocument/2006/relationships/hyperlink" Target="http://tprocess-contax/browse/CTXSPOAL-96174" TargetMode="External"/><Relationship Id="rId274" Type="http://schemas.openxmlformats.org/officeDocument/2006/relationships/hyperlink" Target="http://tprocess-contax/browse/CTXSALPB-55459" TargetMode="External"/><Relationship Id="rId481" Type="http://schemas.openxmlformats.org/officeDocument/2006/relationships/hyperlink" Target="http://tprocess-contax/browse/CTXNITSP-163520" TargetMode="External"/><Relationship Id="rId27" Type="http://schemas.openxmlformats.org/officeDocument/2006/relationships/hyperlink" Target="http://tprocess-contax/browse/CTXSPODP-11512" TargetMode="External"/><Relationship Id="rId69" Type="http://schemas.openxmlformats.org/officeDocument/2006/relationships/hyperlink" Target="http://tprocess-contax/browse/CTXSPOBF-128715" TargetMode="External"/><Relationship Id="rId134" Type="http://schemas.openxmlformats.org/officeDocument/2006/relationships/hyperlink" Target="http://tprocess-contax/browse/CTXSPOAP407-15329" TargetMode="External"/><Relationship Id="rId537" Type="http://schemas.openxmlformats.org/officeDocument/2006/relationships/hyperlink" Target="http://tprocess-contax/browse/CTXMLTREG-5634" TargetMode="External"/><Relationship Id="rId579" Type="http://schemas.openxmlformats.org/officeDocument/2006/relationships/hyperlink" Target="http://tprocess-contax/browse/CTXFORBM-356540" TargetMode="External"/><Relationship Id="rId80" Type="http://schemas.openxmlformats.org/officeDocument/2006/relationships/hyperlink" Target="http://tprocess-contax/browse/CTXSPOBF-128686" TargetMode="External"/><Relationship Id="rId176" Type="http://schemas.openxmlformats.org/officeDocument/2006/relationships/hyperlink" Target="http://tprocess-contax/browse/CTXSPOAP407-12185" TargetMode="External"/><Relationship Id="rId341" Type="http://schemas.openxmlformats.org/officeDocument/2006/relationships/hyperlink" Target="http://tprocess-contax/browse/CTXRJOED-57908" TargetMode="External"/><Relationship Id="rId383" Type="http://schemas.openxmlformats.org/officeDocument/2006/relationships/hyperlink" Target="http://tprocess-contax/browse/CTXRECSA-438942" TargetMode="External"/><Relationship Id="rId439" Type="http://schemas.openxmlformats.org/officeDocument/2006/relationships/hyperlink" Target="http://tprocess-contax/browse/CTXNITSP-178375" TargetMode="External"/><Relationship Id="rId590" Type="http://schemas.openxmlformats.org/officeDocument/2006/relationships/hyperlink" Target="http://tprocess-contax/browse/CTXFORBM-348625" TargetMode="External"/><Relationship Id="rId604" Type="http://schemas.openxmlformats.org/officeDocument/2006/relationships/hyperlink" Target="http://tprocess-contax/browse/CTXFORBM-342167" TargetMode="External"/><Relationship Id="rId646" Type="http://schemas.openxmlformats.org/officeDocument/2006/relationships/hyperlink" Target="http://tprocess-contax/browse/CTXFORBM-270660" TargetMode="External"/><Relationship Id="rId201" Type="http://schemas.openxmlformats.org/officeDocument/2006/relationships/hyperlink" Target="http://tprocess-contax/browse/CTXSPOAP407-10425" TargetMode="External"/><Relationship Id="rId243" Type="http://schemas.openxmlformats.org/officeDocument/2006/relationships/hyperlink" Target="http://tprocess-contax/browse/CTXSPOAL-91568" TargetMode="External"/><Relationship Id="rId285" Type="http://schemas.openxmlformats.org/officeDocument/2006/relationships/hyperlink" Target="http://tprocess-contax/browse/CTXSALPB-38362" TargetMode="External"/><Relationship Id="rId450" Type="http://schemas.openxmlformats.org/officeDocument/2006/relationships/hyperlink" Target="http://tprocess-contax/browse/CTXNITSP-177142" TargetMode="External"/><Relationship Id="rId506" Type="http://schemas.openxmlformats.org/officeDocument/2006/relationships/hyperlink" Target="http://tprocess-contax/browse/CTXMTZRP-42143" TargetMode="External"/><Relationship Id="rId38" Type="http://schemas.openxmlformats.org/officeDocument/2006/relationships/hyperlink" Target="http://tprocess-contax/browse/CTXSPOBF-130532" TargetMode="External"/><Relationship Id="rId103" Type="http://schemas.openxmlformats.org/officeDocument/2006/relationships/hyperlink" Target="http://tprocess-contax/browse/CTXSPOBF-124602" TargetMode="External"/><Relationship Id="rId310" Type="http://schemas.openxmlformats.org/officeDocument/2006/relationships/hyperlink" Target="http://tprocess-contax/browse/CTXRJOMK-118064" TargetMode="External"/><Relationship Id="rId492" Type="http://schemas.openxmlformats.org/officeDocument/2006/relationships/hyperlink" Target="http://tprocess-contax/browse/CTXMTZRP-43575" TargetMode="External"/><Relationship Id="rId548" Type="http://schemas.openxmlformats.org/officeDocument/2006/relationships/hyperlink" Target="http://tprocess-contax/browse/CTXMLTREG-3831" TargetMode="External"/><Relationship Id="rId91" Type="http://schemas.openxmlformats.org/officeDocument/2006/relationships/hyperlink" Target="http://tprocess-contax/browse/CTXSPOBF-125991" TargetMode="External"/><Relationship Id="rId145" Type="http://schemas.openxmlformats.org/officeDocument/2006/relationships/hyperlink" Target="http://tprocess-contax/browse/CTXSPOAP407-14925" TargetMode="External"/><Relationship Id="rId187" Type="http://schemas.openxmlformats.org/officeDocument/2006/relationships/hyperlink" Target="http://tprocess-contax/browse/CTXSPOAP407-10905" TargetMode="External"/><Relationship Id="rId352" Type="http://schemas.openxmlformats.org/officeDocument/2006/relationships/hyperlink" Target="http://tprocess-contax/browse/CTXRECSA-462461" TargetMode="External"/><Relationship Id="rId394" Type="http://schemas.openxmlformats.org/officeDocument/2006/relationships/hyperlink" Target="http://tprocess-contax/browse/CTXRECSA-414952" TargetMode="External"/><Relationship Id="rId408" Type="http://schemas.openxmlformats.org/officeDocument/2006/relationships/hyperlink" Target="http://tprocess-contax/browse/CTXRECAU-63167" TargetMode="External"/><Relationship Id="rId615" Type="http://schemas.openxmlformats.org/officeDocument/2006/relationships/hyperlink" Target="http://tprocess-contax/browse/CTXFORBM-335112" TargetMode="External"/><Relationship Id="rId212" Type="http://schemas.openxmlformats.org/officeDocument/2006/relationships/hyperlink" Target="http://tprocess-contax/browse/CTXSPOAP407-10180" TargetMode="External"/><Relationship Id="rId254" Type="http://schemas.openxmlformats.org/officeDocument/2006/relationships/hyperlink" Target="http://tprocess-contax/browse/CTXSPOAL-81556" TargetMode="External"/><Relationship Id="rId657" Type="http://schemas.openxmlformats.org/officeDocument/2006/relationships/hyperlink" Target="http://tprocess-contax/browse/CTXBHZRI-98067" TargetMode="External"/><Relationship Id="rId49" Type="http://schemas.openxmlformats.org/officeDocument/2006/relationships/hyperlink" Target="http://tprocess-contax/browse/CTXSPOBF-128994" TargetMode="External"/><Relationship Id="rId114" Type="http://schemas.openxmlformats.org/officeDocument/2006/relationships/hyperlink" Target="http://tprocess-contax/browse/CTXSPOBF-119509" TargetMode="External"/><Relationship Id="rId296" Type="http://schemas.openxmlformats.org/officeDocument/2006/relationships/hyperlink" Target="http://tprocess-contax/browse/CTXSALLM-115129" TargetMode="External"/><Relationship Id="rId461" Type="http://schemas.openxmlformats.org/officeDocument/2006/relationships/hyperlink" Target="http://tprocess-contax/browse/CTXNITSP-175152" TargetMode="External"/><Relationship Id="rId517" Type="http://schemas.openxmlformats.org/officeDocument/2006/relationships/hyperlink" Target="http://tprocess-contax/browse/CTXMTZRP-35936" TargetMode="External"/><Relationship Id="rId559" Type="http://schemas.openxmlformats.org/officeDocument/2006/relationships/hyperlink" Target="http://tprocess-contax/browse/CTXLONLA-28170" TargetMode="External"/><Relationship Id="rId60" Type="http://schemas.openxmlformats.org/officeDocument/2006/relationships/hyperlink" Target="http://tprocess-contax/browse/CTXSPOBF-128864" TargetMode="External"/><Relationship Id="rId156" Type="http://schemas.openxmlformats.org/officeDocument/2006/relationships/hyperlink" Target="http://tprocess-contax/browse/CTXSPOAP407-14478" TargetMode="External"/><Relationship Id="rId198" Type="http://schemas.openxmlformats.org/officeDocument/2006/relationships/hyperlink" Target="http://tprocess-contax/browse/CTXSPOAP407-10432" TargetMode="External"/><Relationship Id="rId321" Type="http://schemas.openxmlformats.org/officeDocument/2006/relationships/hyperlink" Target="http://tprocess-contax/browse/CTXRJOMA-78208" TargetMode="External"/><Relationship Id="rId363" Type="http://schemas.openxmlformats.org/officeDocument/2006/relationships/hyperlink" Target="http://tprocess-contax/browse/CTXRECSA-446234" TargetMode="External"/><Relationship Id="rId419" Type="http://schemas.openxmlformats.org/officeDocument/2006/relationships/hyperlink" Target="http://tprocess-contax/browse/CTXRECAM-51761" TargetMode="External"/><Relationship Id="rId570" Type="http://schemas.openxmlformats.org/officeDocument/2006/relationships/hyperlink" Target="http://tprocess-contax/browse/CTXFORBM-356566" TargetMode="External"/><Relationship Id="rId626" Type="http://schemas.openxmlformats.org/officeDocument/2006/relationships/hyperlink" Target="http://tprocess-contax/browse/CTXFORBM-322126" TargetMode="External"/><Relationship Id="rId223" Type="http://schemas.openxmlformats.org/officeDocument/2006/relationships/hyperlink" Target="http://tprocess-contax/browse/CTXSPOAL-100158" TargetMode="External"/><Relationship Id="rId430" Type="http://schemas.openxmlformats.org/officeDocument/2006/relationships/hyperlink" Target="http://tprocess-contax/browse/CTXPOARB-91289" TargetMode="External"/><Relationship Id="rId668" Type="http://schemas.openxmlformats.org/officeDocument/2006/relationships/hyperlink" Target="http://tprocess-contax/browse/CTXBHZRI-89940" TargetMode="External"/><Relationship Id="rId18" Type="http://schemas.openxmlformats.org/officeDocument/2006/relationships/hyperlink" Target="http://tprocess-contax/browse/CTXSPOLP-110808" TargetMode="External"/><Relationship Id="rId265" Type="http://schemas.openxmlformats.org/officeDocument/2006/relationships/hyperlink" Target="http://tprocess-contax/browse/CTXSALSM-83016" TargetMode="External"/><Relationship Id="rId472" Type="http://schemas.openxmlformats.org/officeDocument/2006/relationships/hyperlink" Target="http://tprocess-contax/browse/CTXNITSP-172449" TargetMode="External"/><Relationship Id="rId528" Type="http://schemas.openxmlformats.org/officeDocument/2006/relationships/hyperlink" Target="http://tprocess-contax/browse/CTXMTZPB-860" TargetMode="External"/><Relationship Id="rId125" Type="http://schemas.openxmlformats.org/officeDocument/2006/relationships/hyperlink" Target="http://tprocess-contax/browse/CTXSPOBF-98975" TargetMode="External"/><Relationship Id="rId167" Type="http://schemas.openxmlformats.org/officeDocument/2006/relationships/hyperlink" Target="http://tprocess-contax/browse/CTXSPOAP407-13166" TargetMode="External"/><Relationship Id="rId332" Type="http://schemas.openxmlformats.org/officeDocument/2006/relationships/hyperlink" Target="http://tprocess-contax/browse/CTXRJOMA-77272" TargetMode="External"/><Relationship Id="rId374" Type="http://schemas.openxmlformats.org/officeDocument/2006/relationships/hyperlink" Target="http://tprocess-contax/browse/CTXRECSA-441507" TargetMode="External"/><Relationship Id="rId581" Type="http://schemas.openxmlformats.org/officeDocument/2006/relationships/hyperlink" Target="http://tprocess-contax/browse/CTXFORBM-356205" TargetMode="External"/><Relationship Id="rId71" Type="http://schemas.openxmlformats.org/officeDocument/2006/relationships/hyperlink" Target="http://tprocess-contax/browse/CTXSPOBF-128713" TargetMode="External"/><Relationship Id="rId92" Type="http://schemas.openxmlformats.org/officeDocument/2006/relationships/hyperlink" Target="http://tprocess-contax/browse/CTXSPOBF-125990" TargetMode="External"/><Relationship Id="rId213" Type="http://schemas.openxmlformats.org/officeDocument/2006/relationships/hyperlink" Target="http://tprocess-contax/browse/CTXSPOAP407-10077" TargetMode="External"/><Relationship Id="rId234" Type="http://schemas.openxmlformats.org/officeDocument/2006/relationships/hyperlink" Target="http://tprocess-contax/browse/CTXSPOAL-95566" TargetMode="External"/><Relationship Id="rId420" Type="http://schemas.openxmlformats.org/officeDocument/2006/relationships/hyperlink" Target="http://tprocess-contax/browse/CTXRBRSA-28" TargetMode="External"/><Relationship Id="rId616" Type="http://schemas.openxmlformats.org/officeDocument/2006/relationships/hyperlink" Target="http://tprocess-contax/browse/CTXFORBM-333926" TargetMode="External"/><Relationship Id="rId637" Type="http://schemas.openxmlformats.org/officeDocument/2006/relationships/hyperlink" Target="http://tprocess-contax/browse/CTXFORBM-302024" TargetMode="External"/><Relationship Id="rId658" Type="http://schemas.openxmlformats.org/officeDocument/2006/relationships/hyperlink" Target="http://tprocess-contax/browse/CTXBHZRI-98066" TargetMode="External"/><Relationship Id="rId679" Type="http://schemas.openxmlformats.org/officeDocument/2006/relationships/hyperlink" Target="http://tprocess-contax/browse/CLIORBCG-174" TargetMode="External"/><Relationship Id="rId2" Type="http://schemas.openxmlformats.org/officeDocument/2006/relationships/hyperlink" Target="http://tprocess-contax/browse/CTXSPOLP-116960" TargetMode="External"/><Relationship Id="rId29" Type="http://schemas.openxmlformats.org/officeDocument/2006/relationships/hyperlink" Target="http://tprocess-contax/browse/CTXSPOBF-135040" TargetMode="External"/><Relationship Id="rId255" Type="http://schemas.openxmlformats.org/officeDocument/2006/relationships/hyperlink" Target="http://tprocess-contax/browse/CTXSPOAL-81007" TargetMode="External"/><Relationship Id="rId276" Type="http://schemas.openxmlformats.org/officeDocument/2006/relationships/hyperlink" Target="http://tprocess-contax/browse/CTXSALPB-53725" TargetMode="External"/><Relationship Id="rId297" Type="http://schemas.openxmlformats.org/officeDocument/2006/relationships/hyperlink" Target="http://tprocess-contax/browse/CTXSALLM-110995" TargetMode="External"/><Relationship Id="rId441" Type="http://schemas.openxmlformats.org/officeDocument/2006/relationships/hyperlink" Target="http://tprocess-contax/browse/CTXNITSP-178373" TargetMode="External"/><Relationship Id="rId462" Type="http://schemas.openxmlformats.org/officeDocument/2006/relationships/hyperlink" Target="http://tprocess-contax/browse/CTXNITSP-173491" TargetMode="External"/><Relationship Id="rId483" Type="http://schemas.openxmlformats.org/officeDocument/2006/relationships/hyperlink" Target="http://tprocess-contax/browse/CTXNITSP-162696" TargetMode="External"/><Relationship Id="rId518" Type="http://schemas.openxmlformats.org/officeDocument/2006/relationships/hyperlink" Target="http://tprocess-contax/browse/CTXMTZPB-1259" TargetMode="External"/><Relationship Id="rId539" Type="http://schemas.openxmlformats.org/officeDocument/2006/relationships/hyperlink" Target="http://tprocess-contax/browse/CTXMLTREG-4553" TargetMode="External"/><Relationship Id="rId40" Type="http://schemas.openxmlformats.org/officeDocument/2006/relationships/hyperlink" Target="http://tprocess-contax/browse/CTXSPOBF-130529" TargetMode="External"/><Relationship Id="rId115" Type="http://schemas.openxmlformats.org/officeDocument/2006/relationships/hyperlink" Target="http://tprocess-contax/browse/CTXSPOBF-117894" TargetMode="External"/><Relationship Id="rId136" Type="http://schemas.openxmlformats.org/officeDocument/2006/relationships/hyperlink" Target="http://tprocess-contax/browse/CTXSPOAP407-15270" TargetMode="External"/><Relationship Id="rId157" Type="http://schemas.openxmlformats.org/officeDocument/2006/relationships/hyperlink" Target="http://tprocess-contax/browse/CTXSPOAP407-14449" TargetMode="External"/><Relationship Id="rId178" Type="http://schemas.openxmlformats.org/officeDocument/2006/relationships/hyperlink" Target="http://tprocess-contax/browse/CTXSPOAP407-12031" TargetMode="External"/><Relationship Id="rId301" Type="http://schemas.openxmlformats.org/officeDocument/2006/relationships/hyperlink" Target="http://tprocess-contax/browse/CTXSALAS-156730" TargetMode="External"/><Relationship Id="rId322" Type="http://schemas.openxmlformats.org/officeDocument/2006/relationships/hyperlink" Target="http://tprocess-contax/browse/CTXRJOMA-78045" TargetMode="External"/><Relationship Id="rId343" Type="http://schemas.openxmlformats.org/officeDocument/2006/relationships/hyperlink" Target="http://tprocess-contax/browse/CTXRJOED-57427" TargetMode="External"/><Relationship Id="rId364" Type="http://schemas.openxmlformats.org/officeDocument/2006/relationships/hyperlink" Target="http://tprocess-contax/browse/CTXRECSA-446175" TargetMode="External"/><Relationship Id="rId550" Type="http://schemas.openxmlformats.org/officeDocument/2006/relationships/hyperlink" Target="http://tprocess-contax/browse/CTXMLTREG-3663" TargetMode="External"/><Relationship Id="rId61" Type="http://schemas.openxmlformats.org/officeDocument/2006/relationships/hyperlink" Target="http://tprocess-contax/browse/CTXSPOBF-128861" TargetMode="External"/><Relationship Id="rId82" Type="http://schemas.openxmlformats.org/officeDocument/2006/relationships/hyperlink" Target="http://tprocess-contax/browse/CTXSPOBF-128684" TargetMode="External"/><Relationship Id="rId199" Type="http://schemas.openxmlformats.org/officeDocument/2006/relationships/hyperlink" Target="http://tprocess-contax/browse/CTXSPOAP407-10430" TargetMode="External"/><Relationship Id="rId203" Type="http://schemas.openxmlformats.org/officeDocument/2006/relationships/hyperlink" Target="http://tprocess-contax/browse/CTXSPOAP407-10422" TargetMode="External"/><Relationship Id="rId385" Type="http://schemas.openxmlformats.org/officeDocument/2006/relationships/hyperlink" Target="http://tprocess-contax/browse/CTXRECSA-430770" TargetMode="External"/><Relationship Id="rId571" Type="http://schemas.openxmlformats.org/officeDocument/2006/relationships/hyperlink" Target="http://tprocess-contax/browse/CTXFORBM-356564" TargetMode="External"/><Relationship Id="rId592" Type="http://schemas.openxmlformats.org/officeDocument/2006/relationships/hyperlink" Target="http://tprocess-contax/browse/CTXFORBM-348601" TargetMode="External"/><Relationship Id="rId606" Type="http://schemas.openxmlformats.org/officeDocument/2006/relationships/hyperlink" Target="http://tprocess-contax/browse/CTXFORBM-342164" TargetMode="External"/><Relationship Id="rId627" Type="http://schemas.openxmlformats.org/officeDocument/2006/relationships/hyperlink" Target="http://tprocess-contax/browse/CTXFORBM-321509" TargetMode="External"/><Relationship Id="rId648" Type="http://schemas.openxmlformats.org/officeDocument/2006/relationships/hyperlink" Target="http://tprocess-contax/browse/CTXCTCRA-17222" TargetMode="External"/><Relationship Id="rId669" Type="http://schemas.openxmlformats.org/officeDocument/2006/relationships/hyperlink" Target="http://tprocess-contax/browse/CTXBHZRI-87861" TargetMode="External"/><Relationship Id="rId19" Type="http://schemas.openxmlformats.org/officeDocument/2006/relationships/hyperlink" Target="http://tprocess-contax/browse/CTXSPOLP-108931" TargetMode="External"/><Relationship Id="rId224" Type="http://schemas.openxmlformats.org/officeDocument/2006/relationships/hyperlink" Target="http://tprocess-contax/browse/CTXSPOAL-100112" TargetMode="External"/><Relationship Id="rId245" Type="http://schemas.openxmlformats.org/officeDocument/2006/relationships/hyperlink" Target="http://tprocess-contax/browse/CTXSPOAL-90727" TargetMode="External"/><Relationship Id="rId266" Type="http://schemas.openxmlformats.org/officeDocument/2006/relationships/hyperlink" Target="http://tprocess-contax/browse/CTXSALSM-82024" TargetMode="External"/><Relationship Id="rId287" Type="http://schemas.openxmlformats.org/officeDocument/2006/relationships/hyperlink" Target="http://tprocess-contax/browse/CTXSALLM-119760" TargetMode="External"/><Relationship Id="rId410" Type="http://schemas.openxmlformats.org/officeDocument/2006/relationships/hyperlink" Target="http://tprocess-contax/browse/CTXRECAM-56254" TargetMode="External"/><Relationship Id="rId431" Type="http://schemas.openxmlformats.org/officeDocument/2006/relationships/hyperlink" Target="http://tprocess-contax/browse/CTXPOARB-90275" TargetMode="External"/><Relationship Id="rId452" Type="http://schemas.openxmlformats.org/officeDocument/2006/relationships/hyperlink" Target="http://tprocess-contax/browse/CTXNITSP-176570" TargetMode="External"/><Relationship Id="rId473" Type="http://schemas.openxmlformats.org/officeDocument/2006/relationships/hyperlink" Target="http://tprocess-contax/browse/CTXNITSP-170972" TargetMode="External"/><Relationship Id="rId494" Type="http://schemas.openxmlformats.org/officeDocument/2006/relationships/hyperlink" Target="http://tprocess-contax/browse/CTXMTZRP-43360" TargetMode="External"/><Relationship Id="rId508" Type="http://schemas.openxmlformats.org/officeDocument/2006/relationships/hyperlink" Target="http://tprocess-contax/browse/CTXMTZRP-41268" TargetMode="External"/><Relationship Id="rId529" Type="http://schemas.openxmlformats.org/officeDocument/2006/relationships/hyperlink" Target="http://tprocess-contax/browse/CTXMTZPB-758" TargetMode="External"/><Relationship Id="rId680" Type="http://schemas.openxmlformats.org/officeDocument/2006/relationships/printerSettings" Target="../printerSettings/printerSettings1.bin"/><Relationship Id="rId30" Type="http://schemas.openxmlformats.org/officeDocument/2006/relationships/hyperlink" Target="http://tprocess-contax/browse/CTXSPOBF-134523" TargetMode="External"/><Relationship Id="rId105" Type="http://schemas.openxmlformats.org/officeDocument/2006/relationships/hyperlink" Target="http://tprocess-contax/browse/CTXSPOBF-123499" TargetMode="External"/><Relationship Id="rId126" Type="http://schemas.openxmlformats.org/officeDocument/2006/relationships/hyperlink" Target="http://tprocess-contax/browse/CTXSPOAS-4642" TargetMode="External"/><Relationship Id="rId147" Type="http://schemas.openxmlformats.org/officeDocument/2006/relationships/hyperlink" Target="http://tprocess-contax/browse/CTXSPOAP407-14879" TargetMode="External"/><Relationship Id="rId168" Type="http://schemas.openxmlformats.org/officeDocument/2006/relationships/hyperlink" Target="http://tprocess-contax/browse/CTXSPOAP407-13150" TargetMode="External"/><Relationship Id="rId312" Type="http://schemas.openxmlformats.org/officeDocument/2006/relationships/hyperlink" Target="http://tprocess-contax/browse/CTXRJOMK-102944" TargetMode="External"/><Relationship Id="rId333" Type="http://schemas.openxmlformats.org/officeDocument/2006/relationships/hyperlink" Target="http://tprocess-contax/browse/CTXRJOMA-77042" TargetMode="External"/><Relationship Id="rId354" Type="http://schemas.openxmlformats.org/officeDocument/2006/relationships/hyperlink" Target="http://tprocess-contax/browse/CTXRECSA-460567" TargetMode="External"/><Relationship Id="rId540" Type="http://schemas.openxmlformats.org/officeDocument/2006/relationships/hyperlink" Target="http://tprocess-contax/browse/CTXMLTREG-4428" TargetMode="External"/><Relationship Id="rId51" Type="http://schemas.openxmlformats.org/officeDocument/2006/relationships/hyperlink" Target="http://tprocess-contax/browse/CTXSPOBF-128992" TargetMode="External"/><Relationship Id="rId72" Type="http://schemas.openxmlformats.org/officeDocument/2006/relationships/hyperlink" Target="http://tprocess-contax/browse/CTXSPOBF-128712" TargetMode="External"/><Relationship Id="rId93" Type="http://schemas.openxmlformats.org/officeDocument/2006/relationships/hyperlink" Target="http://tprocess-contax/browse/CTXSPOBF-125985" TargetMode="External"/><Relationship Id="rId189" Type="http://schemas.openxmlformats.org/officeDocument/2006/relationships/hyperlink" Target="http://tprocess-contax/browse/CTXSPOAP407-10552" TargetMode="External"/><Relationship Id="rId375" Type="http://schemas.openxmlformats.org/officeDocument/2006/relationships/hyperlink" Target="http://tprocess-contax/browse/CTXRECSA-441505" TargetMode="External"/><Relationship Id="rId396" Type="http://schemas.openxmlformats.org/officeDocument/2006/relationships/hyperlink" Target="http://tprocess-contax/browse/CTXRECSA-410282" TargetMode="External"/><Relationship Id="rId561" Type="http://schemas.openxmlformats.org/officeDocument/2006/relationships/hyperlink" Target="http://tprocess-contax/browse/CTXJOINP-11673" TargetMode="External"/><Relationship Id="rId582" Type="http://schemas.openxmlformats.org/officeDocument/2006/relationships/hyperlink" Target="http://tprocess-contax/browse/CTXFORBM-354610" TargetMode="External"/><Relationship Id="rId617" Type="http://schemas.openxmlformats.org/officeDocument/2006/relationships/hyperlink" Target="http://tprocess-contax/browse/CTXFORBM-332803" TargetMode="External"/><Relationship Id="rId638" Type="http://schemas.openxmlformats.org/officeDocument/2006/relationships/hyperlink" Target="http://tprocess-contax/browse/CTXFORBM-300174" TargetMode="External"/><Relationship Id="rId659" Type="http://schemas.openxmlformats.org/officeDocument/2006/relationships/hyperlink" Target="http://tprocess-contax/browse/CTXBHZRI-98065" TargetMode="External"/><Relationship Id="rId3" Type="http://schemas.openxmlformats.org/officeDocument/2006/relationships/hyperlink" Target="http://tprocess-contax/browse/CTXSPOLP-116016" TargetMode="External"/><Relationship Id="rId214" Type="http://schemas.openxmlformats.org/officeDocument/2006/relationships/hyperlink" Target="http://tprocess-contax/browse/CTXSPOAP407-10019" TargetMode="External"/><Relationship Id="rId235" Type="http://schemas.openxmlformats.org/officeDocument/2006/relationships/hyperlink" Target="http://tprocess-contax/browse/CTXSPOAL-95026" TargetMode="External"/><Relationship Id="rId256" Type="http://schemas.openxmlformats.org/officeDocument/2006/relationships/hyperlink" Target="http://tprocess-contax/browse/CTXSPOAL-57727" TargetMode="External"/><Relationship Id="rId277" Type="http://schemas.openxmlformats.org/officeDocument/2006/relationships/hyperlink" Target="http://tprocess-contax/browse/CTXSALPB-51084" TargetMode="External"/><Relationship Id="rId298" Type="http://schemas.openxmlformats.org/officeDocument/2006/relationships/hyperlink" Target="http://tprocess-contax/browse/CTXSALAS-161797" TargetMode="External"/><Relationship Id="rId400" Type="http://schemas.openxmlformats.org/officeDocument/2006/relationships/hyperlink" Target="http://tprocess-contax/browse/CTXRECSA-403870" TargetMode="External"/><Relationship Id="rId421" Type="http://schemas.openxmlformats.org/officeDocument/2006/relationships/hyperlink" Target="http://tprocess-contax/browse/CTXPOARB-102110" TargetMode="External"/><Relationship Id="rId442" Type="http://schemas.openxmlformats.org/officeDocument/2006/relationships/hyperlink" Target="http://tprocess-contax/browse/CTXNITSP-178203" TargetMode="External"/><Relationship Id="rId463" Type="http://schemas.openxmlformats.org/officeDocument/2006/relationships/hyperlink" Target="http://tprocess-contax/browse/CTXNITSP-172871" TargetMode="External"/><Relationship Id="rId484" Type="http://schemas.openxmlformats.org/officeDocument/2006/relationships/hyperlink" Target="http://tprocess-contax/browse/CTXNITSP-161527" TargetMode="External"/><Relationship Id="rId519" Type="http://schemas.openxmlformats.org/officeDocument/2006/relationships/hyperlink" Target="http://tprocess-contax/browse/CTXMTZPB-1258" TargetMode="External"/><Relationship Id="rId670" Type="http://schemas.openxmlformats.org/officeDocument/2006/relationships/hyperlink" Target="http://tprocess-contax/browse/CTXBHZRI-87549" TargetMode="External"/><Relationship Id="rId116" Type="http://schemas.openxmlformats.org/officeDocument/2006/relationships/hyperlink" Target="http://tprocess-contax/browse/CTXSPOBF-116397" TargetMode="External"/><Relationship Id="rId137" Type="http://schemas.openxmlformats.org/officeDocument/2006/relationships/hyperlink" Target="http://tprocess-contax/browse/CTXSPOAP407-15208" TargetMode="External"/><Relationship Id="rId158" Type="http://schemas.openxmlformats.org/officeDocument/2006/relationships/hyperlink" Target="http://tprocess-contax/browse/CTXSPOAP407-14134" TargetMode="External"/><Relationship Id="rId302" Type="http://schemas.openxmlformats.org/officeDocument/2006/relationships/hyperlink" Target="http://tprocess-contax/browse/CTXSALAS-155279" TargetMode="External"/><Relationship Id="rId323" Type="http://schemas.openxmlformats.org/officeDocument/2006/relationships/hyperlink" Target="http://tprocess-contax/browse/CTXRJOMA-78044" TargetMode="External"/><Relationship Id="rId344" Type="http://schemas.openxmlformats.org/officeDocument/2006/relationships/hyperlink" Target="http://tprocess-contax/browse/CTXRJOED-56989" TargetMode="External"/><Relationship Id="rId530" Type="http://schemas.openxmlformats.org/officeDocument/2006/relationships/hyperlink" Target="http://tprocess-contax/browse/CTXMTZPB-510" TargetMode="External"/><Relationship Id="rId20" Type="http://schemas.openxmlformats.org/officeDocument/2006/relationships/hyperlink" Target="http://tprocess-contax/browse/CTXSPOLP-108376" TargetMode="External"/><Relationship Id="rId41" Type="http://schemas.openxmlformats.org/officeDocument/2006/relationships/hyperlink" Target="http://tprocess-contax/browse/CTXSPOBF-130503" TargetMode="External"/><Relationship Id="rId62" Type="http://schemas.openxmlformats.org/officeDocument/2006/relationships/hyperlink" Target="http://tprocess-contax/browse/CTXSPOBF-128853" TargetMode="External"/><Relationship Id="rId83" Type="http://schemas.openxmlformats.org/officeDocument/2006/relationships/hyperlink" Target="http://tprocess-contax/browse/CTXSPOBF-128396" TargetMode="External"/><Relationship Id="rId179" Type="http://schemas.openxmlformats.org/officeDocument/2006/relationships/hyperlink" Target="http://tprocess-contax/browse/CTXSPOAP407-12030" TargetMode="External"/><Relationship Id="rId365" Type="http://schemas.openxmlformats.org/officeDocument/2006/relationships/hyperlink" Target="http://tprocess-contax/browse/CTXRECSA-443731" TargetMode="External"/><Relationship Id="rId386" Type="http://schemas.openxmlformats.org/officeDocument/2006/relationships/hyperlink" Target="http://tprocess-contax/browse/CTXRECSA-430668" TargetMode="External"/><Relationship Id="rId551" Type="http://schemas.openxmlformats.org/officeDocument/2006/relationships/hyperlink" Target="http://tprocess-contax/browse/CTXMLTREG-3647" TargetMode="External"/><Relationship Id="rId572" Type="http://schemas.openxmlformats.org/officeDocument/2006/relationships/hyperlink" Target="http://tprocess-contax/browse/CTXFORBM-356562" TargetMode="External"/><Relationship Id="rId593" Type="http://schemas.openxmlformats.org/officeDocument/2006/relationships/hyperlink" Target="http://tprocess-contax/browse/CTXFORBM-348261" TargetMode="External"/><Relationship Id="rId607" Type="http://schemas.openxmlformats.org/officeDocument/2006/relationships/hyperlink" Target="http://tprocess-contax/browse/CTXFORBM-342163" TargetMode="External"/><Relationship Id="rId628" Type="http://schemas.openxmlformats.org/officeDocument/2006/relationships/hyperlink" Target="http://tprocess-contax/browse/CTXFORBM-321427" TargetMode="External"/><Relationship Id="rId649" Type="http://schemas.openxmlformats.org/officeDocument/2006/relationships/hyperlink" Target="http://tprocess-contax/browse/CTXCASEK-1594" TargetMode="External"/><Relationship Id="rId190" Type="http://schemas.openxmlformats.org/officeDocument/2006/relationships/hyperlink" Target="http://tprocess-contax/browse/CTXSPOAP407-10551" TargetMode="External"/><Relationship Id="rId204" Type="http://schemas.openxmlformats.org/officeDocument/2006/relationships/hyperlink" Target="http://tprocess-contax/browse/CTXSPOAP407-10421" TargetMode="External"/><Relationship Id="rId225" Type="http://schemas.openxmlformats.org/officeDocument/2006/relationships/hyperlink" Target="http://tprocess-contax/browse/CTXSPOAL-99944" TargetMode="External"/><Relationship Id="rId246" Type="http://schemas.openxmlformats.org/officeDocument/2006/relationships/hyperlink" Target="http://tprocess-contax/browse/CTXSPOAL-89740" TargetMode="External"/><Relationship Id="rId267" Type="http://schemas.openxmlformats.org/officeDocument/2006/relationships/hyperlink" Target="http://tprocess-contax/browse/CTXSALSM-81593" TargetMode="External"/><Relationship Id="rId288" Type="http://schemas.openxmlformats.org/officeDocument/2006/relationships/hyperlink" Target="http://tprocess-contax/browse/CTXSALLM-119005" TargetMode="External"/><Relationship Id="rId411" Type="http://schemas.openxmlformats.org/officeDocument/2006/relationships/hyperlink" Target="http://tprocess-contax/browse/CTXRECAM-55921" TargetMode="External"/><Relationship Id="rId432" Type="http://schemas.openxmlformats.org/officeDocument/2006/relationships/hyperlink" Target="http://tprocess-contax/browse/CTXPOARB-90126" TargetMode="External"/><Relationship Id="rId453" Type="http://schemas.openxmlformats.org/officeDocument/2006/relationships/hyperlink" Target="http://tprocess-contax/browse/CTXNITSP-176458" TargetMode="External"/><Relationship Id="rId474" Type="http://schemas.openxmlformats.org/officeDocument/2006/relationships/hyperlink" Target="http://tprocess-contax/browse/CTXNITSP-168713" TargetMode="External"/><Relationship Id="rId509" Type="http://schemas.openxmlformats.org/officeDocument/2006/relationships/hyperlink" Target="http://tprocess-contax/browse/CTXMTZRP-40787" TargetMode="External"/><Relationship Id="rId660" Type="http://schemas.openxmlformats.org/officeDocument/2006/relationships/hyperlink" Target="http://tprocess-contax/browse/CTXBHZRI-97664" TargetMode="External"/><Relationship Id="rId106" Type="http://schemas.openxmlformats.org/officeDocument/2006/relationships/hyperlink" Target="http://tprocess-contax/browse/CTXSPOBF-122472" TargetMode="External"/><Relationship Id="rId127" Type="http://schemas.openxmlformats.org/officeDocument/2006/relationships/hyperlink" Target="http://tprocess-contax/browse/CTXSPOAS-4623" TargetMode="External"/><Relationship Id="rId313" Type="http://schemas.openxmlformats.org/officeDocument/2006/relationships/hyperlink" Target="http://tprocess-contax/browse/CTXRJOMA-78225" TargetMode="External"/><Relationship Id="rId495" Type="http://schemas.openxmlformats.org/officeDocument/2006/relationships/hyperlink" Target="http://tprocess-contax/browse/CTXMTZRP-43359" TargetMode="External"/><Relationship Id="rId681" Type="http://schemas.openxmlformats.org/officeDocument/2006/relationships/drawing" Target="../drawings/drawing1.xml"/><Relationship Id="rId10" Type="http://schemas.openxmlformats.org/officeDocument/2006/relationships/hyperlink" Target="http://tprocess-contax/browse/CTXSPOLP-113720" TargetMode="External"/><Relationship Id="rId31" Type="http://schemas.openxmlformats.org/officeDocument/2006/relationships/hyperlink" Target="http://tprocess-contax/browse/CTXSPOBF-134042" TargetMode="External"/><Relationship Id="rId52" Type="http://schemas.openxmlformats.org/officeDocument/2006/relationships/hyperlink" Target="http://tprocess-contax/browse/CTXSPOBF-128884" TargetMode="External"/><Relationship Id="rId73" Type="http://schemas.openxmlformats.org/officeDocument/2006/relationships/hyperlink" Target="http://tprocess-contax/browse/CTXSPOBF-128711" TargetMode="External"/><Relationship Id="rId94" Type="http://schemas.openxmlformats.org/officeDocument/2006/relationships/hyperlink" Target="http://tprocess-contax/browse/CTXSPOBF-125983" TargetMode="External"/><Relationship Id="rId148" Type="http://schemas.openxmlformats.org/officeDocument/2006/relationships/hyperlink" Target="http://tprocess-contax/browse/CTXSPOAP407-14854" TargetMode="External"/><Relationship Id="rId169" Type="http://schemas.openxmlformats.org/officeDocument/2006/relationships/hyperlink" Target="http://tprocess-contax/browse/CTXSPOAP407-13114" TargetMode="External"/><Relationship Id="rId334" Type="http://schemas.openxmlformats.org/officeDocument/2006/relationships/hyperlink" Target="http://tprocess-contax/browse/CTXRJOMA-76887" TargetMode="External"/><Relationship Id="rId355" Type="http://schemas.openxmlformats.org/officeDocument/2006/relationships/hyperlink" Target="http://tprocess-contax/browse/CTXRECSA-457626" TargetMode="External"/><Relationship Id="rId376" Type="http://schemas.openxmlformats.org/officeDocument/2006/relationships/hyperlink" Target="http://tprocess-contax/browse/CTXRECSA-441504" TargetMode="External"/><Relationship Id="rId397" Type="http://schemas.openxmlformats.org/officeDocument/2006/relationships/hyperlink" Target="http://tprocess-contax/browse/CTXRECSA-410083" TargetMode="External"/><Relationship Id="rId520" Type="http://schemas.openxmlformats.org/officeDocument/2006/relationships/hyperlink" Target="http://tprocess-contax/browse/CTXMTZPB-1214" TargetMode="External"/><Relationship Id="rId541" Type="http://schemas.openxmlformats.org/officeDocument/2006/relationships/hyperlink" Target="http://tprocess-contax/browse/CTXMLTREG-4427" TargetMode="External"/><Relationship Id="rId562" Type="http://schemas.openxmlformats.org/officeDocument/2006/relationships/hyperlink" Target="http://tprocess-contax/browse/CTXJOINP-11654" TargetMode="External"/><Relationship Id="rId583" Type="http://schemas.openxmlformats.org/officeDocument/2006/relationships/hyperlink" Target="http://tprocess-contax/browse/CTXFORBM-354062" TargetMode="External"/><Relationship Id="rId618" Type="http://schemas.openxmlformats.org/officeDocument/2006/relationships/hyperlink" Target="http://tprocess-contax/browse/CTXFORBM-332092" TargetMode="External"/><Relationship Id="rId639" Type="http://schemas.openxmlformats.org/officeDocument/2006/relationships/hyperlink" Target="http://tprocess-contax/browse/CTXFORBM-298953" TargetMode="External"/><Relationship Id="rId4" Type="http://schemas.openxmlformats.org/officeDocument/2006/relationships/hyperlink" Target="http://tprocess-contax/browse/CTXSPOLP-115869" TargetMode="External"/><Relationship Id="rId180" Type="http://schemas.openxmlformats.org/officeDocument/2006/relationships/hyperlink" Target="http://tprocess-contax/browse/CTXSPOAP407-12001" TargetMode="External"/><Relationship Id="rId215" Type="http://schemas.openxmlformats.org/officeDocument/2006/relationships/hyperlink" Target="http://tprocess-contax/browse/CTXSPOAP407-9908" TargetMode="External"/><Relationship Id="rId236" Type="http://schemas.openxmlformats.org/officeDocument/2006/relationships/hyperlink" Target="http://tprocess-contax/browse/CTXSPOAL-94230" TargetMode="External"/><Relationship Id="rId257" Type="http://schemas.openxmlformats.org/officeDocument/2006/relationships/hyperlink" Target="http://tprocess-contax/browse/CTXSPOAL-57726" TargetMode="External"/><Relationship Id="rId278" Type="http://schemas.openxmlformats.org/officeDocument/2006/relationships/hyperlink" Target="http://tprocess-contax/browse/CTXSALPB-50670" TargetMode="External"/><Relationship Id="rId401" Type="http://schemas.openxmlformats.org/officeDocument/2006/relationships/hyperlink" Target="http://tprocess-contax/browse/CTXRECSA-402181" TargetMode="External"/><Relationship Id="rId422" Type="http://schemas.openxmlformats.org/officeDocument/2006/relationships/hyperlink" Target="http://tprocess-contax/browse/CTXPOARB-101511" TargetMode="External"/><Relationship Id="rId443" Type="http://schemas.openxmlformats.org/officeDocument/2006/relationships/hyperlink" Target="http://tprocess-contax/browse/CTXNITSP-177717" TargetMode="External"/><Relationship Id="rId464" Type="http://schemas.openxmlformats.org/officeDocument/2006/relationships/hyperlink" Target="http://tprocess-contax/browse/CTXNITSP-172870" TargetMode="External"/><Relationship Id="rId650" Type="http://schemas.openxmlformats.org/officeDocument/2006/relationships/hyperlink" Target="http://tprocess-contax/browse/CTXCASEK-1593" TargetMode="External"/><Relationship Id="rId303" Type="http://schemas.openxmlformats.org/officeDocument/2006/relationships/hyperlink" Target="http://tprocess-contax/browse/CTXSALAS-154241" TargetMode="External"/><Relationship Id="rId485" Type="http://schemas.openxmlformats.org/officeDocument/2006/relationships/hyperlink" Target="http://tprocess-contax/browse/CTXNITSP-160928" TargetMode="External"/><Relationship Id="rId42" Type="http://schemas.openxmlformats.org/officeDocument/2006/relationships/hyperlink" Target="http://tprocess-contax/browse/CTXSPOBF-130502" TargetMode="External"/><Relationship Id="rId84" Type="http://schemas.openxmlformats.org/officeDocument/2006/relationships/hyperlink" Target="http://tprocess-contax/browse/CTXSPOBF-128300" TargetMode="External"/><Relationship Id="rId138" Type="http://schemas.openxmlformats.org/officeDocument/2006/relationships/hyperlink" Target="http://tprocess-contax/browse/CTXSPOAP407-15198" TargetMode="External"/><Relationship Id="rId345" Type="http://schemas.openxmlformats.org/officeDocument/2006/relationships/hyperlink" Target="http://tprocess-contax/browse/CTXRJOED-55097" TargetMode="External"/><Relationship Id="rId387" Type="http://schemas.openxmlformats.org/officeDocument/2006/relationships/hyperlink" Target="http://tprocess-contax/browse/CTXRECSA-430340" TargetMode="External"/><Relationship Id="rId510" Type="http://schemas.openxmlformats.org/officeDocument/2006/relationships/hyperlink" Target="http://tprocess-contax/browse/CTXMTZRP-40585" TargetMode="External"/><Relationship Id="rId552" Type="http://schemas.openxmlformats.org/officeDocument/2006/relationships/hyperlink" Target="http://tprocess-contax/browse/CTXMLTREG-3442" TargetMode="External"/><Relationship Id="rId594" Type="http://schemas.openxmlformats.org/officeDocument/2006/relationships/hyperlink" Target="http://tprocess-contax/browse/CTXFORBM-347867" TargetMode="External"/><Relationship Id="rId608" Type="http://schemas.openxmlformats.org/officeDocument/2006/relationships/hyperlink" Target="http://tprocess-contax/browse/CTXFORBM-342162" TargetMode="External"/><Relationship Id="rId191" Type="http://schemas.openxmlformats.org/officeDocument/2006/relationships/hyperlink" Target="http://tprocess-contax/browse/CTXSPOAP407-10550" TargetMode="External"/><Relationship Id="rId205" Type="http://schemas.openxmlformats.org/officeDocument/2006/relationships/hyperlink" Target="http://tprocess-contax/browse/CTXSPOAP407-10410" TargetMode="External"/><Relationship Id="rId247" Type="http://schemas.openxmlformats.org/officeDocument/2006/relationships/hyperlink" Target="http://tprocess-contax/browse/CTXSPOAL-89502" TargetMode="External"/><Relationship Id="rId412" Type="http://schemas.openxmlformats.org/officeDocument/2006/relationships/hyperlink" Target="http://tprocess-contax/browse/CTXRECAM-55620" TargetMode="External"/><Relationship Id="rId107" Type="http://schemas.openxmlformats.org/officeDocument/2006/relationships/hyperlink" Target="http://tprocess-contax/browse/CTXSPOBF-121810" TargetMode="External"/><Relationship Id="rId289" Type="http://schemas.openxmlformats.org/officeDocument/2006/relationships/hyperlink" Target="http://tprocess-contax/browse/CTXSALLM-118766" TargetMode="External"/><Relationship Id="rId454" Type="http://schemas.openxmlformats.org/officeDocument/2006/relationships/hyperlink" Target="http://tprocess-contax/browse/CTXNITSP-176231" TargetMode="External"/><Relationship Id="rId496" Type="http://schemas.openxmlformats.org/officeDocument/2006/relationships/hyperlink" Target="http://tprocess-contax/browse/CTXMTZRP-43358" TargetMode="External"/><Relationship Id="rId661" Type="http://schemas.openxmlformats.org/officeDocument/2006/relationships/hyperlink" Target="http://tprocess-contax/browse/CTXBHZRI-96230" TargetMode="External"/><Relationship Id="rId11" Type="http://schemas.openxmlformats.org/officeDocument/2006/relationships/hyperlink" Target="http://tprocess-contax/browse/CTXSPOLP-112537" TargetMode="External"/><Relationship Id="rId53" Type="http://schemas.openxmlformats.org/officeDocument/2006/relationships/hyperlink" Target="http://tprocess-contax/browse/CTXSPOBF-128878" TargetMode="External"/><Relationship Id="rId149" Type="http://schemas.openxmlformats.org/officeDocument/2006/relationships/hyperlink" Target="http://tprocess-contax/browse/CTXSPOAP407-14828" TargetMode="External"/><Relationship Id="rId314" Type="http://schemas.openxmlformats.org/officeDocument/2006/relationships/hyperlink" Target="http://tprocess-contax/browse/CTXRJOMA-78224" TargetMode="External"/><Relationship Id="rId356" Type="http://schemas.openxmlformats.org/officeDocument/2006/relationships/hyperlink" Target="http://tprocess-contax/browse/CTXRECSA-456620" TargetMode="External"/><Relationship Id="rId398" Type="http://schemas.openxmlformats.org/officeDocument/2006/relationships/hyperlink" Target="http://tprocess-contax/browse/CTXRECSA-407387" TargetMode="External"/><Relationship Id="rId521" Type="http://schemas.openxmlformats.org/officeDocument/2006/relationships/hyperlink" Target="http://tprocess-contax/browse/CTXMTZPB-1118" TargetMode="External"/><Relationship Id="rId563" Type="http://schemas.openxmlformats.org/officeDocument/2006/relationships/hyperlink" Target="http://tprocess-contax/browse/CTXFORNA-28061" TargetMode="External"/><Relationship Id="rId619" Type="http://schemas.openxmlformats.org/officeDocument/2006/relationships/hyperlink" Target="http://tprocess-contax/browse/CTXFORBM-326935" TargetMode="External"/><Relationship Id="rId95" Type="http://schemas.openxmlformats.org/officeDocument/2006/relationships/hyperlink" Target="http://tprocess-contax/browse/CTXSPOBF-125980" TargetMode="External"/><Relationship Id="rId160" Type="http://schemas.openxmlformats.org/officeDocument/2006/relationships/hyperlink" Target="http://tprocess-contax/browse/CTXSPOAP407-13781" TargetMode="External"/><Relationship Id="rId216" Type="http://schemas.openxmlformats.org/officeDocument/2006/relationships/hyperlink" Target="http://tprocess-contax/browse/CTXSPOAP407-9433" TargetMode="External"/><Relationship Id="rId423" Type="http://schemas.openxmlformats.org/officeDocument/2006/relationships/hyperlink" Target="http://tprocess-contax/browse/CTXPOARB-101274" TargetMode="External"/><Relationship Id="rId258" Type="http://schemas.openxmlformats.org/officeDocument/2006/relationships/hyperlink" Target="http://tprocess-contax/browse/CTXSALSM-88005" TargetMode="External"/><Relationship Id="rId465" Type="http://schemas.openxmlformats.org/officeDocument/2006/relationships/hyperlink" Target="http://tprocess-contax/browse/CTXNITSP-172869" TargetMode="External"/><Relationship Id="rId630" Type="http://schemas.openxmlformats.org/officeDocument/2006/relationships/hyperlink" Target="http://tprocess-contax/browse/CTXFORBM-320915" TargetMode="External"/><Relationship Id="rId672" Type="http://schemas.openxmlformats.org/officeDocument/2006/relationships/hyperlink" Target="http://tprocess-contax/browse/CTXBHZRI-82191" TargetMode="External"/><Relationship Id="rId22" Type="http://schemas.openxmlformats.org/officeDocument/2006/relationships/hyperlink" Target="http://tprocess-contax/browse/CTXSPOLP-106246" TargetMode="External"/><Relationship Id="rId64" Type="http://schemas.openxmlformats.org/officeDocument/2006/relationships/hyperlink" Target="http://tprocess-contax/browse/CTXSPOBF-128722" TargetMode="External"/><Relationship Id="rId118" Type="http://schemas.openxmlformats.org/officeDocument/2006/relationships/hyperlink" Target="http://tprocess-contax/browse/CTXSPOBF-115988" TargetMode="External"/><Relationship Id="rId325" Type="http://schemas.openxmlformats.org/officeDocument/2006/relationships/hyperlink" Target="http://tprocess-contax/browse/CTXRJOMA-77877" TargetMode="External"/><Relationship Id="rId367" Type="http://schemas.openxmlformats.org/officeDocument/2006/relationships/hyperlink" Target="http://tprocess-contax/browse/CTXRECSA-441544" TargetMode="External"/><Relationship Id="rId532" Type="http://schemas.openxmlformats.org/officeDocument/2006/relationships/hyperlink" Target="http://tprocess-contax/browse/CTXMTZPB-307" TargetMode="External"/><Relationship Id="rId574" Type="http://schemas.openxmlformats.org/officeDocument/2006/relationships/hyperlink" Target="http://tprocess-contax/browse/CTXFORBM-356558" TargetMode="External"/><Relationship Id="rId171" Type="http://schemas.openxmlformats.org/officeDocument/2006/relationships/hyperlink" Target="http://tprocess-contax/browse/CTXSPOAP407-12854" TargetMode="External"/><Relationship Id="rId227" Type="http://schemas.openxmlformats.org/officeDocument/2006/relationships/hyperlink" Target="http://tprocess-contax/browse/CTXSPOAL-97376" TargetMode="External"/><Relationship Id="rId269" Type="http://schemas.openxmlformats.org/officeDocument/2006/relationships/hyperlink" Target="http://tprocess-contax/browse/CTXSALSM-78825" TargetMode="External"/><Relationship Id="rId434" Type="http://schemas.openxmlformats.org/officeDocument/2006/relationships/hyperlink" Target="http://tprocess-contax/browse/CTXPOARB-87226" TargetMode="External"/><Relationship Id="rId476" Type="http://schemas.openxmlformats.org/officeDocument/2006/relationships/hyperlink" Target="http://tprocess-contax/browse/CTXNITSP-166786" TargetMode="External"/><Relationship Id="rId641" Type="http://schemas.openxmlformats.org/officeDocument/2006/relationships/hyperlink" Target="http://tprocess-contax/browse/CTXFORBM-292807" TargetMode="External"/><Relationship Id="rId33" Type="http://schemas.openxmlformats.org/officeDocument/2006/relationships/hyperlink" Target="http://tprocess-contax/browse/CTXSPOBF-133023" TargetMode="External"/><Relationship Id="rId129" Type="http://schemas.openxmlformats.org/officeDocument/2006/relationships/hyperlink" Target="http://tprocess-contax/browse/CTXSPOAS-4345" TargetMode="External"/><Relationship Id="rId280" Type="http://schemas.openxmlformats.org/officeDocument/2006/relationships/hyperlink" Target="http://tprocess-contax/browse/CTXSALPB-47142" TargetMode="External"/><Relationship Id="rId336" Type="http://schemas.openxmlformats.org/officeDocument/2006/relationships/hyperlink" Target="http://tprocess-contax/browse/CTXRJOMA-76819" TargetMode="External"/><Relationship Id="rId501" Type="http://schemas.openxmlformats.org/officeDocument/2006/relationships/hyperlink" Target="http://tprocess-contax/browse/CTXMTZRP-42689" TargetMode="External"/><Relationship Id="rId543" Type="http://schemas.openxmlformats.org/officeDocument/2006/relationships/hyperlink" Target="http://tprocess-contax/browse/CTXMLTREG-4307" TargetMode="External"/><Relationship Id="rId75" Type="http://schemas.openxmlformats.org/officeDocument/2006/relationships/hyperlink" Target="http://tprocess-contax/browse/CTXSPOBF-128701" TargetMode="External"/><Relationship Id="rId140" Type="http://schemas.openxmlformats.org/officeDocument/2006/relationships/hyperlink" Target="http://tprocess-contax/browse/CTXSPOAP407-15140" TargetMode="External"/><Relationship Id="rId182" Type="http://schemas.openxmlformats.org/officeDocument/2006/relationships/hyperlink" Target="http://tprocess-contax/browse/CTXSPOAP407-11630" TargetMode="External"/><Relationship Id="rId378" Type="http://schemas.openxmlformats.org/officeDocument/2006/relationships/hyperlink" Target="http://tprocess-contax/browse/CTXRECSA-440043" TargetMode="External"/><Relationship Id="rId403" Type="http://schemas.openxmlformats.org/officeDocument/2006/relationships/hyperlink" Target="http://tprocess-contax/browse/CTXRECSA-391509" TargetMode="External"/><Relationship Id="rId585" Type="http://schemas.openxmlformats.org/officeDocument/2006/relationships/hyperlink" Target="http://tprocess-contax/browse/CTXFORBM-350825" TargetMode="External"/><Relationship Id="rId6" Type="http://schemas.openxmlformats.org/officeDocument/2006/relationships/hyperlink" Target="http://tprocess-contax/browse/CTXSPOLP-115444" TargetMode="External"/><Relationship Id="rId238" Type="http://schemas.openxmlformats.org/officeDocument/2006/relationships/hyperlink" Target="http://tprocess-contax/browse/CTXSPOAL-93333" TargetMode="External"/><Relationship Id="rId445" Type="http://schemas.openxmlformats.org/officeDocument/2006/relationships/hyperlink" Target="http://tprocess-contax/browse/CTXNITSP-177715" TargetMode="External"/><Relationship Id="rId487" Type="http://schemas.openxmlformats.org/officeDocument/2006/relationships/hyperlink" Target="http://tprocess-contax/browse/CTXNITSP-153179" TargetMode="External"/><Relationship Id="rId610" Type="http://schemas.openxmlformats.org/officeDocument/2006/relationships/hyperlink" Target="http://tprocess-contax/browse/CTXFORBM-342159" TargetMode="External"/><Relationship Id="rId652" Type="http://schemas.openxmlformats.org/officeDocument/2006/relationships/hyperlink" Target="http://tprocess-contax/browse/CTXCASEK-1359" TargetMode="External"/><Relationship Id="rId291" Type="http://schemas.openxmlformats.org/officeDocument/2006/relationships/hyperlink" Target="http://tprocess-contax/browse/CTXSALLM-118598" TargetMode="External"/><Relationship Id="rId305" Type="http://schemas.openxmlformats.org/officeDocument/2006/relationships/hyperlink" Target="http://tprocess-contax/browse/CTXSALAS-149443" TargetMode="External"/><Relationship Id="rId347" Type="http://schemas.openxmlformats.org/officeDocument/2006/relationships/hyperlink" Target="http://tprocess-contax/browse/CTXRJOED-54040" TargetMode="External"/><Relationship Id="rId512" Type="http://schemas.openxmlformats.org/officeDocument/2006/relationships/hyperlink" Target="http://tprocess-contax/browse/CTXMTZRP-35945" TargetMode="External"/><Relationship Id="rId44" Type="http://schemas.openxmlformats.org/officeDocument/2006/relationships/hyperlink" Target="http://tprocess-contax/browse/CTXSPOBF-130334" TargetMode="External"/><Relationship Id="rId86" Type="http://schemas.openxmlformats.org/officeDocument/2006/relationships/hyperlink" Target="http://tprocess-contax/browse/CTXSPOBF-126487" TargetMode="External"/><Relationship Id="rId151" Type="http://schemas.openxmlformats.org/officeDocument/2006/relationships/hyperlink" Target="http://tprocess-contax/browse/CTXSPOAP407-14689" TargetMode="External"/><Relationship Id="rId389" Type="http://schemas.openxmlformats.org/officeDocument/2006/relationships/hyperlink" Target="http://tprocess-contax/browse/CTXRECSA-422496" TargetMode="External"/><Relationship Id="rId554" Type="http://schemas.openxmlformats.org/officeDocument/2006/relationships/hyperlink" Target="http://tprocess-contax/browse/CTXLONLA-28211" TargetMode="External"/><Relationship Id="rId596" Type="http://schemas.openxmlformats.org/officeDocument/2006/relationships/hyperlink" Target="http://tprocess-contax/browse/CTXFORBM-347679" TargetMode="External"/><Relationship Id="rId193" Type="http://schemas.openxmlformats.org/officeDocument/2006/relationships/hyperlink" Target="http://tprocess-contax/browse/CTXSPOAP407-10523" TargetMode="External"/><Relationship Id="rId207" Type="http://schemas.openxmlformats.org/officeDocument/2006/relationships/hyperlink" Target="http://tprocess-contax/browse/CTXSPOAP407-10381" TargetMode="External"/><Relationship Id="rId249" Type="http://schemas.openxmlformats.org/officeDocument/2006/relationships/hyperlink" Target="http://tprocess-contax/browse/CTXSPOAL-89128" TargetMode="External"/><Relationship Id="rId414" Type="http://schemas.openxmlformats.org/officeDocument/2006/relationships/hyperlink" Target="http://tprocess-contax/browse/CTXRECAM-55511" TargetMode="External"/><Relationship Id="rId456" Type="http://schemas.openxmlformats.org/officeDocument/2006/relationships/hyperlink" Target="http://tprocess-contax/browse/CTXNITSP-176226" TargetMode="External"/><Relationship Id="rId498" Type="http://schemas.openxmlformats.org/officeDocument/2006/relationships/hyperlink" Target="http://tprocess-contax/browse/CTXMTZRP-43198" TargetMode="External"/><Relationship Id="rId621" Type="http://schemas.openxmlformats.org/officeDocument/2006/relationships/hyperlink" Target="http://tprocess-contax/browse/CTXFORBM-326758" TargetMode="External"/><Relationship Id="rId663" Type="http://schemas.openxmlformats.org/officeDocument/2006/relationships/hyperlink" Target="http://tprocess-contax/browse/CTXBHZRI-94988" TargetMode="External"/><Relationship Id="rId13" Type="http://schemas.openxmlformats.org/officeDocument/2006/relationships/hyperlink" Target="http://tprocess-contax/browse/CTXSPOLP-111381" TargetMode="External"/><Relationship Id="rId109" Type="http://schemas.openxmlformats.org/officeDocument/2006/relationships/hyperlink" Target="http://tprocess-contax/browse/CTXSPOBF-121148" TargetMode="External"/><Relationship Id="rId260" Type="http://schemas.openxmlformats.org/officeDocument/2006/relationships/hyperlink" Target="http://tprocess-contax/browse/CTXSALSM-84952" TargetMode="External"/><Relationship Id="rId316" Type="http://schemas.openxmlformats.org/officeDocument/2006/relationships/hyperlink" Target="http://tprocess-contax/browse/CTXRJOMA-78219" TargetMode="External"/><Relationship Id="rId523" Type="http://schemas.openxmlformats.org/officeDocument/2006/relationships/hyperlink" Target="http://tprocess-contax/browse/CTXMTZPB-1098" TargetMode="External"/><Relationship Id="rId55" Type="http://schemas.openxmlformats.org/officeDocument/2006/relationships/hyperlink" Target="http://tprocess-contax/browse/CTXSPOBF-128873" TargetMode="External"/><Relationship Id="rId97" Type="http://schemas.openxmlformats.org/officeDocument/2006/relationships/hyperlink" Target="http://tprocess-contax/browse/CTXSPOBF-125974" TargetMode="External"/><Relationship Id="rId120" Type="http://schemas.openxmlformats.org/officeDocument/2006/relationships/hyperlink" Target="http://tprocess-contax/browse/CTXSPOBF-114650" TargetMode="External"/><Relationship Id="rId358" Type="http://schemas.openxmlformats.org/officeDocument/2006/relationships/hyperlink" Target="http://tprocess-contax/browse/CTXRECSA-454137" TargetMode="External"/><Relationship Id="rId565" Type="http://schemas.openxmlformats.org/officeDocument/2006/relationships/hyperlink" Target="http://tprocess-contax/browse/CTXFORNA-26367" TargetMode="External"/><Relationship Id="rId162" Type="http://schemas.openxmlformats.org/officeDocument/2006/relationships/hyperlink" Target="http://tprocess-contax/browse/CTXSPOAP407-13610" TargetMode="External"/><Relationship Id="rId218" Type="http://schemas.openxmlformats.org/officeDocument/2006/relationships/hyperlink" Target="http://tprocess-contax/browse/CTXSPOAL-103355" TargetMode="External"/><Relationship Id="rId425" Type="http://schemas.openxmlformats.org/officeDocument/2006/relationships/hyperlink" Target="http://tprocess-contax/browse/CTXPOARB-100112" TargetMode="External"/><Relationship Id="rId467" Type="http://schemas.openxmlformats.org/officeDocument/2006/relationships/hyperlink" Target="http://tprocess-contax/browse/CTXNITSP-172614" TargetMode="External"/><Relationship Id="rId632" Type="http://schemas.openxmlformats.org/officeDocument/2006/relationships/hyperlink" Target="http://tprocess-contax/browse/CTXFORBM-319828" TargetMode="External"/><Relationship Id="rId271" Type="http://schemas.openxmlformats.org/officeDocument/2006/relationships/hyperlink" Target="http://tprocess-contax/browse/CTXSALSM-74754" TargetMode="External"/><Relationship Id="rId674" Type="http://schemas.openxmlformats.org/officeDocument/2006/relationships/hyperlink" Target="http://tprocess-contax/browse/CTXBHZRI-75393" TargetMode="External"/><Relationship Id="rId24" Type="http://schemas.openxmlformats.org/officeDocument/2006/relationships/hyperlink" Target="http://tprocess-contax/browse/CTXSPOLP-104419" TargetMode="External"/><Relationship Id="rId66" Type="http://schemas.openxmlformats.org/officeDocument/2006/relationships/hyperlink" Target="http://tprocess-contax/browse/CTXSPOBF-128719" TargetMode="External"/><Relationship Id="rId131" Type="http://schemas.openxmlformats.org/officeDocument/2006/relationships/hyperlink" Target="http://tprocess-contax/browse/CTXSPOAP407-15367" TargetMode="External"/><Relationship Id="rId327" Type="http://schemas.openxmlformats.org/officeDocument/2006/relationships/hyperlink" Target="http://tprocess-contax/browse/CTXRJOMA-77362" TargetMode="External"/><Relationship Id="rId369" Type="http://schemas.openxmlformats.org/officeDocument/2006/relationships/hyperlink" Target="http://tprocess-contax/browse/CTXRECSA-441538" TargetMode="External"/><Relationship Id="rId534" Type="http://schemas.openxmlformats.org/officeDocument/2006/relationships/hyperlink" Target="http://tprocess-contax/browse/CTXMTZPB-201" TargetMode="External"/><Relationship Id="rId576" Type="http://schemas.openxmlformats.org/officeDocument/2006/relationships/hyperlink" Target="http://tprocess-contax/browse/CTXFORBM-356553" TargetMode="External"/><Relationship Id="rId173" Type="http://schemas.openxmlformats.org/officeDocument/2006/relationships/hyperlink" Target="http://tprocess-contax/browse/CTXSPOAP407-12466" TargetMode="External"/><Relationship Id="rId229" Type="http://schemas.openxmlformats.org/officeDocument/2006/relationships/hyperlink" Target="http://tprocess-contax/browse/CTXSPOAL-96574" TargetMode="External"/><Relationship Id="rId380" Type="http://schemas.openxmlformats.org/officeDocument/2006/relationships/hyperlink" Target="http://tprocess-contax/browse/CTXRECSA-439329" TargetMode="External"/><Relationship Id="rId436" Type="http://schemas.openxmlformats.org/officeDocument/2006/relationships/hyperlink" Target="http://tprocess-contax/browse/CTXPOARB-85984" TargetMode="External"/><Relationship Id="rId601" Type="http://schemas.openxmlformats.org/officeDocument/2006/relationships/hyperlink" Target="http://tprocess-contax/browse/CTXFORBM-344109" TargetMode="External"/><Relationship Id="rId643" Type="http://schemas.openxmlformats.org/officeDocument/2006/relationships/hyperlink" Target="http://tprocess-contax/browse/CTXFORBM-288081" TargetMode="External"/><Relationship Id="rId240" Type="http://schemas.openxmlformats.org/officeDocument/2006/relationships/hyperlink" Target="http://tprocess-contax/browse/CTXSPOAL-92107" TargetMode="External"/><Relationship Id="rId478" Type="http://schemas.openxmlformats.org/officeDocument/2006/relationships/hyperlink" Target="http://tprocess-contax/browse/CTXNITSP-164920" TargetMode="External"/><Relationship Id="rId35" Type="http://schemas.openxmlformats.org/officeDocument/2006/relationships/hyperlink" Target="http://tprocess-contax/browse/CTXSPOBF-132100" TargetMode="External"/><Relationship Id="rId77" Type="http://schemas.openxmlformats.org/officeDocument/2006/relationships/hyperlink" Target="http://tprocess-contax/browse/CTXSPOBF-128691" TargetMode="External"/><Relationship Id="rId100" Type="http://schemas.openxmlformats.org/officeDocument/2006/relationships/hyperlink" Target="http://tprocess-contax/browse/CTXSPOBF-125608" TargetMode="External"/><Relationship Id="rId282" Type="http://schemas.openxmlformats.org/officeDocument/2006/relationships/hyperlink" Target="http://tprocess-contax/browse/CTXSALPB-47135" TargetMode="External"/><Relationship Id="rId338" Type="http://schemas.openxmlformats.org/officeDocument/2006/relationships/hyperlink" Target="http://tprocess-contax/browse/CTXRJOMA-73573" TargetMode="External"/><Relationship Id="rId503" Type="http://schemas.openxmlformats.org/officeDocument/2006/relationships/hyperlink" Target="http://tprocess-contax/browse/CTXMTZRP-42203" TargetMode="External"/><Relationship Id="rId545" Type="http://schemas.openxmlformats.org/officeDocument/2006/relationships/hyperlink" Target="http://tprocess-contax/browse/CTXMLTREG-4207" TargetMode="External"/><Relationship Id="rId587" Type="http://schemas.openxmlformats.org/officeDocument/2006/relationships/hyperlink" Target="http://tprocess-contax/browse/CTXFORBM-349886" TargetMode="External"/><Relationship Id="rId8" Type="http://schemas.openxmlformats.org/officeDocument/2006/relationships/hyperlink" Target="http://tprocess-contax/browse/CTXSPOLP-115117" TargetMode="External"/><Relationship Id="rId142" Type="http://schemas.openxmlformats.org/officeDocument/2006/relationships/hyperlink" Target="http://tprocess-contax/browse/CTXSPOAP407-14995" TargetMode="External"/><Relationship Id="rId184" Type="http://schemas.openxmlformats.org/officeDocument/2006/relationships/hyperlink" Target="http://tprocess-contax/browse/CTXSPOAP407-11140" TargetMode="External"/><Relationship Id="rId391" Type="http://schemas.openxmlformats.org/officeDocument/2006/relationships/hyperlink" Target="http://tprocess-contax/browse/CTXRECSA-422165" TargetMode="External"/><Relationship Id="rId405" Type="http://schemas.openxmlformats.org/officeDocument/2006/relationships/hyperlink" Target="http://tprocess-contax/browse/CTXRECSA-371873" TargetMode="External"/><Relationship Id="rId447" Type="http://schemas.openxmlformats.org/officeDocument/2006/relationships/hyperlink" Target="http://tprocess-contax/browse/CTXNITSP-177338" TargetMode="External"/><Relationship Id="rId612" Type="http://schemas.openxmlformats.org/officeDocument/2006/relationships/hyperlink" Target="http://tprocess-contax/browse/CTXFORBM-339448" TargetMode="External"/><Relationship Id="rId251" Type="http://schemas.openxmlformats.org/officeDocument/2006/relationships/hyperlink" Target="http://tprocess-contax/browse/CTXSPOAL-86278" TargetMode="External"/><Relationship Id="rId489" Type="http://schemas.openxmlformats.org/officeDocument/2006/relationships/hyperlink" Target="http://tprocess-contax/browse/CTXMTZRP-43581" TargetMode="External"/><Relationship Id="rId654" Type="http://schemas.openxmlformats.org/officeDocument/2006/relationships/hyperlink" Target="http://tprocess-contax/browse/CTXBHZRP-217559" TargetMode="External"/><Relationship Id="rId46" Type="http://schemas.openxmlformats.org/officeDocument/2006/relationships/hyperlink" Target="http://tprocess-contax/browse/CTXSPOBF-129499" TargetMode="External"/><Relationship Id="rId293" Type="http://schemas.openxmlformats.org/officeDocument/2006/relationships/hyperlink" Target="http://tprocess-contax/browse/CTXSALLM-117084" TargetMode="External"/><Relationship Id="rId307" Type="http://schemas.openxmlformats.org/officeDocument/2006/relationships/hyperlink" Target="http://tprocess-contax/browse/CTXRJOMK-125309" TargetMode="External"/><Relationship Id="rId349" Type="http://schemas.openxmlformats.org/officeDocument/2006/relationships/hyperlink" Target="http://tprocess-contax/browse/CTXRJOED-51677" TargetMode="External"/><Relationship Id="rId514" Type="http://schemas.openxmlformats.org/officeDocument/2006/relationships/hyperlink" Target="http://tprocess-contax/browse/CTXMTZRP-35943" TargetMode="External"/><Relationship Id="rId556" Type="http://schemas.openxmlformats.org/officeDocument/2006/relationships/hyperlink" Target="http://tprocess-contax/browse/CTXLONLA-28201" TargetMode="External"/><Relationship Id="rId88" Type="http://schemas.openxmlformats.org/officeDocument/2006/relationships/hyperlink" Target="http://tprocess-contax/browse/CTXSPOBF-126223" TargetMode="External"/><Relationship Id="rId111" Type="http://schemas.openxmlformats.org/officeDocument/2006/relationships/hyperlink" Target="http://tprocess-contax/browse/CTXSPOBF-121132" TargetMode="External"/><Relationship Id="rId153" Type="http://schemas.openxmlformats.org/officeDocument/2006/relationships/hyperlink" Target="http://tprocess-contax/browse/CTXSPOAP407-14651" TargetMode="External"/><Relationship Id="rId195" Type="http://schemas.openxmlformats.org/officeDocument/2006/relationships/hyperlink" Target="http://tprocess-contax/browse/CTXSPOAP407-10497" TargetMode="External"/><Relationship Id="rId209" Type="http://schemas.openxmlformats.org/officeDocument/2006/relationships/hyperlink" Target="http://tprocess-contax/browse/CTXSPOAP407-10294" TargetMode="External"/><Relationship Id="rId360" Type="http://schemas.openxmlformats.org/officeDocument/2006/relationships/hyperlink" Target="http://tprocess-contax/browse/CTXRECSA-452887" TargetMode="External"/><Relationship Id="rId416" Type="http://schemas.openxmlformats.org/officeDocument/2006/relationships/hyperlink" Target="http://tprocess-contax/browse/CTXRECAM-55054" TargetMode="External"/><Relationship Id="rId598" Type="http://schemas.openxmlformats.org/officeDocument/2006/relationships/hyperlink" Target="http://tprocess-contax/browse/CTXFORBM-347668" TargetMode="External"/><Relationship Id="rId220" Type="http://schemas.openxmlformats.org/officeDocument/2006/relationships/hyperlink" Target="http://tprocess-contax/browse/CTXSPOAL-101739" TargetMode="External"/><Relationship Id="rId458" Type="http://schemas.openxmlformats.org/officeDocument/2006/relationships/hyperlink" Target="http://tprocess-contax/browse/CTXNITSP-176223" TargetMode="External"/><Relationship Id="rId623" Type="http://schemas.openxmlformats.org/officeDocument/2006/relationships/hyperlink" Target="http://tprocess-contax/browse/CTXFORBM-324853" TargetMode="External"/><Relationship Id="rId665" Type="http://schemas.openxmlformats.org/officeDocument/2006/relationships/hyperlink" Target="http://tprocess-contax/browse/CTXBHZRI-94837" TargetMode="External"/><Relationship Id="rId15" Type="http://schemas.openxmlformats.org/officeDocument/2006/relationships/hyperlink" Target="http://tprocess-contax/browse/CTXSPOLP-111079" TargetMode="External"/><Relationship Id="rId57" Type="http://schemas.openxmlformats.org/officeDocument/2006/relationships/hyperlink" Target="http://tprocess-contax/browse/CTXSPOBF-128869" TargetMode="External"/><Relationship Id="rId262" Type="http://schemas.openxmlformats.org/officeDocument/2006/relationships/hyperlink" Target="http://tprocess-contax/browse/CTXSALSM-84035" TargetMode="External"/><Relationship Id="rId318" Type="http://schemas.openxmlformats.org/officeDocument/2006/relationships/hyperlink" Target="http://tprocess-contax/browse/CTXRJOMA-78215" TargetMode="External"/><Relationship Id="rId525" Type="http://schemas.openxmlformats.org/officeDocument/2006/relationships/hyperlink" Target="http://tprocess-contax/browse/CTXMTZPB-1044" TargetMode="External"/><Relationship Id="rId567" Type="http://schemas.openxmlformats.org/officeDocument/2006/relationships/hyperlink" Target="http://tprocess-contax/browse/CTXFORBM-357993" TargetMode="External"/><Relationship Id="rId99" Type="http://schemas.openxmlformats.org/officeDocument/2006/relationships/hyperlink" Target="http://tprocess-contax/browse/CTXSPOBF-125921" TargetMode="External"/><Relationship Id="rId122" Type="http://schemas.openxmlformats.org/officeDocument/2006/relationships/hyperlink" Target="http://tprocess-contax/browse/CTXSPOBF-114042" TargetMode="External"/><Relationship Id="rId164" Type="http://schemas.openxmlformats.org/officeDocument/2006/relationships/hyperlink" Target="http://tprocess-contax/browse/CTXSPOAP407-13236" TargetMode="External"/><Relationship Id="rId371" Type="http://schemas.openxmlformats.org/officeDocument/2006/relationships/hyperlink" Target="http://tprocess-contax/browse/CTXRECSA-441535" TargetMode="External"/><Relationship Id="rId427" Type="http://schemas.openxmlformats.org/officeDocument/2006/relationships/hyperlink" Target="http://tprocess-contax/browse/CTXPOARB-93327" TargetMode="External"/><Relationship Id="rId469" Type="http://schemas.openxmlformats.org/officeDocument/2006/relationships/hyperlink" Target="http://tprocess-contax/browse/CTXNITSP-172566" TargetMode="External"/><Relationship Id="rId634" Type="http://schemas.openxmlformats.org/officeDocument/2006/relationships/hyperlink" Target="http://tprocess-contax/browse/CTXFORBM-313079" TargetMode="External"/><Relationship Id="rId676" Type="http://schemas.openxmlformats.org/officeDocument/2006/relationships/hyperlink" Target="http://tprocess-contax/browse/CLIORBCG-397" TargetMode="External"/><Relationship Id="rId26" Type="http://schemas.openxmlformats.org/officeDocument/2006/relationships/hyperlink" Target="http://tprocess-contax/browse/CTXSPOLP-97254" TargetMode="External"/><Relationship Id="rId231" Type="http://schemas.openxmlformats.org/officeDocument/2006/relationships/hyperlink" Target="http://tprocess-contax/browse/CTXSPOAL-96427" TargetMode="External"/><Relationship Id="rId273" Type="http://schemas.openxmlformats.org/officeDocument/2006/relationships/hyperlink" Target="http://tprocess-contax/browse/CTXSALPB-55659" TargetMode="External"/><Relationship Id="rId329" Type="http://schemas.openxmlformats.org/officeDocument/2006/relationships/hyperlink" Target="http://tprocess-contax/browse/CTXRJOMA-77360" TargetMode="External"/><Relationship Id="rId480" Type="http://schemas.openxmlformats.org/officeDocument/2006/relationships/hyperlink" Target="http://tprocess-contax/browse/CTXNITSP-164357" TargetMode="External"/><Relationship Id="rId536" Type="http://schemas.openxmlformats.org/officeDocument/2006/relationships/hyperlink" Target="http://tprocess-contax/browse/CTXMLTREG-6041" TargetMode="External"/><Relationship Id="rId68" Type="http://schemas.openxmlformats.org/officeDocument/2006/relationships/hyperlink" Target="http://tprocess-contax/browse/CTXSPOBF-128717" TargetMode="External"/><Relationship Id="rId133" Type="http://schemas.openxmlformats.org/officeDocument/2006/relationships/hyperlink" Target="http://tprocess-contax/browse/CTXSPOAP407-15345" TargetMode="External"/><Relationship Id="rId175" Type="http://schemas.openxmlformats.org/officeDocument/2006/relationships/hyperlink" Target="http://tprocess-contax/browse/CTXSPOAP407-12306" TargetMode="External"/><Relationship Id="rId340" Type="http://schemas.openxmlformats.org/officeDocument/2006/relationships/hyperlink" Target="http://tprocess-contax/browse/CTXRJOED-57910" TargetMode="External"/><Relationship Id="rId578" Type="http://schemas.openxmlformats.org/officeDocument/2006/relationships/hyperlink" Target="http://tprocess-contax/browse/CTXFORBM-356544" TargetMode="External"/><Relationship Id="rId200" Type="http://schemas.openxmlformats.org/officeDocument/2006/relationships/hyperlink" Target="http://tprocess-contax/browse/CTXSPOAP407-10428" TargetMode="External"/><Relationship Id="rId382" Type="http://schemas.openxmlformats.org/officeDocument/2006/relationships/hyperlink" Target="http://tprocess-contax/browse/CTXRECSA-439238" TargetMode="External"/><Relationship Id="rId438" Type="http://schemas.openxmlformats.org/officeDocument/2006/relationships/hyperlink" Target="http://tprocess-contax/browse/CTXNITSP-178541" TargetMode="External"/><Relationship Id="rId603" Type="http://schemas.openxmlformats.org/officeDocument/2006/relationships/hyperlink" Target="http://tprocess-contax/browse/CTXFORBM-342169" TargetMode="External"/><Relationship Id="rId645" Type="http://schemas.openxmlformats.org/officeDocument/2006/relationships/hyperlink" Target="http://tprocess-contax/browse/CTXFORBM-287648" TargetMode="External"/><Relationship Id="rId242" Type="http://schemas.openxmlformats.org/officeDocument/2006/relationships/hyperlink" Target="http://tprocess-contax/browse/CTXSPOAL-91696" TargetMode="External"/><Relationship Id="rId284" Type="http://schemas.openxmlformats.org/officeDocument/2006/relationships/hyperlink" Target="http://tprocess-contax/browse/CTXSALPB-42304" TargetMode="External"/><Relationship Id="rId491" Type="http://schemas.openxmlformats.org/officeDocument/2006/relationships/hyperlink" Target="http://tprocess-contax/browse/CTXMTZRP-43579" TargetMode="External"/><Relationship Id="rId505" Type="http://schemas.openxmlformats.org/officeDocument/2006/relationships/hyperlink" Target="http://tprocess-contax/browse/CTXMTZRP-42159" TargetMode="External"/><Relationship Id="rId37" Type="http://schemas.openxmlformats.org/officeDocument/2006/relationships/hyperlink" Target="http://tprocess-contax/browse/CTXSPOBF-130612" TargetMode="External"/><Relationship Id="rId79" Type="http://schemas.openxmlformats.org/officeDocument/2006/relationships/hyperlink" Target="http://tprocess-contax/browse/CTXSPOBF-128688" TargetMode="External"/><Relationship Id="rId102" Type="http://schemas.openxmlformats.org/officeDocument/2006/relationships/hyperlink" Target="http://tprocess-contax/browse/CTXSPOBF-125012" TargetMode="External"/><Relationship Id="rId144" Type="http://schemas.openxmlformats.org/officeDocument/2006/relationships/hyperlink" Target="http://tprocess-contax/browse/CTXSPOAP407-14972" TargetMode="External"/><Relationship Id="rId547" Type="http://schemas.openxmlformats.org/officeDocument/2006/relationships/hyperlink" Target="http://tprocess-contax/browse/CTXMLTREG-3841" TargetMode="External"/><Relationship Id="rId589" Type="http://schemas.openxmlformats.org/officeDocument/2006/relationships/hyperlink" Target="http://tprocess-contax/browse/CTXFORBM-348646" TargetMode="External"/><Relationship Id="rId90" Type="http://schemas.openxmlformats.org/officeDocument/2006/relationships/hyperlink" Target="http://tprocess-contax/browse/CTXSPOBF-125992" TargetMode="External"/><Relationship Id="rId186" Type="http://schemas.openxmlformats.org/officeDocument/2006/relationships/hyperlink" Target="http://tprocess-contax/browse/CTXSPOAP407-11039" TargetMode="External"/><Relationship Id="rId351" Type="http://schemas.openxmlformats.org/officeDocument/2006/relationships/hyperlink" Target="http://tprocess-contax/browse/CTXRECSA-463298" TargetMode="External"/><Relationship Id="rId393" Type="http://schemas.openxmlformats.org/officeDocument/2006/relationships/hyperlink" Target="http://tprocess-contax/browse/CTXRECSA-419337" TargetMode="External"/><Relationship Id="rId407" Type="http://schemas.openxmlformats.org/officeDocument/2006/relationships/hyperlink" Target="http://tprocess-contax/browse/CTXRECSA-338313" TargetMode="External"/><Relationship Id="rId449" Type="http://schemas.openxmlformats.org/officeDocument/2006/relationships/hyperlink" Target="http://tprocess-contax/browse/CTXNITSP-177143" TargetMode="External"/><Relationship Id="rId614" Type="http://schemas.openxmlformats.org/officeDocument/2006/relationships/hyperlink" Target="http://tprocess-contax/browse/CTXFORBM-335279" TargetMode="External"/><Relationship Id="rId656" Type="http://schemas.openxmlformats.org/officeDocument/2006/relationships/hyperlink" Target="http://tprocess-contax/browse/CTXBHZRI-98120" TargetMode="External"/><Relationship Id="rId211" Type="http://schemas.openxmlformats.org/officeDocument/2006/relationships/hyperlink" Target="http://tprocess-contax/browse/CTXSPOAP407-10289" TargetMode="External"/><Relationship Id="rId253" Type="http://schemas.openxmlformats.org/officeDocument/2006/relationships/hyperlink" Target="http://tprocess-contax/browse/CTXSPOAL-83138" TargetMode="External"/><Relationship Id="rId295" Type="http://schemas.openxmlformats.org/officeDocument/2006/relationships/hyperlink" Target="http://tprocess-contax/browse/CTXSALLM-115737" TargetMode="External"/><Relationship Id="rId309" Type="http://schemas.openxmlformats.org/officeDocument/2006/relationships/hyperlink" Target="http://tprocess-contax/browse/CTXRJOMK-118558" TargetMode="External"/><Relationship Id="rId460" Type="http://schemas.openxmlformats.org/officeDocument/2006/relationships/hyperlink" Target="http://tprocess-contax/browse/CTXNITSP-175831" TargetMode="External"/><Relationship Id="rId516" Type="http://schemas.openxmlformats.org/officeDocument/2006/relationships/hyperlink" Target="http://tprocess-contax/browse/CTXMTZRP-35937" TargetMode="External"/><Relationship Id="rId48" Type="http://schemas.openxmlformats.org/officeDocument/2006/relationships/hyperlink" Target="http://tprocess-contax/browse/CTXSPOBF-128995" TargetMode="External"/><Relationship Id="rId113" Type="http://schemas.openxmlformats.org/officeDocument/2006/relationships/hyperlink" Target="http://tprocess-contax/browse/CTXSPOBF-119863" TargetMode="External"/><Relationship Id="rId320" Type="http://schemas.openxmlformats.org/officeDocument/2006/relationships/hyperlink" Target="http://tprocess-contax/browse/CTXRJOMA-78210" TargetMode="External"/><Relationship Id="rId558" Type="http://schemas.openxmlformats.org/officeDocument/2006/relationships/hyperlink" Target="http://tprocess-contax/browse/CTXLONLA-28199" TargetMode="External"/><Relationship Id="rId155" Type="http://schemas.openxmlformats.org/officeDocument/2006/relationships/hyperlink" Target="http://tprocess-contax/browse/CTXSPOAP407-14490" TargetMode="External"/><Relationship Id="rId197" Type="http://schemas.openxmlformats.org/officeDocument/2006/relationships/hyperlink" Target="http://tprocess-contax/browse/CTXSPOAP407-10434" TargetMode="External"/><Relationship Id="rId362" Type="http://schemas.openxmlformats.org/officeDocument/2006/relationships/hyperlink" Target="http://tprocess-contax/browse/CTXRECSA-447220" TargetMode="External"/><Relationship Id="rId418" Type="http://schemas.openxmlformats.org/officeDocument/2006/relationships/hyperlink" Target="http://tprocess-contax/browse/CTXRECAM-54297" TargetMode="External"/><Relationship Id="rId625" Type="http://schemas.openxmlformats.org/officeDocument/2006/relationships/hyperlink" Target="http://tprocess-contax/browse/CTXFORBM-322363" TargetMode="External"/><Relationship Id="rId222" Type="http://schemas.openxmlformats.org/officeDocument/2006/relationships/hyperlink" Target="http://tprocess-contax/browse/CTXSPOAL-101398" TargetMode="External"/><Relationship Id="rId264" Type="http://schemas.openxmlformats.org/officeDocument/2006/relationships/hyperlink" Target="http://tprocess-contax/browse/CTXSALSM-83029" TargetMode="External"/><Relationship Id="rId471" Type="http://schemas.openxmlformats.org/officeDocument/2006/relationships/hyperlink" Target="http://tprocess-contax/browse/CTXNITSP-172461" TargetMode="External"/><Relationship Id="rId667" Type="http://schemas.openxmlformats.org/officeDocument/2006/relationships/hyperlink" Target="http://tprocess-contax/browse/CTXBHZRI-92004" TargetMode="External"/><Relationship Id="rId17" Type="http://schemas.openxmlformats.org/officeDocument/2006/relationships/hyperlink" Target="http://tprocess-contax/browse/CTXSPOLP-110890" TargetMode="External"/><Relationship Id="rId59" Type="http://schemas.openxmlformats.org/officeDocument/2006/relationships/hyperlink" Target="http://tprocess-contax/browse/CTXSPOBF-128865" TargetMode="External"/><Relationship Id="rId124" Type="http://schemas.openxmlformats.org/officeDocument/2006/relationships/hyperlink" Target="http://tprocess-contax/browse/CTXSPOBF-100889" TargetMode="External"/><Relationship Id="rId527" Type="http://schemas.openxmlformats.org/officeDocument/2006/relationships/hyperlink" Target="http://tprocess-contax/browse/CTXMTZPB-944" TargetMode="External"/><Relationship Id="rId569" Type="http://schemas.openxmlformats.org/officeDocument/2006/relationships/hyperlink" Target="http://tprocess-contax/browse/CTXFORBM-356683" TargetMode="External"/><Relationship Id="rId70" Type="http://schemas.openxmlformats.org/officeDocument/2006/relationships/hyperlink" Target="http://tprocess-contax/browse/CTXSPOBF-128714" TargetMode="External"/><Relationship Id="rId166" Type="http://schemas.openxmlformats.org/officeDocument/2006/relationships/hyperlink" Target="http://tprocess-contax/browse/CTXSPOAP407-13197" TargetMode="External"/><Relationship Id="rId331" Type="http://schemas.openxmlformats.org/officeDocument/2006/relationships/hyperlink" Target="http://tprocess-contax/browse/CTXRJOMA-77290" TargetMode="External"/><Relationship Id="rId373" Type="http://schemas.openxmlformats.org/officeDocument/2006/relationships/hyperlink" Target="http://tprocess-contax/browse/CTXRECSA-441523" TargetMode="External"/><Relationship Id="rId429" Type="http://schemas.openxmlformats.org/officeDocument/2006/relationships/hyperlink" Target="http://tprocess-contax/browse/CTXPOARB-91371" TargetMode="External"/><Relationship Id="rId580" Type="http://schemas.openxmlformats.org/officeDocument/2006/relationships/hyperlink" Target="http://tprocess-contax/browse/CTXFORBM-356388" TargetMode="External"/><Relationship Id="rId636" Type="http://schemas.openxmlformats.org/officeDocument/2006/relationships/hyperlink" Target="http://tprocess-contax/browse/CTXFORBM-304805" TargetMode="External"/><Relationship Id="rId1" Type="http://schemas.openxmlformats.org/officeDocument/2006/relationships/hyperlink" Target="http://tprocess-contax/browse/CTXSPOLP-116961" TargetMode="External"/><Relationship Id="rId233" Type="http://schemas.openxmlformats.org/officeDocument/2006/relationships/hyperlink" Target="http://tprocess-contax/browse/CTXSPOAL-96094" TargetMode="External"/><Relationship Id="rId440" Type="http://schemas.openxmlformats.org/officeDocument/2006/relationships/hyperlink" Target="http://tprocess-contax/browse/CTXNITSP-178374" TargetMode="External"/><Relationship Id="rId678" Type="http://schemas.openxmlformats.org/officeDocument/2006/relationships/hyperlink" Target="http://tprocess-contax/browse/CLIORBCG-187" TargetMode="External"/><Relationship Id="rId28" Type="http://schemas.openxmlformats.org/officeDocument/2006/relationships/hyperlink" Target="http://tprocess-contax/browse/CTXSPOBF-135197" TargetMode="External"/><Relationship Id="rId275" Type="http://schemas.openxmlformats.org/officeDocument/2006/relationships/hyperlink" Target="http://tprocess-contax/browse/CTXSALPB-53727" TargetMode="External"/><Relationship Id="rId300" Type="http://schemas.openxmlformats.org/officeDocument/2006/relationships/hyperlink" Target="http://tprocess-contax/browse/CTXSALAS-156916" TargetMode="External"/><Relationship Id="rId482" Type="http://schemas.openxmlformats.org/officeDocument/2006/relationships/hyperlink" Target="http://tprocess-contax/browse/CTXNITSP-163395" TargetMode="External"/><Relationship Id="rId538" Type="http://schemas.openxmlformats.org/officeDocument/2006/relationships/hyperlink" Target="http://tprocess-contax/browse/CTXMLTREG-4755" TargetMode="External"/><Relationship Id="rId81" Type="http://schemas.openxmlformats.org/officeDocument/2006/relationships/hyperlink" Target="http://tprocess-contax/browse/CTXSPOBF-128685" TargetMode="External"/><Relationship Id="rId135" Type="http://schemas.openxmlformats.org/officeDocument/2006/relationships/hyperlink" Target="http://tprocess-contax/browse/CTXSPOAP407-15301" TargetMode="External"/><Relationship Id="rId177" Type="http://schemas.openxmlformats.org/officeDocument/2006/relationships/hyperlink" Target="http://tprocess-contax/browse/CTXSPOAP407-12033" TargetMode="External"/><Relationship Id="rId342" Type="http://schemas.openxmlformats.org/officeDocument/2006/relationships/hyperlink" Target="http://tprocess-contax/browse/CTXRJOED-57907" TargetMode="External"/><Relationship Id="rId384" Type="http://schemas.openxmlformats.org/officeDocument/2006/relationships/hyperlink" Target="http://tprocess-contax/browse/CTXRECSA-433478" TargetMode="External"/><Relationship Id="rId591" Type="http://schemas.openxmlformats.org/officeDocument/2006/relationships/hyperlink" Target="http://tprocess-contax/browse/CTXFORBM-348606" TargetMode="External"/><Relationship Id="rId605" Type="http://schemas.openxmlformats.org/officeDocument/2006/relationships/hyperlink" Target="http://tprocess-contax/browse/CTXFORBM-342165" TargetMode="External"/><Relationship Id="rId202" Type="http://schemas.openxmlformats.org/officeDocument/2006/relationships/hyperlink" Target="http://tprocess-contax/browse/CTXSPOAP407-10423" TargetMode="External"/><Relationship Id="rId244" Type="http://schemas.openxmlformats.org/officeDocument/2006/relationships/hyperlink" Target="http://tprocess-contax/browse/CTXSPOAL-91546" TargetMode="External"/><Relationship Id="rId647" Type="http://schemas.openxmlformats.org/officeDocument/2006/relationships/hyperlink" Target="http://tprocess-contax/browse/CTXFORBM-235310" TargetMode="External"/><Relationship Id="rId39" Type="http://schemas.openxmlformats.org/officeDocument/2006/relationships/hyperlink" Target="http://tprocess-contax/browse/CTXSPOBF-130531" TargetMode="External"/><Relationship Id="rId286" Type="http://schemas.openxmlformats.org/officeDocument/2006/relationships/hyperlink" Target="http://tprocess-contax/browse/CTXSALPB-31209" TargetMode="External"/><Relationship Id="rId451" Type="http://schemas.openxmlformats.org/officeDocument/2006/relationships/hyperlink" Target="http://tprocess-contax/browse/CTXNITSP-176576" TargetMode="External"/><Relationship Id="rId493" Type="http://schemas.openxmlformats.org/officeDocument/2006/relationships/hyperlink" Target="http://tprocess-contax/browse/CTXMTZRP-43574" TargetMode="External"/><Relationship Id="rId507" Type="http://schemas.openxmlformats.org/officeDocument/2006/relationships/hyperlink" Target="http://tprocess-contax/browse/CTXMTZRP-41269" TargetMode="External"/><Relationship Id="rId549" Type="http://schemas.openxmlformats.org/officeDocument/2006/relationships/hyperlink" Target="http://tprocess-contax/browse/CTXMLTREG-3703" TargetMode="External"/><Relationship Id="rId50" Type="http://schemas.openxmlformats.org/officeDocument/2006/relationships/hyperlink" Target="http://tprocess-contax/browse/CTXSPOBF-128993" TargetMode="External"/><Relationship Id="rId104" Type="http://schemas.openxmlformats.org/officeDocument/2006/relationships/hyperlink" Target="http://tprocess-contax/browse/CTXSPOBF-123720" TargetMode="External"/><Relationship Id="rId146" Type="http://schemas.openxmlformats.org/officeDocument/2006/relationships/hyperlink" Target="http://tprocess-contax/browse/CTXSPOAP407-14886" TargetMode="External"/><Relationship Id="rId188" Type="http://schemas.openxmlformats.org/officeDocument/2006/relationships/hyperlink" Target="http://tprocess-contax/browse/CTXSPOAP407-10900" TargetMode="External"/><Relationship Id="rId311" Type="http://schemas.openxmlformats.org/officeDocument/2006/relationships/hyperlink" Target="http://tprocess-contax/browse/CTXRJOMK-117938" TargetMode="External"/><Relationship Id="rId353" Type="http://schemas.openxmlformats.org/officeDocument/2006/relationships/hyperlink" Target="http://tprocess-contax/browse/CTXRECSA-461808" TargetMode="External"/><Relationship Id="rId395" Type="http://schemas.openxmlformats.org/officeDocument/2006/relationships/hyperlink" Target="http://tprocess-contax/browse/CTXRECSA-413131" TargetMode="External"/><Relationship Id="rId409" Type="http://schemas.openxmlformats.org/officeDocument/2006/relationships/hyperlink" Target="http://tprocess-contax/browse/CTXRECAM-56450" TargetMode="External"/><Relationship Id="rId560" Type="http://schemas.openxmlformats.org/officeDocument/2006/relationships/hyperlink" Target="http://tprocess-contax/browse/CTXLONLA-26632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680"/>
  <sheetViews>
    <sheetView workbookViewId="0">
      <selection activeCell="F2" sqref="F2:F680"/>
    </sheetView>
  </sheetViews>
  <sheetFormatPr defaultRowHeight="12" x14ac:dyDescent="0.2"/>
  <cols>
    <col min="1" max="2" width="19.28515625" style="1" bestFit="1" customWidth="1"/>
    <col min="3" max="3" width="36.5703125" style="1" bestFit="1" customWidth="1"/>
    <col min="4" max="6" width="18.5703125" style="1" customWidth="1"/>
    <col min="7" max="7" width="34.5703125" style="1" bestFit="1" customWidth="1"/>
    <col min="8" max="8" width="36.42578125" style="1" bestFit="1" customWidth="1"/>
    <col min="9" max="9" width="15.5703125" style="1" bestFit="1" customWidth="1"/>
    <col min="10" max="11" width="15.42578125" style="1" bestFit="1" customWidth="1"/>
    <col min="12" max="12" width="7.28515625" style="1" customWidth="1"/>
    <col min="13" max="14" width="9.140625" style="1"/>
    <col min="15" max="15" width="15.28515625" style="1" bestFit="1" customWidth="1"/>
    <col min="16" max="16384" width="9.140625" style="1"/>
  </cols>
  <sheetData>
    <row r="1" spans="1:15" ht="12.75" x14ac:dyDescent="0.2">
      <c r="A1" s="2" t="s">
        <v>0</v>
      </c>
      <c r="B1" s="2" t="s">
        <v>1</v>
      </c>
      <c r="C1" s="2" t="s">
        <v>2</v>
      </c>
      <c r="D1" s="2" t="s">
        <v>1416</v>
      </c>
      <c r="E1" s="2" t="s">
        <v>1424</v>
      </c>
      <c r="F1" s="2" t="s">
        <v>1425</v>
      </c>
      <c r="G1" s="2" t="s">
        <v>3</v>
      </c>
      <c r="H1" s="2" t="s">
        <v>4</v>
      </c>
      <c r="I1" s="2" t="s">
        <v>5</v>
      </c>
      <c r="J1" s="2" t="s">
        <v>6</v>
      </c>
      <c r="K1" s="2" t="s">
        <v>7</v>
      </c>
      <c r="L1" s="2" t="s">
        <v>1408</v>
      </c>
      <c r="M1" s="8" t="s">
        <v>1403</v>
      </c>
      <c r="N1" s="8" t="s">
        <v>1404</v>
      </c>
      <c r="O1" s="8" t="s">
        <v>1409</v>
      </c>
    </row>
    <row r="2" spans="1:15" ht="25.5" x14ac:dyDescent="0.2">
      <c r="A2" s="3" t="s">
        <v>8</v>
      </c>
      <c r="B2" s="4" t="s">
        <v>9</v>
      </c>
      <c r="C2" s="3" t="s">
        <v>10</v>
      </c>
      <c r="D2" s="3" t="s">
        <v>1417</v>
      </c>
      <c r="E2" s="3" t="str">
        <f>VLOOKUP(B2,[1]general_report!$B$1:$I$713,8,0)</f>
        <v xml:space="preserve">Cielo </v>
      </c>
      <c r="F2" s="3" t="str">
        <f>VLOOKUP(B2,[1]general_report!$B$1:$J$713,9,0)</f>
        <v xml:space="preserve"> ARV</v>
      </c>
      <c r="G2" s="3" t="s">
        <v>11</v>
      </c>
      <c r="H2" s="3" t="s">
        <v>12</v>
      </c>
      <c r="I2" s="3" t="s">
        <v>13</v>
      </c>
      <c r="J2" s="5">
        <v>42380.505555555559</v>
      </c>
      <c r="K2" s="3"/>
      <c r="L2" s="11">
        <f ca="1">IF(K2="",TODAY()-J2,K2-J2)</f>
        <v>52.494444444440887</v>
      </c>
      <c r="M2" s="1">
        <f>MONTH(J2)</f>
        <v>1</v>
      </c>
      <c r="N2" s="1">
        <f>YEAR(J2)</f>
        <v>2016</v>
      </c>
      <c r="O2" s="1" t="str">
        <f ca="1">IF(L2&lt;30,"menos 1 mês",IF(L2&lt;60,"entre 30 e 60 dias",IF(L2&lt;90,"entre 60 e 90 dias",IF(L2&lt;150,"entre 90 e 150 dias","mais de 150 dias"))))</f>
        <v>entre 30 e 60 dias</v>
      </c>
    </row>
    <row r="3" spans="1:15" ht="25.5" x14ac:dyDescent="0.2">
      <c r="A3" s="3" t="s">
        <v>8</v>
      </c>
      <c r="B3" s="4" t="s">
        <v>14</v>
      </c>
      <c r="C3" s="3" t="s">
        <v>15</v>
      </c>
      <c r="D3" s="3" t="s">
        <v>1417</v>
      </c>
      <c r="E3" s="3" t="str">
        <f>VLOOKUP(B3,[1]general_report!$B$1:$I$713,8,0)</f>
        <v xml:space="preserve">BV Financeira </v>
      </c>
      <c r="F3" s="3" t="str">
        <f>VLOOKUP(B3,[1]general_report!$B$1:$J$713,9,0)</f>
        <v xml:space="preserve"> SAC</v>
      </c>
      <c r="G3" s="3" t="s">
        <v>11</v>
      </c>
      <c r="H3" s="3" t="s">
        <v>12</v>
      </c>
      <c r="I3" s="3" t="s">
        <v>13</v>
      </c>
      <c r="J3" s="5">
        <v>42380.503472222219</v>
      </c>
      <c r="K3" s="3"/>
      <c r="L3" s="11">
        <f t="shared" ref="L3:L66" ca="1" si="0">IF(K3="",TODAY()-J3,K3-J3)</f>
        <v>52.496527777781012</v>
      </c>
      <c r="M3" s="1">
        <f t="shared" ref="M3:M66" si="1">MONTH(J3)</f>
        <v>1</v>
      </c>
      <c r="N3" s="1">
        <f t="shared" ref="N3:N66" si="2">YEAR(J3)</f>
        <v>2016</v>
      </c>
      <c r="O3" s="1" t="str">
        <f t="shared" ref="O3:O66" ca="1" si="3">IF(L3&lt;30,"menos 1 mês",IF(L3&lt;60,"entre 30 e 60 dias",IF(L3&lt;90,"entre 60 e 90 dias",IF(L3&lt;150,"entre 90 e 150 dias","mais de 150 dias"))))</f>
        <v>entre 30 e 60 dias</v>
      </c>
    </row>
    <row r="4" spans="1:15" ht="25.5" x14ac:dyDescent="0.2">
      <c r="A4" s="3" t="s">
        <v>8</v>
      </c>
      <c r="B4" s="4" t="s">
        <v>16</v>
      </c>
      <c r="C4" s="3" t="s">
        <v>17</v>
      </c>
      <c r="D4" s="3" t="s">
        <v>1417</v>
      </c>
      <c r="E4" s="3" t="str">
        <f>VLOOKUP(B4,[1]general_report!$B$1:$I$713,8,0)</f>
        <v xml:space="preserve">Banco Toyota </v>
      </c>
      <c r="F4" s="3" t="str">
        <f>VLOOKUP(B4,[1]general_report!$B$1:$J$713,9,0)</f>
        <v xml:space="preserve"> Suporte ao Cliente</v>
      </c>
      <c r="G4" s="3" t="s">
        <v>18</v>
      </c>
      <c r="H4" s="3" t="s">
        <v>19</v>
      </c>
      <c r="I4" s="3" t="s">
        <v>13</v>
      </c>
      <c r="J4" s="5">
        <v>42346.65902777778</v>
      </c>
      <c r="K4" s="3"/>
      <c r="L4" s="11">
        <f t="shared" ca="1" si="0"/>
        <v>86.340972222220444</v>
      </c>
      <c r="M4" s="1">
        <f t="shared" si="1"/>
        <v>12</v>
      </c>
      <c r="N4" s="1">
        <f t="shared" si="2"/>
        <v>2015</v>
      </c>
      <c r="O4" s="1" t="str">
        <f t="shared" ca="1" si="3"/>
        <v>entre 60 e 90 dias</v>
      </c>
    </row>
    <row r="5" spans="1:15" ht="25.5" x14ac:dyDescent="0.2">
      <c r="A5" s="3" t="s">
        <v>8</v>
      </c>
      <c r="B5" s="4" t="s">
        <v>20</v>
      </c>
      <c r="C5" s="3" t="s">
        <v>21</v>
      </c>
      <c r="D5" s="3" t="s">
        <v>1417</v>
      </c>
      <c r="E5" s="3" t="str">
        <f>VLOOKUP(B5,[1]general_report!$B$1:$I$713,8,0)</f>
        <v xml:space="preserve">Santander </v>
      </c>
      <c r="F5" s="3" t="str">
        <f>VLOOKUP(B5,[1]general_report!$B$1:$J$713,9,0)</f>
        <v xml:space="preserve"> Santander</v>
      </c>
      <c r="G5" s="3" t="s">
        <v>22</v>
      </c>
      <c r="H5" s="3" t="s">
        <v>23</v>
      </c>
      <c r="I5" s="3" t="s">
        <v>13</v>
      </c>
      <c r="J5" s="5">
        <v>42342.640277777777</v>
      </c>
      <c r="K5" s="3"/>
      <c r="L5" s="11">
        <f t="shared" ca="1" si="0"/>
        <v>90.359722222223354</v>
      </c>
      <c r="M5" s="1">
        <f t="shared" si="1"/>
        <v>12</v>
      </c>
      <c r="N5" s="1">
        <f t="shared" si="2"/>
        <v>2015</v>
      </c>
      <c r="O5" s="1" t="str">
        <f t="shared" ca="1" si="3"/>
        <v>entre 90 e 150 dias</v>
      </c>
    </row>
    <row r="6" spans="1:15" ht="15" x14ac:dyDescent="0.2">
      <c r="A6" s="3" t="s">
        <v>8</v>
      </c>
      <c r="B6" s="4" t="s">
        <v>24</v>
      </c>
      <c r="C6" s="3" t="s">
        <v>25</v>
      </c>
      <c r="D6" s="3" t="s">
        <v>1417</v>
      </c>
      <c r="E6" s="3" t="str">
        <f>VLOOKUP(B6,[1]general_report!$B$1:$I$713,8,0)</f>
        <v xml:space="preserve">Vivo </v>
      </c>
      <c r="F6" s="3" t="str">
        <f>VLOOKUP(B6,[1]general_report!$B$1:$J$713,9,0)</f>
        <v xml:space="preserve"> Vivo</v>
      </c>
      <c r="G6" s="3" t="s">
        <v>26</v>
      </c>
      <c r="H6" s="3" t="s">
        <v>26</v>
      </c>
      <c r="I6" s="3" t="s">
        <v>27</v>
      </c>
      <c r="J6" s="5">
        <v>42339.729861111111</v>
      </c>
      <c r="K6" s="5">
        <v>42401.648611111108</v>
      </c>
      <c r="L6" s="11">
        <f t="shared" ca="1" si="0"/>
        <v>61.91874999999709</v>
      </c>
      <c r="M6" s="1">
        <f t="shared" si="1"/>
        <v>12</v>
      </c>
      <c r="N6" s="1">
        <f t="shared" si="2"/>
        <v>2015</v>
      </c>
      <c r="O6" s="1" t="str">
        <f t="shared" ca="1" si="3"/>
        <v>entre 60 e 90 dias</v>
      </c>
    </row>
    <row r="7" spans="1:15" ht="38.25" x14ac:dyDescent="0.2">
      <c r="A7" s="3" t="s">
        <v>8</v>
      </c>
      <c r="B7" s="4" t="s">
        <v>28</v>
      </c>
      <c r="C7" s="3" t="s">
        <v>29</v>
      </c>
      <c r="D7" s="3" t="s">
        <v>1417</v>
      </c>
      <c r="E7" s="3" t="str">
        <f>VLOOKUP(B7,[1]general_report!$B$1:$I$713,8,0)</f>
        <v xml:space="preserve">Cielo </v>
      </c>
      <c r="F7" s="3" t="str">
        <f>VLOOKUP(B7,[1]general_report!$B$1:$J$713,9,0)</f>
        <v xml:space="preserve"> Campo</v>
      </c>
      <c r="G7" s="3" t="s">
        <v>18</v>
      </c>
      <c r="H7" s="3" t="s">
        <v>30</v>
      </c>
      <c r="I7" s="3" t="s">
        <v>13</v>
      </c>
      <c r="J7" s="5">
        <v>42333.658333333333</v>
      </c>
      <c r="K7" s="3"/>
      <c r="L7" s="11">
        <f t="shared" ca="1" si="0"/>
        <v>99.341666666667152</v>
      </c>
      <c r="M7" s="1">
        <f t="shared" si="1"/>
        <v>11</v>
      </c>
      <c r="N7" s="1">
        <f t="shared" si="2"/>
        <v>2015</v>
      </c>
      <c r="O7" s="1" t="str">
        <f t="shared" ca="1" si="3"/>
        <v>entre 90 e 150 dias</v>
      </c>
    </row>
    <row r="8" spans="1:15" ht="15" x14ac:dyDescent="0.2">
      <c r="A8" s="3" t="s">
        <v>8</v>
      </c>
      <c r="B8" s="4" t="s">
        <v>31</v>
      </c>
      <c r="C8" s="3" t="s">
        <v>32</v>
      </c>
      <c r="D8" s="3" t="s">
        <v>1417</v>
      </c>
      <c r="E8" s="3" t="str">
        <f>VLOOKUP(B8,[1]general_report!$B$1:$I$713,8,0)</f>
        <v xml:space="preserve">Ticket Serviços S/A </v>
      </c>
      <c r="F8" s="3" t="str">
        <f>VLOOKUP(B8,[1]general_report!$B$1:$J$713,9,0)</f>
        <v xml:space="preserve"> ADM e Ticket</v>
      </c>
      <c r="G8" s="3" t="s">
        <v>33</v>
      </c>
      <c r="H8" s="3" t="s">
        <v>34</v>
      </c>
      <c r="I8" s="3" t="s">
        <v>13</v>
      </c>
      <c r="J8" s="5">
        <v>42326.668749999997</v>
      </c>
      <c r="K8" s="3"/>
      <c r="L8" s="11">
        <f t="shared" ca="1" si="0"/>
        <v>106.33125000000291</v>
      </c>
      <c r="M8" s="1">
        <f t="shared" si="1"/>
        <v>11</v>
      </c>
      <c r="N8" s="1">
        <f t="shared" si="2"/>
        <v>2015</v>
      </c>
      <c r="O8" s="1" t="str">
        <f t="shared" ca="1" si="3"/>
        <v>entre 90 e 150 dias</v>
      </c>
    </row>
    <row r="9" spans="1:15" ht="15" x14ac:dyDescent="0.2">
      <c r="A9" s="3" t="s">
        <v>8</v>
      </c>
      <c r="B9" s="4" t="s">
        <v>35</v>
      </c>
      <c r="C9" s="3" t="s">
        <v>36</v>
      </c>
      <c r="D9" s="3" t="s">
        <v>1417</v>
      </c>
      <c r="E9" s="3" t="str">
        <f>VLOOKUP(B9,[1]general_report!$B$1:$I$713,8,0)</f>
        <v xml:space="preserve">Ticket Serviços S/A </v>
      </c>
      <c r="F9" s="3" t="str">
        <f>VLOOKUP(B9,[1]general_report!$B$1:$J$713,9,0)</f>
        <v xml:space="preserve"> ADM e Ticket</v>
      </c>
      <c r="G9" s="3" t="s">
        <v>33</v>
      </c>
      <c r="H9" s="3" t="s">
        <v>34</v>
      </c>
      <c r="I9" s="3" t="s">
        <v>13</v>
      </c>
      <c r="J9" s="5">
        <v>42326.660416666666</v>
      </c>
      <c r="K9" s="3"/>
      <c r="L9" s="11">
        <f t="shared" ca="1" si="0"/>
        <v>106.3395833333343</v>
      </c>
      <c r="M9" s="1">
        <f t="shared" si="1"/>
        <v>11</v>
      </c>
      <c r="N9" s="1">
        <f t="shared" si="2"/>
        <v>2015</v>
      </c>
      <c r="O9" s="1" t="str">
        <f t="shared" ca="1" si="3"/>
        <v>entre 90 e 150 dias</v>
      </c>
    </row>
    <row r="10" spans="1:15" ht="15" x14ac:dyDescent="0.2">
      <c r="A10" s="3" t="s">
        <v>8</v>
      </c>
      <c r="B10" s="4" t="s">
        <v>37</v>
      </c>
      <c r="C10" s="3" t="s">
        <v>38</v>
      </c>
      <c r="D10" s="3" t="s">
        <v>1417</v>
      </c>
      <c r="E10" s="3" t="str">
        <f>VLOOKUP(B10,[1]general_report!$B$1:$I$713,8,0)</f>
        <v xml:space="preserve">Ticket Serviços S/A </v>
      </c>
      <c r="F10" s="3" t="str">
        <f>VLOOKUP(B10,[1]general_report!$B$1:$J$713,9,0)</f>
        <v xml:space="preserve"> ADM e Ticket</v>
      </c>
      <c r="G10" s="3" t="s">
        <v>33</v>
      </c>
      <c r="H10" s="3" t="s">
        <v>34</v>
      </c>
      <c r="I10" s="3" t="s">
        <v>13</v>
      </c>
      <c r="J10" s="5">
        <v>42326.645833333336</v>
      </c>
      <c r="K10" s="3"/>
      <c r="L10" s="11">
        <f t="shared" ca="1" si="0"/>
        <v>106.35416666666424</v>
      </c>
      <c r="M10" s="1">
        <f t="shared" si="1"/>
        <v>11</v>
      </c>
      <c r="N10" s="1">
        <f t="shared" si="2"/>
        <v>2015</v>
      </c>
      <c r="O10" s="1" t="str">
        <f t="shared" ca="1" si="3"/>
        <v>entre 90 e 150 dias</v>
      </c>
    </row>
    <row r="11" spans="1:15" ht="15" x14ac:dyDescent="0.2">
      <c r="A11" s="3" t="s">
        <v>8</v>
      </c>
      <c r="B11" s="4" t="s">
        <v>39</v>
      </c>
      <c r="C11" s="3" t="s">
        <v>40</v>
      </c>
      <c r="D11" s="3" t="s">
        <v>1417</v>
      </c>
      <c r="E11" s="3" t="str">
        <f>VLOOKUP(B11,[1]general_report!$B$1:$I$713,8,0)</f>
        <v xml:space="preserve">Vivo </v>
      </c>
      <c r="F11" s="3" t="str">
        <f>VLOOKUP(B11,[1]general_report!$B$1:$J$713,9,0)</f>
        <v xml:space="preserve"> Vivo</v>
      </c>
      <c r="G11" s="3" t="s">
        <v>18</v>
      </c>
      <c r="H11" s="3" t="s">
        <v>41</v>
      </c>
      <c r="I11" s="3" t="s">
        <v>13</v>
      </c>
      <c r="J11" s="5">
        <v>42300.67291666667</v>
      </c>
      <c r="K11" s="3"/>
      <c r="L11" s="11">
        <f t="shared" ca="1" si="0"/>
        <v>132.32708333332994</v>
      </c>
      <c r="M11" s="1">
        <f t="shared" si="1"/>
        <v>10</v>
      </c>
      <c r="N11" s="1">
        <f t="shared" si="2"/>
        <v>2015</v>
      </c>
      <c r="O11" s="1" t="str">
        <f t="shared" ca="1" si="3"/>
        <v>entre 90 e 150 dias</v>
      </c>
    </row>
    <row r="12" spans="1:15" ht="25.5" x14ac:dyDescent="0.2">
      <c r="A12" s="3" t="s">
        <v>8</v>
      </c>
      <c r="B12" s="4" t="s">
        <v>42</v>
      </c>
      <c r="C12" s="3" t="s">
        <v>43</v>
      </c>
      <c r="D12" s="3" t="s">
        <v>1417</v>
      </c>
      <c r="E12" s="3" t="str">
        <f>VLOOKUP(B12,[1]general_report!$B$1:$I$713,8,0)</f>
        <v xml:space="preserve">BV Financeira </v>
      </c>
      <c r="F12" s="3" t="str">
        <f>VLOOKUP(B12,[1]general_report!$B$1:$J$713,9,0)</f>
        <v xml:space="preserve"> SAC</v>
      </c>
      <c r="G12" s="3" t="s">
        <v>18</v>
      </c>
      <c r="H12" s="3" t="s">
        <v>19</v>
      </c>
      <c r="I12" s="3" t="s">
        <v>13</v>
      </c>
      <c r="J12" s="5">
        <v>42279.707638888889</v>
      </c>
      <c r="K12" s="3"/>
      <c r="L12" s="11">
        <f t="shared" ca="1" si="0"/>
        <v>153.29236111111095</v>
      </c>
      <c r="M12" s="1">
        <f t="shared" si="1"/>
        <v>10</v>
      </c>
      <c r="N12" s="1">
        <f t="shared" si="2"/>
        <v>2015</v>
      </c>
      <c r="O12" s="1" t="str">
        <f t="shared" ca="1" si="3"/>
        <v>mais de 150 dias</v>
      </c>
    </row>
    <row r="13" spans="1:15" ht="15" x14ac:dyDescent="0.2">
      <c r="A13" s="3" t="s">
        <v>8</v>
      </c>
      <c r="B13" s="4" t="s">
        <v>44</v>
      </c>
      <c r="C13" s="3" t="s">
        <v>45</v>
      </c>
      <c r="D13" s="3" t="s">
        <v>1418</v>
      </c>
      <c r="E13" s="3" t="str">
        <f>VLOOKUP(B13,[1]general_report!$B$1:$I$713,8,0)</f>
        <v xml:space="preserve">Contax </v>
      </c>
      <c r="F13" s="3" t="str">
        <f>VLOOKUP(B13,[1]general_report!$B$1:$J$713,9,0)</f>
        <v xml:space="preserve"> Ger Qualidade</v>
      </c>
      <c r="G13" s="3" t="s">
        <v>46</v>
      </c>
      <c r="H13" s="3" t="s">
        <v>47</v>
      </c>
      <c r="I13" s="3" t="s">
        <v>48</v>
      </c>
      <c r="J13" s="5">
        <v>42270.49722222222</v>
      </c>
      <c r="K13" s="3"/>
      <c r="L13" s="11">
        <f t="shared" ca="1" si="0"/>
        <v>162.50277777777956</v>
      </c>
      <c r="M13" s="1">
        <f t="shared" si="1"/>
        <v>9</v>
      </c>
      <c r="N13" s="1">
        <f t="shared" si="2"/>
        <v>2015</v>
      </c>
      <c r="O13" s="1" t="str">
        <f t="shared" ca="1" si="3"/>
        <v>mais de 150 dias</v>
      </c>
    </row>
    <row r="14" spans="1:15" ht="25.5" x14ac:dyDescent="0.2">
      <c r="A14" s="3" t="s">
        <v>8</v>
      </c>
      <c r="B14" s="4" t="s">
        <v>49</v>
      </c>
      <c r="C14" s="3" t="s">
        <v>50</v>
      </c>
      <c r="D14" s="3" t="s">
        <v>1417</v>
      </c>
      <c r="E14" s="3" t="str">
        <f>VLOOKUP(B14,[1]general_report!$B$1:$I$713,8,0)</f>
        <v xml:space="preserve">Cielo </v>
      </c>
      <c r="F14" s="3" t="str">
        <f>VLOOKUP(B14,[1]general_report!$B$1:$J$713,9,0)</f>
        <v xml:space="preserve"> Campo</v>
      </c>
      <c r="G14" s="3" t="s">
        <v>18</v>
      </c>
      <c r="H14" s="3" t="s">
        <v>51</v>
      </c>
      <c r="I14" s="3" t="s">
        <v>13</v>
      </c>
      <c r="J14" s="5">
        <v>42261.488194444442</v>
      </c>
      <c r="K14" s="3"/>
      <c r="L14" s="11">
        <f t="shared" ca="1" si="0"/>
        <v>171.51180555555766</v>
      </c>
      <c r="M14" s="1">
        <f t="shared" si="1"/>
        <v>9</v>
      </c>
      <c r="N14" s="1">
        <f t="shared" si="2"/>
        <v>2015</v>
      </c>
      <c r="O14" s="1" t="str">
        <f t="shared" ca="1" si="3"/>
        <v>mais de 150 dias</v>
      </c>
    </row>
    <row r="15" spans="1:15" ht="25.5" x14ac:dyDescent="0.2">
      <c r="A15" s="3" t="s">
        <v>8</v>
      </c>
      <c r="B15" s="4" t="s">
        <v>52</v>
      </c>
      <c r="C15" s="3" t="s">
        <v>53</v>
      </c>
      <c r="D15" s="3" t="s">
        <v>1417</v>
      </c>
      <c r="E15" s="3" t="str">
        <f>VLOOKUP(B15,[1]general_report!$B$1:$I$713,8,0)</f>
        <v xml:space="preserve">Cielo </v>
      </c>
      <c r="F15" s="3" t="str">
        <f>VLOOKUP(B15,[1]general_report!$B$1:$J$713,9,0)</f>
        <v xml:space="preserve"> Campo</v>
      </c>
      <c r="G15" s="3" t="s">
        <v>18</v>
      </c>
      <c r="H15" s="3" t="s">
        <v>51</v>
      </c>
      <c r="I15" s="3" t="s">
        <v>48</v>
      </c>
      <c r="J15" s="5">
        <v>42257.700694444444</v>
      </c>
      <c r="K15" s="3"/>
      <c r="L15" s="11">
        <f t="shared" ca="1" si="0"/>
        <v>175.2993055555562</v>
      </c>
      <c r="M15" s="1">
        <f t="shared" si="1"/>
        <v>9</v>
      </c>
      <c r="N15" s="1">
        <f t="shared" si="2"/>
        <v>2015</v>
      </c>
      <c r="O15" s="1" t="str">
        <f t="shared" ca="1" si="3"/>
        <v>mais de 150 dias</v>
      </c>
    </row>
    <row r="16" spans="1:15" ht="25.5" x14ac:dyDescent="0.2">
      <c r="A16" s="3" t="s">
        <v>8</v>
      </c>
      <c r="B16" s="4" t="s">
        <v>54</v>
      </c>
      <c r="C16" s="3" t="s">
        <v>55</v>
      </c>
      <c r="D16" s="3" t="s">
        <v>1419</v>
      </c>
      <c r="E16" s="3" t="str">
        <f>VLOOKUP(B16,[1]general_report!$B$1:$I$713,8,0)</f>
        <v xml:space="preserve">BV Financeira </v>
      </c>
      <c r="F16" s="3" t="str">
        <f>VLOOKUP(B16,[1]general_report!$B$1:$J$713,9,0)</f>
        <v xml:space="preserve"> SAC</v>
      </c>
      <c r="G16" s="3" t="s">
        <v>18</v>
      </c>
      <c r="H16" s="3" t="s">
        <v>56</v>
      </c>
      <c r="I16" s="3" t="s">
        <v>13</v>
      </c>
      <c r="J16" s="5">
        <v>42256.489583333336</v>
      </c>
      <c r="K16" s="3"/>
      <c r="L16" s="11">
        <f t="shared" ca="1" si="0"/>
        <v>176.51041666666424</v>
      </c>
      <c r="M16" s="1">
        <f t="shared" si="1"/>
        <v>9</v>
      </c>
      <c r="N16" s="1">
        <f t="shared" si="2"/>
        <v>2015</v>
      </c>
      <c r="O16" s="1" t="str">
        <f t="shared" ca="1" si="3"/>
        <v>mais de 150 dias</v>
      </c>
    </row>
    <row r="17" spans="1:15" ht="15" x14ac:dyDescent="0.2">
      <c r="A17" s="3" t="s">
        <v>8</v>
      </c>
      <c r="B17" s="4" t="s">
        <v>57</v>
      </c>
      <c r="C17" s="3" t="s">
        <v>58</v>
      </c>
      <c r="D17" s="3" t="s">
        <v>1420</v>
      </c>
      <c r="E17" s="3" t="str">
        <f>VLOOKUP(B17,[1]general_report!$B$1:$I$713,8,0)</f>
        <v xml:space="preserve">Vivo </v>
      </c>
      <c r="F17" s="3" t="str">
        <f>VLOOKUP(B17,[1]general_report!$B$1:$J$713,9,0)</f>
        <v xml:space="preserve"> Vivo</v>
      </c>
      <c r="G17" s="3" t="s">
        <v>18</v>
      </c>
      <c r="H17" s="3" t="s">
        <v>12</v>
      </c>
      <c r="I17" s="3" t="s">
        <v>48</v>
      </c>
      <c r="J17" s="5">
        <v>42250.744444444441</v>
      </c>
      <c r="K17" s="3"/>
      <c r="L17" s="11">
        <f t="shared" ca="1" si="0"/>
        <v>182.25555555555911</v>
      </c>
      <c r="M17" s="1">
        <f t="shared" si="1"/>
        <v>9</v>
      </c>
      <c r="N17" s="1">
        <f t="shared" si="2"/>
        <v>2015</v>
      </c>
      <c r="O17" s="1" t="str">
        <f t="shared" ca="1" si="3"/>
        <v>mais de 150 dias</v>
      </c>
    </row>
    <row r="18" spans="1:15" ht="25.5" x14ac:dyDescent="0.2">
      <c r="A18" s="3" t="s">
        <v>8</v>
      </c>
      <c r="B18" s="4" t="s">
        <v>59</v>
      </c>
      <c r="C18" s="3" t="s">
        <v>60</v>
      </c>
      <c r="D18" s="3" t="s">
        <v>1417</v>
      </c>
      <c r="E18" s="3" t="str">
        <f>VLOOKUP(B18,[1]general_report!$B$1:$I$713,8,0)</f>
        <v xml:space="preserve">Vivo </v>
      </c>
      <c r="F18" s="3" t="str">
        <f>VLOOKUP(B18,[1]general_report!$B$1:$J$713,9,0)</f>
        <v xml:space="preserve"> Vivo</v>
      </c>
      <c r="G18" s="3" t="s">
        <v>18</v>
      </c>
      <c r="H18" s="3" t="s">
        <v>12</v>
      </c>
      <c r="I18" s="3" t="s">
        <v>48</v>
      </c>
      <c r="J18" s="5">
        <v>42250.72152777778</v>
      </c>
      <c r="K18" s="3"/>
      <c r="L18" s="11">
        <f t="shared" ca="1" si="0"/>
        <v>182.27847222222044</v>
      </c>
      <c r="M18" s="1">
        <f t="shared" si="1"/>
        <v>9</v>
      </c>
      <c r="N18" s="1">
        <f t="shared" si="2"/>
        <v>2015</v>
      </c>
      <c r="O18" s="1" t="str">
        <f t="shared" ca="1" si="3"/>
        <v>mais de 150 dias</v>
      </c>
    </row>
    <row r="19" spans="1:15" ht="25.5" x14ac:dyDescent="0.2">
      <c r="A19" s="3" t="s">
        <v>8</v>
      </c>
      <c r="B19" s="4" t="s">
        <v>61</v>
      </c>
      <c r="C19" s="3" t="s">
        <v>62</v>
      </c>
      <c r="D19" s="3" t="s">
        <v>1417</v>
      </c>
      <c r="E19" s="3" t="str">
        <f>VLOOKUP(B19,[1]general_report!$B$1:$I$713,8,0)</f>
        <v xml:space="preserve">Cielo </v>
      </c>
      <c r="F19" s="3" t="str">
        <f>VLOOKUP(B19,[1]general_report!$B$1:$J$713,9,0)</f>
        <v xml:space="preserve"> ARV</v>
      </c>
      <c r="G19" s="3" t="s">
        <v>51</v>
      </c>
      <c r="H19" s="3" t="s">
        <v>51</v>
      </c>
      <c r="I19" s="3" t="s">
        <v>7</v>
      </c>
      <c r="J19" s="5">
        <v>42249.801388888889</v>
      </c>
      <c r="K19" s="5">
        <v>42415.4375</v>
      </c>
      <c r="L19" s="11">
        <f t="shared" ca="1" si="0"/>
        <v>165.63611111111095</v>
      </c>
      <c r="M19" s="1">
        <f t="shared" si="1"/>
        <v>9</v>
      </c>
      <c r="N19" s="1">
        <f t="shared" si="2"/>
        <v>2015</v>
      </c>
      <c r="O19" s="1" t="str">
        <f t="shared" ca="1" si="3"/>
        <v>mais de 150 dias</v>
      </c>
    </row>
    <row r="20" spans="1:15" ht="25.5" x14ac:dyDescent="0.2">
      <c r="A20" s="3" t="s">
        <v>8</v>
      </c>
      <c r="B20" s="4" t="s">
        <v>63</v>
      </c>
      <c r="C20" s="3" t="s">
        <v>64</v>
      </c>
      <c r="D20" s="3" t="s">
        <v>1417</v>
      </c>
      <c r="E20" s="3" t="str">
        <f>VLOOKUP(B20,[1]general_report!$B$1:$I$713,8,0)</f>
        <v xml:space="preserve">Cielo </v>
      </c>
      <c r="F20" s="3" t="str">
        <f>VLOOKUP(B20,[1]general_report!$B$1:$J$713,9,0)</f>
        <v xml:space="preserve"> Cielo AMEX</v>
      </c>
      <c r="G20" s="3" t="s">
        <v>56</v>
      </c>
      <c r="H20" s="3" t="s">
        <v>56</v>
      </c>
      <c r="I20" s="3" t="s">
        <v>27</v>
      </c>
      <c r="J20" s="5">
        <v>42216.52847222222</v>
      </c>
      <c r="K20" s="5">
        <v>42354.711111111108</v>
      </c>
      <c r="L20" s="11">
        <f t="shared" ca="1" si="0"/>
        <v>138.1826388888876</v>
      </c>
      <c r="M20" s="1">
        <f t="shared" si="1"/>
        <v>7</v>
      </c>
      <c r="N20" s="1">
        <f t="shared" si="2"/>
        <v>2015</v>
      </c>
      <c r="O20" s="1" t="str">
        <f t="shared" ca="1" si="3"/>
        <v>entre 90 e 150 dias</v>
      </c>
    </row>
    <row r="21" spans="1:15" ht="25.5" x14ac:dyDescent="0.2">
      <c r="A21" s="3" t="s">
        <v>8</v>
      </c>
      <c r="B21" s="4" t="s">
        <v>65</v>
      </c>
      <c r="C21" s="3" t="s">
        <v>66</v>
      </c>
      <c r="D21" s="3" t="s">
        <v>1419</v>
      </c>
      <c r="E21" s="3" t="str">
        <f>VLOOKUP(B21,[1]general_report!$B$1:$I$713,8,0)</f>
        <v xml:space="preserve">Contax </v>
      </c>
      <c r="F21" s="3" t="str">
        <f>VLOOKUP(B21,[1]general_report!$B$1:$J$713,9,0)</f>
        <v xml:space="preserve"> Dir. Clientes Especiais</v>
      </c>
      <c r="G21" s="3" t="s">
        <v>67</v>
      </c>
      <c r="H21" s="3" t="s">
        <v>67</v>
      </c>
      <c r="I21" s="3" t="s">
        <v>27</v>
      </c>
      <c r="J21" s="5">
        <v>42208.458333333336</v>
      </c>
      <c r="K21" s="5">
        <v>42404.700694444444</v>
      </c>
      <c r="L21" s="11">
        <f t="shared" ca="1" si="0"/>
        <v>196.24236111110804</v>
      </c>
      <c r="M21" s="1">
        <f t="shared" si="1"/>
        <v>7</v>
      </c>
      <c r="N21" s="1">
        <f t="shared" si="2"/>
        <v>2015</v>
      </c>
      <c r="O21" s="1" t="str">
        <f t="shared" ca="1" si="3"/>
        <v>mais de 150 dias</v>
      </c>
    </row>
    <row r="22" spans="1:15" ht="25.5" x14ac:dyDescent="0.2">
      <c r="A22" s="3" t="s">
        <v>8</v>
      </c>
      <c r="B22" s="4" t="s">
        <v>68</v>
      </c>
      <c r="C22" s="3" t="s">
        <v>69</v>
      </c>
      <c r="D22" s="3" t="s">
        <v>1418</v>
      </c>
      <c r="E22" s="3" t="str">
        <f>VLOOKUP(B22,[1]general_report!$B$1:$I$713,8,0)</f>
        <v xml:space="preserve">Vivo </v>
      </c>
      <c r="F22" s="3" t="str">
        <f>VLOOKUP(B22,[1]general_report!$B$1:$J$713,9,0)</f>
        <v xml:space="preserve"> Vivo</v>
      </c>
      <c r="G22" s="3" t="s">
        <v>18</v>
      </c>
      <c r="H22" s="3" t="s">
        <v>41</v>
      </c>
      <c r="I22" s="3" t="s">
        <v>48</v>
      </c>
      <c r="J22" s="5">
        <v>42201.380555555559</v>
      </c>
      <c r="K22" s="3"/>
      <c r="L22" s="11">
        <f t="shared" ca="1" si="0"/>
        <v>231.61944444444089</v>
      </c>
      <c r="M22" s="1">
        <f t="shared" si="1"/>
        <v>7</v>
      </c>
      <c r="N22" s="1">
        <f t="shared" si="2"/>
        <v>2015</v>
      </c>
      <c r="O22" s="1" t="str">
        <f t="shared" ca="1" si="3"/>
        <v>mais de 150 dias</v>
      </c>
    </row>
    <row r="23" spans="1:15" ht="25.5" x14ac:dyDescent="0.2">
      <c r="A23" s="3" t="s">
        <v>8</v>
      </c>
      <c r="B23" s="4" t="s">
        <v>70</v>
      </c>
      <c r="C23" s="3" t="s">
        <v>71</v>
      </c>
      <c r="D23" s="3" t="s">
        <v>1417</v>
      </c>
      <c r="E23" s="3" t="str">
        <f>VLOOKUP(B23,[1]general_report!$B$1:$I$713,8,0)</f>
        <v xml:space="preserve">Cielo </v>
      </c>
      <c r="F23" s="3" t="str">
        <f>VLOOKUP(B23,[1]general_report!$B$1:$J$713,9,0)</f>
        <v xml:space="preserve"> Campo</v>
      </c>
      <c r="G23" s="3" t="s">
        <v>33</v>
      </c>
      <c r="H23" s="3" t="s">
        <v>51</v>
      </c>
      <c r="I23" s="3" t="s">
        <v>48</v>
      </c>
      <c r="J23" s="5">
        <v>42172.368055555555</v>
      </c>
      <c r="K23" s="3"/>
      <c r="L23" s="11">
        <f t="shared" ca="1" si="0"/>
        <v>260.63194444444525</v>
      </c>
      <c r="M23" s="1">
        <f t="shared" si="1"/>
        <v>6</v>
      </c>
      <c r="N23" s="1">
        <f t="shared" si="2"/>
        <v>2015</v>
      </c>
      <c r="O23" s="1" t="str">
        <f t="shared" ca="1" si="3"/>
        <v>mais de 150 dias</v>
      </c>
    </row>
    <row r="24" spans="1:15" ht="25.5" x14ac:dyDescent="0.2">
      <c r="A24" s="3" t="s">
        <v>8</v>
      </c>
      <c r="B24" s="4" t="s">
        <v>72</v>
      </c>
      <c r="C24" s="3" t="s">
        <v>73</v>
      </c>
      <c r="D24" s="3" t="s">
        <v>1417</v>
      </c>
      <c r="E24" s="3" t="str">
        <f>VLOOKUP(B24,[1]general_report!$B$1:$I$713,8,0)</f>
        <v xml:space="preserve">Cielo </v>
      </c>
      <c r="F24" s="3" t="str">
        <f>VLOOKUP(B24,[1]general_report!$B$1:$J$713,9,0)</f>
        <v xml:space="preserve"> ARV</v>
      </c>
      <c r="G24" s="3" t="s">
        <v>51</v>
      </c>
      <c r="H24" s="3" t="s">
        <v>51</v>
      </c>
      <c r="I24" s="3" t="s">
        <v>27</v>
      </c>
      <c r="J24" s="5">
        <v>42163.415277777778</v>
      </c>
      <c r="K24" s="5">
        <v>42403.479166666664</v>
      </c>
      <c r="L24" s="11">
        <f t="shared" ca="1" si="0"/>
        <v>240.06388888888614</v>
      </c>
      <c r="M24" s="1">
        <f t="shared" si="1"/>
        <v>6</v>
      </c>
      <c r="N24" s="1">
        <f t="shared" si="2"/>
        <v>2015</v>
      </c>
      <c r="O24" s="1" t="str">
        <f t="shared" ca="1" si="3"/>
        <v>mais de 150 dias</v>
      </c>
    </row>
    <row r="25" spans="1:15" ht="25.5" x14ac:dyDescent="0.2">
      <c r="A25" s="3" t="s">
        <v>8</v>
      </c>
      <c r="B25" s="4" t="s">
        <v>74</v>
      </c>
      <c r="C25" s="3" t="s">
        <v>75</v>
      </c>
      <c r="D25" s="3" t="s">
        <v>1417</v>
      </c>
      <c r="E25" s="3" t="str">
        <f>VLOOKUP(B25,[1]general_report!$B$1:$I$713,8,0)</f>
        <v xml:space="preserve">BV Financeira </v>
      </c>
      <c r="F25" s="3" t="str">
        <f>VLOOKUP(B25,[1]general_report!$B$1:$J$713,9,0)</f>
        <v xml:space="preserve"> SAC</v>
      </c>
      <c r="G25" s="3" t="s">
        <v>18</v>
      </c>
      <c r="H25" s="3" t="s">
        <v>19</v>
      </c>
      <c r="I25" s="3" t="s">
        <v>48</v>
      </c>
      <c r="J25" s="5">
        <v>42137.57708333333</v>
      </c>
      <c r="K25" s="3"/>
      <c r="L25" s="11">
        <f t="shared" ca="1" si="0"/>
        <v>295.42291666667006</v>
      </c>
      <c r="M25" s="1">
        <f t="shared" si="1"/>
        <v>5</v>
      </c>
      <c r="N25" s="1">
        <f t="shared" si="2"/>
        <v>2015</v>
      </c>
      <c r="O25" s="1" t="str">
        <f t="shared" ca="1" si="3"/>
        <v>mais de 150 dias</v>
      </c>
    </row>
    <row r="26" spans="1:15" ht="25.5" x14ac:dyDescent="0.2">
      <c r="A26" s="3" t="s">
        <v>8</v>
      </c>
      <c r="B26" s="4" t="s">
        <v>76</v>
      </c>
      <c r="C26" s="3" t="s">
        <v>77</v>
      </c>
      <c r="D26" s="3" t="s">
        <v>1417</v>
      </c>
      <c r="E26" s="3" t="str">
        <f>VLOOKUP(B26,[1]general_report!$B$1:$I$713,8,0)</f>
        <v xml:space="preserve">Cielo </v>
      </c>
      <c r="F26" s="3" t="str">
        <f>VLOOKUP(B26,[1]general_report!$B$1:$J$713,9,0)</f>
        <v xml:space="preserve"> ARV</v>
      </c>
      <c r="G26" s="3" t="s">
        <v>18</v>
      </c>
      <c r="H26" s="3" t="s">
        <v>47</v>
      </c>
      <c r="I26" s="3" t="s">
        <v>48</v>
      </c>
      <c r="J26" s="5">
        <v>42108.499305555553</v>
      </c>
      <c r="K26" s="3"/>
      <c r="L26" s="11">
        <f t="shared" ca="1" si="0"/>
        <v>324.50069444444671</v>
      </c>
      <c r="M26" s="1">
        <f t="shared" si="1"/>
        <v>4</v>
      </c>
      <c r="N26" s="1">
        <f t="shared" si="2"/>
        <v>2015</v>
      </c>
      <c r="O26" s="1" t="str">
        <f t="shared" ca="1" si="3"/>
        <v>mais de 150 dias</v>
      </c>
    </row>
    <row r="27" spans="1:15" ht="25.5" x14ac:dyDescent="0.2">
      <c r="A27" s="3" t="s">
        <v>8</v>
      </c>
      <c r="B27" s="4" t="s">
        <v>78</v>
      </c>
      <c r="C27" s="3" t="s">
        <v>79</v>
      </c>
      <c r="D27" s="3" t="s">
        <v>1417</v>
      </c>
      <c r="E27" s="3" t="str">
        <f>VLOOKUP(B27,[1]general_report!$B$1:$I$713,8,0)</f>
        <v xml:space="preserve">Cielo </v>
      </c>
      <c r="F27" s="3" t="str">
        <f>VLOOKUP(B27,[1]general_report!$B$1:$J$713,9,0)</f>
        <v xml:space="preserve"> Campo</v>
      </c>
      <c r="G27" s="3" t="s">
        <v>51</v>
      </c>
      <c r="H27" s="3" t="s">
        <v>51</v>
      </c>
      <c r="I27" s="3" t="s">
        <v>27</v>
      </c>
      <c r="J27" s="5">
        <v>42034.609027777777</v>
      </c>
      <c r="K27" s="5">
        <v>42390.496527777781</v>
      </c>
      <c r="L27" s="11">
        <f t="shared" ca="1" si="0"/>
        <v>355.88750000000437</v>
      </c>
      <c r="M27" s="1">
        <f t="shared" si="1"/>
        <v>1</v>
      </c>
      <c r="N27" s="1">
        <f t="shared" si="2"/>
        <v>2015</v>
      </c>
      <c r="O27" s="1" t="str">
        <f t="shared" ca="1" si="3"/>
        <v>mais de 150 dias</v>
      </c>
    </row>
    <row r="28" spans="1:15" ht="15" x14ac:dyDescent="0.2">
      <c r="A28" s="3" t="s">
        <v>8</v>
      </c>
      <c r="B28" s="4" t="s">
        <v>80</v>
      </c>
      <c r="C28" s="3" t="s">
        <v>81</v>
      </c>
      <c r="D28" s="3" t="s">
        <v>1421</v>
      </c>
      <c r="E28" s="3" t="str">
        <f>VLOOKUP(B28,[1]general_report!$B$1:$I$713,8,0)</f>
        <v xml:space="preserve">Contax </v>
      </c>
      <c r="F28" s="3" t="str">
        <f>VLOOKUP(B28,[1]general_report!$B$1:$J$713,9,0)</f>
        <v xml:space="preserve"> Ger Adm RH</v>
      </c>
      <c r="G28" s="3" t="s">
        <v>11</v>
      </c>
      <c r="H28" s="3" t="s">
        <v>82</v>
      </c>
      <c r="I28" s="3" t="s">
        <v>83</v>
      </c>
      <c r="J28" s="5">
        <v>42061.84652777778</v>
      </c>
      <c r="K28" s="3"/>
      <c r="L28" s="11">
        <f t="shared" ca="1" si="0"/>
        <v>371.15347222222044</v>
      </c>
      <c r="M28" s="1">
        <f t="shared" si="1"/>
        <v>2</v>
      </c>
      <c r="N28" s="1">
        <f t="shared" si="2"/>
        <v>2015</v>
      </c>
      <c r="O28" s="1" t="str">
        <f t="shared" ca="1" si="3"/>
        <v>mais de 150 dias</v>
      </c>
    </row>
    <row r="29" spans="1:15" ht="38.25" x14ac:dyDescent="0.2">
      <c r="A29" s="3" t="s">
        <v>8</v>
      </c>
      <c r="B29" s="4" t="s">
        <v>84</v>
      </c>
      <c r="C29" s="3" t="s">
        <v>85</v>
      </c>
      <c r="D29" s="3" t="s">
        <v>1417</v>
      </c>
      <c r="E29" s="3" t="str">
        <f>VLOOKUP(B29,[1]general_report!$B$1:$I$713,8,0)</f>
        <v xml:space="preserve">Santander </v>
      </c>
      <c r="F29" s="3" t="str">
        <f>VLOOKUP(B29,[1]general_report!$B$1:$J$713,9,0)</f>
        <v xml:space="preserve"> Santander</v>
      </c>
      <c r="G29" s="3" t="s">
        <v>11</v>
      </c>
      <c r="H29" s="3" t="s">
        <v>30</v>
      </c>
      <c r="I29" s="3" t="s">
        <v>13</v>
      </c>
      <c r="J29" s="5">
        <v>42397.665972222225</v>
      </c>
      <c r="K29" s="3"/>
      <c r="L29" s="11">
        <f t="shared" ca="1" si="0"/>
        <v>35.334027777775191</v>
      </c>
      <c r="M29" s="1">
        <f t="shared" si="1"/>
        <v>1</v>
      </c>
      <c r="N29" s="1">
        <f t="shared" si="2"/>
        <v>2016</v>
      </c>
      <c r="O29" s="1" t="str">
        <f t="shared" ca="1" si="3"/>
        <v>entre 30 e 60 dias</v>
      </c>
    </row>
    <row r="30" spans="1:15" ht="25.5" x14ac:dyDescent="0.2">
      <c r="A30" s="3" t="s">
        <v>8</v>
      </c>
      <c r="B30" s="4" t="s">
        <v>86</v>
      </c>
      <c r="C30" s="3" t="s">
        <v>87</v>
      </c>
      <c r="D30" s="3" t="s">
        <v>1417</v>
      </c>
      <c r="E30" s="3" t="str">
        <f>VLOOKUP(B30,[1]general_report!$B$1:$I$713,8,0)</f>
        <v xml:space="preserve">Ticket Serviços S/A </v>
      </c>
      <c r="F30" s="3" t="str">
        <f>VLOOKUP(B30,[1]general_report!$B$1:$J$713,9,0)</f>
        <v xml:space="preserve"> Ticket B2B</v>
      </c>
      <c r="G30" s="3" t="s">
        <v>11</v>
      </c>
      <c r="H30" s="3" t="s">
        <v>19</v>
      </c>
      <c r="I30" s="3" t="s">
        <v>13</v>
      </c>
      <c r="J30" s="5">
        <v>42396.648611111108</v>
      </c>
      <c r="K30" s="3"/>
      <c r="L30" s="11">
        <f t="shared" ca="1" si="0"/>
        <v>36.351388888891961</v>
      </c>
      <c r="M30" s="1">
        <f t="shared" si="1"/>
        <v>1</v>
      </c>
      <c r="N30" s="1">
        <f t="shared" si="2"/>
        <v>2016</v>
      </c>
      <c r="O30" s="1" t="str">
        <f t="shared" ca="1" si="3"/>
        <v>entre 30 e 60 dias</v>
      </c>
    </row>
    <row r="31" spans="1:15" ht="25.5" x14ac:dyDescent="0.2">
      <c r="A31" s="3" t="s">
        <v>8</v>
      </c>
      <c r="B31" s="4" t="s">
        <v>88</v>
      </c>
      <c r="C31" s="3" t="s">
        <v>89</v>
      </c>
      <c r="D31" s="3" t="s">
        <v>1417</v>
      </c>
      <c r="E31" s="3" t="str">
        <f>VLOOKUP(B31,[1]general_report!$B$1:$I$713,8,0)</f>
        <v xml:space="preserve">Vivo </v>
      </c>
      <c r="F31" s="3" t="str">
        <f>VLOOKUP(B31,[1]general_report!$B$1:$J$713,9,0)</f>
        <v xml:space="preserve"> Vivo</v>
      </c>
      <c r="G31" s="3" t="s">
        <v>11</v>
      </c>
      <c r="H31" s="3" t="s">
        <v>12</v>
      </c>
      <c r="I31" s="3" t="s">
        <v>13</v>
      </c>
      <c r="J31" s="5">
        <v>42390.472916666666</v>
      </c>
      <c r="K31" s="3"/>
      <c r="L31" s="11">
        <f t="shared" ca="1" si="0"/>
        <v>42.527083333334303</v>
      </c>
      <c r="M31" s="1">
        <f t="shared" si="1"/>
        <v>1</v>
      </c>
      <c r="N31" s="1">
        <f t="shared" si="2"/>
        <v>2016</v>
      </c>
      <c r="O31" s="1" t="str">
        <f t="shared" ca="1" si="3"/>
        <v>entre 30 e 60 dias</v>
      </c>
    </row>
    <row r="32" spans="1:15" ht="15" x14ac:dyDescent="0.2">
      <c r="A32" s="3" t="s">
        <v>8</v>
      </c>
      <c r="B32" s="4" t="s">
        <v>90</v>
      </c>
      <c r="C32" s="3" t="s">
        <v>91</v>
      </c>
      <c r="D32" s="3" t="s">
        <v>1417</v>
      </c>
      <c r="E32" s="3" t="str">
        <f>VLOOKUP(B32,[1]general_report!$B$1:$I$713,8,0)</f>
        <v xml:space="preserve">Vivo </v>
      </c>
      <c r="F32" s="3" t="str">
        <f>VLOOKUP(B32,[1]general_report!$B$1:$J$713,9,0)</f>
        <v xml:space="preserve"> Vivo</v>
      </c>
      <c r="G32" s="3" t="s">
        <v>11</v>
      </c>
      <c r="H32" s="3" t="s">
        <v>26</v>
      </c>
      <c r="I32" s="3" t="s">
        <v>13</v>
      </c>
      <c r="J32" s="5">
        <v>42387.412499999999</v>
      </c>
      <c r="K32" s="3"/>
      <c r="L32" s="11">
        <f t="shared" ca="1" si="0"/>
        <v>45.587500000001455</v>
      </c>
      <c r="M32" s="1">
        <f t="shared" si="1"/>
        <v>1</v>
      </c>
      <c r="N32" s="1">
        <f t="shared" si="2"/>
        <v>2016</v>
      </c>
      <c r="O32" s="1" t="str">
        <f t="shared" ca="1" si="3"/>
        <v>entre 30 e 60 dias</v>
      </c>
    </row>
    <row r="33" spans="1:15" ht="15" x14ac:dyDescent="0.2">
      <c r="A33" s="3" t="s">
        <v>8</v>
      </c>
      <c r="B33" s="4" t="s">
        <v>92</v>
      </c>
      <c r="C33" s="3" t="s">
        <v>93</v>
      </c>
      <c r="D33" s="3" t="s">
        <v>1417</v>
      </c>
      <c r="E33" s="3" t="str">
        <f>VLOOKUP(B33,[1]general_report!$B$1:$I$713,8,0)</f>
        <v xml:space="preserve">Vivo </v>
      </c>
      <c r="F33" s="3" t="str">
        <f>VLOOKUP(B33,[1]general_report!$B$1:$J$713,9,0)</f>
        <v xml:space="preserve"> Vivo</v>
      </c>
      <c r="G33" s="3" t="s">
        <v>94</v>
      </c>
      <c r="H33" s="3" t="s">
        <v>94</v>
      </c>
      <c r="I33" s="3" t="s">
        <v>7</v>
      </c>
      <c r="J33" s="5">
        <v>42383.705555555556</v>
      </c>
      <c r="K33" s="5">
        <v>42417.425694444442</v>
      </c>
      <c r="L33" s="11">
        <f t="shared" ca="1" si="0"/>
        <v>33.72013888888614</v>
      </c>
      <c r="M33" s="1">
        <f t="shared" si="1"/>
        <v>1</v>
      </c>
      <c r="N33" s="1">
        <f t="shared" si="2"/>
        <v>2016</v>
      </c>
      <c r="O33" s="1" t="str">
        <f t="shared" ca="1" si="3"/>
        <v>entre 30 e 60 dias</v>
      </c>
    </row>
    <row r="34" spans="1:15" ht="38.25" x14ac:dyDescent="0.2">
      <c r="A34" s="3" t="s">
        <v>8</v>
      </c>
      <c r="B34" s="4" t="s">
        <v>95</v>
      </c>
      <c r="C34" s="3" t="s">
        <v>96</v>
      </c>
      <c r="D34" s="3" t="s">
        <v>1417</v>
      </c>
      <c r="E34" s="3" t="str">
        <f>VLOOKUP(B34,[1]general_report!$B$1:$I$713,8,0)</f>
        <v xml:space="preserve">Santander </v>
      </c>
      <c r="F34" s="3" t="str">
        <f>VLOOKUP(B34,[1]general_report!$B$1:$J$713,9,0)</f>
        <v xml:space="preserve"> Santander</v>
      </c>
      <c r="G34" s="3" t="s">
        <v>11</v>
      </c>
      <c r="H34" s="3" t="s">
        <v>30</v>
      </c>
      <c r="I34" s="3" t="s">
        <v>13</v>
      </c>
      <c r="J34" s="5">
        <v>42375.499305555553</v>
      </c>
      <c r="K34" s="3"/>
      <c r="L34" s="11">
        <f t="shared" ca="1" si="0"/>
        <v>57.500694444446708</v>
      </c>
      <c r="M34" s="1">
        <f t="shared" si="1"/>
        <v>1</v>
      </c>
      <c r="N34" s="1">
        <f t="shared" si="2"/>
        <v>2016</v>
      </c>
      <c r="O34" s="1" t="str">
        <f t="shared" ca="1" si="3"/>
        <v>entre 30 e 60 dias</v>
      </c>
    </row>
    <row r="35" spans="1:15" ht="25.5" x14ac:dyDescent="0.2">
      <c r="A35" s="3" t="s">
        <v>8</v>
      </c>
      <c r="B35" s="4" t="s">
        <v>97</v>
      </c>
      <c r="C35" s="3" t="s">
        <v>98</v>
      </c>
      <c r="D35" s="3" t="s">
        <v>1422</v>
      </c>
      <c r="E35" s="3" t="str">
        <f>VLOOKUP(B35,[1]general_report!$B$1:$I$713,8,0)</f>
        <v xml:space="preserve">Vivo </v>
      </c>
      <c r="F35" s="3" t="str">
        <f>VLOOKUP(B35,[1]general_report!$B$1:$J$713,9,0)</f>
        <v xml:space="preserve"> Vivo</v>
      </c>
      <c r="G35" s="3" t="s">
        <v>11</v>
      </c>
      <c r="H35" s="3" t="s">
        <v>94</v>
      </c>
      <c r="I35" s="3" t="s">
        <v>13</v>
      </c>
      <c r="J35" s="5">
        <v>42366.463888888888</v>
      </c>
      <c r="K35" s="3"/>
      <c r="L35" s="11">
        <f t="shared" ca="1" si="0"/>
        <v>66.536111111112405</v>
      </c>
      <c r="M35" s="1">
        <f t="shared" si="1"/>
        <v>12</v>
      </c>
      <c r="N35" s="1">
        <f t="shared" si="2"/>
        <v>2015</v>
      </c>
      <c r="O35" s="1" t="str">
        <f t="shared" ca="1" si="3"/>
        <v>entre 60 e 90 dias</v>
      </c>
    </row>
    <row r="36" spans="1:15" ht="15" x14ac:dyDescent="0.2">
      <c r="A36" s="3" t="s">
        <v>8</v>
      </c>
      <c r="B36" s="4" t="s">
        <v>99</v>
      </c>
      <c r="C36" s="3" t="s">
        <v>100</v>
      </c>
      <c r="D36" s="3" t="s">
        <v>1417</v>
      </c>
      <c r="E36" s="3" t="str">
        <f>VLOOKUP(B36,[1]general_report!$B$1:$I$713,8,0)</f>
        <v xml:space="preserve">Santander </v>
      </c>
      <c r="F36" s="3" t="str">
        <f>VLOOKUP(B36,[1]general_report!$B$1:$J$713,9,0)</f>
        <v xml:space="preserve"> Santander</v>
      </c>
      <c r="G36" s="3" t="s">
        <v>18</v>
      </c>
      <c r="H36" s="3" t="s">
        <v>30</v>
      </c>
      <c r="I36" s="3" t="s">
        <v>13</v>
      </c>
      <c r="J36" s="5">
        <v>42359.386111111111</v>
      </c>
      <c r="K36" s="3"/>
      <c r="L36" s="11">
        <f t="shared" ca="1" si="0"/>
        <v>73.613888888889051</v>
      </c>
      <c r="M36" s="1">
        <f t="shared" si="1"/>
        <v>12</v>
      </c>
      <c r="N36" s="1">
        <f t="shared" si="2"/>
        <v>2015</v>
      </c>
      <c r="O36" s="1" t="str">
        <f t="shared" ca="1" si="3"/>
        <v>entre 60 e 90 dias</v>
      </c>
    </row>
    <row r="37" spans="1:15" ht="15" x14ac:dyDescent="0.2">
      <c r="A37" s="3" t="s">
        <v>8</v>
      </c>
      <c r="B37" s="4" t="s">
        <v>101</v>
      </c>
      <c r="C37" s="3" t="s">
        <v>102</v>
      </c>
      <c r="D37" s="3" t="s">
        <v>1417</v>
      </c>
      <c r="E37" s="3" t="str">
        <f>VLOOKUP(B37,[1]general_report!$B$1:$I$713,8,0)</f>
        <v xml:space="preserve">Vivo </v>
      </c>
      <c r="F37" s="3" t="str">
        <f>VLOOKUP(B37,[1]general_report!$B$1:$J$713,9,0)</f>
        <v xml:space="preserve"> Vivo</v>
      </c>
      <c r="G37" s="3" t="s">
        <v>12</v>
      </c>
      <c r="H37" s="3" t="s">
        <v>12</v>
      </c>
      <c r="I37" s="3" t="s">
        <v>27</v>
      </c>
      <c r="J37" s="5">
        <v>42346.65625</v>
      </c>
      <c r="K37" s="5">
        <v>42396.588194444441</v>
      </c>
      <c r="L37" s="11">
        <f t="shared" ca="1" si="0"/>
        <v>49.931944444440887</v>
      </c>
      <c r="M37" s="1">
        <f t="shared" si="1"/>
        <v>12</v>
      </c>
      <c r="N37" s="1">
        <f t="shared" si="2"/>
        <v>2015</v>
      </c>
      <c r="O37" s="1" t="str">
        <f t="shared" ca="1" si="3"/>
        <v>entre 30 e 60 dias</v>
      </c>
    </row>
    <row r="38" spans="1:15" ht="15" x14ac:dyDescent="0.2">
      <c r="A38" s="3" t="s">
        <v>8</v>
      </c>
      <c r="B38" s="4" t="s">
        <v>103</v>
      </c>
      <c r="C38" s="3" t="s">
        <v>104</v>
      </c>
      <c r="D38" s="3" t="s">
        <v>1417</v>
      </c>
      <c r="E38" s="3" t="str">
        <f>VLOOKUP(B38,[1]general_report!$B$1:$I$713,8,0)</f>
        <v xml:space="preserve">Vivo </v>
      </c>
      <c r="F38" s="3" t="str">
        <f>VLOOKUP(B38,[1]general_report!$B$1:$J$713,9,0)</f>
        <v xml:space="preserve"> Vivo</v>
      </c>
      <c r="G38" s="3" t="s">
        <v>11</v>
      </c>
      <c r="H38" s="3" t="s">
        <v>94</v>
      </c>
      <c r="I38" s="3" t="s">
        <v>27</v>
      </c>
      <c r="J38" s="5">
        <v>42339.643055555556</v>
      </c>
      <c r="K38" s="5">
        <v>42355.546527777777</v>
      </c>
      <c r="L38" s="11">
        <f t="shared" ca="1" si="0"/>
        <v>15.903472222220444</v>
      </c>
      <c r="M38" s="1">
        <f t="shared" si="1"/>
        <v>12</v>
      </c>
      <c r="N38" s="1">
        <f t="shared" si="2"/>
        <v>2015</v>
      </c>
      <c r="O38" s="1" t="str">
        <f t="shared" ca="1" si="3"/>
        <v>menos 1 mês</v>
      </c>
    </row>
    <row r="39" spans="1:15" ht="15" x14ac:dyDescent="0.2">
      <c r="A39" s="3" t="s">
        <v>8</v>
      </c>
      <c r="B39" s="4" t="s">
        <v>105</v>
      </c>
      <c r="C39" s="3" t="s">
        <v>106</v>
      </c>
      <c r="D39" s="3" t="s">
        <v>1417</v>
      </c>
      <c r="E39" s="3" t="str">
        <f>VLOOKUP(B39,[1]general_report!$B$1:$I$713,8,0)</f>
        <v xml:space="preserve">Vivo </v>
      </c>
      <c r="F39" s="3" t="str">
        <f>VLOOKUP(B39,[1]general_report!$B$1:$J$713,9,0)</f>
        <v xml:space="preserve"> Vivo</v>
      </c>
      <c r="G39" s="3" t="s">
        <v>94</v>
      </c>
      <c r="H39" s="3" t="s">
        <v>94</v>
      </c>
      <c r="I39" s="3" t="s">
        <v>27</v>
      </c>
      <c r="J39" s="5">
        <v>42338.703472222223</v>
      </c>
      <c r="K39" s="5">
        <v>42359.634027777778</v>
      </c>
      <c r="L39" s="11">
        <f t="shared" ca="1" si="0"/>
        <v>20.930555555554747</v>
      </c>
      <c r="M39" s="1">
        <f t="shared" si="1"/>
        <v>11</v>
      </c>
      <c r="N39" s="1">
        <f t="shared" si="2"/>
        <v>2015</v>
      </c>
      <c r="O39" s="1" t="str">
        <f t="shared" ca="1" si="3"/>
        <v>menos 1 mês</v>
      </c>
    </row>
    <row r="40" spans="1:15" ht="15" x14ac:dyDescent="0.2">
      <c r="A40" s="3" t="s">
        <v>8</v>
      </c>
      <c r="B40" s="4" t="s">
        <v>107</v>
      </c>
      <c r="C40" s="3" t="s">
        <v>108</v>
      </c>
      <c r="D40" s="3" t="s">
        <v>1417</v>
      </c>
      <c r="E40" s="3" t="str">
        <f>VLOOKUP(B40,[1]general_report!$B$1:$I$713,8,0)</f>
        <v xml:space="preserve">Vivo </v>
      </c>
      <c r="F40" s="3" t="str">
        <f>VLOOKUP(B40,[1]general_report!$B$1:$J$713,9,0)</f>
        <v xml:space="preserve"> Vivo</v>
      </c>
      <c r="G40" s="3" t="s">
        <v>94</v>
      </c>
      <c r="H40" s="3" t="s">
        <v>94</v>
      </c>
      <c r="I40" s="3" t="s">
        <v>27</v>
      </c>
      <c r="J40" s="5">
        <v>42338.7</v>
      </c>
      <c r="K40" s="5">
        <v>42359.640277777777</v>
      </c>
      <c r="L40" s="11">
        <f t="shared" ca="1" si="0"/>
        <v>20.940277777779556</v>
      </c>
      <c r="M40" s="1">
        <f t="shared" si="1"/>
        <v>11</v>
      </c>
      <c r="N40" s="1">
        <f t="shared" si="2"/>
        <v>2015</v>
      </c>
      <c r="O40" s="1" t="str">
        <f t="shared" ca="1" si="3"/>
        <v>menos 1 mês</v>
      </c>
    </row>
    <row r="41" spans="1:15" ht="15" x14ac:dyDescent="0.2">
      <c r="A41" s="3" t="s">
        <v>8</v>
      </c>
      <c r="B41" s="4" t="s">
        <v>109</v>
      </c>
      <c r="C41" s="3" t="s">
        <v>110</v>
      </c>
      <c r="D41" s="3" t="s">
        <v>1417</v>
      </c>
      <c r="E41" s="3" t="str">
        <f>VLOOKUP(B41,[1]general_report!$B$1:$I$713,8,0)</f>
        <v xml:space="preserve">Vivo </v>
      </c>
      <c r="F41" s="3" t="str">
        <f>VLOOKUP(B41,[1]general_report!$B$1:$J$713,9,0)</f>
        <v xml:space="preserve"> Vivo</v>
      </c>
      <c r="G41" s="3" t="s">
        <v>94</v>
      </c>
      <c r="H41" s="3" t="s">
        <v>94</v>
      </c>
      <c r="I41" s="3" t="s">
        <v>27</v>
      </c>
      <c r="J41" s="5">
        <v>42338.681250000001</v>
      </c>
      <c r="K41" s="5">
        <v>42359.635416666664</v>
      </c>
      <c r="L41" s="11">
        <f t="shared" ca="1" si="0"/>
        <v>20.954166666662786</v>
      </c>
      <c r="M41" s="1">
        <f t="shared" si="1"/>
        <v>11</v>
      </c>
      <c r="N41" s="1">
        <f t="shared" si="2"/>
        <v>2015</v>
      </c>
      <c r="O41" s="1" t="str">
        <f t="shared" ca="1" si="3"/>
        <v>menos 1 mês</v>
      </c>
    </row>
    <row r="42" spans="1:15" ht="15" x14ac:dyDescent="0.2">
      <c r="A42" s="3" t="s">
        <v>8</v>
      </c>
      <c r="B42" s="4" t="s">
        <v>111</v>
      </c>
      <c r="C42" s="3" t="s">
        <v>112</v>
      </c>
      <c r="D42" s="3" t="s">
        <v>1417</v>
      </c>
      <c r="E42" s="3" t="str">
        <f>VLOOKUP(B42,[1]general_report!$B$1:$I$713,8,0)</f>
        <v xml:space="preserve">Vivo </v>
      </c>
      <c r="F42" s="3" t="str">
        <f>VLOOKUP(B42,[1]general_report!$B$1:$J$713,9,0)</f>
        <v xml:space="preserve"> Vivo</v>
      </c>
      <c r="G42" s="3" t="s">
        <v>94</v>
      </c>
      <c r="H42" s="3" t="s">
        <v>94</v>
      </c>
      <c r="I42" s="3" t="s">
        <v>27</v>
      </c>
      <c r="J42" s="5">
        <v>42338.556944444441</v>
      </c>
      <c r="K42" s="5">
        <v>42359.637499999997</v>
      </c>
      <c r="L42" s="11">
        <f t="shared" ca="1" si="0"/>
        <v>21.080555555556202</v>
      </c>
      <c r="M42" s="1">
        <f t="shared" si="1"/>
        <v>11</v>
      </c>
      <c r="N42" s="1">
        <f t="shared" si="2"/>
        <v>2015</v>
      </c>
      <c r="O42" s="1" t="str">
        <f t="shared" ca="1" si="3"/>
        <v>menos 1 mês</v>
      </c>
    </row>
    <row r="43" spans="1:15" ht="15" x14ac:dyDescent="0.2">
      <c r="A43" s="3" t="s">
        <v>8</v>
      </c>
      <c r="B43" s="4" t="s">
        <v>113</v>
      </c>
      <c r="C43" s="3" t="s">
        <v>114</v>
      </c>
      <c r="D43" s="3" t="s">
        <v>1417</v>
      </c>
      <c r="E43" s="3" t="str">
        <f>VLOOKUP(B43,[1]general_report!$B$1:$I$713,8,0)</f>
        <v xml:space="preserve">Vivo </v>
      </c>
      <c r="F43" s="3" t="str">
        <f>VLOOKUP(B43,[1]general_report!$B$1:$J$713,9,0)</f>
        <v xml:space="preserve"> Vivo</v>
      </c>
      <c r="G43" s="3" t="s">
        <v>94</v>
      </c>
      <c r="H43" s="3" t="s">
        <v>94</v>
      </c>
      <c r="I43" s="3" t="s">
        <v>27</v>
      </c>
      <c r="J43" s="5">
        <v>42338.550694444442</v>
      </c>
      <c r="K43" s="5">
        <v>42359.638888888891</v>
      </c>
      <c r="L43" s="11">
        <f t="shared" ca="1" si="0"/>
        <v>21.088194444448163</v>
      </c>
      <c r="M43" s="1">
        <f t="shared" si="1"/>
        <v>11</v>
      </c>
      <c r="N43" s="1">
        <f t="shared" si="2"/>
        <v>2015</v>
      </c>
      <c r="O43" s="1" t="str">
        <f t="shared" ca="1" si="3"/>
        <v>menos 1 mês</v>
      </c>
    </row>
    <row r="44" spans="1:15" ht="15" x14ac:dyDescent="0.2">
      <c r="A44" s="3" t="s">
        <v>8</v>
      </c>
      <c r="B44" s="4" t="s">
        <v>115</v>
      </c>
      <c r="C44" s="3" t="s">
        <v>116</v>
      </c>
      <c r="D44" s="3" t="s">
        <v>1417</v>
      </c>
      <c r="E44" s="3" t="str">
        <f>VLOOKUP(B44,[1]general_report!$B$1:$I$713,8,0)</f>
        <v xml:space="preserve">Vivo </v>
      </c>
      <c r="F44" s="3" t="str">
        <f>VLOOKUP(B44,[1]general_report!$B$1:$J$713,9,0)</f>
        <v xml:space="preserve"> Vivo</v>
      </c>
      <c r="G44" s="3" t="s">
        <v>94</v>
      </c>
      <c r="H44" s="3" t="s">
        <v>94</v>
      </c>
      <c r="I44" s="3" t="s">
        <v>27</v>
      </c>
      <c r="J44" s="5">
        <v>42338.409722222219</v>
      </c>
      <c r="K44" s="5">
        <v>42359.632638888892</v>
      </c>
      <c r="L44" s="11">
        <f t="shared" ca="1" si="0"/>
        <v>21.222916666672972</v>
      </c>
      <c r="M44" s="1">
        <f t="shared" si="1"/>
        <v>11</v>
      </c>
      <c r="N44" s="1">
        <f t="shared" si="2"/>
        <v>2015</v>
      </c>
      <c r="O44" s="1" t="str">
        <f t="shared" ca="1" si="3"/>
        <v>menos 1 mês</v>
      </c>
    </row>
    <row r="45" spans="1:15" ht="25.5" x14ac:dyDescent="0.2">
      <c r="A45" s="3" t="s">
        <v>8</v>
      </c>
      <c r="B45" s="4" t="s">
        <v>117</v>
      </c>
      <c r="C45" s="3" t="s">
        <v>118</v>
      </c>
      <c r="D45" s="3" t="s">
        <v>1417</v>
      </c>
      <c r="E45" s="3" t="str">
        <f>VLOOKUP(B45,[1]general_report!$B$1:$I$713,8,0)</f>
        <v xml:space="preserve">Santander </v>
      </c>
      <c r="F45" s="3" t="str">
        <f>VLOOKUP(B45,[1]general_report!$B$1:$J$713,9,0)</f>
        <v xml:space="preserve"> Santander</v>
      </c>
      <c r="G45" s="3" t="s">
        <v>18</v>
      </c>
      <c r="H45" s="3" t="s">
        <v>30</v>
      </c>
      <c r="I45" s="3" t="s">
        <v>13</v>
      </c>
      <c r="J45" s="5">
        <v>42334.724305555559</v>
      </c>
      <c r="K45" s="3"/>
      <c r="L45" s="11">
        <f t="shared" ca="1" si="0"/>
        <v>98.275694444440887</v>
      </c>
      <c r="M45" s="1">
        <f t="shared" si="1"/>
        <v>11</v>
      </c>
      <c r="N45" s="1">
        <f t="shared" si="2"/>
        <v>2015</v>
      </c>
      <c r="O45" s="1" t="str">
        <f t="shared" ca="1" si="3"/>
        <v>entre 90 e 150 dias</v>
      </c>
    </row>
    <row r="46" spans="1:15" ht="25.5" x14ac:dyDescent="0.2">
      <c r="A46" s="3" t="s">
        <v>8</v>
      </c>
      <c r="B46" s="4" t="s">
        <v>119</v>
      </c>
      <c r="C46" s="3" t="s">
        <v>120</v>
      </c>
      <c r="D46" s="3" t="s">
        <v>1417</v>
      </c>
      <c r="E46" s="3" t="str">
        <f>VLOOKUP(B46,[1]general_report!$B$1:$I$713,8,0)</f>
        <v xml:space="preserve">Santander </v>
      </c>
      <c r="F46" s="3" t="str">
        <f>VLOOKUP(B46,[1]general_report!$B$1:$J$713,9,0)</f>
        <v xml:space="preserve"> Santander</v>
      </c>
      <c r="G46" s="3" t="s">
        <v>18</v>
      </c>
      <c r="H46" s="3" t="s">
        <v>30</v>
      </c>
      <c r="I46" s="3" t="s">
        <v>13</v>
      </c>
      <c r="J46" s="5">
        <v>42332.676388888889</v>
      </c>
      <c r="K46" s="3"/>
      <c r="L46" s="11">
        <f t="shared" ca="1" si="0"/>
        <v>100.32361111111095</v>
      </c>
      <c r="M46" s="1">
        <f t="shared" si="1"/>
        <v>11</v>
      </c>
      <c r="N46" s="1">
        <f t="shared" si="2"/>
        <v>2015</v>
      </c>
      <c r="O46" s="1" t="str">
        <f t="shared" ca="1" si="3"/>
        <v>entre 90 e 150 dias</v>
      </c>
    </row>
    <row r="47" spans="1:15" ht="25.5" x14ac:dyDescent="0.2">
      <c r="A47" s="3" t="s">
        <v>8</v>
      </c>
      <c r="B47" s="4" t="s">
        <v>121</v>
      </c>
      <c r="C47" s="3" t="s">
        <v>122</v>
      </c>
      <c r="D47" s="3" t="s">
        <v>1417</v>
      </c>
      <c r="E47" s="3" t="str">
        <f>VLOOKUP(B47,[1]general_report!$B$1:$I$713,8,0)</f>
        <v xml:space="preserve">Santander </v>
      </c>
      <c r="F47" s="3" t="str">
        <f>VLOOKUP(B47,[1]general_report!$B$1:$J$713,9,0)</f>
        <v xml:space="preserve"> Santander</v>
      </c>
      <c r="G47" s="3" t="s">
        <v>18</v>
      </c>
      <c r="H47" s="3" t="s">
        <v>30</v>
      </c>
      <c r="I47" s="3" t="s">
        <v>13</v>
      </c>
      <c r="J47" s="5">
        <v>42321.496527777781</v>
      </c>
      <c r="K47" s="3"/>
      <c r="L47" s="11">
        <f t="shared" ca="1" si="0"/>
        <v>111.50347222221899</v>
      </c>
      <c r="M47" s="1">
        <f t="shared" si="1"/>
        <v>11</v>
      </c>
      <c r="N47" s="1">
        <f t="shared" si="2"/>
        <v>2015</v>
      </c>
      <c r="O47" s="1" t="str">
        <f t="shared" ca="1" si="3"/>
        <v>entre 90 e 150 dias</v>
      </c>
    </row>
    <row r="48" spans="1:15" ht="25.5" x14ac:dyDescent="0.2">
      <c r="A48" s="3" t="s">
        <v>8</v>
      </c>
      <c r="B48" s="4" t="s">
        <v>123</v>
      </c>
      <c r="C48" s="3" t="s">
        <v>124</v>
      </c>
      <c r="D48" s="3" t="s">
        <v>1417</v>
      </c>
      <c r="E48" s="3" t="str">
        <f>VLOOKUP(B48,[1]general_report!$B$1:$I$713,8,0)</f>
        <v xml:space="preserve">Vivo </v>
      </c>
      <c r="F48" s="3" t="str">
        <f>VLOOKUP(B48,[1]general_report!$B$1:$J$713,9,0)</f>
        <v xml:space="preserve"> Vivo</v>
      </c>
      <c r="G48" s="3" t="s">
        <v>94</v>
      </c>
      <c r="H48" s="3" t="s">
        <v>94</v>
      </c>
      <c r="I48" s="3" t="s">
        <v>27</v>
      </c>
      <c r="J48" s="5">
        <v>42314.57708333333</v>
      </c>
      <c r="K48" s="5">
        <v>42388.6875</v>
      </c>
      <c r="L48" s="11">
        <f t="shared" ca="1" si="0"/>
        <v>74.110416666670062</v>
      </c>
      <c r="M48" s="1">
        <f t="shared" si="1"/>
        <v>11</v>
      </c>
      <c r="N48" s="1">
        <f t="shared" si="2"/>
        <v>2015</v>
      </c>
      <c r="O48" s="1" t="str">
        <f t="shared" ca="1" si="3"/>
        <v>entre 60 e 90 dias</v>
      </c>
    </row>
    <row r="49" spans="1:15" ht="25.5" x14ac:dyDescent="0.2">
      <c r="A49" s="3" t="s">
        <v>8</v>
      </c>
      <c r="B49" s="4" t="s">
        <v>125</v>
      </c>
      <c r="C49" s="3" t="s">
        <v>126</v>
      </c>
      <c r="D49" s="3" t="s">
        <v>1417</v>
      </c>
      <c r="E49" s="3" t="str">
        <f>VLOOKUP(B49,[1]general_report!$B$1:$I$713,8,0)</f>
        <v xml:space="preserve">Vivo </v>
      </c>
      <c r="F49" s="3" t="str">
        <f>VLOOKUP(B49,[1]general_report!$B$1:$J$713,9,0)</f>
        <v xml:space="preserve"> Vivo</v>
      </c>
      <c r="G49" s="3" t="s">
        <v>94</v>
      </c>
      <c r="H49" s="3" t="s">
        <v>94</v>
      </c>
      <c r="I49" s="3" t="s">
        <v>27</v>
      </c>
      <c r="J49" s="5">
        <v>42314.575694444444</v>
      </c>
      <c r="K49" s="5">
        <v>42388.686111111114</v>
      </c>
      <c r="L49" s="11">
        <f t="shared" ca="1" si="0"/>
        <v>74.110416666670062</v>
      </c>
      <c r="M49" s="1">
        <f t="shared" si="1"/>
        <v>11</v>
      </c>
      <c r="N49" s="1">
        <f t="shared" si="2"/>
        <v>2015</v>
      </c>
      <c r="O49" s="1" t="str">
        <f t="shared" ca="1" si="3"/>
        <v>entre 60 e 90 dias</v>
      </c>
    </row>
    <row r="50" spans="1:15" ht="25.5" x14ac:dyDescent="0.2">
      <c r="A50" s="3" t="s">
        <v>8</v>
      </c>
      <c r="B50" s="4" t="s">
        <v>127</v>
      </c>
      <c r="C50" s="3" t="s">
        <v>128</v>
      </c>
      <c r="D50" s="3" t="s">
        <v>1417</v>
      </c>
      <c r="E50" s="3" t="str">
        <f>VLOOKUP(B50,[1]general_report!$B$1:$I$713,8,0)</f>
        <v xml:space="preserve">Vivo </v>
      </c>
      <c r="F50" s="3" t="str">
        <f>VLOOKUP(B50,[1]general_report!$B$1:$J$713,9,0)</f>
        <v xml:space="preserve"> Vivo</v>
      </c>
      <c r="G50" s="3" t="s">
        <v>94</v>
      </c>
      <c r="H50" s="3" t="s">
        <v>94</v>
      </c>
      <c r="I50" s="3" t="s">
        <v>27</v>
      </c>
      <c r="J50" s="5">
        <v>42314.573611111111</v>
      </c>
      <c r="K50" s="5">
        <v>42388.686111111114</v>
      </c>
      <c r="L50" s="11">
        <f t="shared" ca="1" si="0"/>
        <v>74.11250000000291</v>
      </c>
      <c r="M50" s="1">
        <f t="shared" si="1"/>
        <v>11</v>
      </c>
      <c r="N50" s="1">
        <f t="shared" si="2"/>
        <v>2015</v>
      </c>
      <c r="O50" s="1" t="str">
        <f t="shared" ca="1" si="3"/>
        <v>entre 60 e 90 dias</v>
      </c>
    </row>
    <row r="51" spans="1:15" ht="25.5" x14ac:dyDescent="0.2">
      <c r="A51" s="3" t="s">
        <v>8</v>
      </c>
      <c r="B51" s="4" t="s">
        <v>129</v>
      </c>
      <c r="C51" s="3" t="s">
        <v>130</v>
      </c>
      <c r="D51" s="3" t="s">
        <v>1417</v>
      </c>
      <c r="E51" s="3" t="str">
        <f>VLOOKUP(B51,[1]general_report!$B$1:$I$713,8,0)</f>
        <v xml:space="preserve">Vivo </v>
      </c>
      <c r="F51" s="3" t="str">
        <f>VLOOKUP(B51,[1]general_report!$B$1:$J$713,9,0)</f>
        <v xml:space="preserve"> Vivo</v>
      </c>
      <c r="G51" s="3" t="s">
        <v>94</v>
      </c>
      <c r="H51" s="3" t="s">
        <v>94</v>
      </c>
      <c r="I51" s="3" t="s">
        <v>27</v>
      </c>
      <c r="J51" s="5">
        <v>42314.571527777778</v>
      </c>
      <c r="K51" s="5">
        <v>42388.686111111114</v>
      </c>
      <c r="L51" s="11">
        <f t="shared" ca="1" si="0"/>
        <v>74.114583333335759</v>
      </c>
      <c r="M51" s="1">
        <f t="shared" si="1"/>
        <v>11</v>
      </c>
      <c r="N51" s="1">
        <f t="shared" si="2"/>
        <v>2015</v>
      </c>
      <c r="O51" s="1" t="str">
        <f t="shared" ca="1" si="3"/>
        <v>entre 60 e 90 dias</v>
      </c>
    </row>
    <row r="52" spans="1:15" ht="25.5" x14ac:dyDescent="0.2">
      <c r="A52" s="3" t="s">
        <v>8</v>
      </c>
      <c r="B52" s="4" t="s">
        <v>131</v>
      </c>
      <c r="C52" s="3" t="s">
        <v>132</v>
      </c>
      <c r="D52" s="3" t="s">
        <v>1417</v>
      </c>
      <c r="E52" s="3" t="str">
        <f>VLOOKUP(B52,[1]general_report!$B$1:$I$713,8,0)</f>
        <v xml:space="preserve">Vivo </v>
      </c>
      <c r="F52" s="3" t="str">
        <f>VLOOKUP(B52,[1]general_report!$B$1:$J$713,9,0)</f>
        <v xml:space="preserve"> Vivo</v>
      </c>
      <c r="G52" s="3" t="s">
        <v>94</v>
      </c>
      <c r="H52" s="3" t="s">
        <v>94</v>
      </c>
      <c r="I52" s="3" t="s">
        <v>27</v>
      </c>
      <c r="J52" s="5">
        <v>42314.565972222219</v>
      </c>
      <c r="K52" s="5">
        <v>42388.685416666667</v>
      </c>
      <c r="L52" s="11">
        <f t="shared" ca="1" si="0"/>
        <v>74.119444444448163</v>
      </c>
      <c r="M52" s="1">
        <f t="shared" si="1"/>
        <v>11</v>
      </c>
      <c r="N52" s="1">
        <f t="shared" si="2"/>
        <v>2015</v>
      </c>
      <c r="O52" s="1" t="str">
        <f t="shared" ca="1" si="3"/>
        <v>entre 60 e 90 dias</v>
      </c>
    </row>
    <row r="53" spans="1:15" ht="15" x14ac:dyDescent="0.2">
      <c r="A53" s="3" t="s">
        <v>8</v>
      </c>
      <c r="B53" s="4" t="s">
        <v>133</v>
      </c>
      <c r="C53" s="3" t="s">
        <v>134</v>
      </c>
      <c r="D53" s="3" t="s">
        <v>1417</v>
      </c>
      <c r="E53" s="3" t="str">
        <f>VLOOKUP(B53,[1]general_report!$B$1:$I$713,8,0)</f>
        <v xml:space="preserve">Vivo </v>
      </c>
      <c r="F53" s="3" t="str">
        <f>VLOOKUP(B53,[1]general_report!$B$1:$J$713,9,0)</f>
        <v xml:space="preserve"> Vivo</v>
      </c>
      <c r="G53" s="3" t="s">
        <v>18</v>
      </c>
      <c r="H53" s="3" t="s">
        <v>94</v>
      </c>
      <c r="I53" s="3" t="s">
        <v>13</v>
      </c>
      <c r="J53" s="5">
        <v>42313.482638888891</v>
      </c>
      <c r="K53" s="3"/>
      <c r="L53" s="11">
        <f t="shared" ca="1" si="0"/>
        <v>119.51736111110949</v>
      </c>
      <c r="M53" s="1">
        <f t="shared" si="1"/>
        <v>11</v>
      </c>
      <c r="N53" s="1">
        <f t="shared" si="2"/>
        <v>2015</v>
      </c>
      <c r="O53" s="1" t="str">
        <f t="shared" ca="1" si="3"/>
        <v>entre 90 e 150 dias</v>
      </c>
    </row>
    <row r="54" spans="1:15" ht="25.5" x14ac:dyDescent="0.2">
      <c r="A54" s="3" t="s">
        <v>8</v>
      </c>
      <c r="B54" s="4" t="s">
        <v>135</v>
      </c>
      <c r="C54" s="3" t="s">
        <v>136</v>
      </c>
      <c r="D54" s="3" t="s">
        <v>1417</v>
      </c>
      <c r="E54" s="3" t="str">
        <f>VLOOKUP(B54,[1]general_report!$B$1:$I$713,8,0)</f>
        <v xml:space="preserve">Vivo </v>
      </c>
      <c r="F54" s="3" t="str">
        <f>VLOOKUP(B54,[1]general_report!$B$1:$J$713,9,0)</f>
        <v xml:space="preserve"> Vivo</v>
      </c>
      <c r="G54" s="3" t="s">
        <v>94</v>
      </c>
      <c r="H54" s="3" t="s">
        <v>94</v>
      </c>
      <c r="I54" s="3" t="s">
        <v>27</v>
      </c>
      <c r="J54" s="5">
        <v>42313.467361111114</v>
      </c>
      <c r="K54" s="5">
        <v>42388.685416666667</v>
      </c>
      <c r="L54" s="11">
        <f t="shared" ca="1" si="0"/>
        <v>75.218055555553292</v>
      </c>
      <c r="M54" s="1">
        <f t="shared" si="1"/>
        <v>11</v>
      </c>
      <c r="N54" s="1">
        <f t="shared" si="2"/>
        <v>2015</v>
      </c>
      <c r="O54" s="1" t="str">
        <f t="shared" ca="1" si="3"/>
        <v>entre 60 e 90 dias</v>
      </c>
    </row>
    <row r="55" spans="1:15" ht="25.5" x14ac:dyDescent="0.2">
      <c r="A55" s="3" t="s">
        <v>8</v>
      </c>
      <c r="B55" s="4" t="s">
        <v>137</v>
      </c>
      <c r="C55" s="3" t="s">
        <v>138</v>
      </c>
      <c r="D55" s="3" t="s">
        <v>1417</v>
      </c>
      <c r="E55" s="3" t="str">
        <f>VLOOKUP(B55,[1]general_report!$B$1:$I$713,8,0)</f>
        <v xml:space="preserve">Vivo </v>
      </c>
      <c r="F55" s="3" t="str">
        <f>VLOOKUP(B55,[1]general_report!$B$1:$J$713,9,0)</f>
        <v xml:space="preserve"> Vivo</v>
      </c>
      <c r="G55" s="3" t="s">
        <v>94</v>
      </c>
      <c r="H55" s="3" t="s">
        <v>94</v>
      </c>
      <c r="I55" s="3" t="s">
        <v>27</v>
      </c>
      <c r="J55" s="5">
        <v>42313.463194444441</v>
      </c>
      <c r="K55" s="5">
        <v>42388.685416666667</v>
      </c>
      <c r="L55" s="11">
        <f t="shared" ca="1" si="0"/>
        <v>75.222222222226264</v>
      </c>
      <c r="M55" s="1">
        <f t="shared" si="1"/>
        <v>11</v>
      </c>
      <c r="N55" s="1">
        <f t="shared" si="2"/>
        <v>2015</v>
      </c>
      <c r="O55" s="1" t="str">
        <f t="shared" ca="1" si="3"/>
        <v>entre 60 e 90 dias</v>
      </c>
    </row>
    <row r="56" spans="1:15" ht="25.5" x14ac:dyDescent="0.2">
      <c r="A56" s="3" t="s">
        <v>8</v>
      </c>
      <c r="B56" s="4" t="s">
        <v>139</v>
      </c>
      <c r="C56" s="3" t="s">
        <v>140</v>
      </c>
      <c r="D56" s="3" t="s">
        <v>1417</v>
      </c>
      <c r="E56" s="3" t="str">
        <f>VLOOKUP(B56,[1]general_report!$B$1:$I$713,8,0)</f>
        <v xml:space="preserve">Vivo </v>
      </c>
      <c r="F56" s="3" t="str">
        <f>VLOOKUP(B56,[1]general_report!$B$1:$J$713,9,0)</f>
        <v xml:space="preserve"> Vivo</v>
      </c>
      <c r="G56" s="3" t="s">
        <v>94</v>
      </c>
      <c r="H56" s="3" t="s">
        <v>94</v>
      </c>
      <c r="I56" s="3" t="s">
        <v>27</v>
      </c>
      <c r="J56" s="5">
        <v>42313.460416666669</v>
      </c>
      <c r="K56" s="5">
        <v>42388.685416666667</v>
      </c>
      <c r="L56" s="11">
        <f t="shared" ca="1" si="0"/>
        <v>75.224999999998545</v>
      </c>
      <c r="M56" s="1">
        <f t="shared" si="1"/>
        <v>11</v>
      </c>
      <c r="N56" s="1">
        <f t="shared" si="2"/>
        <v>2015</v>
      </c>
      <c r="O56" s="1" t="str">
        <f t="shared" ca="1" si="3"/>
        <v>entre 60 e 90 dias</v>
      </c>
    </row>
    <row r="57" spans="1:15" ht="25.5" x14ac:dyDescent="0.2">
      <c r="A57" s="3" t="s">
        <v>8</v>
      </c>
      <c r="B57" s="4" t="s">
        <v>141</v>
      </c>
      <c r="C57" s="3" t="s">
        <v>142</v>
      </c>
      <c r="D57" s="3" t="s">
        <v>1417</v>
      </c>
      <c r="E57" s="3" t="str">
        <f>VLOOKUP(B57,[1]general_report!$B$1:$I$713,8,0)</f>
        <v xml:space="preserve">Vivo </v>
      </c>
      <c r="F57" s="3" t="str">
        <f>VLOOKUP(B57,[1]general_report!$B$1:$J$713,9,0)</f>
        <v xml:space="preserve"> Vivo</v>
      </c>
      <c r="G57" s="3" t="s">
        <v>94</v>
      </c>
      <c r="H57" s="3" t="s">
        <v>94</v>
      </c>
      <c r="I57" s="3" t="s">
        <v>27</v>
      </c>
      <c r="J57" s="5">
        <v>42313.454861111109</v>
      </c>
      <c r="K57" s="5">
        <v>42388.685416666667</v>
      </c>
      <c r="L57" s="11">
        <f t="shared" ca="1" si="0"/>
        <v>75.230555555557657</v>
      </c>
      <c r="M57" s="1">
        <f t="shared" si="1"/>
        <v>11</v>
      </c>
      <c r="N57" s="1">
        <f t="shared" si="2"/>
        <v>2015</v>
      </c>
      <c r="O57" s="1" t="str">
        <f t="shared" ca="1" si="3"/>
        <v>entre 60 e 90 dias</v>
      </c>
    </row>
    <row r="58" spans="1:15" ht="25.5" x14ac:dyDescent="0.2">
      <c r="A58" s="3" t="s">
        <v>8</v>
      </c>
      <c r="B58" s="4" t="s">
        <v>143</v>
      </c>
      <c r="C58" s="3" t="s">
        <v>144</v>
      </c>
      <c r="D58" s="3" t="s">
        <v>1417</v>
      </c>
      <c r="E58" s="3" t="str">
        <f>VLOOKUP(B58,[1]general_report!$B$1:$I$713,8,0)</f>
        <v xml:space="preserve">Vivo </v>
      </c>
      <c r="F58" s="3" t="str">
        <f>VLOOKUP(B58,[1]general_report!$B$1:$J$713,9,0)</f>
        <v xml:space="preserve"> Vivo</v>
      </c>
      <c r="G58" s="3" t="s">
        <v>94</v>
      </c>
      <c r="H58" s="3" t="s">
        <v>94</v>
      </c>
      <c r="I58" s="3" t="s">
        <v>27</v>
      </c>
      <c r="J58" s="5">
        <v>42313.452777777777</v>
      </c>
      <c r="K58" s="5">
        <v>42388.68472222222</v>
      </c>
      <c r="L58" s="11">
        <f t="shared" ca="1" si="0"/>
        <v>75.231944444443798</v>
      </c>
      <c r="M58" s="1">
        <f t="shared" si="1"/>
        <v>11</v>
      </c>
      <c r="N58" s="1">
        <f t="shared" si="2"/>
        <v>2015</v>
      </c>
      <c r="O58" s="1" t="str">
        <f t="shared" ca="1" si="3"/>
        <v>entre 60 e 90 dias</v>
      </c>
    </row>
    <row r="59" spans="1:15" ht="25.5" x14ac:dyDescent="0.2">
      <c r="A59" s="3" t="s">
        <v>8</v>
      </c>
      <c r="B59" s="4" t="s">
        <v>145</v>
      </c>
      <c r="C59" s="3" t="s">
        <v>146</v>
      </c>
      <c r="D59" s="3" t="s">
        <v>1417</v>
      </c>
      <c r="E59" s="3" t="str">
        <f>VLOOKUP(B59,[1]general_report!$B$1:$I$713,8,0)</f>
        <v xml:space="preserve">Vivo </v>
      </c>
      <c r="F59" s="3" t="str">
        <f>VLOOKUP(B59,[1]general_report!$B$1:$J$713,9,0)</f>
        <v xml:space="preserve"> Vivo</v>
      </c>
      <c r="G59" s="3" t="s">
        <v>94</v>
      </c>
      <c r="H59" s="3" t="s">
        <v>94</v>
      </c>
      <c r="I59" s="3" t="s">
        <v>27</v>
      </c>
      <c r="J59" s="5">
        <v>42313.45</v>
      </c>
      <c r="K59" s="5">
        <v>42388.68472222222</v>
      </c>
      <c r="L59" s="11">
        <f t="shared" ca="1" si="0"/>
        <v>75.234722222223354</v>
      </c>
      <c r="M59" s="1">
        <f t="shared" si="1"/>
        <v>11</v>
      </c>
      <c r="N59" s="1">
        <f t="shared" si="2"/>
        <v>2015</v>
      </c>
      <c r="O59" s="1" t="str">
        <f t="shared" ca="1" si="3"/>
        <v>entre 60 e 90 dias</v>
      </c>
    </row>
    <row r="60" spans="1:15" ht="25.5" x14ac:dyDescent="0.2">
      <c r="A60" s="3" t="s">
        <v>8</v>
      </c>
      <c r="B60" s="4" t="s">
        <v>147</v>
      </c>
      <c r="C60" s="3" t="s">
        <v>148</v>
      </c>
      <c r="D60" s="3" t="s">
        <v>1417</v>
      </c>
      <c r="E60" s="3" t="str">
        <f>VLOOKUP(B60,[1]general_report!$B$1:$I$713,8,0)</f>
        <v xml:space="preserve">Vivo </v>
      </c>
      <c r="F60" s="3" t="str">
        <f>VLOOKUP(B60,[1]general_report!$B$1:$J$713,9,0)</f>
        <v xml:space="preserve"> Vivo</v>
      </c>
      <c r="G60" s="3" t="s">
        <v>94</v>
      </c>
      <c r="H60" s="3" t="s">
        <v>94</v>
      </c>
      <c r="I60" s="3" t="s">
        <v>27</v>
      </c>
      <c r="J60" s="5">
        <v>42313.446527777778</v>
      </c>
      <c r="K60" s="5">
        <v>42388.68472222222</v>
      </c>
      <c r="L60" s="11">
        <f t="shared" ca="1" si="0"/>
        <v>75.238194444442343</v>
      </c>
      <c r="M60" s="1">
        <f t="shared" si="1"/>
        <v>11</v>
      </c>
      <c r="N60" s="1">
        <f t="shared" si="2"/>
        <v>2015</v>
      </c>
      <c r="O60" s="1" t="str">
        <f t="shared" ca="1" si="3"/>
        <v>entre 60 e 90 dias</v>
      </c>
    </row>
    <row r="61" spans="1:15" ht="25.5" x14ac:dyDescent="0.2">
      <c r="A61" s="3" t="s">
        <v>8</v>
      </c>
      <c r="B61" s="4" t="s">
        <v>149</v>
      </c>
      <c r="C61" s="3" t="s">
        <v>150</v>
      </c>
      <c r="D61" s="3" t="s">
        <v>1417</v>
      </c>
      <c r="E61" s="3" t="str">
        <f>VLOOKUP(B61,[1]general_report!$B$1:$I$713,8,0)</f>
        <v xml:space="preserve">Vivo </v>
      </c>
      <c r="F61" s="3" t="str">
        <f>VLOOKUP(B61,[1]general_report!$B$1:$J$713,9,0)</f>
        <v xml:space="preserve"> Vivo</v>
      </c>
      <c r="G61" s="3" t="s">
        <v>94</v>
      </c>
      <c r="H61" s="3" t="s">
        <v>94</v>
      </c>
      <c r="I61" s="3" t="s">
        <v>27</v>
      </c>
      <c r="J61" s="5">
        <v>42313.444444444445</v>
      </c>
      <c r="K61" s="5">
        <v>42388.68472222222</v>
      </c>
      <c r="L61" s="11">
        <f t="shared" ca="1" si="0"/>
        <v>75.240277777775191</v>
      </c>
      <c r="M61" s="1">
        <f t="shared" si="1"/>
        <v>11</v>
      </c>
      <c r="N61" s="1">
        <f t="shared" si="2"/>
        <v>2015</v>
      </c>
      <c r="O61" s="1" t="str">
        <f t="shared" ca="1" si="3"/>
        <v>entre 60 e 90 dias</v>
      </c>
    </row>
    <row r="62" spans="1:15" ht="25.5" x14ac:dyDescent="0.2">
      <c r="A62" s="3" t="s">
        <v>8</v>
      </c>
      <c r="B62" s="4" t="s">
        <v>151</v>
      </c>
      <c r="C62" s="3" t="s">
        <v>152</v>
      </c>
      <c r="D62" s="3" t="s">
        <v>1417</v>
      </c>
      <c r="E62" s="3" t="str">
        <f>VLOOKUP(B62,[1]general_report!$B$1:$I$713,8,0)</f>
        <v xml:space="preserve">Vivo </v>
      </c>
      <c r="F62" s="3" t="str">
        <f>VLOOKUP(B62,[1]general_report!$B$1:$J$713,9,0)</f>
        <v xml:space="preserve"> Vivo</v>
      </c>
      <c r="G62" s="3" t="s">
        <v>94</v>
      </c>
      <c r="H62" s="3" t="s">
        <v>94</v>
      </c>
      <c r="I62" s="3" t="s">
        <v>27</v>
      </c>
      <c r="J62" s="5">
        <v>42313.438194444447</v>
      </c>
      <c r="K62" s="5">
        <v>42388.684027777781</v>
      </c>
      <c r="L62" s="11">
        <f t="shared" ca="1" si="0"/>
        <v>75.245833333334303</v>
      </c>
      <c r="M62" s="1">
        <f t="shared" si="1"/>
        <v>11</v>
      </c>
      <c r="N62" s="1">
        <f t="shared" si="2"/>
        <v>2015</v>
      </c>
      <c r="O62" s="1" t="str">
        <f t="shared" ca="1" si="3"/>
        <v>entre 60 e 90 dias</v>
      </c>
    </row>
    <row r="63" spans="1:15" ht="25.5" x14ac:dyDescent="0.2">
      <c r="A63" s="3" t="s">
        <v>8</v>
      </c>
      <c r="B63" s="4" t="s">
        <v>153</v>
      </c>
      <c r="C63" s="3" t="s">
        <v>154</v>
      </c>
      <c r="D63" s="3" t="s">
        <v>1417</v>
      </c>
      <c r="E63" s="3" t="str">
        <f>VLOOKUP(B63,[1]general_report!$B$1:$I$713,8,0)</f>
        <v xml:space="preserve">Vivo </v>
      </c>
      <c r="F63" s="3" t="str">
        <f>VLOOKUP(B63,[1]general_report!$B$1:$J$713,9,0)</f>
        <v xml:space="preserve"> Vivo</v>
      </c>
      <c r="G63" s="3" t="s">
        <v>94</v>
      </c>
      <c r="H63" s="3" t="s">
        <v>94</v>
      </c>
      <c r="I63" s="3" t="s">
        <v>27</v>
      </c>
      <c r="J63" s="5">
        <v>42313.420138888891</v>
      </c>
      <c r="K63" s="5">
        <v>42388.684027777781</v>
      </c>
      <c r="L63" s="11">
        <f t="shared" ca="1" si="0"/>
        <v>75.263888888890506</v>
      </c>
      <c r="M63" s="1">
        <f t="shared" si="1"/>
        <v>11</v>
      </c>
      <c r="N63" s="1">
        <f t="shared" si="2"/>
        <v>2015</v>
      </c>
      <c r="O63" s="1" t="str">
        <f t="shared" ca="1" si="3"/>
        <v>entre 60 e 90 dias</v>
      </c>
    </row>
    <row r="64" spans="1:15" ht="25.5" x14ac:dyDescent="0.2">
      <c r="A64" s="3" t="s">
        <v>8</v>
      </c>
      <c r="B64" s="4" t="s">
        <v>155</v>
      </c>
      <c r="C64" s="3" t="s">
        <v>156</v>
      </c>
      <c r="D64" s="3" t="s">
        <v>1417</v>
      </c>
      <c r="E64" s="3" t="str">
        <f>VLOOKUP(B64,[1]general_report!$B$1:$I$713,8,0)</f>
        <v xml:space="preserve">Vivo </v>
      </c>
      <c r="F64" s="3" t="str">
        <f>VLOOKUP(B64,[1]general_report!$B$1:$J$713,9,0)</f>
        <v xml:space="preserve"> Vivo</v>
      </c>
      <c r="G64" s="3" t="s">
        <v>94</v>
      </c>
      <c r="H64" s="3" t="s">
        <v>94</v>
      </c>
      <c r="I64" s="3" t="s">
        <v>27</v>
      </c>
      <c r="J64" s="5">
        <v>42311.754166666666</v>
      </c>
      <c r="K64" s="5">
        <v>42388.684027777781</v>
      </c>
      <c r="L64" s="11">
        <f t="shared" ca="1" si="0"/>
        <v>76.929861111115315</v>
      </c>
      <c r="M64" s="1">
        <f t="shared" si="1"/>
        <v>11</v>
      </c>
      <c r="N64" s="1">
        <f t="shared" si="2"/>
        <v>2015</v>
      </c>
      <c r="O64" s="1" t="str">
        <f t="shared" ca="1" si="3"/>
        <v>entre 60 e 90 dias</v>
      </c>
    </row>
    <row r="65" spans="1:15" ht="25.5" x14ac:dyDescent="0.2">
      <c r="A65" s="3" t="s">
        <v>8</v>
      </c>
      <c r="B65" s="4" t="s">
        <v>157</v>
      </c>
      <c r="C65" s="3" t="s">
        <v>158</v>
      </c>
      <c r="D65" s="3" t="s">
        <v>1417</v>
      </c>
      <c r="E65" s="3" t="str">
        <f>VLOOKUP(B65,[1]general_report!$B$1:$I$713,8,0)</f>
        <v xml:space="preserve">Vivo </v>
      </c>
      <c r="F65" s="3" t="str">
        <f>VLOOKUP(B65,[1]general_report!$B$1:$J$713,9,0)</f>
        <v xml:space="preserve"> Vivo</v>
      </c>
      <c r="G65" s="3" t="s">
        <v>94</v>
      </c>
      <c r="H65" s="3" t="s">
        <v>94</v>
      </c>
      <c r="I65" s="3" t="s">
        <v>27</v>
      </c>
      <c r="J65" s="5">
        <v>42311.740972222222</v>
      </c>
      <c r="K65" s="5">
        <v>42388.684027777781</v>
      </c>
      <c r="L65" s="11">
        <f t="shared" ca="1" si="0"/>
        <v>76.943055555559113</v>
      </c>
      <c r="M65" s="1">
        <f t="shared" si="1"/>
        <v>11</v>
      </c>
      <c r="N65" s="1">
        <f t="shared" si="2"/>
        <v>2015</v>
      </c>
      <c r="O65" s="1" t="str">
        <f t="shared" ca="1" si="3"/>
        <v>entre 60 e 90 dias</v>
      </c>
    </row>
    <row r="66" spans="1:15" ht="25.5" x14ac:dyDescent="0.2">
      <c r="A66" s="3" t="s">
        <v>8</v>
      </c>
      <c r="B66" s="4" t="s">
        <v>159</v>
      </c>
      <c r="C66" s="3" t="s">
        <v>160</v>
      </c>
      <c r="D66" s="3" t="s">
        <v>1417</v>
      </c>
      <c r="E66" s="3" t="str">
        <f>VLOOKUP(B66,[1]general_report!$B$1:$I$713,8,0)</f>
        <v xml:space="preserve">Vivo </v>
      </c>
      <c r="F66" s="3" t="str">
        <f>VLOOKUP(B66,[1]general_report!$B$1:$J$713,9,0)</f>
        <v xml:space="preserve"> Vivo</v>
      </c>
      <c r="G66" s="3" t="s">
        <v>94</v>
      </c>
      <c r="H66" s="3" t="s">
        <v>94</v>
      </c>
      <c r="I66" s="3" t="s">
        <v>27</v>
      </c>
      <c r="J66" s="5">
        <v>42311.738194444442</v>
      </c>
      <c r="K66" s="5">
        <v>42388.683333333334</v>
      </c>
      <c r="L66" s="11">
        <f t="shared" ca="1" si="0"/>
        <v>76.945138888891961</v>
      </c>
      <c r="M66" s="1">
        <f t="shared" si="1"/>
        <v>11</v>
      </c>
      <c r="N66" s="1">
        <f t="shared" si="2"/>
        <v>2015</v>
      </c>
      <c r="O66" s="1" t="str">
        <f t="shared" ca="1" si="3"/>
        <v>entre 60 e 90 dias</v>
      </c>
    </row>
    <row r="67" spans="1:15" ht="25.5" x14ac:dyDescent="0.2">
      <c r="A67" s="3" t="s">
        <v>8</v>
      </c>
      <c r="B67" s="4" t="s">
        <v>161</v>
      </c>
      <c r="C67" s="3" t="s">
        <v>162</v>
      </c>
      <c r="D67" s="3" t="s">
        <v>1417</v>
      </c>
      <c r="E67" s="3" t="str">
        <f>VLOOKUP(B67,[1]general_report!$B$1:$I$713,8,0)</f>
        <v xml:space="preserve">Vivo </v>
      </c>
      <c r="F67" s="3" t="str">
        <f>VLOOKUP(B67,[1]general_report!$B$1:$J$713,9,0)</f>
        <v xml:space="preserve"> Vivo</v>
      </c>
      <c r="G67" s="3" t="s">
        <v>94</v>
      </c>
      <c r="H67" s="3" t="s">
        <v>94</v>
      </c>
      <c r="I67" s="3" t="s">
        <v>27</v>
      </c>
      <c r="J67" s="5">
        <v>42311.734722222223</v>
      </c>
      <c r="K67" s="5">
        <v>42388.683333333334</v>
      </c>
      <c r="L67" s="11">
        <f t="shared" ref="L67:L130" ca="1" si="4">IF(K67="",TODAY()-J67,K67-J67)</f>
        <v>76.948611111110949</v>
      </c>
      <c r="M67" s="1">
        <f t="shared" ref="M67:M130" si="5">MONTH(J67)</f>
        <v>11</v>
      </c>
      <c r="N67" s="1">
        <f t="shared" ref="N67:N130" si="6">YEAR(J67)</f>
        <v>2015</v>
      </c>
      <c r="O67" s="1" t="str">
        <f t="shared" ref="O67:O130" ca="1" si="7">IF(L67&lt;30,"menos 1 mês",IF(L67&lt;60,"entre 30 e 60 dias",IF(L67&lt;90,"entre 60 e 90 dias",IF(L67&lt;150,"entre 90 e 150 dias","mais de 150 dias"))))</f>
        <v>entre 60 e 90 dias</v>
      </c>
    </row>
    <row r="68" spans="1:15" ht="25.5" x14ac:dyDescent="0.2">
      <c r="A68" s="3" t="s">
        <v>8</v>
      </c>
      <c r="B68" s="4" t="s">
        <v>163</v>
      </c>
      <c r="C68" s="3" t="s">
        <v>164</v>
      </c>
      <c r="D68" s="3" t="s">
        <v>1417</v>
      </c>
      <c r="E68" s="3" t="str">
        <f>VLOOKUP(B68,[1]general_report!$B$1:$I$713,8,0)</f>
        <v xml:space="preserve">Vivo </v>
      </c>
      <c r="F68" s="3" t="str">
        <f>VLOOKUP(B68,[1]general_report!$B$1:$J$713,9,0)</f>
        <v xml:space="preserve"> Vivo</v>
      </c>
      <c r="G68" s="3" t="s">
        <v>94</v>
      </c>
      <c r="H68" s="3" t="s">
        <v>94</v>
      </c>
      <c r="I68" s="3" t="s">
        <v>27</v>
      </c>
      <c r="J68" s="5">
        <v>42311.732638888891</v>
      </c>
      <c r="K68" s="5">
        <v>42388.683333333334</v>
      </c>
      <c r="L68" s="11">
        <f t="shared" ca="1" si="4"/>
        <v>76.950694444443798</v>
      </c>
      <c r="M68" s="1">
        <f t="shared" si="5"/>
        <v>11</v>
      </c>
      <c r="N68" s="1">
        <f t="shared" si="6"/>
        <v>2015</v>
      </c>
      <c r="O68" s="1" t="str">
        <f t="shared" ca="1" si="7"/>
        <v>entre 60 e 90 dias</v>
      </c>
    </row>
    <row r="69" spans="1:15" ht="25.5" x14ac:dyDescent="0.2">
      <c r="A69" s="3" t="s">
        <v>8</v>
      </c>
      <c r="B69" s="4" t="s">
        <v>165</v>
      </c>
      <c r="C69" s="3" t="s">
        <v>166</v>
      </c>
      <c r="D69" s="3" t="s">
        <v>1417</v>
      </c>
      <c r="E69" s="3" t="str">
        <f>VLOOKUP(B69,[1]general_report!$B$1:$I$713,8,0)</f>
        <v xml:space="preserve">Vivo </v>
      </c>
      <c r="F69" s="3" t="str">
        <f>VLOOKUP(B69,[1]general_report!$B$1:$J$713,9,0)</f>
        <v xml:space="preserve"> Vivo</v>
      </c>
      <c r="G69" s="3" t="s">
        <v>94</v>
      </c>
      <c r="H69" s="3" t="s">
        <v>94</v>
      </c>
      <c r="I69" s="3" t="s">
        <v>27</v>
      </c>
      <c r="J69" s="5">
        <v>42311.729861111111</v>
      </c>
      <c r="K69" s="5">
        <v>42388.683333333334</v>
      </c>
      <c r="L69" s="11">
        <f t="shared" ca="1" si="4"/>
        <v>76.953472222223354</v>
      </c>
      <c r="M69" s="1">
        <f t="shared" si="5"/>
        <v>11</v>
      </c>
      <c r="N69" s="1">
        <f t="shared" si="6"/>
        <v>2015</v>
      </c>
      <c r="O69" s="1" t="str">
        <f t="shared" ca="1" si="7"/>
        <v>entre 60 e 90 dias</v>
      </c>
    </row>
    <row r="70" spans="1:15" ht="25.5" x14ac:dyDescent="0.2">
      <c r="A70" s="3" t="s">
        <v>8</v>
      </c>
      <c r="B70" s="4" t="s">
        <v>167</v>
      </c>
      <c r="C70" s="3" t="s">
        <v>168</v>
      </c>
      <c r="D70" s="3" t="s">
        <v>1417</v>
      </c>
      <c r="E70" s="3" t="str">
        <f>VLOOKUP(B70,[1]general_report!$B$1:$I$713,8,0)</f>
        <v xml:space="preserve">Vivo </v>
      </c>
      <c r="F70" s="3" t="str">
        <f>VLOOKUP(B70,[1]general_report!$B$1:$J$713,9,0)</f>
        <v xml:space="preserve"> Vivo</v>
      </c>
      <c r="G70" s="3" t="s">
        <v>94</v>
      </c>
      <c r="H70" s="3" t="s">
        <v>94</v>
      </c>
      <c r="I70" s="3" t="s">
        <v>27</v>
      </c>
      <c r="J70" s="5">
        <v>42311.727777777778</v>
      </c>
      <c r="K70" s="5">
        <v>42388.683333333334</v>
      </c>
      <c r="L70" s="11">
        <f t="shared" ca="1" si="4"/>
        <v>76.955555555556202</v>
      </c>
      <c r="M70" s="1">
        <f t="shared" si="5"/>
        <v>11</v>
      </c>
      <c r="N70" s="1">
        <f t="shared" si="6"/>
        <v>2015</v>
      </c>
      <c r="O70" s="1" t="str">
        <f t="shared" ca="1" si="7"/>
        <v>entre 60 e 90 dias</v>
      </c>
    </row>
    <row r="71" spans="1:15" ht="25.5" x14ac:dyDescent="0.2">
      <c r="A71" s="3" t="s">
        <v>8</v>
      </c>
      <c r="B71" s="4" t="s">
        <v>169</v>
      </c>
      <c r="C71" s="3" t="s">
        <v>168</v>
      </c>
      <c r="D71" s="3" t="s">
        <v>1417</v>
      </c>
      <c r="E71" s="3" t="str">
        <f>VLOOKUP(B71,[1]general_report!$B$1:$I$713,8,0)</f>
        <v xml:space="preserve">Vivo </v>
      </c>
      <c r="F71" s="3" t="str">
        <f>VLOOKUP(B71,[1]general_report!$B$1:$J$713,9,0)</f>
        <v xml:space="preserve"> Vivo</v>
      </c>
      <c r="G71" s="3" t="s">
        <v>94</v>
      </c>
      <c r="H71" s="3" t="s">
        <v>94</v>
      </c>
      <c r="I71" s="3" t="s">
        <v>27</v>
      </c>
      <c r="J71" s="5">
        <v>42311.725694444445</v>
      </c>
      <c r="K71" s="5">
        <v>42388.682638888888</v>
      </c>
      <c r="L71" s="11">
        <f t="shared" ca="1" si="4"/>
        <v>76.956944444442343</v>
      </c>
      <c r="M71" s="1">
        <f t="shared" si="5"/>
        <v>11</v>
      </c>
      <c r="N71" s="1">
        <f t="shared" si="6"/>
        <v>2015</v>
      </c>
      <c r="O71" s="1" t="str">
        <f t="shared" ca="1" si="7"/>
        <v>entre 60 e 90 dias</v>
      </c>
    </row>
    <row r="72" spans="1:15" ht="25.5" x14ac:dyDescent="0.2">
      <c r="A72" s="3" t="s">
        <v>8</v>
      </c>
      <c r="B72" s="4" t="s">
        <v>170</v>
      </c>
      <c r="C72" s="3" t="s">
        <v>171</v>
      </c>
      <c r="D72" s="3" t="s">
        <v>1417</v>
      </c>
      <c r="E72" s="3" t="str">
        <f>VLOOKUP(B72,[1]general_report!$B$1:$I$713,8,0)</f>
        <v xml:space="preserve">Vivo </v>
      </c>
      <c r="F72" s="3" t="str">
        <f>VLOOKUP(B72,[1]general_report!$B$1:$J$713,9,0)</f>
        <v xml:space="preserve"> Vivo</v>
      </c>
      <c r="G72" s="3" t="s">
        <v>94</v>
      </c>
      <c r="H72" s="3" t="s">
        <v>94</v>
      </c>
      <c r="I72" s="3" t="s">
        <v>27</v>
      </c>
      <c r="J72" s="5">
        <v>42311.72152777778</v>
      </c>
      <c r="K72" s="5">
        <v>42388.682638888888</v>
      </c>
      <c r="L72" s="11">
        <f t="shared" ca="1" si="4"/>
        <v>76.961111111108039</v>
      </c>
      <c r="M72" s="1">
        <f t="shared" si="5"/>
        <v>11</v>
      </c>
      <c r="N72" s="1">
        <f t="shared" si="6"/>
        <v>2015</v>
      </c>
      <c r="O72" s="1" t="str">
        <f t="shared" ca="1" si="7"/>
        <v>entre 60 e 90 dias</v>
      </c>
    </row>
    <row r="73" spans="1:15" ht="38.25" x14ac:dyDescent="0.2">
      <c r="A73" s="3" t="s">
        <v>8</v>
      </c>
      <c r="B73" s="4" t="s">
        <v>172</v>
      </c>
      <c r="C73" s="3" t="s">
        <v>173</v>
      </c>
      <c r="D73" s="3" t="s">
        <v>1417</v>
      </c>
      <c r="E73" s="3" t="str">
        <f>VLOOKUP(B73,[1]general_report!$B$1:$I$713,8,0)</f>
        <v xml:space="preserve">Vivo </v>
      </c>
      <c r="F73" s="3" t="str">
        <f>VLOOKUP(B73,[1]general_report!$B$1:$J$713,9,0)</f>
        <v xml:space="preserve"> Vivo</v>
      </c>
      <c r="G73" s="3" t="s">
        <v>94</v>
      </c>
      <c r="H73" s="3" t="s">
        <v>94</v>
      </c>
      <c r="I73" s="3" t="s">
        <v>27</v>
      </c>
      <c r="J73" s="5">
        <v>42311.71875</v>
      </c>
      <c r="K73" s="5">
        <v>42388.682638888888</v>
      </c>
      <c r="L73" s="11">
        <f t="shared" ca="1" si="4"/>
        <v>76.963888888887595</v>
      </c>
      <c r="M73" s="1">
        <f t="shared" si="5"/>
        <v>11</v>
      </c>
      <c r="N73" s="1">
        <f t="shared" si="6"/>
        <v>2015</v>
      </c>
      <c r="O73" s="1" t="str">
        <f t="shared" ca="1" si="7"/>
        <v>entre 60 e 90 dias</v>
      </c>
    </row>
    <row r="74" spans="1:15" ht="38.25" x14ac:dyDescent="0.2">
      <c r="A74" s="3" t="s">
        <v>8</v>
      </c>
      <c r="B74" s="4" t="s">
        <v>174</v>
      </c>
      <c r="C74" s="3" t="s">
        <v>175</v>
      </c>
      <c r="D74" s="3" t="s">
        <v>1417</v>
      </c>
      <c r="E74" s="3" t="str">
        <f>VLOOKUP(B74,[1]general_report!$B$1:$I$713,8,0)</f>
        <v xml:space="preserve">Vivo </v>
      </c>
      <c r="F74" s="3" t="str">
        <f>VLOOKUP(B74,[1]general_report!$B$1:$J$713,9,0)</f>
        <v xml:space="preserve"> Vivo</v>
      </c>
      <c r="G74" s="3" t="s">
        <v>94</v>
      </c>
      <c r="H74" s="3" t="s">
        <v>94</v>
      </c>
      <c r="I74" s="3" t="s">
        <v>27</v>
      </c>
      <c r="J74" s="5">
        <v>42311.71597222222</v>
      </c>
      <c r="K74" s="5">
        <v>42388.681944444441</v>
      </c>
      <c r="L74" s="11">
        <f t="shared" ca="1" si="4"/>
        <v>76.965972222220444</v>
      </c>
      <c r="M74" s="1">
        <f t="shared" si="5"/>
        <v>11</v>
      </c>
      <c r="N74" s="1">
        <f t="shared" si="6"/>
        <v>2015</v>
      </c>
      <c r="O74" s="1" t="str">
        <f t="shared" ca="1" si="7"/>
        <v>entre 60 e 90 dias</v>
      </c>
    </row>
    <row r="75" spans="1:15" ht="25.5" x14ac:dyDescent="0.2">
      <c r="A75" s="3" t="s">
        <v>8</v>
      </c>
      <c r="B75" s="4" t="s">
        <v>176</v>
      </c>
      <c r="C75" s="3" t="s">
        <v>177</v>
      </c>
      <c r="D75" s="3" t="s">
        <v>1417</v>
      </c>
      <c r="E75" s="3" t="str">
        <f>VLOOKUP(B75,[1]general_report!$B$1:$I$713,8,0)</f>
        <v xml:space="preserve">Vivo </v>
      </c>
      <c r="F75" s="3" t="str">
        <f>VLOOKUP(B75,[1]general_report!$B$1:$J$713,9,0)</f>
        <v xml:space="preserve"> Vivo</v>
      </c>
      <c r="G75" s="3" t="s">
        <v>94</v>
      </c>
      <c r="H75" s="3" t="s">
        <v>94</v>
      </c>
      <c r="I75" s="3" t="s">
        <v>27</v>
      </c>
      <c r="J75" s="5">
        <v>42311.624305555553</v>
      </c>
      <c r="K75" s="5">
        <v>42388.681944444441</v>
      </c>
      <c r="L75" s="11">
        <f t="shared" ca="1" si="4"/>
        <v>77.057638888887595</v>
      </c>
      <c r="M75" s="1">
        <f t="shared" si="5"/>
        <v>11</v>
      </c>
      <c r="N75" s="1">
        <f t="shared" si="6"/>
        <v>2015</v>
      </c>
      <c r="O75" s="1" t="str">
        <f t="shared" ca="1" si="7"/>
        <v>entre 60 e 90 dias</v>
      </c>
    </row>
    <row r="76" spans="1:15" ht="25.5" x14ac:dyDescent="0.2">
      <c r="A76" s="3" t="s">
        <v>8</v>
      </c>
      <c r="B76" s="4" t="s">
        <v>178</v>
      </c>
      <c r="C76" s="3" t="s">
        <v>179</v>
      </c>
      <c r="D76" s="3" t="s">
        <v>1417</v>
      </c>
      <c r="E76" s="3" t="str">
        <f>VLOOKUP(B76,[1]general_report!$B$1:$I$713,8,0)</f>
        <v xml:space="preserve">Vivo </v>
      </c>
      <c r="F76" s="3" t="str">
        <f>VLOOKUP(B76,[1]general_report!$B$1:$J$713,9,0)</f>
        <v xml:space="preserve"> Vivo</v>
      </c>
      <c r="G76" s="3" t="s">
        <v>94</v>
      </c>
      <c r="H76" s="3" t="s">
        <v>94</v>
      </c>
      <c r="I76" s="3" t="s">
        <v>27</v>
      </c>
      <c r="J76" s="5">
        <v>42311.619444444441</v>
      </c>
      <c r="K76" s="5">
        <v>42388.681944444441</v>
      </c>
      <c r="L76" s="11">
        <f t="shared" ca="1" si="4"/>
        <v>77.0625</v>
      </c>
      <c r="M76" s="1">
        <f t="shared" si="5"/>
        <v>11</v>
      </c>
      <c r="N76" s="1">
        <f t="shared" si="6"/>
        <v>2015</v>
      </c>
      <c r="O76" s="1" t="str">
        <f t="shared" ca="1" si="7"/>
        <v>entre 60 e 90 dias</v>
      </c>
    </row>
    <row r="77" spans="1:15" ht="38.25" x14ac:dyDescent="0.2">
      <c r="A77" s="3" t="s">
        <v>8</v>
      </c>
      <c r="B77" s="4" t="s">
        <v>180</v>
      </c>
      <c r="C77" s="3" t="s">
        <v>181</v>
      </c>
      <c r="D77" s="3" t="s">
        <v>1417</v>
      </c>
      <c r="E77" s="3" t="str">
        <f>VLOOKUP(B77,[1]general_report!$B$1:$I$713,8,0)</f>
        <v xml:space="preserve">Vivo </v>
      </c>
      <c r="F77" s="3" t="str">
        <f>VLOOKUP(B77,[1]general_report!$B$1:$J$713,9,0)</f>
        <v xml:space="preserve"> Vivo</v>
      </c>
      <c r="G77" s="3" t="s">
        <v>94</v>
      </c>
      <c r="H77" s="3" t="s">
        <v>94</v>
      </c>
      <c r="I77" s="3" t="s">
        <v>27</v>
      </c>
      <c r="J77" s="5">
        <v>42311.543055555558</v>
      </c>
      <c r="K77" s="5">
        <v>42388.681944444441</v>
      </c>
      <c r="L77" s="11">
        <f t="shared" ca="1" si="4"/>
        <v>77.13888888888323</v>
      </c>
      <c r="M77" s="1">
        <f t="shared" si="5"/>
        <v>11</v>
      </c>
      <c r="N77" s="1">
        <f t="shared" si="6"/>
        <v>2015</v>
      </c>
      <c r="O77" s="1" t="str">
        <f t="shared" ca="1" si="7"/>
        <v>entre 60 e 90 dias</v>
      </c>
    </row>
    <row r="78" spans="1:15" ht="25.5" x14ac:dyDescent="0.2">
      <c r="A78" s="3" t="s">
        <v>8</v>
      </c>
      <c r="B78" s="4" t="s">
        <v>182</v>
      </c>
      <c r="C78" s="3" t="s">
        <v>183</v>
      </c>
      <c r="D78" s="3" t="s">
        <v>1417</v>
      </c>
      <c r="E78" s="3" t="str">
        <f>VLOOKUP(B78,[1]general_report!$B$1:$I$713,8,0)</f>
        <v xml:space="preserve">Vivo </v>
      </c>
      <c r="F78" s="3" t="str">
        <f>VLOOKUP(B78,[1]general_report!$B$1:$J$713,9,0)</f>
        <v xml:space="preserve"> Vivo</v>
      </c>
      <c r="G78" s="3" t="s">
        <v>94</v>
      </c>
      <c r="H78" s="3" t="s">
        <v>94</v>
      </c>
      <c r="I78" s="3" t="s">
        <v>27</v>
      </c>
      <c r="J78" s="5">
        <v>42311.538888888892</v>
      </c>
      <c r="K78" s="5">
        <v>42359.643750000003</v>
      </c>
      <c r="L78" s="11">
        <f t="shared" ca="1" si="4"/>
        <v>48.104861111110949</v>
      </c>
      <c r="M78" s="1">
        <f t="shared" si="5"/>
        <v>11</v>
      </c>
      <c r="N78" s="1">
        <f t="shared" si="6"/>
        <v>2015</v>
      </c>
      <c r="O78" s="1" t="str">
        <f t="shared" ca="1" si="7"/>
        <v>entre 30 e 60 dias</v>
      </c>
    </row>
    <row r="79" spans="1:15" ht="25.5" x14ac:dyDescent="0.2">
      <c r="A79" s="3" t="s">
        <v>8</v>
      </c>
      <c r="B79" s="4" t="s">
        <v>184</v>
      </c>
      <c r="C79" s="3" t="s">
        <v>185</v>
      </c>
      <c r="D79" s="3" t="s">
        <v>1417</v>
      </c>
      <c r="E79" s="3" t="str">
        <f>VLOOKUP(B79,[1]general_report!$B$1:$I$713,8,0)</f>
        <v xml:space="preserve">Vivo </v>
      </c>
      <c r="F79" s="3" t="str">
        <f>VLOOKUP(B79,[1]general_report!$B$1:$J$713,9,0)</f>
        <v xml:space="preserve"> Vivo</v>
      </c>
      <c r="G79" s="3" t="s">
        <v>94</v>
      </c>
      <c r="H79" s="3" t="s">
        <v>94</v>
      </c>
      <c r="I79" s="3" t="s">
        <v>27</v>
      </c>
      <c r="J79" s="5">
        <v>42311.536805555559</v>
      </c>
      <c r="K79" s="5">
        <v>42359.642361111109</v>
      </c>
      <c r="L79" s="11">
        <f t="shared" ca="1" si="4"/>
        <v>48.105555555550382</v>
      </c>
      <c r="M79" s="1">
        <f t="shared" si="5"/>
        <v>11</v>
      </c>
      <c r="N79" s="1">
        <f t="shared" si="6"/>
        <v>2015</v>
      </c>
      <c r="O79" s="1" t="str">
        <f t="shared" ca="1" si="7"/>
        <v>entre 30 e 60 dias</v>
      </c>
    </row>
    <row r="80" spans="1:15" ht="15" x14ac:dyDescent="0.2">
      <c r="A80" s="3" t="s">
        <v>8</v>
      </c>
      <c r="B80" s="4" t="s">
        <v>186</v>
      </c>
      <c r="C80" s="3" t="s">
        <v>187</v>
      </c>
      <c r="D80" s="3" t="s">
        <v>1417</v>
      </c>
      <c r="E80" s="3" t="str">
        <f>VLOOKUP(B80,[1]general_report!$B$1:$I$713,8,0)</f>
        <v xml:space="preserve">Vivo </v>
      </c>
      <c r="F80" s="3" t="str">
        <f>VLOOKUP(B80,[1]general_report!$B$1:$J$713,9,0)</f>
        <v xml:space="preserve"> Vivo</v>
      </c>
      <c r="G80" s="3" t="s">
        <v>94</v>
      </c>
      <c r="H80" s="3" t="s">
        <v>94</v>
      </c>
      <c r="I80" s="3" t="s">
        <v>27</v>
      </c>
      <c r="J80" s="5">
        <v>42311.532638888886</v>
      </c>
      <c r="K80" s="5">
        <v>42388.681944444441</v>
      </c>
      <c r="L80" s="11">
        <f t="shared" ca="1" si="4"/>
        <v>77.149305555554747</v>
      </c>
      <c r="M80" s="1">
        <f t="shared" si="5"/>
        <v>11</v>
      </c>
      <c r="N80" s="1">
        <f t="shared" si="6"/>
        <v>2015</v>
      </c>
      <c r="O80" s="1" t="str">
        <f t="shared" ca="1" si="7"/>
        <v>entre 60 e 90 dias</v>
      </c>
    </row>
    <row r="81" spans="1:15" ht="25.5" x14ac:dyDescent="0.2">
      <c r="A81" s="3" t="s">
        <v>8</v>
      </c>
      <c r="B81" s="4" t="s">
        <v>188</v>
      </c>
      <c r="C81" s="3" t="s">
        <v>189</v>
      </c>
      <c r="D81" s="3" t="s">
        <v>1417</v>
      </c>
      <c r="E81" s="3" t="str">
        <f>VLOOKUP(B81,[1]general_report!$B$1:$I$713,8,0)</f>
        <v xml:space="preserve">Vivo </v>
      </c>
      <c r="F81" s="3" t="str">
        <f>VLOOKUP(B81,[1]general_report!$B$1:$J$713,9,0)</f>
        <v xml:space="preserve"> Vivo</v>
      </c>
      <c r="G81" s="3" t="s">
        <v>94</v>
      </c>
      <c r="H81" s="3" t="s">
        <v>94</v>
      </c>
      <c r="I81" s="3" t="s">
        <v>27</v>
      </c>
      <c r="J81" s="5">
        <v>42311.526388888888</v>
      </c>
      <c r="K81" s="5">
        <v>42359.64166666667</v>
      </c>
      <c r="L81" s="11">
        <f t="shared" ca="1" si="4"/>
        <v>48.115277777782467</v>
      </c>
      <c r="M81" s="1">
        <f t="shared" si="5"/>
        <v>11</v>
      </c>
      <c r="N81" s="1">
        <f t="shared" si="6"/>
        <v>2015</v>
      </c>
      <c r="O81" s="1" t="str">
        <f t="shared" ca="1" si="7"/>
        <v>entre 30 e 60 dias</v>
      </c>
    </row>
    <row r="82" spans="1:15" ht="25.5" x14ac:dyDescent="0.2">
      <c r="A82" s="3" t="s">
        <v>8</v>
      </c>
      <c r="B82" s="4" t="s">
        <v>190</v>
      </c>
      <c r="C82" s="3" t="s">
        <v>191</v>
      </c>
      <c r="D82" s="3" t="s">
        <v>1417</v>
      </c>
      <c r="E82" s="3" t="str">
        <f>VLOOKUP(B82,[1]general_report!$B$1:$I$713,8,0)</f>
        <v xml:space="preserve">Vivo </v>
      </c>
      <c r="F82" s="3" t="str">
        <f>VLOOKUP(B82,[1]general_report!$B$1:$J$713,9,0)</f>
        <v xml:space="preserve"> Vivo</v>
      </c>
      <c r="G82" s="3" t="s">
        <v>94</v>
      </c>
      <c r="H82" s="3" t="s">
        <v>94</v>
      </c>
      <c r="I82" s="3" t="s">
        <v>27</v>
      </c>
      <c r="J82" s="5">
        <v>42311.518055555556</v>
      </c>
      <c r="K82" s="5">
        <v>42388.681250000001</v>
      </c>
      <c r="L82" s="11">
        <f t="shared" ca="1" si="4"/>
        <v>77.163194444445253</v>
      </c>
      <c r="M82" s="1">
        <f t="shared" si="5"/>
        <v>11</v>
      </c>
      <c r="N82" s="1">
        <f t="shared" si="6"/>
        <v>2015</v>
      </c>
      <c r="O82" s="1" t="str">
        <f t="shared" ca="1" si="7"/>
        <v>entre 60 e 90 dias</v>
      </c>
    </row>
    <row r="83" spans="1:15" ht="25.5" x14ac:dyDescent="0.2">
      <c r="A83" s="3" t="s">
        <v>8</v>
      </c>
      <c r="B83" s="4" t="s">
        <v>192</v>
      </c>
      <c r="C83" s="3" t="s">
        <v>193</v>
      </c>
      <c r="D83" s="3" t="s">
        <v>1417</v>
      </c>
      <c r="E83" s="3" t="str">
        <f>VLOOKUP(B83,[1]general_report!$B$1:$I$713,8,0)</f>
        <v xml:space="preserve">Vivo </v>
      </c>
      <c r="F83" s="3" t="str">
        <f>VLOOKUP(B83,[1]general_report!$B$1:$J$713,9,0)</f>
        <v xml:space="preserve"> Vivo</v>
      </c>
      <c r="G83" s="3" t="s">
        <v>94</v>
      </c>
      <c r="H83" s="3" t="s">
        <v>94</v>
      </c>
      <c r="I83" s="3" t="s">
        <v>27</v>
      </c>
      <c r="J83" s="5">
        <v>42311.508333333331</v>
      </c>
      <c r="K83" s="5">
        <v>42388.680555555555</v>
      </c>
      <c r="L83" s="11">
        <f t="shared" ca="1" si="4"/>
        <v>77.172222222223354</v>
      </c>
      <c r="M83" s="1">
        <f t="shared" si="5"/>
        <v>11</v>
      </c>
      <c r="N83" s="1">
        <f t="shared" si="6"/>
        <v>2015</v>
      </c>
      <c r="O83" s="1" t="str">
        <f t="shared" ca="1" si="7"/>
        <v>entre 60 e 90 dias</v>
      </c>
    </row>
    <row r="84" spans="1:15" ht="25.5" x14ac:dyDescent="0.2">
      <c r="A84" s="3" t="s">
        <v>8</v>
      </c>
      <c r="B84" s="4" t="s">
        <v>194</v>
      </c>
      <c r="C84" s="3" t="s">
        <v>195</v>
      </c>
      <c r="D84" s="3" t="s">
        <v>1423</v>
      </c>
      <c r="E84" s="3" t="str">
        <f>VLOOKUP(B84,[1]general_report!$B$1:$I$713,8,0)</f>
        <v xml:space="preserve">Credsystem </v>
      </c>
      <c r="F84" s="3" t="str">
        <f>VLOOKUP(B84,[1]general_report!$B$1:$J$713,9,0)</f>
        <v xml:space="preserve"> Cobrança de 05 a 90</v>
      </c>
      <c r="G84" s="3" t="s">
        <v>196</v>
      </c>
      <c r="H84" s="3" t="s">
        <v>30</v>
      </c>
      <c r="I84" s="3" t="s">
        <v>27</v>
      </c>
      <c r="J84" s="5">
        <v>42306.353472222225</v>
      </c>
      <c r="K84" s="5">
        <v>42356.70416666667</v>
      </c>
      <c r="L84" s="11">
        <f t="shared" ca="1" si="4"/>
        <v>50.350694444445253</v>
      </c>
      <c r="M84" s="1">
        <f t="shared" si="5"/>
        <v>10</v>
      </c>
      <c r="N84" s="1">
        <f t="shared" si="6"/>
        <v>2015</v>
      </c>
      <c r="O84" s="1" t="str">
        <f t="shared" ca="1" si="7"/>
        <v>entre 30 e 60 dias</v>
      </c>
    </row>
    <row r="85" spans="1:15" ht="25.5" x14ac:dyDescent="0.2">
      <c r="A85" s="3" t="s">
        <v>8</v>
      </c>
      <c r="B85" s="4" t="s">
        <v>197</v>
      </c>
      <c r="C85" s="3" t="s">
        <v>198</v>
      </c>
      <c r="D85" s="3" t="s">
        <v>1417</v>
      </c>
      <c r="E85" s="3" t="str">
        <f>VLOOKUP(B85,[1]general_report!$B$1:$I$713,8,0)</f>
        <v xml:space="preserve">Citibank </v>
      </c>
      <c r="F85" s="3" t="str">
        <f>VLOOKUP(B85,[1]general_report!$B$1:$J$713,9,0)</f>
        <v xml:space="preserve"> SAC Citibank</v>
      </c>
      <c r="G85" s="3" t="s">
        <v>18</v>
      </c>
      <c r="H85" s="3" t="s">
        <v>199</v>
      </c>
      <c r="I85" s="3" t="s">
        <v>13</v>
      </c>
      <c r="J85" s="5">
        <v>42305.435416666667</v>
      </c>
      <c r="K85" s="3"/>
      <c r="L85" s="11">
        <f t="shared" ca="1" si="4"/>
        <v>127.56458333333285</v>
      </c>
      <c r="M85" s="1">
        <f t="shared" si="5"/>
        <v>10</v>
      </c>
      <c r="N85" s="1">
        <f t="shared" si="6"/>
        <v>2015</v>
      </c>
      <c r="O85" s="1" t="str">
        <f t="shared" ca="1" si="7"/>
        <v>entre 90 e 150 dias</v>
      </c>
    </row>
    <row r="86" spans="1:15" ht="25.5" x14ac:dyDescent="0.2">
      <c r="A86" s="3" t="s">
        <v>8</v>
      </c>
      <c r="B86" s="4" t="s">
        <v>200</v>
      </c>
      <c r="C86" s="3" t="s">
        <v>201</v>
      </c>
      <c r="D86" s="3" t="s">
        <v>1417</v>
      </c>
      <c r="E86" s="3" t="str">
        <f>VLOOKUP(B86,[1]general_report!$B$1:$I$713,8,0)</f>
        <v xml:space="preserve">Vivo </v>
      </c>
      <c r="F86" s="3" t="str">
        <f>VLOOKUP(B86,[1]general_report!$B$1:$J$713,9,0)</f>
        <v xml:space="preserve"> Vivo</v>
      </c>
      <c r="G86" s="3" t="s">
        <v>94</v>
      </c>
      <c r="H86" s="3" t="s">
        <v>94</v>
      </c>
      <c r="I86" s="3" t="s">
        <v>27</v>
      </c>
      <c r="J86" s="5">
        <v>42278.859027777777</v>
      </c>
      <c r="K86" s="5">
        <v>42361.432638888888</v>
      </c>
      <c r="L86" s="11">
        <f t="shared" ca="1" si="4"/>
        <v>82.573611111110949</v>
      </c>
      <c r="M86" s="1">
        <f t="shared" si="5"/>
        <v>10</v>
      </c>
      <c r="N86" s="1">
        <f t="shared" si="6"/>
        <v>2015</v>
      </c>
      <c r="O86" s="1" t="str">
        <f t="shared" ca="1" si="7"/>
        <v>entre 60 e 90 dias</v>
      </c>
    </row>
    <row r="87" spans="1:15" ht="25.5" x14ac:dyDescent="0.2">
      <c r="A87" s="3" t="s">
        <v>8</v>
      </c>
      <c r="B87" s="4" t="s">
        <v>202</v>
      </c>
      <c r="C87" s="3" t="s">
        <v>203</v>
      </c>
      <c r="D87" s="3" t="s">
        <v>1417</v>
      </c>
      <c r="E87" s="3" t="str">
        <f>VLOOKUP(B87,[1]general_report!$B$1:$I$713,8,0)</f>
        <v xml:space="preserve">Serasa </v>
      </c>
      <c r="F87" s="3" t="str">
        <f>VLOOKUP(B87,[1]general_report!$B$1:$J$713,9,0)</f>
        <v xml:space="preserve"> Célula Inadimplência</v>
      </c>
      <c r="G87" s="3" t="s">
        <v>18</v>
      </c>
      <c r="H87" s="3" t="s">
        <v>19</v>
      </c>
      <c r="I87" s="3" t="s">
        <v>48</v>
      </c>
      <c r="J87" s="5">
        <v>42277.65</v>
      </c>
      <c r="K87" s="3"/>
      <c r="L87" s="11">
        <f t="shared" ca="1" si="4"/>
        <v>155.34999999999854</v>
      </c>
      <c r="M87" s="1">
        <f t="shared" si="5"/>
        <v>9</v>
      </c>
      <c r="N87" s="1">
        <f t="shared" si="6"/>
        <v>2015</v>
      </c>
      <c r="O87" s="1" t="str">
        <f t="shared" ca="1" si="7"/>
        <v>mais de 150 dias</v>
      </c>
    </row>
    <row r="88" spans="1:15" ht="25.5" x14ac:dyDescent="0.2">
      <c r="A88" s="3" t="s">
        <v>8</v>
      </c>
      <c r="B88" s="4" t="s">
        <v>204</v>
      </c>
      <c r="C88" s="3" t="s">
        <v>205</v>
      </c>
      <c r="D88" s="3" t="s">
        <v>1417</v>
      </c>
      <c r="E88" s="3" t="str">
        <f>VLOOKUP(B88,[1]general_report!$B$1:$I$713,8,0)</f>
        <v xml:space="preserve">Vivo </v>
      </c>
      <c r="F88" s="3" t="str">
        <f>VLOOKUP(B88,[1]general_report!$B$1:$J$713,9,0)</f>
        <v xml:space="preserve"> Vivo</v>
      </c>
      <c r="G88" s="3" t="s">
        <v>206</v>
      </c>
      <c r="H88" s="3" t="s">
        <v>94</v>
      </c>
      <c r="I88" s="3" t="s">
        <v>207</v>
      </c>
      <c r="J88" s="5">
        <v>42272.561805555553</v>
      </c>
      <c r="K88" s="3"/>
      <c r="L88" s="11">
        <f t="shared" ca="1" si="4"/>
        <v>160.43819444444671</v>
      </c>
      <c r="M88" s="1">
        <f t="shared" si="5"/>
        <v>9</v>
      </c>
      <c r="N88" s="1">
        <f t="shared" si="6"/>
        <v>2015</v>
      </c>
      <c r="O88" s="1" t="str">
        <f t="shared" ca="1" si="7"/>
        <v>mais de 150 dias</v>
      </c>
    </row>
    <row r="89" spans="1:15" ht="25.5" x14ac:dyDescent="0.2">
      <c r="A89" s="3" t="s">
        <v>8</v>
      </c>
      <c r="B89" s="4" t="s">
        <v>208</v>
      </c>
      <c r="C89" s="3" t="s">
        <v>209</v>
      </c>
      <c r="D89" s="3" t="s">
        <v>1417</v>
      </c>
      <c r="E89" s="3" t="str">
        <f>VLOOKUP(B89,[1]general_report!$B$1:$I$713,8,0)</f>
        <v xml:space="preserve">Contax </v>
      </c>
      <c r="F89" s="3" t="str">
        <f>VLOOKUP(B89,[1]general_report!$B$1:$J$713,9,0)</f>
        <v xml:space="preserve"> Outro</v>
      </c>
      <c r="G89" s="3" t="s">
        <v>18</v>
      </c>
      <c r="H89" s="3" t="s">
        <v>56</v>
      </c>
      <c r="I89" s="3" t="s">
        <v>48</v>
      </c>
      <c r="J89" s="5">
        <v>42272.505555555559</v>
      </c>
      <c r="K89" s="3"/>
      <c r="L89" s="11">
        <f t="shared" ca="1" si="4"/>
        <v>160.49444444444089</v>
      </c>
      <c r="M89" s="1">
        <f t="shared" si="5"/>
        <v>9</v>
      </c>
      <c r="N89" s="1">
        <f t="shared" si="6"/>
        <v>2015</v>
      </c>
      <c r="O89" s="1" t="str">
        <f t="shared" ca="1" si="7"/>
        <v>mais de 150 dias</v>
      </c>
    </row>
    <row r="90" spans="1:15" ht="38.25" x14ac:dyDescent="0.2">
      <c r="A90" s="3" t="s">
        <v>8</v>
      </c>
      <c r="B90" s="4" t="s">
        <v>210</v>
      </c>
      <c r="C90" s="3" t="s">
        <v>211</v>
      </c>
      <c r="D90" s="3" t="s">
        <v>1417</v>
      </c>
      <c r="E90" s="3" t="str">
        <f>VLOOKUP(B90,[1]general_report!$B$1:$I$713,8,0)</f>
        <v xml:space="preserve">Ticket Serviços S/A </v>
      </c>
      <c r="F90" s="3" t="str">
        <f>VLOOKUP(B90,[1]general_report!$B$1:$J$713,9,0)</f>
        <v xml:space="preserve"> Usuários/Autorizações</v>
      </c>
      <c r="G90" s="3" t="s">
        <v>18</v>
      </c>
      <c r="H90" s="3" t="s">
        <v>19</v>
      </c>
      <c r="I90" s="3" t="s">
        <v>48</v>
      </c>
      <c r="J90" s="5">
        <v>42271.493055555555</v>
      </c>
      <c r="K90" s="3"/>
      <c r="L90" s="11">
        <f t="shared" ca="1" si="4"/>
        <v>161.50694444444525</v>
      </c>
      <c r="M90" s="1">
        <f t="shared" si="5"/>
        <v>9</v>
      </c>
      <c r="N90" s="1">
        <f t="shared" si="6"/>
        <v>2015</v>
      </c>
      <c r="O90" s="1" t="str">
        <f t="shared" ca="1" si="7"/>
        <v>mais de 150 dias</v>
      </c>
    </row>
    <row r="91" spans="1:15" ht="15" x14ac:dyDescent="0.2">
      <c r="A91" s="3" t="s">
        <v>8</v>
      </c>
      <c r="B91" s="4" t="s">
        <v>212</v>
      </c>
      <c r="C91" s="3" t="s">
        <v>213</v>
      </c>
      <c r="D91" s="3" t="s">
        <v>1417</v>
      </c>
      <c r="E91" s="3" t="str">
        <f>VLOOKUP(B91,[1]general_report!$B$1:$I$713,8,0)</f>
        <v xml:space="preserve">Vivo </v>
      </c>
      <c r="F91" s="3" t="str">
        <f>VLOOKUP(B91,[1]general_report!$B$1:$J$713,9,0)</f>
        <v xml:space="preserve"> Vivo</v>
      </c>
      <c r="G91" s="3" t="s">
        <v>206</v>
      </c>
      <c r="H91" s="3" t="s">
        <v>94</v>
      </c>
      <c r="I91" s="3" t="s">
        <v>13</v>
      </c>
      <c r="J91" s="5">
        <v>42269.772916666669</v>
      </c>
      <c r="K91" s="3"/>
      <c r="L91" s="11">
        <f t="shared" ca="1" si="4"/>
        <v>163.22708333333139</v>
      </c>
      <c r="M91" s="1">
        <f t="shared" si="5"/>
        <v>9</v>
      </c>
      <c r="N91" s="1">
        <f t="shared" si="6"/>
        <v>2015</v>
      </c>
      <c r="O91" s="1" t="str">
        <f t="shared" ca="1" si="7"/>
        <v>mais de 150 dias</v>
      </c>
    </row>
    <row r="92" spans="1:15" ht="15" x14ac:dyDescent="0.2">
      <c r="A92" s="3" t="s">
        <v>8</v>
      </c>
      <c r="B92" s="4" t="s">
        <v>214</v>
      </c>
      <c r="C92" s="3" t="s">
        <v>215</v>
      </c>
      <c r="D92" s="3" t="s">
        <v>1417</v>
      </c>
      <c r="E92" s="3" t="str">
        <f>VLOOKUP(B92,[1]general_report!$B$1:$I$713,8,0)</f>
        <v xml:space="preserve">Vivo </v>
      </c>
      <c r="F92" s="3" t="str">
        <f>VLOOKUP(B92,[1]general_report!$B$1:$J$713,9,0)</f>
        <v xml:space="preserve"> Vivo</v>
      </c>
      <c r="G92" s="3" t="s">
        <v>206</v>
      </c>
      <c r="H92" s="3" t="s">
        <v>94</v>
      </c>
      <c r="I92" s="3" t="s">
        <v>13</v>
      </c>
      <c r="J92" s="5">
        <v>42269.768750000003</v>
      </c>
      <c r="K92" s="3"/>
      <c r="L92" s="11">
        <f t="shared" ca="1" si="4"/>
        <v>163.23124999999709</v>
      </c>
      <c r="M92" s="1">
        <f t="shared" si="5"/>
        <v>9</v>
      </c>
      <c r="N92" s="1">
        <f t="shared" si="6"/>
        <v>2015</v>
      </c>
      <c r="O92" s="1" t="str">
        <f t="shared" ca="1" si="7"/>
        <v>mais de 150 dias</v>
      </c>
    </row>
    <row r="93" spans="1:15" ht="15" x14ac:dyDescent="0.2">
      <c r="A93" s="3" t="s">
        <v>8</v>
      </c>
      <c r="B93" s="4" t="s">
        <v>216</v>
      </c>
      <c r="C93" s="3" t="s">
        <v>217</v>
      </c>
      <c r="D93" s="3" t="s">
        <v>1417</v>
      </c>
      <c r="E93" s="3" t="str">
        <f>VLOOKUP(B93,[1]general_report!$B$1:$I$713,8,0)</f>
        <v xml:space="preserve">Vivo </v>
      </c>
      <c r="F93" s="3" t="str">
        <f>VLOOKUP(B93,[1]general_report!$B$1:$J$713,9,0)</f>
        <v xml:space="preserve"> Vivo</v>
      </c>
      <c r="G93" s="3" t="s">
        <v>206</v>
      </c>
      <c r="H93" s="3" t="s">
        <v>94</v>
      </c>
      <c r="I93" s="3" t="s">
        <v>13</v>
      </c>
      <c r="J93" s="5">
        <v>42269.765972222223</v>
      </c>
      <c r="K93" s="3"/>
      <c r="L93" s="11">
        <f t="shared" ca="1" si="4"/>
        <v>163.23402777777665</v>
      </c>
      <c r="M93" s="1">
        <f t="shared" si="5"/>
        <v>9</v>
      </c>
      <c r="N93" s="1">
        <f t="shared" si="6"/>
        <v>2015</v>
      </c>
      <c r="O93" s="1" t="str">
        <f t="shared" ca="1" si="7"/>
        <v>mais de 150 dias</v>
      </c>
    </row>
    <row r="94" spans="1:15" ht="25.5" x14ac:dyDescent="0.2">
      <c r="A94" s="3" t="s">
        <v>8</v>
      </c>
      <c r="B94" s="4" t="s">
        <v>218</v>
      </c>
      <c r="C94" s="3" t="s">
        <v>219</v>
      </c>
      <c r="D94" s="3" t="s">
        <v>1417</v>
      </c>
      <c r="E94" s="3" t="str">
        <f>VLOOKUP(B94,[1]general_report!$B$1:$I$713,8,0)</f>
        <v xml:space="preserve">Vivo </v>
      </c>
      <c r="F94" s="3" t="str">
        <f>VLOOKUP(B94,[1]general_report!$B$1:$J$713,9,0)</f>
        <v xml:space="preserve"> Vivo</v>
      </c>
      <c r="G94" s="3" t="s">
        <v>206</v>
      </c>
      <c r="H94" s="3" t="s">
        <v>94</v>
      </c>
      <c r="I94" s="3" t="s">
        <v>13</v>
      </c>
      <c r="J94" s="5">
        <v>42269.74722222222</v>
      </c>
      <c r="K94" s="3"/>
      <c r="L94" s="11">
        <f t="shared" ca="1" si="4"/>
        <v>163.25277777777956</v>
      </c>
      <c r="M94" s="1">
        <f t="shared" si="5"/>
        <v>9</v>
      </c>
      <c r="N94" s="1">
        <f t="shared" si="6"/>
        <v>2015</v>
      </c>
      <c r="O94" s="1" t="str">
        <f t="shared" ca="1" si="7"/>
        <v>mais de 150 dias</v>
      </c>
    </row>
    <row r="95" spans="1:15" ht="15" x14ac:dyDescent="0.2">
      <c r="A95" s="3" t="s">
        <v>8</v>
      </c>
      <c r="B95" s="4" t="s">
        <v>220</v>
      </c>
      <c r="C95" s="3" t="s">
        <v>221</v>
      </c>
      <c r="D95" s="3" t="s">
        <v>1417</v>
      </c>
      <c r="E95" s="3" t="str">
        <f>VLOOKUP(B95,[1]general_report!$B$1:$I$713,8,0)</f>
        <v xml:space="preserve">Vivo </v>
      </c>
      <c r="F95" s="3" t="str">
        <f>VLOOKUP(B95,[1]general_report!$B$1:$J$713,9,0)</f>
        <v xml:space="preserve"> Vivo</v>
      </c>
      <c r="G95" s="3" t="s">
        <v>206</v>
      </c>
      <c r="H95" s="3" t="s">
        <v>94</v>
      </c>
      <c r="I95" s="3" t="s">
        <v>13</v>
      </c>
      <c r="J95" s="5">
        <v>42269.743055555555</v>
      </c>
      <c r="K95" s="3"/>
      <c r="L95" s="11">
        <f t="shared" ca="1" si="4"/>
        <v>163.25694444444525</v>
      </c>
      <c r="M95" s="1">
        <f t="shared" si="5"/>
        <v>9</v>
      </c>
      <c r="N95" s="1">
        <f t="shared" si="6"/>
        <v>2015</v>
      </c>
      <c r="O95" s="1" t="str">
        <f t="shared" ca="1" si="7"/>
        <v>mais de 150 dias</v>
      </c>
    </row>
    <row r="96" spans="1:15" ht="15" x14ac:dyDescent="0.2">
      <c r="A96" s="3" t="s">
        <v>8</v>
      </c>
      <c r="B96" s="4" t="s">
        <v>222</v>
      </c>
      <c r="C96" s="3" t="s">
        <v>223</v>
      </c>
      <c r="D96" s="3" t="s">
        <v>1417</v>
      </c>
      <c r="E96" s="3" t="str">
        <f>VLOOKUP(B96,[1]general_report!$B$1:$I$713,8,0)</f>
        <v xml:space="preserve">Vivo </v>
      </c>
      <c r="F96" s="3" t="str">
        <f>VLOOKUP(B96,[1]general_report!$B$1:$J$713,9,0)</f>
        <v xml:space="preserve"> Vivo</v>
      </c>
      <c r="G96" s="3" t="s">
        <v>206</v>
      </c>
      <c r="H96" s="3" t="s">
        <v>94</v>
      </c>
      <c r="I96" s="3" t="s">
        <v>13</v>
      </c>
      <c r="J96" s="5">
        <v>42269.738194444442</v>
      </c>
      <c r="K96" s="3"/>
      <c r="L96" s="11">
        <f t="shared" ca="1" si="4"/>
        <v>163.26180555555766</v>
      </c>
      <c r="M96" s="1">
        <f t="shared" si="5"/>
        <v>9</v>
      </c>
      <c r="N96" s="1">
        <f t="shared" si="6"/>
        <v>2015</v>
      </c>
      <c r="O96" s="1" t="str">
        <f t="shared" ca="1" si="7"/>
        <v>mais de 150 dias</v>
      </c>
    </row>
    <row r="97" spans="1:15" ht="15" x14ac:dyDescent="0.2">
      <c r="A97" s="3" t="s">
        <v>8</v>
      </c>
      <c r="B97" s="4" t="s">
        <v>224</v>
      </c>
      <c r="C97" s="3" t="s">
        <v>225</v>
      </c>
      <c r="D97" s="3" t="s">
        <v>1417</v>
      </c>
      <c r="E97" s="3" t="str">
        <f>VLOOKUP(B97,[1]general_report!$B$1:$I$713,8,0)</f>
        <v xml:space="preserve">Vivo </v>
      </c>
      <c r="F97" s="3" t="str">
        <f>VLOOKUP(B97,[1]general_report!$B$1:$J$713,9,0)</f>
        <v xml:space="preserve"> Vivo</v>
      </c>
      <c r="G97" s="3" t="s">
        <v>206</v>
      </c>
      <c r="H97" s="3" t="s">
        <v>94</v>
      </c>
      <c r="I97" s="3" t="s">
        <v>13</v>
      </c>
      <c r="J97" s="5">
        <v>42269.736805555556</v>
      </c>
      <c r="K97" s="3"/>
      <c r="L97" s="11">
        <f t="shared" ca="1" si="4"/>
        <v>163.2631944444438</v>
      </c>
      <c r="M97" s="1">
        <f t="shared" si="5"/>
        <v>9</v>
      </c>
      <c r="N97" s="1">
        <f t="shared" si="6"/>
        <v>2015</v>
      </c>
      <c r="O97" s="1" t="str">
        <f t="shared" ca="1" si="7"/>
        <v>mais de 150 dias</v>
      </c>
    </row>
    <row r="98" spans="1:15" ht="15" x14ac:dyDescent="0.2">
      <c r="A98" s="3" t="s">
        <v>8</v>
      </c>
      <c r="B98" s="4" t="s">
        <v>226</v>
      </c>
      <c r="C98" s="3" t="s">
        <v>227</v>
      </c>
      <c r="D98" s="3" t="s">
        <v>1417</v>
      </c>
      <c r="E98" s="3" t="str">
        <f>VLOOKUP(B98,[1]general_report!$B$1:$I$713,8,0)</f>
        <v xml:space="preserve">Vivo </v>
      </c>
      <c r="F98" s="3" t="str">
        <f>VLOOKUP(B98,[1]general_report!$B$1:$J$713,9,0)</f>
        <v xml:space="preserve"> Vivo</v>
      </c>
      <c r="G98" s="3" t="s">
        <v>206</v>
      </c>
      <c r="H98" s="3" t="s">
        <v>94</v>
      </c>
      <c r="I98" s="3" t="s">
        <v>13</v>
      </c>
      <c r="J98" s="5">
        <v>42269.710416666669</v>
      </c>
      <c r="K98" s="3"/>
      <c r="L98" s="11">
        <f t="shared" ca="1" si="4"/>
        <v>163.28958333333139</v>
      </c>
      <c r="M98" s="1">
        <f t="shared" si="5"/>
        <v>9</v>
      </c>
      <c r="N98" s="1">
        <f t="shared" si="6"/>
        <v>2015</v>
      </c>
      <c r="O98" s="1" t="str">
        <f t="shared" ca="1" si="7"/>
        <v>mais de 150 dias</v>
      </c>
    </row>
    <row r="99" spans="1:15" ht="15" x14ac:dyDescent="0.2">
      <c r="A99" s="3" t="s">
        <v>8</v>
      </c>
      <c r="B99" s="4" t="s">
        <v>228</v>
      </c>
      <c r="C99" s="3" t="s">
        <v>229</v>
      </c>
      <c r="D99" s="3" t="s">
        <v>1417</v>
      </c>
      <c r="E99" s="3" t="str">
        <f>VLOOKUP(B99,[1]general_report!$B$1:$I$713,8,0)</f>
        <v xml:space="preserve">Vivo </v>
      </c>
      <c r="F99" s="3" t="str">
        <f>VLOOKUP(B99,[1]general_report!$B$1:$J$713,9,0)</f>
        <v xml:space="preserve"> Vivo</v>
      </c>
      <c r="G99" s="3" t="s">
        <v>94</v>
      </c>
      <c r="H99" s="3" t="s">
        <v>94</v>
      </c>
      <c r="I99" s="3" t="s">
        <v>27</v>
      </c>
      <c r="J99" s="5">
        <v>42269.701388888891</v>
      </c>
      <c r="K99" s="5">
        <v>42359.443055555559</v>
      </c>
      <c r="L99" s="11">
        <f t="shared" ca="1" si="4"/>
        <v>89.741666666668607</v>
      </c>
      <c r="M99" s="1">
        <f t="shared" si="5"/>
        <v>9</v>
      </c>
      <c r="N99" s="1">
        <f t="shared" si="6"/>
        <v>2015</v>
      </c>
      <c r="O99" s="1" t="str">
        <f t="shared" ca="1" si="7"/>
        <v>entre 60 e 90 dias</v>
      </c>
    </row>
    <row r="100" spans="1:15" ht="38.25" x14ac:dyDescent="0.2">
      <c r="A100" s="3" t="s">
        <v>8</v>
      </c>
      <c r="B100" s="4" t="s">
        <v>230</v>
      </c>
      <c r="C100" s="3" t="s">
        <v>231</v>
      </c>
      <c r="D100" s="3" t="s">
        <v>1417</v>
      </c>
      <c r="E100" s="3" t="str">
        <f>VLOOKUP(B100,[1]general_report!$B$1:$I$713,8,0)</f>
        <v xml:space="preserve">Santander </v>
      </c>
      <c r="F100" s="3" t="str">
        <f>VLOOKUP(B100,[1]general_report!$B$1:$J$713,9,0)</f>
        <v xml:space="preserve"> Santander</v>
      </c>
      <c r="G100" s="3" t="s">
        <v>18</v>
      </c>
      <c r="H100" s="3" t="s">
        <v>30</v>
      </c>
      <c r="I100" s="3" t="s">
        <v>48</v>
      </c>
      <c r="J100" s="5">
        <v>42269.446527777778</v>
      </c>
      <c r="K100" s="3"/>
      <c r="L100" s="11">
        <f t="shared" ca="1" si="4"/>
        <v>163.5534722222219</v>
      </c>
      <c r="M100" s="1">
        <f t="shared" si="5"/>
        <v>9</v>
      </c>
      <c r="N100" s="1">
        <f t="shared" si="6"/>
        <v>2015</v>
      </c>
      <c r="O100" s="1" t="str">
        <f t="shared" ca="1" si="7"/>
        <v>mais de 150 dias</v>
      </c>
    </row>
    <row r="101" spans="1:15" ht="25.5" x14ac:dyDescent="0.2">
      <c r="A101" s="3" t="s">
        <v>8</v>
      </c>
      <c r="B101" s="4" t="s">
        <v>232</v>
      </c>
      <c r="C101" s="3" t="s">
        <v>233</v>
      </c>
      <c r="D101" s="3" t="s">
        <v>1417</v>
      </c>
      <c r="E101" s="3" t="str">
        <f>VLOOKUP(B101,[1]general_report!$B$1:$I$713,8,0)</f>
        <v xml:space="preserve">Santander </v>
      </c>
      <c r="F101" s="3" t="str">
        <f>VLOOKUP(B101,[1]general_report!$B$1:$J$713,9,0)</f>
        <v xml:space="preserve"> Atendimento Empresarial</v>
      </c>
      <c r="G101" s="3" t="s">
        <v>18</v>
      </c>
      <c r="H101" s="3" t="s">
        <v>30</v>
      </c>
      <c r="I101" s="3" t="s">
        <v>234</v>
      </c>
      <c r="J101" s="5">
        <v>42264.432638888888</v>
      </c>
      <c r="K101" s="3"/>
      <c r="L101" s="11">
        <f t="shared" ca="1" si="4"/>
        <v>168.5673611111124</v>
      </c>
      <c r="M101" s="1">
        <f t="shared" si="5"/>
        <v>9</v>
      </c>
      <c r="N101" s="1">
        <f t="shared" si="6"/>
        <v>2015</v>
      </c>
      <c r="O101" s="1" t="str">
        <f t="shared" ca="1" si="7"/>
        <v>mais de 150 dias</v>
      </c>
    </row>
    <row r="102" spans="1:15" ht="25.5" x14ac:dyDescent="0.2">
      <c r="A102" s="3" t="s">
        <v>8</v>
      </c>
      <c r="B102" s="4" t="s">
        <v>235</v>
      </c>
      <c r="C102" s="3" t="s">
        <v>236</v>
      </c>
      <c r="D102" s="3" t="s">
        <v>1417</v>
      </c>
      <c r="E102" s="3" t="str">
        <f>VLOOKUP(B102,[1]general_report!$B$1:$I$713,8,0)</f>
        <v xml:space="preserve">Santander </v>
      </c>
      <c r="F102" s="3" t="str">
        <f>VLOOKUP(B102,[1]general_report!$B$1:$J$713,9,0)</f>
        <v xml:space="preserve"> Atendimento Empresarial</v>
      </c>
      <c r="G102" s="3" t="s">
        <v>18</v>
      </c>
      <c r="H102" s="3" t="s">
        <v>30</v>
      </c>
      <c r="I102" s="3" t="s">
        <v>234</v>
      </c>
      <c r="J102" s="5">
        <v>42261.665972222225</v>
      </c>
      <c r="K102" s="3"/>
      <c r="L102" s="11">
        <f t="shared" ca="1" si="4"/>
        <v>171.33402777777519</v>
      </c>
      <c r="M102" s="1">
        <f t="shared" si="5"/>
        <v>9</v>
      </c>
      <c r="N102" s="1">
        <f t="shared" si="6"/>
        <v>2015</v>
      </c>
      <c r="O102" s="1" t="str">
        <f t="shared" ca="1" si="7"/>
        <v>mais de 150 dias</v>
      </c>
    </row>
    <row r="103" spans="1:15" ht="25.5" x14ac:dyDescent="0.2">
      <c r="A103" s="3" t="s">
        <v>8</v>
      </c>
      <c r="B103" s="4" t="s">
        <v>237</v>
      </c>
      <c r="C103" s="3" t="s">
        <v>238</v>
      </c>
      <c r="D103" s="3" t="s">
        <v>1423</v>
      </c>
      <c r="E103" s="3" t="str">
        <f>VLOOKUP(B103,[1]general_report!$B$1:$I$713,8,0)</f>
        <v xml:space="preserve">Serasa </v>
      </c>
      <c r="F103" s="3" t="str">
        <f>VLOOKUP(B103,[1]general_report!$B$1:$J$713,9,0)</f>
        <v xml:space="preserve"> Célula Inadimplência</v>
      </c>
      <c r="G103" s="3" t="s">
        <v>18</v>
      </c>
      <c r="H103" s="3" t="s">
        <v>56</v>
      </c>
      <c r="I103" s="3" t="s">
        <v>48</v>
      </c>
      <c r="J103" s="5">
        <v>42255.522222222222</v>
      </c>
      <c r="K103" s="3"/>
      <c r="L103" s="11">
        <f t="shared" ca="1" si="4"/>
        <v>177.4777777777781</v>
      </c>
      <c r="M103" s="1">
        <f t="shared" si="5"/>
        <v>9</v>
      </c>
      <c r="N103" s="1">
        <f t="shared" si="6"/>
        <v>2015</v>
      </c>
      <c r="O103" s="1" t="str">
        <f t="shared" ca="1" si="7"/>
        <v>mais de 150 dias</v>
      </c>
    </row>
    <row r="104" spans="1:15" ht="25.5" x14ac:dyDescent="0.2">
      <c r="A104" s="3" t="s">
        <v>8</v>
      </c>
      <c r="B104" s="4" t="s">
        <v>239</v>
      </c>
      <c r="C104" s="3" t="s">
        <v>240</v>
      </c>
      <c r="D104" s="3" t="s">
        <v>1417</v>
      </c>
      <c r="E104" s="3" t="str">
        <f>VLOOKUP(B104,[1]general_report!$B$1:$I$713,8,0)</f>
        <v xml:space="preserve">Santander </v>
      </c>
      <c r="F104" s="3" t="str">
        <f>VLOOKUP(B104,[1]general_report!$B$1:$J$713,9,0)</f>
        <v xml:space="preserve"> Santander</v>
      </c>
      <c r="G104" s="3" t="s">
        <v>241</v>
      </c>
      <c r="H104" s="3" t="s">
        <v>12</v>
      </c>
      <c r="I104" s="3" t="s">
        <v>13</v>
      </c>
      <c r="J104" s="5">
        <v>42247.609722222223</v>
      </c>
      <c r="K104" s="3"/>
      <c r="L104" s="11">
        <f t="shared" ca="1" si="4"/>
        <v>185.39027777777665</v>
      </c>
      <c r="M104" s="1">
        <f t="shared" si="5"/>
        <v>8</v>
      </c>
      <c r="N104" s="1">
        <f t="shared" si="6"/>
        <v>2015</v>
      </c>
      <c r="O104" s="1" t="str">
        <f t="shared" ca="1" si="7"/>
        <v>mais de 150 dias</v>
      </c>
    </row>
    <row r="105" spans="1:15" ht="25.5" x14ac:dyDescent="0.2">
      <c r="A105" s="3" t="s">
        <v>8</v>
      </c>
      <c r="B105" s="4" t="s">
        <v>242</v>
      </c>
      <c r="C105" s="3" t="s">
        <v>243</v>
      </c>
      <c r="D105" s="3"/>
      <c r="E105" s="3" t="str">
        <f>VLOOKUP(B105,[1]general_report!$B$1:$I$713,8,0)</f>
        <v xml:space="preserve">Vivo </v>
      </c>
      <c r="F105" s="3" t="str">
        <f>VLOOKUP(B105,[1]general_report!$B$1:$J$713,9,0)</f>
        <v xml:space="preserve"> Vivo</v>
      </c>
      <c r="G105" s="3" t="s">
        <v>18</v>
      </c>
      <c r="H105" s="3" t="s">
        <v>94</v>
      </c>
      <c r="I105" s="3" t="s">
        <v>48</v>
      </c>
      <c r="J105" s="5">
        <v>42228.754861111112</v>
      </c>
      <c r="K105" s="3"/>
      <c r="L105" s="11">
        <f t="shared" ca="1" si="4"/>
        <v>204.2451388888876</v>
      </c>
      <c r="M105" s="1">
        <f t="shared" si="5"/>
        <v>8</v>
      </c>
      <c r="N105" s="1">
        <f t="shared" si="6"/>
        <v>2015</v>
      </c>
      <c r="O105" s="1" t="str">
        <f t="shared" ca="1" si="7"/>
        <v>mais de 150 dias</v>
      </c>
    </row>
    <row r="106" spans="1:15" ht="38.25" x14ac:dyDescent="0.2">
      <c r="A106" s="3" t="s">
        <v>8</v>
      </c>
      <c r="B106" s="4" t="s">
        <v>244</v>
      </c>
      <c r="C106" s="3" t="s">
        <v>245</v>
      </c>
      <c r="D106" s="3"/>
      <c r="E106" s="3" t="str">
        <f>VLOOKUP(B106,[1]general_report!$B$1:$I$713,8,0)</f>
        <v xml:space="preserve">Bradesco </v>
      </c>
      <c r="F106" s="3" t="str">
        <f>VLOOKUP(B106,[1]general_report!$B$1:$J$713,9,0)</f>
        <v xml:space="preserve"> Outros Assuntos</v>
      </c>
      <c r="G106" s="3" t="s">
        <v>18</v>
      </c>
      <c r="H106" s="3" t="s">
        <v>51</v>
      </c>
      <c r="I106" s="3" t="s">
        <v>13</v>
      </c>
      <c r="J106" s="5">
        <v>42226.500694444447</v>
      </c>
      <c r="K106" s="3"/>
      <c r="L106" s="11">
        <f t="shared" ca="1" si="4"/>
        <v>206.49930555555329</v>
      </c>
      <c r="M106" s="1">
        <f t="shared" si="5"/>
        <v>8</v>
      </c>
      <c r="N106" s="1">
        <f t="shared" si="6"/>
        <v>2015</v>
      </c>
      <c r="O106" s="1" t="str">
        <f t="shared" ca="1" si="7"/>
        <v>mais de 150 dias</v>
      </c>
    </row>
    <row r="107" spans="1:15" ht="38.25" x14ac:dyDescent="0.2">
      <c r="A107" s="3" t="s">
        <v>8</v>
      </c>
      <c r="B107" s="4" t="s">
        <v>246</v>
      </c>
      <c r="C107" s="3" t="s">
        <v>247</v>
      </c>
      <c r="D107" s="3"/>
      <c r="E107" s="3" t="str">
        <f>VLOOKUP(B107,[1]general_report!$B$1:$I$713,8,0)</f>
        <v xml:space="preserve">Citibank </v>
      </c>
      <c r="F107" s="3" t="str">
        <f>VLOOKUP(B107,[1]general_report!$B$1:$J$713,9,0)</f>
        <v xml:space="preserve"> SAC Citibank</v>
      </c>
      <c r="G107" s="3" t="s">
        <v>18</v>
      </c>
      <c r="H107" s="3" t="s">
        <v>199</v>
      </c>
      <c r="I107" s="3" t="s">
        <v>13</v>
      </c>
      <c r="J107" s="5">
        <v>42208.63958333333</v>
      </c>
      <c r="K107" s="3"/>
      <c r="L107" s="11">
        <f t="shared" ca="1" si="4"/>
        <v>224.36041666667006</v>
      </c>
      <c r="M107" s="1">
        <f t="shared" si="5"/>
        <v>7</v>
      </c>
      <c r="N107" s="1">
        <f t="shared" si="6"/>
        <v>2015</v>
      </c>
      <c r="O107" s="1" t="str">
        <f t="shared" ca="1" si="7"/>
        <v>mais de 150 dias</v>
      </c>
    </row>
    <row r="108" spans="1:15" ht="25.5" x14ac:dyDescent="0.2">
      <c r="A108" s="3" t="s">
        <v>8</v>
      </c>
      <c r="B108" s="4" t="s">
        <v>248</v>
      </c>
      <c r="C108" s="3" t="s">
        <v>249</v>
      </c>
      <c r="D108" s="3"/>
      <c r="E108" s="3" t="str">
        <f>VLOOKUP(B108,[1]general_report!$B$1:$I$713,8,0)</f>
        <v xml:space="preserve">Contax </v>
      </c>
      <c r="F108" s="3" t="str">
        <f>VLOOKUP(B108,[1]general_report!$B$1:$J$713,9,0)</f>
        <v xml:space="preserve"> Dir. Clientes Especiais</v>
      </c>
      <c r="G108" s="3" t="s">
        <v>250</v>
      </c>
      <c r="H108" s="3" t="s">
        <v>67</v>
      </c>
      <c r="I108" s="3" t="s">
        <v>13</v>
      </c>
      <c r="J108" s="5">
        <v>42198.768750000003</v>
      </c>
      <c r="K108" s="3"/>
      <c r="L108" s="11">
        <f t="shared" ca="1" si="4"/>
        <v>234.23124999999709</v>
      </c>
      <c r="M108" s="1">
        <f t="shared" si="5"/>
        <v>7</v>
      </c>
      <c r="N108" s="1">
        <f t="shared" si="6"/>
        <v>2015</v>
      </c>
      <c r="O108" s="1" t="str">
        <f t="shared" ca="1" si="7"/>
        <v>mais de 150 dias</v>
      </c>
    </row>
    <row r="109" spans="1:15" ht="25.5" x14ac:dyDescent="0.2">
      <c r="A109" s="3" t="s">
        <v>8</v>
      </c>
      <c r="B109" s="4" t="s">
        <v>251</v>
      </c>
      <c r="C109" s="3" t="s">
        <v>252</v>
      </c>
      <c r="D109" s="3"/>
      <c r="E109" s="3" t="str">
        <f>VLOOKUP(B109,[1]general_report!$B$1:$I$713,8,0)</f>
        <v xml:space="preserve">Banco Toyota </v>
      </c>
      <c r="F109" s="3" t="str">
        <f>VLOOKUP(B109,[1]general_report!$B$1:$J$713,9,0)</f>
        <v xml:space="preserve"> Suporte ao Cliente</v>
      </c>
      <c r="G109" s="3" t="s">
        <v>196</v>
      </c>
      <c r="H109" s="3" t="s">
        <v>51</v>
      </c>
      <c r="I109" s="3" t="s">
        <v>13</v>
      </c>
      <c r="J109" s="5">
        <v>42192.495833333334</v>
      </c>
      <c r="K109" s="3"/>
      <c r="L109" s="11">
        <f t="shared" ca="1" si="4"/>
        <v>240.5041666666657</v>
      </c>
      <c r="M109" s="1">
        <f t="shared" si="5"/>
        <v>7</v>
      </c>
      <c r="N109" s="1">
        <f t="shared" si="6"/>
        <v>2015</v>
      </c>
      <c r="O109" s="1" t="str">
        <f t="shared" ca="1" si="7"/>
        <v>mais de 150 dias</v>
      </c>
    </row>
    <row r="110" spans="1:15" ht="25.5" x14ac:dyDescent="0.2">
      <c r="A110" s="3" t="s">
        <v>8</v>
      </c>
      <c r="B110" s="4" t="s">
        <v>253</v>
      </c>
      <c r="C110" s="3" t="s">
        <v>254</v>
      </c>
      <c r="D110" s="3"/>
      <c r="E110" s="3" t="str">
        <f>VLOOKUP(B110,[1]general_report!$B$1:$I$713,8,0)</f>
        <v xml:space="preserve">Contax </v>
      </c>
      <c r="F110" s="3" t="str">
        <f>VLOOKUP(B110,[1]general_report!$B$1:$J$713,9,0)</f>
        <v xml:space="preserve"> Dir. Clientes Especiais</v>
      </c>
      <c r="G110" s="3" t="s">
        <v>18</v>
      </c>
      <c r="H110" s="3" t="s">
        <v>67</v>
      </c>
      <c r="I110" s="3" t="s">
        <v>48</v>
      </c>
      <c r="J110" s="5">
        <v>42186.645833333336</v>
      </c>
      <c r="K110" s="3"/>
      <c r="L110" s="11">
        <f t="shared" ca="1" si="4"/>
        <v>246.35416666666424</v>
      </c>
      <c r="M110" s="1">
        <f t="shared" si="5"/>
        <v>7</v>
      </c>
      <c r="N110" s="1">
        <f t="shared" si="6"/>
        <v>2015</v>
      </c>
      <c r="O110" s="1" t="str">
        <f t="shared" ca="1" si="7"/>
        <v>mais de 150 dias</v>
      </c>
    </row>
    <row r="111" spans="1:15" ht="15" x14ac:dyDescent="0.2">
      <c r="A111" s="3" t="s">
        <v>8</v>
      </c>
      <c r="B111" s="4" t="s">
        <v>255</v>
      </c>
      <c r="C111" s="3" t="s">
        <v>81</v>
      </c>
      <c r="D111" s="3"/>
      <c r="E111" s="3" t="str">
        <f>VLOOKUP(B111,[1]general_report!$B$1:$I$713,8,0)</f>
        <v xml:space="preserve">Vivo </v>
      </c>
      <c r="F111" s="3" t="str">
        <f>VLOOKUP(B111,[1]general_report!$B$1:$J$713,9,0)</f>
        <v xml:space="preserve"> Vivo</v>
      </c>
      <c r="G111" s="3" t="s">
        <v>18</v>
      </c>
      <c r="H111" s="3" t="s">
        <v>256</v>
      </c>
      <c r="I111" s="3" t="s">
        <v>48</v>
      </c>
      <c r="J111" s="5">
        <v>42186.588194444441</v>
      </c>
      <c r="K111" s="3"/>
      <c r="L111" s="11">
        <f t="shared" ca="1" si="4"/>
        <v>246.41180555555911</v>
      </c>
      <c r="M111" s="1">
        <f t="shared" si="5"/>
        <v>7</v>
      </c>
      <c r="N111" s="1">
        <f t="shared" si="6"/>
        <v>2015</v>
      </c>
      <c r="O111" s="1" t="str">
        <f t="shared" ca="1" si="7"/>
        <v>mais de 150 dias</v>
      </c>
    </row>
    <row r="112" spans="1:15" ht="15" x14ac:dyDescent="0.2">
      <c r="A112" s="3" t="s">
        <v>8</v>
      </c>
      <c r="B112" s="4" t="s">
        <v>257</v>
      </c>
      <c r="C112" s="3" t="s">
        <v>81</v>
      </c>
      <c r="D112" s="3"/>
      <c r="E112" s="3" t="str">
        <f>VLOOKUP(B112,[1]general_report!$B$1:$I$713,8,0)</f>
        <v xml:space="preserve">Vivo </v>
      </c>
      <c r="F112" s="3" t="str">
        <f>VLOOKUP(B112,[1]general_report!$B$1:$J$713,9,0)</f>
        <v xml:space="preserve"> Vivo</v>
      </c>
      <c r="G112" s="3" t="s">
        <v>18</v>
      </c>
      <c r="H112" s="3" t="s">
        <v>256</v>
      </c>
      <c r="I112" s="3" t="s">
        <v>234</v>
      </c>
      <c r="J112" s="5">
        <v>42186.584722222222</v>
      </c>
      <c r="K112" s="3"/>
      <c r="L112" s="11">
        <f t="shared" ca="1" si="4"/>
        <v>246.4152777777781</v>
      </c>
      <c r="M112" s="1">
        <f t="shared" si="5"/>
        <v>7</v>
      </c>
      <c r="N112" s="1">
        <f t="shared" si="6"/>
        <v>2015</v>
      </c>
      <c r="O112" s="1" t="str">
        <f t="shared" ca="1" si="7"/>
        <v>mais de 150 dias</v>
      </c>
    </row>
    <row r="113" spans="1:15" ht="15" x14ac:dyDescent="0.2">
      <c r="A113" s="3" t="s">
        <v>8</v>
      </c>
      <c r="B113" s="4" t="s">
        <v>258</v>
      </c>
      <c r="C113" s="3" t="s">
        <v>259</v>
      </c>
      <c r="D113" s="3"/>
      <c r="E113" s="3" t="str">
        <f>VLOOKUP(B113,[1]general_report!$B$1:$I$713,8,0)</f>
        <v xml:space="preserve">Vivo </v>
      </c>
      <c r="F113" s="3" t="str">
        <f>VLOOKUP(B113,[1]general_report!$B$1:$J$713,9,0)</f>
        <v xml:space="preserve"> Vivo</v>
      </c>
      <c r="G113" s="3" t="s">
        <v>11</v>
      </c>
      <c r="H113" s="3" t="s">
        <v>94</v>
      </c>
      <c r="I113" s="3" t="s">
        <v>83</v>
      </c>
      <c r="J113" s="5">
        <v>42171.699305555558</v>
      </c>
      <c r="K113" s="3"/>
      <c r="L113" s="11">
        <f t="shared" ca="1" si="4"/>
        <v>261.30069444444234</v>
      </c>
      <c r="M113" s="1">
        <f t="shared" si="5"/>
        <v>6</v>
      </c>
      <c r="N113" s="1">
        <f t="shared" si="6"/>
        <v>2015</v>
      </c>
      <c r="O113" s="1" t="str">
        <f t="shared" ca="1" si="7"/>
        <v>mais de 150 dias</v>
      </c>
    </row>
    <row r="114" spans="1:15" ht="15" x14ac:dyDescent="0.2">
      <c r="A114" s="3" t="s">
        <v>8</v>
      </c>
      <c r="B114" s="4" t="s">
        <v>260</v>
      </c>
      <c r="C114" s="3" t="s">
        <v>261</v>
      </c>
      <c r="D114" s="3"/>
      <c r="E114" s="3" t="str">
        <f>VLOOKUP(B114,[1]general_report!$B$1:$I$713,8,0)</f>
        <v xml:space="preserve">Santander </v>
      </c>
      <c r="F114" s="3" t="str">
        <f>VLOOKUP(B114,[1]general_report!$B$1:$J$713,9,0)</f>
        <v xml:space="preserve"> Santander</v>
      </c>
      <c r="G114" s="3" t="s">
        <v>18</v>
      </c>
      <c r="H114" s="3" t="s">
        <v>262</v>
      </c>
      <c r="I114" s="3" t="s">
        <v>48</v>
      </c>
      <c r="J114" s="5">
        <v>42167.658333333333</v>
      </c>
      <c r="K114" s="3"/>
      <c r="L114" s="11">
        <f t="shared" ca="1" si="4"/>
        <v>265.34166666666715</v>
      </c>
      <c r="M114" s="1">
        <f t="shared" si="5"/>
        <v>6</v>
      </c>
      <c r="N114" s="1">
        <f t="shared" si="6"/>
        <v>2015</v>
      </c>
      <c r="O114" s="1" t="str">
        <f t="shared" ca="1" si="7"/>
        <v>mais de 150 dias</v>
      </c>
    </row>
    <row r="115" spans="1:15" ht="25.5" x14ac:dyDescent="0.2">
      <c r="A115" s="3" t="s">
        <v>8</v>
      </c>
      <c r="B115" s="4" t="s">
        <v>263</v>
      </c>
      <c r="C115" s="3" t="s">
        <v>264</v>
      </c>
      <c r="D115" s="3"/>
      <c r="E115" s="3" t="str">
        <f>VLOOKUP(B115,[1]general_report!$B$1:$I$713,8,0)</f>
        <v xml:space="preserve">Contax </v>
      </c>
      <c r="F115" s="3" t="str">
        <f>VLOOKUP(B115,[1]general_report!$B$1:$J$713,9,0)</f>
        <v xml:space="preserve"> Dir. Clientes Especiais</v>
      </c>
      <c r="G115" s="3" t="s">
        <v>11</v>
      </c>
      <c r="H115" s="3" t="s">
        <v>67</v>
      </c>
      <c r="I115" s="3" t="s">
        <v>83</v>
      </c>
      <c r="J115" s="5">
        <v>42163.645833333336</v>
      </c>
      <c r="K115" s="3"/>
      <c r="L115" s="11">
        <f t="shared" ca="1" si="4"/>
        <v>269.35416666666424</v>
      </c>
      <c r="M115" s="1">
        <f t="shared" si="5"/>
        <v>6</v>
      </c>
      <c r="N115" s="1">
        <f t="shared" si="6"/>
        <v>2015</v>
      </c>
      <c r="O115" s="1" t="str">
        <f t="shared" ca="1" si="7"/>
        <v>mais de 150 dias</v>
      </c>
    </row>
    <row r="116" spans="1:15" ht="25.5" x14ac:dyDescent="0.2">
      <c r="A116" s="3" t="s">
        <v>8</v>
      </c>
      <c r="B116" s="4" t="s">
        <v>265</v>
      </c>
      <c r="C116" s="3" t="s">
        <v>266</v>
      </c>
      <c r="D116" s="3"/>
      <c r="E116" s="3" t="str">
        <f>VLOOKUP(B116,[1]general_report!$B$1:$I$713,8,0)</f>
        <v xml:space="preserve">Contax </v>
      </c>
      <c r="F116" s="3" t="str">
        <f>VLOOKUP(B116,[1]general_report!$B$1:$J$713,9,0)</f>
        <v xml:space="preserve"> Ger Governança de TI</v>
      </c>
      <c r="G116" s="3" t="s">
        <v>206</v>
      </c>
      <c r="H116" s="3" t="s">
        <v>267</v>
      </c>
      <c r="I116" s="3" t="s">
        <v>48</v>
      </c>
      <c r="J116" s="5">
        <v>42135.765277777777</v>
      </c>
      <c r="K116" s="3"/>
      <c r="L116" s="11">
        <f t="shared" ca="1" si="4"/>
        <v>297.23472222222335</v>
      </c>
      <c r="M116" s="1">
        <f t="shared" si="5"/>
        <v>5</v>
      </c>
      <c r="N116" s="1">
        <f t="shared" si="6"/>
        <v>2015</v>
      </c>
      <c r="O116" s="1" t="str">
        <f t="shared" ca="1" si="7"/>
        <v>mais de 150 dias</v>
      </c>
    </row>
    <row r="117" spans="1:15" ht="15" x14ac:dyDescent="0.2">
      <c r="A117" s="3" t="s">
        <v>8</v>
      </c>
      <c r="B117" s="4" t="s">
        <v>268</v>
      </c>
      <c r="C117" s="3" t="s">
        <v>81</v>
      </c>
      <c r="D117" s="3"/>
      <c r="E117" s="3" t="str">
        <f>VLOOKUP(B117,[1]general_report!$B$1:$I$713,8,0)</f>
        <v xml:space="preserve">Contax </v>
      </c>
      <c r="F117" s="3" t="str">
        <f>VLOOKUP(B117,[1]general_report!$B$1:$J$713,9,0)</f>
        <v xml:space="preserve"> Outro</v>
      </c>
      <c r="G117" s="3" t="s">
        <v>269</v>
      </c>
      <c r="H117" s="3" t="s">
        <v>269</v>
      </c>
      <c r="I117" s="3" t="s">
        <v>27</v>
      </c>
      <c r="J117" s="5">
        <v>42109.753472222219</v>
      </c>
      <c r="K117" s="5">
        <v>42384.665277777778</v>
      </c>
      <c r="L117" s="11">
        <f t="shared" ca="1" si="4"/>
        <v>274.91180555555911</v>
      </c>
      <c r="M117" s="1">
        <f t="shared" si="5"/>
        <v>4</v>
      </c>
      <c r="N117" s="1">
        <f t="shared" si="6"/>
        <v>2015</v>
      </c>
      <c r="O117" s="1" t="str">
        <f t="shared" ca="1" si="7"/>
        <v>mais de 150 dias</v>
      </c>
    </row>
    <row r="118" spans="1:15" ht="15" x14ac:dyDescent="0.2">
      <c r="A118" s="3" t="s">
        <v>8</v>
      </c>
      <c r="B118" s="4" t="s">
        <v>270</v>
      </c>
      <c r="C118" s="3" t="s">
        <v>271</v>
      </c>
      <c r="D118" s="3"/>
      <c r="E118" s="3" t="str">
        <f>VLOOKUP(B118,[1]general_report!$B$1:$I$713,8,0)</f>
        <v xml:space="preserve">Vivo </v>
      </c>
      <c r="F118" s="3" t="str">
        <f>VLOOKUP(B118,[1]general_report!$B$1:$J$713,9,0)</f>
        <v xml:space="preserve"> Vivo</v>
      </c>
      <c r="G118" s="3" t="s">
        <v>206</v>
      </c>
      <c r="H118" s="3" t="s">
        <v>272</v>
      </c>
      <c r="I118" s="3" t="s">
        <v>48</v>
      </c>
      <c r="J118" s="5">
        <v>42109.611111111109</v>
      </c>
      <c r="K118" s="3"/>
      <c r="L118" s="11">
        <f t="shared" ca="1" si="4"/>
        <v>323.38888888889051</v>
      </c>
      <c r="M118" s="1">
        <f t="shared" si="5"/>
        <v>4</v>
      </c>
      <c r="N118" s="1">
        <f t="shared" si="6"/>
        <v>2015</v>
      </c>
      <c r="O118" s="1" t="str">
        <f t="shared" ca="1" si="7"/>
        <v>mais de 150 dias</v>
      </c>
    </row>
    <row r="119" spans="1:15" ht="38.25" x14ac:dyDescent="0.2">
      <c r="A119" s="3" t="s">
        <v>8</v>
      </c>
      <c r="B119" s="4" t="s">
        <v>273</v>
      </c>
      <c r="C119" s="3" t="s">
        <v>274</v>
      </c>
      <c r="D119" s="3"/>
      <c r="E119" s="3" t="str">
        <f>VLOOKUP(B119,[1]general_report!$B$1:$I$713,8,0)</f>
        <v xml:space="preserve">Contax </v>
      </c>
      <c r="F119" s="3" t="str">
        <f>VLOOKUP(B119,[1]general_report!$B$1:$J$713,9,0)</f>
        <v xml:space="preserve"> Ger Planejamento Outbound</v>
      </c>
      <c r="G119" s="3" t="s">
        <v>18</v>
      </c>
      <c r="H119" s="3" t="s">
        <v>275</v>
      </c>
      <c r="I119" s="3" t="s">
        <v>48</v>
      </c>
      <c r="J119" s="5">
        <v>42102.748611111114</v>
      </c>
      <c r="K119" s="3"/>
      <c r="L119" s="11">
        <f t="shared" ca="1" si="4"/>
        <v>330.25138888888614</v>
      </c>
      <c r="M119" s="1">
        <f t="shared" si="5"/>
        <v>4</v>
      </c>
      <c r="N119" s="1">
        <f t="shared" si="6"/>
        <v>2015</v>
      </c>
      <c r="O119" s="1" t="str">
        <f t="shared" ca="1" si="7"/>
        <v>mais de 150 dias</v>
      </c>
    </row>
    <row r="120" spans="1:15" ht="25.5" x14ac:dyDescent="0.2">
      <c r="A120" s="3" t="s">
        <v>8</v>
      </c>
      <c r="B120" s="4" t="s">
        <v>276</v>
      </c>
      <c r="C120" s="3" t="s">
        <v>277</v>
      </c>
      <c r="D120" s="3"/>
      <c r="E120" s="3" t="str">
        <f>VLOOKUP(B120,[1]general_report!$B$1:$I$713,8,0)</f>
        <v xml:space="preserve">Contax </v>
      </c>
      <c r="F120" s="3" t="str">
        <f>VLOOKUP(B120,[1]general_report!$B$1:$J$713,9,0)</f>
        <v xml:space="preserve"> Projetos Telecom</v>
      </c>
      <c r="G120" s="3" t="s">
        <v>18</v>
      </c>
      <c r="H120" s="3" t="s">
        <v>275</v>
      </c>
      <c r="I120" s="3" t="s">
        <v>48</v>
      </c>
      <c r="J120" s="5">
        <v>42093.758333333331</v>
      </c>
      <c r="K120" s="3"/>
      <c r="L120" s="11">
        <f t="shared" ca="1" si="4"/>
        <v>339.24166666666861</v>
      </c>
      <c r="M120" s="1">
        <f t="shared" si="5"/>
        <v>3</v>
      </c>
      <c r="N120" s="1">
        <f t="shared" si="6"/>
        <v>2015</v>
      </c>
      <c r="O120" s="1" t="str">
        <f t="shared" ca="1" si="7"/>
        <v>mais de 150 dias</v>
      </c>
    </row>
    <row r="121" spans="1:15" ht="38.25" x14ac:dyDescent="0.2">
      <c r="A121" s="3" t="s">
        <v>8</v>
      </c>
      <c r="B121" s="4" t="s">
        <v>278</v>
      </c>
      <c r="C121" s="3" t="s">
        <v>279</v>
      </c>
      <c r="D121" s="3"/>
      <c r="E121" s="3" t="str">
        <f>VLOOKUP(B121,[1]general_report!$B$1:$I$713,8,0)</f>
        <v xml:space="preserve">Contax </v>
      </c>
      <c r="F121" s="3" t="str">
        <f>VLOOKUP(B121,[1]general_report!$B$1:$J$713,9,0)</f>
        <v xml:space="preserve"> Projetos Telecom</v>
      </c>
      <c r="G121" s="3" t="s">
        <v>18</v>
      </c>
      <c r="H121" s="3" t="s">
        <v>275</v>
      </c>
      <c r="I121" s="3" t="s">
        <v>48</v>
      </c>
      <c r="J121" s="5">
        <v>42080.780555555553</v>
      </c>
      <c r="K121" s="3"/>
      <c r="L121" s="11">
        <f t="shared" ca="1" si="4"/>
        <v>352.21944444444671</v>
      </c>
      <c r="M121" s="1">
        <f t="shared" si="5"/>
        <v>3</v>
      </c>
      <c r="N121" s="1">
        <f t="shared" si="6"/>
        <v>2015</v>
      </c>
      <c r="O121" s="1" t="str">
        <f t="shared" ca="1" si="7"/>
        <v>mais de 150 dias</v>
      </c>
    </row>
    <row r="122" spans="1:15" ht="38.25" x14ac:dyDescent="0.2">
      <c r="A122" s="3" t="s">
        <v>8</v>
      </c>
      <c r="B122" s="4" t="s">
        <v>280</v>
      </c>
      <c r="C122" s="3" t="s">
        <v>281</v>
      </c>
      <c r="D122" s="3"/>
      <c r="E122" s="3" t="str">
        <f>VLOOKUP(B122,[1]general_report!$B$1:$I$713,8,0)</f>
        <v xml:space="preserve">Contax </v>
      </c>
      <c r="F122" s="3" t="str">
        <f>VLOOKUP(B122,[1]general_report!$B$1:$J$713,9,0)</f>
        <v xml:space="preserve"> Projetos Telecom</v>
      </c>
      <c r="G122" s="3" t="s">
        <v>18</v>
      </c>
      <c r="H122" s="3" t="s">
        <v>275</v>
      </c>
      <c r="I122" s="3" t="s">
        <v>48</v>
      </c>
      <c r="J122" s="5">
        <v>42080.756249999999</v>
      </c>
      <c r="K122" s="3"/>
      <c r="L122" s="11">
        <f t="shared" ca="1" si="4"/>
        <v>352.24375000000146</v>
      </c>
      <c r="M122" s="1">
        <f t="shared" si="5"/>
        <v>3</v>
      </c>
      <c r="N122" s="1">
        <f t="shared" si="6"/>
        <v>2015</v>
      </c>
      <c r="O122" s="1" t="str">
        <f t="shared" ca="1" si="7"/>
        <v>mais de 150 dias</v>
      </c>
    </row>
    <row r="123" spans="1:15" ht="25.5" x14ac:dyDescent="0.2">
      <c r="A123" s="3" t="s">
        <v>8</v>
      </c>
      <c r="B123" s="4" t="s">
        <v>282</v>
      </c>
      <c r="C123" s="3" t="s">
        <v>283</v>
      </c>
      <c r="D123" s="3"/>
      <c r="E123" s="3" t="str">
        <f>VLOOKUP(B123,[1]general_report!$B$1:$I$713,8,0)</f>
        <v xml:space="preserve">Contax </v>
      </c>
      <c r="F123" s="3" t="str">
        <f>VLOOKUP(B123,[1]general_report!$B$1:$J$713,9,0)</f>
        <v xml:space="preserve"> Projetos Telecom</v>
      </c>
      <c r="G123" s="3" t="s">
        <v>18</v>
      </c>
      <c r="H123" s="3" t="s">
        <v>275</v>
      </c>
      <c r="I123" s="3" t="s">
        <v>48</v>
      </c>
      <c r="J123" s="5">
        <v>42072.802777777775</v>
      </c>
      <c r="K123" s="3"/>
      <c r="L123" s="11">
        <f t="shared" ca="1" si="4"/>
        <v>360.19722222222481</v>
      </c>
      <c r="M123" s="1">
        <f t="shared" si="5"/>
        <v>3</v>
      </c>
      <c r="N123" s="1">
        <f t="shared" si="6"/>
        <v>2015</v>
      </c>
      <c r="O123" s="1" t="str">
        <f t="shared" ca="1" si="7"/>
        <v>mais de 150 dias</v>
      </c>
    </row>
    <row r="124" spans="1:15" ht="25.5" x14ac:dyDescent="0.2">
      <c r="A124" s="3" t="s">
        <v>8</v>
      </c>
      <c r="B124" s="4" t="s">
        <v>284</v>
      </c>
      <c r="C124" s="3" t="s">
        <v>285</v>
      </c>
      <c r="D124" s="3"/>
      <c r="E124" s="3" t="str">
        <f>VLOOKUP(B124,[1]general_report!$B$1:$I$713,8,0)</f>
        <v xml:space="preserve">Contax </v>
      </c>
      <c r="F124" s="3" t="str">
        <f>VLOOKUP(B124,[1]general_report!$B$1:$J$713,9,0)</f>
        <v xml:space="preserve"> Dir. Clientes Especiais</v>
      </c>
      <c r="G124" s="3" t="s">
        <v>67</v>
      </c>
      <c r="H124" s="3" t="s">
        <v>67</v>
      </c>
      <c r="I124" s="3" t="s">
        <v>27</v>
      </c>
      <c r="J124" s="5">
        <v>42048.682638888888</v>
      </c>
      <c r="K124" s="5">
        <v>42384.665972222225</v>
      </c>
      <c r="L124" s="11">
        <f t="shared" ca="1" si="4"/>
        <v>335.98333333333721</v>
      </c>
      <c r="M124" s="1">
        <f t="shared" si="5"/>
        <v>2</v>
      </c>
      <c r="N124" s="1">
        <f t="shared" si="6"/>
        <v>2015</v>
      </c>
      <c r="O124" s="1" t="str">
        <f t="shared" ca="1" si="7"/>
        <v>mais de 150 dias</v>
      </c>
    </row>
    <row r="125" spans="1:15" ht="15" x14ac:dyDescent="0.2">
      <c r="A125" s="3" t="s">
        <v>8</v>
      </c>
      <c r="B125" s="4" t="s">
        <v>286</v>
      </c>
      <c r="C125" s="3" t="s">
        <v>287</v>
      </c>
      <c r="D125" s="3"/>
      <c r="E125" s="3" t="str">
        <f>VLOOKUP(B125,[1]general_report!$B$1:$I$713,8,0)</f>
        <v xml:space="preserve">Citibank </v>
      </c>
      <c r="F125" s="3" t="str">
        <f>VLOOKUP(B125,[1]general_report!$B$1:$J$713,9,0)</f>
        <v xml:space="preserve"> Cross Sell</v>
      </c>
      <c r="G125" s="3" t="s">
        <v>18</v>
      </c>
      <c r="H125" s="3" t="s">
        <v>19</v>
      </c>
      <c r="I125" s="3" t="s">
        <v>48</v>
      </c>
      <c r="J125" s="5">
        <v>41866.427777777775</v>
      </c>
      <c r="K125" s="3"/>
      <c r="L125" s="11">
        <f t="shared" ca="1" si="4"/>
        <v>566.57222222222481</v>
      </c>
      <c r="M125" s="1">
        <f t="shared" si="5"/>
        <v>8</v>
      </c>
      <c r="N125" s="1">
        <f t="shared" si="6"/>
        <v>2014</v>
      </c>
      <c r="O125" s="1" t="str">
        <f t="shared" ca="1" si="7"/>
        <v>mais de 150 dias</v>
      </c>
    </row>
    <row r="126" spans="1:15" ht="15" x14ac:dyDescent="0.2">
      <c r="A126" s="3" t="s">
        <v>8</v>
      </c>
      <c r="B126" s="4" t="s">
        <v>288</v>
      </c>
      <c r="C126" s="3" t="s">
        <v>289</v>
      </c>
      <c r="D126" s="3"/>
      <c r="E126" s="3" t="str">
        <f>VLOOKUP(B126,[1]general_report!$B$1:$I$713,8,0)</f>
        <v xml:space="preserve">Santander </v>
      </c>
      <c r="F126" s="3" t="str">
        <f>VLOOKUP(B126,[1]general_report!$B$1:$J$713,9,0)</f>
        <v xml:space="preserve"> Santander</v>
      </c>
      <c r="G126" s="3" t="s">
        <v>290</v>
      </c>
      <c r="H126" s="3" t="s">
        <v>291</v>
      </c>
      <c r="I126" s="3" t="s">
        <v>48</v>
      </c>
      <c r="J126" s="5">
        <v>41844.740972222222</v>
      </c>
      <c r="K126" s="3"/>
      <c r="L126" s="11">
        <f t="shared" ca="1" si="4"/>
        <v>588.2590277777781</v>
      </c>
      <c r="M126" s="1">
        <f t="shared" si="5"/>
        <v>7</v>
      </c>
      <c r="N126" s="1">
        <f t="shared" si="6"/>
        <v>2014</v>
      </c>
      <c r="O126" s="1" t="str">
        <f t="shared" ca="1" si="7"/>
        <v>mais de 150 dias</v>
      </c>
    </row>
    <row r="127" spans="1:15" ht="25.5" x14ac:dyDescent="0.2">
      <c r="A127" s="3" t="s">
        <v>8</v>
      </c>
      <c r="B127" s="4" t="s">
        <v>292</v>
      </c>
      <c r="C127" s="3" t="s">
        <v>293</v>
      </c>
      <c r="D127" s="3"/>
      <c r="E127" s="3" t="str">
        <f>VLOOKUP(B127,[1]general_report!$B$1:$I$713,8,0)</f>
        <v xml:space="preserve">Contax </v>
      </c>
      <c r="F127" s="3" t="str">
        <f>VLOOKUP(B127,[1]general_report!$B$1:$J$713,9,0)</f>
        <v xml:space="preserve"> Ger Sistemas Corporativos</v>
      </c>
      <c r="G127" s="3" t="s">
        <v>272</v>
      </c>
      <c r="H127" s="3" t="s">
        <v>294</v>
      </c>
      <c r="I127" s="3" t="s">
        <v>7</v>
      </c>
      <c r="J127" s="5">
        <v>42277.445138888892</v>
      </c>
      <c r="K127" s="5">
        <v>42416.479861111111</v>
      </c>
      <c r="L127" s="11">
        <f t="shared" ca="1" si="4"/>
        <v>139.03472222221899</v>
      </c>
      <c r="M127" s="1">
        <f t="shared" si="5"/>
        <v>9</v>
      </c>
      <c r="N127" s="1">
        <f t="shared" si="6"/>
        <v>2015</v>
      </c>
      <c r="O127" s="1" t="str">
        <f t="shared" ca="1" si="7"/>
        <v>entre 90 e 150 dias</v>
      </c>
    </row>
    <row r="128" spans="1:15" ht="25.5" x14ac:dyDescent="0.2">
      <c r="A128" s="3" t="s">
        <v>8</v>
      </c>
      <c r="B128" s="4" t="s">
        <v>295</v>
      </c>
      <c r="C128" s="3" t="s">
        <v>296</v>
      </c>
      <c r="D128" s="3"/>
      <c r="E128" s="3" t="str">
        <f>VLOOKUP(B128,[1]general_report!$B$1:$I$713,8,0)</f>
        <v xml:space="preserve">Contax </v>
      </c>
      <c r="F128" s="3" t="str">
        <f>VLOOKUP(B128,[1]general_report!$B$1:$J$713,9,0)</f>
        <v xml:space="preserve"> Ger Soluções</v>
      </c>
      <c r="G128" s="3" t="s">
        <v>18</v>
      </c>
      <c r="H128" s="3" t="s">
        <v>297</v>
      </c>
      <c r="I128" s="3" t="s">
        <v>48</v>
      </c>
      <c r="J128" s="5">
        <v>42275.520138888889</v>
      </c>
      <c r="K128" s="3"/>
      <c r="L128" s="11">
        <f t="shared" ca="1" si="4"/>
        <v>157.47986111111095</v>
      </c>
      <c r="M128" s="1">
        <f t="shared" si="5"/>
        <v>9</v>
      </c>
      <c r="N128" s="1">
        <f t="shared" si="6"/>
        <v>2015</v>
      </c>
      <c r="O128" s="1" t="str">
        <f t="shared" ca="1" si="7"/>
        <v>mais de 150 dias</v>
      </c>
    </row>
    <row r="129" spans="1:15" ht="15" x14ac:dyDescent="0.2">
      <c r="A129" s="3" t="s">
        <v>8</v>
      </c>
      <c r="B129" s="4" t="s">
        <v>298</v>
      </c>
      <c r="C129" s="3" t="s">
        <v>299</v>
      </c>
      <c r="D129" s="3"/>
      <c r="E129" s="3" t="str">
        <f>VLOOKUP(B129,[1]general_report!$B$1:$I$713,8,0)</f>
        <v xml:space="preserve">Contax </v>
      </c>
      <c r="F129" s="3" t="str">
        <f>VLOOKUP(B129,[1]general_report!$B$1:$J$713,9,0)</f>
        <v xml:space="preserve"> Outro</v>
      </c>
      <c r="G129" s="3" t="s">
        <v>300</v>
      </c>
      <c r="H129" s="3" t="s">
        <v>272</v>
      </c>
      <c r="I129" s="3" t="s">
        <v>13</v>
      </c>
      <c r="J129" s="5">
        <v>42226.741666666669</v>
      </c>
      <c r="K129" s="3"/>
      <c r="L129" s="11">
        <f t="shared" ca="1" si="4"/>
        <v>206.25833333333139</v>
      </c>
      <c r="M129" s="1">
        <f t="shared" si="5"/>
        <v>8</v>
      </c>
      <c r="N129" s="1">
        <f t="shared" si="6"/>
        <v>2015</v>
      </c>
      <c r="O129" s="1" t="str">
        <f t="shared" ca="1" si="7"/>
        <v>mais de 150 dias</v>
      </c>
    </row>
    <row r="130" spans="1:15" ht="25.5" x14ac:dyDescent="0.2">
      <c r="A130" s="3" t="s">
        <v>8</v>
      </c>
      <c r="B130" s="4" t="s">
        <v>301</v>
      </c>
      <c r="C130" s="3" t="s">
        <v>302</v>
      </c>
      <c r="D130" s="3"/>
      <c r="E130" s="3" t="str">
        <f>VLOOKUP(B130,[1]general_report!$B$1:$I$713,8,0)</f>
        <v xml:space="preserve">Contax </v>
      </c>
      <c r="F130" s="3" t="str">
        <f>VLOOKUP(B130,[1]general_report!$B$1:$J$713,9,0)</f>
        <v xml:space="preserve"> RH</v>
      </c>
      <c r="G130" s="3" t="s">
        <v>18</v>
      </c>
      <c r="H130" s="3" t="s">
        <v>303</v>
      </c>
      <c r="I130" s="3" t="s">
        <v>13</v>
      </c>
      <c r="J130" s="5">
        <v>42220.668749999997</v>
      </c>
      <c r="K130" s="3"/>
      <c r="L130" s="11">
        <f t="shared" ca="1" si="4"/>
        <v>212.33125000000291</v>
      </c>
      <c r="M130" s="1">
        <f t="shared" si="5"/>
        <v>8</v>
      </c>
      <c r="N130" s="1">
        <f t="shared" si="6"/>
        <v>2015</v>
      </c>
      <c r="O130" s="1" t="str">
        <f t="shared" ca="1" si="7"/>
        <v>mais de 150 dias</v>
      </c>
    </row>
    <row r="131" spans="1:15" ht="15" x14ac:dyDescent="0.2">
      <c r="A131" s="3" t="s">
        <v>8</v>
      </c>
      <c r="B131" s="4" t="s">
        <v>304</v>
      </c>
      <c r="C131" s="3" t="s">
        <v>81</v>
      </c>
      <c r="D131" s="3"/>
      <c r="E131" s="3" t="str">
        <f>VLOOKUP(B131,[1]general_report!$B$1:$I$713,8,0)</f>
        <v xml:space="preserve">Contax </v>
      </c>
      <c r="F131" s="3" t="str">
        <f>VLOOKUP(B131,[1]general_report!$B$1:$J$713,9,0)</f>
        <v xml:space="preserve"> Auditoria</v>
      </c>
      <c r="G131" s="3" t="s">
        <v>11</v>
      </c>
      <c r="H131" s="3" t="s">
        <v>305</v>
      </c>
      <c r="I131" s="3" t="s">
        <v>83</v>
      </c>
      <c r="J131" s="5">
        <v>42136.745138888888</v>
      </c>
      <c r="K131" s="3"/>
      <c r="L131" s="11">
        <f t="shared" ref="L131:L194" ca="1" si="8">IF(K131="",TODAY()-J131,K131-J131)</f>
        <v>296.2548611111124</v>
      </c>
      <c r="M131" s="1">
        <f t="shared" ref="M131:M194" si="9">MONTH(J131)</f>
        <v>5</v>
      </c>
      <c r="N131" s="1">
        <f t="shared" ref="N131:N194" si="10">YEAR(J131)</f>
        <v>2015</v>
      </c>
      <c r="O131" s="1" t="str">
        <f t="shared" ref="O131:O194" ca="1" si="11">IF(L131&lt;30,"menos 1 mês",IF(L131&lt;60,"entre 30 e 60 dias",IF(L131&lt;90,"entre 60 e 90 dias",IF(L131&lt;150,"entre 90 e 150 dias","mais de 150 dias"))))</f>
        <v>mais de 150 dias</v>
      </c>
    </row>
    <row r="132" spans="1:15" ht="15" x14ac:dyDescent="0.2">
      <c r="A132" s="3" t="s">
        <v>8</v>
      </c>
      <c r="B132" s="4" t="s">
        <v>306</v>
      </c>
      <c r="C132" s="3" t="s">
        <v>307</v>
      </c>
      <c r="D132" s="3"/>
      <c r="E132" s="3" t="str">
        <f>VLOOKUP(B132,[1]general_report!$B$1:$I$713,8,0)</f>
        <v xml:space="preserve">Contax </v>
      </c>
      <c r="F132" s="3" t="str">
        <f>VLOOKUP(B132,[1]general_report!$B$1:$J$713,9,0)</f>
        <v xml:space="preserve"> Ger Pré</v>
      </c>
      <c r="G132" s="3" t="s">
        <v>11</v>
      </c>
      <c r="H132" s="3" t="s">
        <v>308</v>
      </c>
      <c r="I132" s="3" t="s">
        <v>13</v>
      </c>
      <c r="J132" s="5">
        <v>42418.445833333331</v>
      </c>
      <c r="K132" s="3"/>
      <c r="L132" s="11">
        <f t="shared" ca="1" si="8"/>
        <v>14.554166666668607</v>
      </c>
      <c r="M132" s="1">
        <f t="shared" si="9"/>
        <v>2</v>
      </c>
      <c r="N132" s="1">
        <f t="shared" si="10"/>
        <v>2016</v>
      </c>
      <c r="O132" s="1" t="str">
        <f t="shared" ca="1" si="11"/>
        <v>menos 1 mês</v>
      </c>
    </row>
    <row r="133" spans="1:15" ht="25.5" x14ac:dyDescent="0.2">
      <c r="A133" s="3" t="s">
        <v>8</v>
      </c>
      <c r="B133" s="4" t="s">
        <v>309</v>
      </c>
      <c r="C133" s="3" t="s">
        <v>310</v>
      </c>
      <c r="D133" s="3"/>
      <c r="E133" s="3" t="str">
        <f>VLOOKUP(B133,[1]general_report!$B$1:$I$713,8,0)</f>
        <v xml:space="preserve">Contax </v>
      </c>
      <c r="F133" s="3" t="str">
        <f>VLOOKUP(B133,[1]general_report!$B$1:$J$713,9,0)</f>
        <v xml:space="preserve"> Ger Pré</v>
      </c>
      <c r="G133" s="3" t="s">
        <v>11</v>
      </c>
      <c r="H133" s="3" t="s">
        <v>308</v>
      </c>
      <c r="I133" s="3" t="s">
        <v>13</v>
      </c>
      <c r="J133" s="5">
        <v>42417.818055555559</v>
      </c>
      <c r="K133" s="3"/>
      <c r="L133" s="11">
        <f t="shared" ca="1" si="8"/>
        <v>15.181944444440887</v>
      </c>
      <c r="M133" s="1">
        <f t="shared" si="9"/>
        <v>2</v>
      </c>
      <c r="N133" s="1">
        <f t="shared" si="10"/>
        <v>2016</v>
      </c>
      <c r="O133" s="1" t="str">
        <f t="shared" ca="1" si="11"/>
        <v>menos 1 mês</v>
      </c>
    </row>
    <row r="134" spans="1:15" ht="15" x14ac:dyDescent="0.2">
      <c r="A134" s="3" t="s">
        <v>8</v>
      </c>
      <c r="B134" s="4" t="s">
        <v>311</v>
      </c>
      <c r="C134" s="3" t="s">
        <v>312</v>
      </c>
      <c r="D134" s="3"/>
      <c r="E134" s="3" t="str">
        <f>VLOOKUP(B134,[1]general_report!$B$1:$I$713,8,0)</f>
        <v xml:space="preserve">Contax </v>
      </c>
      <c r="F134" s="3" t="str">
        <f>VLOOKUP(B134,[1]general_report!$B$1:$J$713,9,0)</f>
        <v xml:space="preserve"> Ger Pré</v>
      </c>
      <c r="G134" s="3" t="s">
        <v>11</v>
      </c>
      <c r="H134" s="3" t="s">
        <v>313</v>
      </c>
      <c r="I134" s="3" t="s">
        <v>13</v>
      </c>
      <c r="J134" s="5">
        <v>42417.629861111112</v>
      </c>
      <c r="K134" s="3"/>
      <c r="L134" s="11">
        <f t="shared" ca="1" si="8"/>
        <v>15.370138888887595</v>
      </c>
      <c r="M134" s="1">
        <f t="shared" si="9"/>
        <v>2</v>
      </c>
      <c r="N134" s="1">
        <f t="shared" si="10"/>
        <v>2016</v>
      </c>
      <c r="O134" s="1" t="str">
        <f t="shared" ca="1" si="11"/>
        <v>menos 1 mês</v>
      </c>
    </row>
    <row r="135" spans="1:15" ht="25.5" x14ac:dyDescent="0.2">
      <c r="A135" s="3" t="s">
        <v>8</v>
      </c>
      <c r="B135" s="4" t="s">
        <v>314</v>
      </c>
      <c r="C135" s="3" t="s">
        <v>315</v>
      </c>
      <c r="D135" s="3"/>
      <c r="E135" s="3" t="str">
        <f>VLOOKUP(B135,[1]general_report!$B$1:$I$713,8,0)</f>
        <v xml:space="preserve">Contax </v>
      </c>
      <c r="F135" s="3" t="str">
        <f>VLOOKUP(B135,[1]general_report!$B$1:$J$713,9,0)</f>
        <v xml:space="preserve"> Ger Pré</v>
      </c>
      <c r="G135" s="3" t="s">
        <v>11</v>
      </c>
      <c r="H135" s="3" t="s">
        <v>308</v>
      </c>
      <c r="I135" s="3" t="s">
        <v>13</v>
      </c>
      <c r="J135" s="5">
        <v>42417.499305555553</v>
      </c>
      <c r="K135" s="3"/>
      <c r="L135" s="11">
        <f t="shared" ca="1" si="8"/>
        <v>15.500694444446708</v>
      </c>
      <c r="M135" s="1">
        <f t="shared" si="9"/>
        <v>2</v>
      </c>
      <c r="N135" s="1">
        <f t="shared" si="10"/>
        <v>2016</v>
      </c>
      <c r="O135" s="1" t="str">
        <f t="shared" ca="1" si="11"/>
        <v>menos 1 mês</v>
      </c>
    </row>
    <row r="136" spans="1:15" ht="15" x14ac:dyDescent="0.2">
      <c r="A136" s="3" t="s">
        <v>8</v>
      </c>
      <c r="B136" s="4" t="s">
        <v>316</v>
      </c>
      <c r="C136" s="3" t="s">
        <v>317</v>
      </c>
      <c r="D136" s="3"/>
      <c r="E136" s="3" t="str">
        <f>VLOOKUP(B136,[1]general_report!$B$1:$I$713,8,0)</f>
        <v xml:space="preserve">Contax </v>
      </c>
      <c r="F136" s="3" t="str">
        <f>VLOOKUP(B136,[1]general_report!$B$1:$J$713,9,0)</f>
        <v xml:space="preserve"> Ger Pré</v>
      </c>
      <c r="G136" s="3" t="s">
        <v>11</v>
      </c>
      <c r="H136" s="3" t="s">
        <v>313</v>
      </c>
      <c r="I136" s="3" t="s">
        <v>13</v>
      </c>
      <c r="J136" s="5">
        <v>42416.453472222223</v>
      </c>
      <c r="K136" s="3"/>
      <c r="L136" s="11">
        <f t="shared" ca="1" si="8"/>
        <v>16.546527777776646</v>
      </c>
      <c r="M136" s="1">
        <f t="shared" si="9"/>
        <v>2</v>
      </c>
      <c r="N136" s="1">
        <f t="shared" si="10"/>
        <v>2016</v>
      </c>
      <c r="O136" s="1" t="str">
        <f t="shared" ca="1" si="11"/>
        <v>menos 1 mês</v>
      </c>
    </row>
    <row r="137" spans="1:15" ht="25.5" x14ac:dyDescent="0.2">
      <c r="A137" s="3" t="s">
        <v>8</v>
      </c>
      <c r="B137" s="4" t="s">
        <v>318</v>
      </c>
      <c r="C137" s="3" t="s">
        <v>319</v>
      </c>
      <c r="D137" s="3"/>
      <c r="E137" s="3" t="str">
        <f>VLOOKUP(B137,[1]general_report!$B$1:$I$713,8,0)</f>
        <v xml:space="preserve">Claro </v>
      </c>
      <c r="F137" s="3" t="str">
        <f>VLOOKUP(B137,[1]general_report!$B$1:$J$713,9,0)</f>
        <v xml:space="preserve"> Claro</v>
      </c>
      <c r="G137" s="3" t="s">
        <v>18</v>
      </c>
      <c r="H137" s="3" t="s">
        <v>267</v>
      </c>
      <c r="I137" s="3" t="s">
        <v>13</v>
      </c>
      <c r="J137" s="5">
        <v>42415.504166666666</v>
      </c>
      <c r="K137" s="3"/>
      <c r="L137" s="11">
        <f t="shared" ca="1" si="8"/>
        <v>17.495833333334303</v>
      </c>
      <c r="M137" s="1">
        <f t="shared" si="9"/>
        <v>2</v>
      </c>
      <c r="N137" s="1">
        <f t="shared" si="10"/>
        <v>2016</v>
      </c>
      <c r="O137" s="1" t="str">
        <f t="shared" ca="1" si="11"/>
        <v>menos 1 mês</v>
      </c>
    </row>
    <row r="138" spans="1:15" ht="15" x14ac:dyDescent="0.2">
      <c r="A138" s="3" t="s">
        <v>8</v>
      </c>
      <c r="B138" s="4" t="s">
        <v>320</v>
      </c>
      <c r="C138" s="3" t="s">
        <v>321</v>
      </c>
      <c r="D138" s="3"/>
      <c r="E138" s="3" t="str">
        <f>VLOOKUP(B138,[1]general_report!$B$1:$I$713,8,0)</f>
        <v xml:space="preserve">Contax </v>
      </c>
      <c r="F138" s="3" t="str">
        <f>VLOOKUP(B138,[1]general_report!$B$1:$J$713,9,0)</f>
        <v xml:space="preserve"> Ger Pré</v>
      </c>
      <c r="G138" s="3" t="s">
        <v>11</v>
      </c>
      <c r="H138" s="3" t="s">
        <v>322</v>
      </c>
      <c r="I138" s="3" t="s">
        <v>13</v>
      </c>
      <c r="J138" s="5">
        <v>42411.430555555555</v>
      </c>
      <c r="K138" s="3"/>
      <c r="L138" s="11">
        <f t="shared" ca="1" si="8"/>
        <v>21.569444444445253</v>
      </c>
      <c r="M138" s="1">
        <f t="shared" si="9"/>
        <v>2</v>
      </c>
      <c r="N138" s="1">
        <f t="shared" si="10"/>
        <v>2016</v>
      </c>
      <c r="O138" s="1" t="str">
        <f t="shared" ca="1" si="11"/>
        <v>menos 1 mês</v>
      </c>
    </row>
    <row r="139" spans="1:15" ht="15" x14ac:dyDescent="0.2">
      <c r="A139" s="3" t="s">
        <v>8</v>
      </c>
      <c r="B139" s="4" t="s">
        <v>323</v>
      </c>
      <c r="C139" s="3" t="s">
        <v>324</v>
      </c>
      <c r="D139" s="3"/>
      <c r="E139" s="3" t="str">
        <f>VLOOKUP(B139,[1]general_report!$B$1:$I$713,8,0)</f>
        <v xml:space="preserve">Contax </v>
      </c>
      <c r="F139" s="3" t="str">
        <f>VLOOKUP(B139,[1]general_report!$B$1:$J$713,9,0)</f>
        <v xml:space="preserve"> Ger Pré</v>
      </c>
      <c r="G139" s="3" t="s">
        <v>11</v>
      </c>
      <c r="H139" s="3" t="s">
        <v>308</v>
      </c>
      <c r="I139" s="3" t="s">
        <v>13</v>
      </c>
      <c r="J139" s="5">
        <v>42410.728472222225</v>
      </c>
      <c r="K139" s="3"/>
      <c r="L139" s="11">
        <f t="shared" ca="1" si="8"/>
        <v>22.271527777775191</v>
      </c>
      <c r="M139" s="1">
        <f t="shared" si="9"/>
        <v>2</v>
      </c>
      <c r="N139" s="1">
        <f t="shared" si="10"/>
        <v>2016</v>
      </c>
      <c r="O139" s="1" t="str">
        <f t="shared" ca="1" si="11"/>
        <v>menos 1 mês</v>
      </c>
    </row>
    <row r="140" spans="1:15" ht="15" x14ac:dyDescent="0.2">
      <c r="A140" s="3" t="s">
        <v>8</v>
      </c>
      <c r="B140" s="4" t="s">
        <v>325</v>
      </c>
      <c r="C140" s="3" t="s">
        <v>326</v>
      </c>
      <c r="D140" s="3"/>
      <c r="E140" s="3" t="str">
        <f>VLOOKUP(B140,[1]general_report!$B$1:$I$713,8,0)</f>
        <v xml:space="preserve">Contax </v>
      </c>
      <c r="F140" s="3" t="str">
        <f>VLOOKUP(B140,[1]general_report!$B$1:$J$713,9,0)</f>
        <v xml:space="preserve"> Ger Pré</v>
      </c>
      <c r="G140" s="3" t="s">
        <v>11</v>
      </c>
      <c r="H140" s="3" t="s">
        <v>313</v>
      </c>
      <c r="I140" s="3" t="s">
        <v>13</v>
      </c>
      <c r="J140" s="5">
        <v>42410.65625</v>
      </c>
      <c r="K140" s="3"/>
      <c r="L140" s="11">
        <f t="shared" ca="1" si="8"/>
        <v>22.34375</v>
      </c>
      <c r="M140" s="1">
        <f t="shared" si="9"/>
        <v>2</v>
      </c>
      <c r="N140" s="1">
        <f t="shared" si="10"/>
        <v>2016</v>
      </c>
      <c r="O140" s="1" t="str">
        <f t="shared" ca="1" si="11"/>
        <v>menos 1 mês</v>
      </c>
    </row>
    <row r="141" spans="1:15" ht="15" x14ac:dyDescent="0.2">
      <c r="A141" s="3" t="s">
        <v>8</v>
      </c>
      <c r="B141" s="4" t="s">
        <v>327</v>
      </c>
      <c r="C141" s="3" t="s">
        <v>328</v>
      </c>
      <c r="D141" s="3"/>
      <c r="E141" s="3" t="str">
        <f>VLOOKUP(B141,[1]general_report!$B$1:$I$713,8,0)</f>
        <v xml:space="preserve">Contax </v>
      </c>
      <c r="F141" s="3" t="str">
        <f>VLOOKUP(B141,[1]general_report!$B$1:$J$713,9,0)</f>
        <v xml:space="preserve"> Ger Seg Inf e Fraude</v>
      </c>
      <c r="G141" s="3" t="s">
        <v>11</v>
      </c>
      <c r="H141" s="3" t="s">
        <v>329</v>
      </c>
      <c r="I141" s="3" t="s">
        <v>13</v>
      </c>
      <c r="J141" s="5">
        <v>42404.681250000001</v>
      </c>
      <c r="K141" s="3"/>
      <c r="L141" s="11">
        <f t="shared" ca="1" si="8"/>
        <v>28.318749999998545</v>
      </c>
      <c r="M141" s="1">
        <f t="shared" si="9"/>
        <v>2</v>
      </c>
      <c r="N141" s="1">
        <f t="shared" si="10"/>
        <v>2016</v>
      </c>
      <c r="O141" s="1" t="str">
        <f t="shared" ca="1" si="11"/>
        <v>menos 1 mês</v>
      </c>
    </row>
    <row r="142" spans="1:15" ht="25.5" x14ac:dyDescent="0.2">
      <c r="A142" s="3" t="s">
        <v>8</v>
      </c>
      <c r="B142" s="4" t="s">
        <v>330</v>
      </c>
      <c r="C142" s="3" t="s">
        <v>331</v>
      </c>
      <c r="D142" s="3"/>
      <c r="E142" s="3" t="str">
        <f>VLOOKUP(B142,[1]general_report!$B$1:$I$713,8,0)</f>
        <v xml:space="preserve">Contax </v>
      </c>
      <c r="F142" s="3" t="str">
        <f>VLOOKUP(B142,[1]general_report!$B$1:$J$713,9,0)</f>
        <v xml:space="preserve"> Ger Pré</v>
      </c>
      <c r="G142" s="3" t="s">
        <v>11</v>
      </c>
      <c r="H142" s="3" t="s">
        <v>322</v>
      </c>
      <c r="I142" s="3" t="s">
        <v>13</v>
      </c>
      <c r="J142" s="5">
        <v>42402.484722222223</v>
      </c>
      <c r="K142" s="3"/>
      <c r="L142" s="11">
        <f t="shared" ca="1" si="8"/>
        <v>30.515277777776646</v>
      </c>
      <c r="M142" s="1">
        <f t="shared" si="9"/>
        <v>2</v>
      </c>
      <c r="N142" s="1">
        <f t="shared" si="10"/>
        <v>2016</v>
      </c>
      <c r="O142" s="1" t="str">
        <f t="shared" ca="1" si="11"/>
        <v>entre 30 e 60 dias</v>
      </c>
    </row>
    <row r="143" spans="1:15" ht="15" x14ac:dyDescent="0.2">
      <c r="A143" s="3" t="s">
        <v>8</v>
      </c>
      <c r="B143" s="4" t="s">
        <v>332</v>
      </c>
      <c r="C143" s="3" t="s">
        <v>333</v>
      </c>
      <c r="D143" s="3"/>
      <c r="E143" s="3" t="str">
        <f>VLOOKUP(B143,[1]general_report!$B$1:$I$713,8,0)</f>
        <v xml:space="preserve">Contax </v>
      </c>
      <c r="F143" s="3" t="str">
        <f>VLOOKUP(B143,[1]general_report!$B$1:$J$713,9,0)</f>
        <v xml:space="preserve"> Ger Pré</v>
      </c>
      <c r="G143" s="3" t="s">
        <v>11</v>
      </c>
      <c r="H143" s="3" t="s">
        <v>322</v>
      </c>
      <c r="I143" s="3" t="s">
        <v>13</v>
      </c>
      <c r="J143" s="5">
        <v>42397.556944444441</v>
      </c>
      <c r="K143" s="3"/>
      <c r="L143" s="11">
        <f t="shared" ca="1" si="8"/>
        <v>35.443055555559113</v>
      </c>
      <c r="M143" s="1">
        <f t="shared" si="9"/>
        <v>1</v>
      </c>
      <c r="N143" s="1">
        <f t="shared" si="10"/>
        <v>2016</v>
      </c>
      <c r="O143" s="1" t="str">
        <f t="shared" ca="1" si="11"/>
        <v>entre 30 e 60 dias</v>
      </c>
    </row>
    <row r="144" spans="1:15" ht="25.5" x14ac:dyDescent="0.2">
      <c r="A144" s="3" t="s">
        <v>8</v>
      </c>
      <c r="B144" s="4" t="s">
        <v>334</v>
      </c>
      <c r="C144" s="3" t="s">
        <v>335</v>
      </c>
      <c r="D144" s="3"/>
      <c r="E144" s="3" t="str">
        <f>VLOOKUP(B144,[1]general_report!$B$1:$I$713,8,0)</f>
        <v xml:space="preserve">Contax </v>
      </c>
      <c r="F144" s="3" t="str">
        <f>VLOOKUP(B144,[1]general_report!$B$1:$J$713,9,0)</f>
        <v xml:space="preserve"> Ger Pré</v>
      </c>
      <c r="G144" s="3" t="s">
        <v>11</v>
      </c>
      <c r="H144" s="3" t="s">
        <v>308</v>
      </c>
      <c r="I144" s="3" t="s">
        <v>13</v>
      </c>
      <c r="J144" s="5">
        <v>42397.506944444445</v>
      </c>
      <c r="K144" s="3"/>
      <c r="L144" s="11">
        <f t="shared" ca="1" si="8"/>
        <v>35.493055555554747</v>
      </c>
      <c r="M144" s="1">
        <f t="shared" si="9"/>
        <v>1</v>
      </c>
      <c r="N144" s="1">
        <f t="shared" si="10"/>
        <v>2016</v>
      </c>
      <c r="O144" s="1" t="str">
        <f t="shared" ca="1" si="11"/>
        <v>entre 30 e 60 dias</v>
      </c>
    </row>
    <row r="145" spans="1:15" ht="25.5" x14ac:dyDescent="0.2">
      <c r="A145" s="3" t="s">
        <v>8</v>
      </c>
      <c r="B145" s="4" t="s">
        <v>336</v>
      </c>
      <c r="C145" s="3" t="s">
        <v>337</v>
      </c>
      <c r="D145" s="3"/>
      <c r="E145" s="3" t="str">
        <f>VLOOKUP(B145,[1]general_report!$B$1:$I$713,8,0)</f>
        <v xml:space="preserve">Contax </v>
      </c>
      <c r="F145" s="3" t="str">
        <f>VLOOKUP(B145,[1]general_report!$B$1:$J$713,9,0)</f>
        <v xml:space="preserve"> Ger Pré</v>
      </c>
      <c r="G145" s="3" t="s">
        <v>11</v>
      </c>
      <c r="H145" s="3" t="s">
        <v>322</v>
      </c>
      <c r="I145" s="3" t="s">
        <v>13</v>
      </c>
      <c r="J145" s="5">
        <v>42396.617361111108</v>
      </c>
      <c r="K145" s="3"/>
      <c r="L145" s="11">
        <f t="shared" ca="1" si="8"/>
        <v>36.382638888891961</v>
      </c>
      <c r="M145" s="1">
        <f t="shared" si="9"/>
        <v>1</v>
      </c>
      <c r="N145" s="1">
        <f t="shared" si="10"/>
        <v>2016</v>
      </c>
      <c r="O145" s="1" t="str">
        <f t="shared" ca="1" si="11"/>
        <v>entre 30 e 60 dias</v>
      </c>
    </row>
    <row r="146" spans="1:15" ht="25.5" x14ac:dyDescent="0.2">
      <c r="A146" s="3" t="s">
        <v>8</v>
      </c>
      <c r="B146" s="4" t="s">
        <v>338</v>
      </c>
      <c r="C146" s="3" t="s">
        <v>337</v>
      </c>
      <c r="D146" s="3"/>
      <c r="E146" s="3" t="str">
        <f>VLOOKUP(B146,[1]general_report!$B$1:$I$713,8,0)</f>
        <v xml:space="preserve">Contax </v>
      </c>
      <c r="F146" s="3" t="str">
        <f>VLOOKUP(B146,[1]general_report!$B$1:$J$713,9,0)</f>
        <v xml:space="preserve"> Ger Manutenção</v>
      </c>
      <c r="G146" s="3" t="s">
        <v>339</v>
      </c>
      <c r="H146" s="3" t="s">
        <v>340</v>
      </c>
      <c r="I146" s="3" t="s">
        <v>48</v>
      </c>
      <c r="J146" s="5">
        <v>42395.418749999997</v>
      </c>
      <c r="K146" s="3"/>
      <c r="L146" s="11">
        <f t="shared" ca="1" si="8"/>
        <v>37.58125000000291</v>
      </c>
      <c r="M146" s="1">
        <f t="shared" si="9"/>
        <v>1</v>
      </c>
      <c r="N146" s="1">
        <f t="shared" si="10"/>
        <v>2016</v>
      </c>
      <c r="O146" s="1" t="str">
        <f t="shared" ca="1" si="11"/>
        <v>entre 30 e 60 dias</v>
      </c>
    </row>
    <row r="147" spans="1:15" ht="25.5" x14ac:dyDescent="0.2">
      <c r="A147" s="3" t="s">
        <v>8</v>
      </c>
      <c r="B147" s="4" t="s">
        <v>341</v>
      </c>
      <c r="C147" s="3" t="s">
        <v>342</v>
      </c>
      <c r="D147" s="3"/>
      <c r="E147" s="3" t="str">
        <f>VLOOKUP(B147,[1]general_report!$B$1:$I$713,8,0)</f>
        <v xml:space="preserve">Claro </v>
      </c>
      <c r="F147" s="3" t="str">
        <f>VLOOKUP(B147,[1]general_report!$B$1:$J$713,9,0)</f>
        <v xml:space="preserve"> Claro</v>
      </c>
      <c r="G147" s="3" t="s">
        <v>11</v>
      </c>
      <c r="H147" s="3" t="s">
        <v>267</v>
      </c>
      <c r="I147" s="3" t="s">
        <v>13</v>
      </c>
      <c r="J147" s="5">
        <v>42390.657638888886</v>
      </c>
      <c r="K147" s="3"/>
      <c r="L147" s="11">
        <f t="shared" ca="1" si="8"/>
        <v>42.34236111111386</v>
      </c>
      <c r="M147" s="1">
        <f t="shared" si="9"/>
        <v>1</v>
      </c>
      <c r="N147" s="1">
        <f t="shared" si="10"/>
        <v>2016</v>
      </c>
      <c r="O147" s="1" t="str">
        <f t="shared" ca="1" si="11"/>
        <v>entre 30 e 60 dias</v>
      </c>
    </row>
    <row r="148" spans="1:15" ht="15" x14ac:dyDescent="0.2">
      <c r="A148" s="3" t="s">
        <v>8</v>
      </c>
      <c r="B148" s="4" t="s">
        <v>343</v>
      </c>
      <c r="C148" s="3" t="s">
        <v>344</v>
      </c>
      <c r="D148" s="3"/>
      <c r="E148" s="3" t="str">
        <f>VLOOKUP(B148,[1]general_report!$B$1:$I$713,8,0)</f>
        <v xml:space="preserve">Contax </v>
      </c>
      <c r="F148" s="3" t="str">
        <f>VLOOKUP(B148,[1]general_report!$B$1:$J$713,9,0)</f>
        <v xml:space="preserve"> Ger Pré</v>
      </c>
      <c r="G148" s="3" t="s">
        <v>11</v>
      </c>
      <c r="H148" s="3" t="s">
        <v>308</v>
      </c>
      <c r="I148" s="3" t="s">
        <v>13</v>
      </c>
      <c r="J148" s="5">
        <v>42390.537499999999</v>
      </c>
      <c r="K148" s="3"/>
      <c r="L148" s="11">
        <f t="shared" ca="1" si="8"/>
        <v>42.462500000001455</v>
      </c>
      <c r="M148" s="1">
        <f t="shared" si="9"/>
        <v>1</v>
      </c>
      <c r="N148" s="1">
        <f t="shared" si="10"/>
        <v>2016</v>
      </c>
      <c r="O148" s="1" t="str">
        <f t="shared" ca="1" si="11"/>
        <v>entre 30 e 60 dias</v>
      </c>
    </row>
    <row r="149" spans="1:15" ht="15" x14ac:dyDescent="0.2">
      <c r="A149" s="3" t="s">
        <v>8</v>
      </c>
      <c r="B149" s="4" t="s">
        <v>345</v>
      </c>
      <c r="C149" s="3" t="s">
        <v>346</v>
      </c>
      <c r="D149" s="3"/>
      <c r="E149" s="3" t="str">
        <f>VLOOKUP(B149,[1]general_report!$B$1:$I$713,8,0)</f>
        <v xml:space="preserve">TAM </v>
      </c>
      <c r="F149" s="3" t="str">
        <f>VLOOKUP(B149,[1]general_report!$B$1:$J$713,9,0)</f>
        <v xml:space="preserve"> TAM Cargo</v>
      </c>
      <c r="G149" s="3" t="s">
        <v>11</v>
      </c>
      <c r="H149" s="3" t="s">
        <v>267</v>
      </c>
      <c r="I149" s="3" t="s">
        <v>13</v>
      </c>
      <c r="J149" s="5">
        <v>42389.620138888888</v>
      </c>
      <c r="K149" s="3"/>
      <c r="L149" s="11">
        <f t="shared" ca="1" si="8"/>
        <v>43.379861111112405</v>
      </c>
      <c r="M149" s="1">
        <f t="shared" si="9"/>
        <v>1</v>
      </c>
      <c r="N149" s="1">
        <f t="shared" si="10"/>
        <v>2016</v>
      </c>
      <c r="O149" s="1" t="str">
        <f t="shared" ca="1" si="11"/>
        <v>entre 30 e 60 dias</v>
      </c>
    </row>
    <row r="150" spans="1:15" ht="25.5" x14ac:dyDescent="0.2">
      <c r="A150" s="3" t="s">
        <v>8</v>
      </c>
      <c r="B150" s="4" t="s">
        <v>347</v>
      </c>
      <c r="C150" s="3" t="s">
        <v>348</v>
      </c>
      <c r="D150" s="3"/>
      <c r="E150" s="3" t="str">
        <f>VLOOKUP(B150,[1]general_report!$B$1:$I$713,8,0)</f>
        <v xml:space="preserve">Contax </v>
      </c>
      <c r="F150" s="3" t="str">
        <f>VLOOKUP(B150,[1]general_report!$B$1:$J$713,9,0)</f>
        <v xml:space="preserve"> Ger Pré</v>
      </c>
      <c r="G150" s="3" t="s">
        <v>11</v>
      </c>
      <c r="H150" s="3" t="s">
        <v>313</v>
      </c>
      <c r="I150" s="3" t="s">
        <v>13</v>
      </c>
      <c r="J150" s="5">
        <v>42388.65347222222</v>
      </c>
      <c r="K150" s="3"/>
      <c r="L150" s="11">
        <f t="shared" ca="1" si="8"/>
        <v>44.346527777779556</v>
      </c>
      <c r="M150" s="1">
        <f t="shared" si="9"/>
        <v>1</v>
      </c>
      <c r="N150" s="1">
        <f t="shared" si="10"/>
        <v>2016</v>
      </c>
      <c r="O150" s="1" t="str">
        <f t="shared" ca="1" si="11"/>
        <v>entre 30 e 60 dias</v>
      </c>
    </row>
    <row r="151" spans="1:15" ht="25.5" x14ac:dyDescent="0.2">
      <c r="A151" s="3" t="s">
        <v>8</v>
      </c>
      <c r="B151" s="4" t="s">
        <v>349</v>
      </c>
      <c r="C151" s="3" t="s">
        <v>350</v>
      </c>
      <c r="D151" s="3"/>
      <c r="E151" s="3" t="str">
        <f>VLOOKUP(B151,[1]general_report!$B$1:$I$713,8,0)</f>
        <v xml:space="preserve">TAM </v>
      </c>
      <c r="F151" s="3" t="str">
        <f>VLOOKUP(B151,[1]general_report!$B$1:$J$713,9,0)</f>
        <v xml:space="preserve"> Viagens</v>
      </c>
      <c r="G151" s="3" t="s">
        <v>11</v>
      </c>
      <c r="H151" s="3" t="s">
        <v>267</v>
      </c>
      <c r="I151" s="3" t="s">
        <v>13</v>
      </c>
      <c r="J151" s="5">
        <v>42383.706250000003</v>
      </c>
      <c r="K151" s="3"/>
      <c r="L151" s="11">
        <f t="shared" ca="1" si="8"/>
        <v>49.29374999999709</v>
      </c>
      <c r="M151" s="1">
        <f t="shared" si="9"/>
        <v>1</v>
      </c>
      <c r="N151" s="1">
        <f t="shared" si="10"/>
        <v>2016</v>
      </c>
      <c r="O151" s="1" t="str">
        <f t="shared" ca="1" si="11"/>
        <v>entre 30 e 60 dias</v>
      </c>
    </row>
    <row r="152" spans="1:15" ht="15" x14ac:dyDescent="0.2">
      <c r="A152" s="3" t="s">
        <v>8</v>
      </c>
      <c r="B152" s="4" t="s">
        <v>351</v>
      </c>
      <c r="C152" s="3" t="s">
        <v>352</v>
      </c>
      <c r="D152" s="3"/>
      <c r="E152" s="3" t="str">
        <f>VLOOKUP(B152,[1]general_report!$B$1:$I$713,8,0)</f>
        <v xml:space="preserve">Contax </v>
      </c>
      <c r="F152" s="3" t="str">
        <f>VLOOKUP(B152,[1]general_report!$B$1:$J$713,9,0)</f>
        <v xml:space="preserve"> Ger Pré</v>
      </c>
      <c r="G152" s="3" t="s">
        <v>11</v>
      </c>
      <c r="H152" s="3" t="s">
        <v>322</v>
      </c>
      <c r="I152" s="3" t="s">
        <v>13</v>
      </c>
      <c r="J152" s="5">
        <v>42381.430555555555</v>
      </c>
      <c r="K152" s="3"/>
      <c r="L152" s="11">
        <f t="shared" ca="1" si="8"/>
        <v>51.569444444445253</v>
      </c>
      <c r="M152" s="1">
        <f t="shared" si="9"/>
        <v>1</v>
      </c>
      <c r="N152" s="1">
        <f t="shared" si="10"/>
        <v>2016</v>
      </c>
      <c r="O152" s="1" t="str">
        <f t="shared" ca="1" si="11"/>
        <v>entre 30 e 60 dias</v>
      </c>
    </row>
    <row r="153" spans="1:15" ht="25.5" x14ac:dyDescent="0.2">
      <c r="A153" s="3" t="s">
        <v>8</v>
      </c>
      <c r="B153" s="4" t="s">
        <v>353</v>
      </c>
      <c r="C153" s="3" t="s">
        <v>337</v>
      </c>
      <c r="D153" s="3"/>
      <c r="E153" s="3" t="str">
        <f>VLOOKUP(B153,[1]general_report!$B$1:$I$713,8,0)</f>
        <v xml:space="preserve">Contax </v>
      </c>
      <c r="F153" s="3" t="str">
        <f>VLOOKUP(B153,[1]general_report!$B$1:$J$713,9,0)</f>
        <v xml:space="preserve"> Ger Pré</v>
      </c>
      <c r="G153" s="3" t="s">
        <v>11</v>
      </c>
      <c r="H153" s="3" t="s">
        <v>313</v>
      </c>
      <c r="I153" s="3" t="s">
        <v>13</v>
      </c>
      <c r="J153" s="5">
        <v>42377.421527777777</v>
      </c>
      <c r="K153" s="3"/>
      <c r="L153" s="11">
        <f t="shared" ca="1" si="8"/>
        <v>55.578472222223354</v>
      </c>
      <c r="M153" s="1">
        <f t="shared" si="9"/>
        <v>1</v>
      </c>
      <c r="N153" s="1">
        <f t="shared" si="10"/>
        <v>2016</v>
      </c>
      <c r="O153" s="1" t="str">
        <f t="shared" ca="1" si="11"/>
        <v>entre 30 e 60 dias</v>
      </c>
    </row>
    <row r="154" spans="1:15" ht="15" x14ac:dyDescent="0.2">
      <c r="A154" s="3" t="s">
        <v>8</v>
      </c>
      <c r="B154" s="4" t="s">
        <v>354</v>
      </c>
      <c r="C154" s="3" t="s">
        <v>355</v>
      </c>
      <c r="D154" s="3"/>
      <c r="E154" s="3" t="str">
        <f>VLOOKUP(B154,[1]general_report!$B$1:$I$713,8,0)</f>
        <v xml:space="preserve">Contax </v>
      </c>
      <c r="F154" s="3" t="str">
        <f>VLOOKUP(B154,[1]general_report!$B$1:$J$713,9,0)</f>
        <v xml:space="preserve"> Ger Seg Inf e Fraude</v>
      </c>
      <c r="G154" s="3" t="s">
        <v>11</v>
      </c>
      <c r="H154" s="3" t="s">
        <v>329</v>
      </c>
      <c r="I154" s="3" t="s">
        <v>13</v>
      </c>
      <c r="J154" s="5">
        <v>42376.676388888889</v>
      </c>
      <c r="K154" s="3"/>
      <c r="L154" s="11">
        <f t="shared" ca="1" si="8"/>
        <v>56.323611111110949</v>
      </c>
      <c r="M154" s="1">
        <f t="shared" si="9"/>
        <v>1</v>
      </c>
      <c r="N154" s="1">
        <f t="shared" si="10"/>
        <v>2016</v>
      </c>
      <c r="O154" s="1" t="str">
        <f t="shared" ca="1" si="11"/>
        <v>entre 30 e 60 dias</v>
      </c>
    </row>
    <row r="155" spans="1:15" ht="15" x14ac:dyDescent="0.2">
      <c r="A155" s="3" t="s">
        <v>8</v>
      </c>
      <c r="B155" s="4" t="s">
        <v>356</v>
      </c>
      <c r="C155" s="3" t="s">
        <v>357</v>
      </c>
      <c r="D155" s="3"/>
      <c r="E155" s="3" t="str">
        <f>VLOOKUP(B155,[1]general_report!$B$1:$I$713,8,0)</f>
        <v xml:space="preserve">Contax </v>
      </c>
      <c r="F155" s="3" t="str">
        <f>VLOOKUP(B155,[1]general_report!$B$1:$J$713,9,0)</f>
        <v xml:space="preserve"> Ger Pré</v>
      </c>
      <c r="G155" s="3" t="s">
        <v>11</v>
      </c>
      <c r="H155" s="3" t="s">
        <v>313</v>
      </c>
      <c r="I155" s="3" t="s">
        <v>13</v>
      </c>
      <c r="J155" s="5">
        <v>42367.756944444445</v>
      </c>
      <c r="K155" s="3"/>
      <c r="L155" s="11">
        <f t="shared" ca="1" si="8"/>
        <v>65.243055555554747</v>
      </c>
      <c r="M155" s="1">
        <f t="shared" si="9"/>
        <v>12</v>
      </c>
      <c r="N155" s="1">
        <f t="shared" si="10"/>
        <v>2015</v>
      </c>
      <c r="O155" s="1" t="str">
        <f t="shared" ca="1" si="11"/>
        <v>entre 60 e 90 dias</v>
      </c>
    </row>
    <row r="156" spans="1:15" ht="15" x14ac:dyDescent="0.2">
      <c r="A156" s="3" t="s">
        <v>8</v>
      </c>
      <c r="B156" s="4" t="s">
        <v>358</v>
      </c>
      <c r="C156" s="3" t="s">
        <v>359</v>
      </c>
      <c r="D156" s="3"/>
      <c r="E156" s="3" t="str">
        <f>VLOOKUP(B156,[1]general_report!$B$1:$I$713,8,0)</f>
        <v xml:space="preserve">Contax </v>
      </c>
      <c r="F156" s="3" t="str">
        <f>VLOOKUP(B156,[1]general_report!$B$1:$J$713,9,0)</f>
        <v xml:space="preserve"> Ger Pré</v>
      </c>
      <c r="G156" s="3" t="s">
        <v>11</v>
      </c>
      <c r="H156" s="3" t="s">
        <v>308</v>
      </c>
      <c r="I156" s="3" t="s">
        <v>13</v>
      </c>
      <c r="J156" s="5">
        <v>42361.65902777778</v>
      </c>
      <c r="K156" s="3"/>
      <c r="L156" s="11">
        <f t="shared" ca="1" si="8"/>
        <v>71.340972222220444</v>
      </c>
      <c r="M156" s="1">
        <f t="shared" si="9"/>
        <v>12</v>
      </c>
      <c r="N156" s="1">
        <f t="shared" si="10"/>
        <v>2015</v>
      </c>
      <c r="O156" s="1" t="str">
        <f t="shared" ca="1" si="11"/>
        <v>entre 60 e 90 dias</v>
      </c>
    </row>
    <row r="157" spans="1:15" ht="15" x14ac:dyDescent="0.2">
      <c r="A157" s="3" t="s">
        <v>8</v>
      </c>
      <c r="B157" s="4" t="s">
        <v>360</v>
      </c>
      <c r="C157" s="3" t="s">
        <v>361</v>
      </c>
      <c r="D157" s="3"/>
      <c r="E157" s="3" t="str">
        <f>VLOOKUP(B157,[1]general_report!$B$1:$I$713,8,0)</f>
        <v xml:space="preserve">Contax </v>
      </c>
      <c r="F157" s="3" t="str">
        <f>VLOOKUP(B157,[1]general_report!$B$1:$J$713,9,0)</f>
        <v xml:space="preserve"> Ger Manutenção</v>
      </c>
      <c r="G157" s="3" t="s">
        <v>340</v>
      </c>
      <c r="H157" s="3" t="s">
        <v>340</v>
      </c>
      <c r="I157" s="3" t="s">
        <v>83</v>
      </c>
      <c r="J157" s="5">
        <v>42360.802083333336</v>
      </c>
      <c r="K157" s="3"/>
      <c r="L157" s="11">
        <f t="shared" ca="1" si="8"/>
        <v>72.197916666664241</v>
      </c>
      <c r="M157" s="1">
        <f t="shared" si="9"/>
        <v>12</v>
      </c>
      <c r="N157" s="1">
        <f t="shared" si="10"/>
        <v>2015</v>
      </c>
      <c r="O157" s="1" t="str">
        <f t="shared" ca="1" si="11"/>
        <v>entre 60 e 90 dias</v>
      </c>
    </row>
    <row r="158" spans="1:15" ht="15" x14ac:dyDescent="0.2">
      <c r="A158" s="3" t="s">
        <v>8</v>
      </c>
      <c r="B158" s="4" t="s">
        <v>362</v>
      </c>
      <c r="C158" s="3" t="s">
        <v>363</v>
      </c>
      <c r="D158" s="3"/>
      <c r="E158" s="3" t="str">
        <f>VLOOKUP(B158,[1]general_report!$B$1:$I$713,8,0)</f>
        <v xml:space="preserve">Contax </v>
      </c>
      <c r="F158" s="3" t="str">
        <f>VLOOKUP(B158,[1]general_report!$B$1:$J$713,9,0)</f>
        <v xml:space="preserve"> Ger Pré</v>
      </c>
      <c r="G158" s="3" t="s">
        <v>18</v>
      </c>
      <c r="H158" s="3" t="s">
        <v>322</v>
      </c>
      <c r="I158" s="3" t="s">
        <v>13</v>
      </c>
      <c r="J158" s="5">
        <v>42359.501388888886</v>
      </c>
      <c r="K158" s="3"/>
      <c r="L158" s="11">
        <f t="shared" ca="1" si="8"/>
        <v>73.49861111111386</v>
      </c>
      <c r="M158" s="1">
        <f t="shared" si="9"/>
        <v>12</v>
      </c>
      <c r="N158" s="1">
        <f t="shared" si="10"/>
        <v>2015</v>
      </c>
      <c r="O158" s="1" t="str">
        <f t="shared" ca="1" si="11"/>
        <v>entre 60 e 90 dias</v>
      </c>
    </row>
    <row r="159" spans="1:15" ht="15" x14ac:dyDescent="0.2">
      <c r="A159" s="3" t="s">
        <v>8</v>
      </c>
      <c r="B159" s="4" t="s">
        <v>364</v>
      </c>
      <c r="C159" s="3" t="s">
        <v>365</v>
      </c>
      <c r="D159" s="3"/>
      <c r="E159" s="3" t="str">
        <f>VLOOKUP(B159,[1]general_report!$B$1:$I$713,8,0)</f>
        <v xml:space="preserve">Contax </v>
      </c>
      <c r="F159" s="3" t="str">
        <f>VLOOKUP(B159,[1]general_report!$B$1:$J$713,9,0)</f>
        <v xml:space="preserve"> Ger Pré</v>
      </c>
      <c r="G159" s="3" t="s">
        <v>18</v>
      </c>
      <c r="H159" s="3" t="s">
        <v>366</v>
      </c>
      <c r="I159" s="3" t="s">
        <v>13</v>
      </c>
      <c r="J159" s="5">
        <v>42340.545138888891</v>
      </c>
      <c r="K159" s="3"/>
      <c r="L159" s="11">
        <f t="shared" ca="1" si="8"/>
        <v>92.454861111109494</v>
      </c>
      <c r="M159" s="1">
        <f t="shared" si="9"/>
        <v>12</v>
      </c>
      <c r="N159" s="1">
        <f t="shared" si="10"/>
        <v>2015</v>
      </c>
      <c r="O159" s="1" t="str">
        <f t="shared" ca="1" si="11"/>
        <v>entre 90 e 150 dias</v>
      </c>
    </row>
    <row r="160" spans="1:15" ht="15" x14ac:dyDescent="0.2">
      <c r="A160" s="3" t="s">
        <v>8</v>
      </c>
      <c r="B160" s="4" t="s">
        <v>367</v>
      </c>
      <c r="C160" s="3" t="s">
        <v>368</v>
      </c>
      <c r="D160" s="3"/>
      <c r="E160" s="3" t="str">
        <f>VLOOKUP(B160,[1]general_report!$B$1:$I$713,8,0)</f>
        <v xml:space="preserve">Contax </v>
      </c>
      <c r="F160" s="3" t="str">
        <f>VLOOKUP(B160,[1]general_report!$B$1:$J$713,9,0)</f>
        <v xml:space="preserve"> Ger Pré</v>
      </c>
      <c r="G160" s="3" t="s">
        <v>18</v>
      </c>
      <c r="H160" s="3" t="s">
        <v>308</v>
      </c>
      <c r="I160" s="3" t="s">
        <v>13</v>
      </c>
      <c r="J160" s="5">
        <v>42325.727083333331</v>
      </c>
      <c r="K160" s="3"/>
      <c r="L160" s="11">
        <f t="shared" ca="1" si="8"/>
        <v>107.27291666666861</v>
      </c>
      <c r="M160" s="1">
        <f t="shared" si="9"/>
        <v>11</v>
      </c>
      <c r="N160" s="1">
        <f t="shared" si="10"/>
        <v>2015</v>
      </c>
      <c r="O160" s="1" t="str">
        <f t="shared" ca="1" si="11"/>
        <v>entre 90 e 150 dias</v>
      </c>
    </row>
    <row r="161" spans="1:15" ht="15" x14ac:dyDescent="0.2">
      <c r="A161" s="3" t="s">
        <v>8</v>
      </c>
      <c r="B161" s="4" t="s">
        <v>369</v>
      </c>
      <c r="C161" s="3" t="s">
        <v>370</v>
      </c>
      <c r="D161" s="3"/>
      <c r="E161" s="3" t="str">
        <f>VLOOKUP(B161,[1]general_report!$B$1:$I$713,8,0)</f>
        <v xml:space="preserve">VIVO </v>
      </c>
      <c r="F161" s="3" t="str">
        <f>VLOOKUP(B161,[1]general_report!$B$1:$J$713,9,0)</f>
        <v xml:space="preserve"> VIVO</v>
      </c>
      <c r="G161" s="3" t="s">
        <v>33</v>
      </c>
      <c r="H161" s="3" t="s">
        <v>26</v>
      </c>
      <c r="I161" s="3" t="s">
        <v>13</v>
      </c>
      <c r="J161" s="5">
        <v>42324.737500000003</v>
      </c>
      <c r="K161" s="3"/>
      <c r="L161" s="11">
        <f t="shared" ca="1" si="8"/>
        <v>108.26249999999709</v>
      </c>
      <c r="M161" s="1">
        <f t="shared" si="9"/>
        <v>11</v>
      </c>
      <c r="N161" s="1">
        <f t="shared" si="10"/>
        <v>2015</v>
      </c>
      <c r="O161" s="1" t="str">
        <f t="shared" ca="1" si="11"/>
        <v>entre 90 e 150 dias</v>
      </c>
    </row>
    <row r="162" spans="1:15" ht="25.5" x14ac:dyDescent="0.2">
      <c r="A162" s="3" t="s">
        <v>8</v>
      </c>
      <c r="B162" s="4" t="s">
        <v>371</v>
      </c>
      <c r="C162" s="3" t="s">
        <v>372</v>
      </c>
      <c r="D162" s="3"/>
      <c r="E162" s="3" t="str">
        <f>VLOOKUP(B162,[1]general_report!$B$1:$I$713,8,0)</f>
        <v xml:space="preserve">Contax </v>
      </c>
      <c r="F162" s="3" t="str">
        <f>VLOOKUP(B162,[1]general_report!$B$1:$J$713,9,0)</f>
        <v xml:space="preserve"> Ger Pré</v>
      </c>
      <c r="G162" s="3" t="s">
        <v>18</v>
      </c>
      <c r="H162" s="3" t="s">
        <v>308</v>
      </c>
      <c r="I162" s="3" t="s">
        <v>13</v>
      </c>
      <c r="J162" s="5">
        <v>42320.511111111111</v>
      </c>
      <c r="K162" s="3"/>
      <c r="L162" s="11">
        <f t="shared" ca="1" si="8"/>
        <v>112.48888888888905</v>
      </c>
      <c r="M162" s="1">
        <f t="shared" si="9"/>
        <v>11</v>
      </c>
      <c r="N162" s="1">
        <f t="shared" si="10"/>
        <v>2015</v>
      </c>
      <c r="O162" s="1" t="str">
        <f t="shared" ca="1" si="11"/>
        <v>entre 90 e 150 dias</v>
      </c>
    </row>
    <row r="163" spans="1:15" ht="25.5" x14ac:dyDescent="0.2">
      <c r="A163" s="3" t="s">
        <v>8</v>
      </c>
      <c r="B163" s="4" t="s">
        <v>373</v>
      </c>
      <c r="C163" s="3" t="s">
        <v>374</v>
      </c>
      <c r="D163" s="3"/>
      <c r="E163" s="3" t="str">
        <f>VLOOKUP(B163,[1]general_report!$B$1:$I$713,8,0)</f>
        <v xml:space="preserve">Contax </v>
      </c>
      <c r="F163" s="3" t="str">
        <f>VLOOKUP(B163,[1]general_report!$B$1:$J$713,9,0)</f>
        <v xml:space="preserve"> Ger Pré</v>
      </c>
      <c r="G163" s="3" t="s">
        <v>18</v>
      </c>
      <c r="H163" s="3" t="s">
        <v>308</v>
      </c>
      <c r="I163" s="3" t="s">
        <v>13</v>
      </c>
      <c r="J163" s="5">
        <v>42313.588888888888</v>
      </c>
      <c r="K163" s="3"/>
      <c r="L163" s="11">
        <f t="shared" ca="1" si="8"/>
        <v>119.4111111111124</v>
      </c>
      <c r="M163" s="1">
        <f t="shared" si="9"/>
        <v>11</v>
      </c>
      <c r="N163" s="1">
        <f t="shared" si="10"/>
        <v>2015</v>
      </c>
      <c r="O163" s="1" t="str">
        <f t="shared" ca="1" si="11"/>
        <v>entre 90 e 150 dias</v>
      </c>
    </row>
    <row r="164" spans="1:15" ht="25.5" x14ac:dyDescent="0.2">
      <c r="A164" s="3" t="s">
        <v>8</v>
      </c>
      <c r="B164" s="4" t="s">
        <v>375</v>
      </c>
      <c r="C164" s="3" t="s">
        <v>376</v>
      </c>
      <c r="D164" s="3"/>
      <c r="E164" s="3" t="str">
        <f>VLOOKUP(B164,[1]general_report!$B$1:$I$713,8,0)</f>
        <v xml:space="preserve">Santander </v>
      </c>
      <c r="F164" s="3" t="str">
        <f>VLOOKUP(B164,[1]general_report!$B$1:$J$713,9,0)</f>
        <v xml:space="preserve"> Crédito Pessoal</v>
      </c>
      <c r="G164" s="3" t="s">
        <v>206</v>
      </c>
      <c r="H164" s="3" t="s">
        <v>18</v>
      </c>
      <c r="I164" s="3" t="s">
        <v>13</v>
      </c>
      <c r="J164" s="5">
        <v>42300.7</v>
      </c>
      <c r="K164" s="3"/>
      <c r="L164" s="11">
        <f t="shared" ca="1" si="8"/>
        <v>132.30000000000291</v>
      </c>
      <c r="M164" s="1">
        <f t="shared" si="9"/>
        <v>10</v>
      </c>
      <c r="N164" s="1">
        <f t="shared" si="10"/>
        <v>2015</v>
      </c>
      <c r="O164" s="1" t="str">
        <f t="shared" ca="1" si="11"/>
        <v>entre 90 e 150 dias</v>
      </c>
    </row>
    <row r="165" spans="1:15" ht="25.5" x14ac:dyDescent="0.2">
      <c r="A165" s="3" t="s">
        <v>8</v>
      </c>
      <c r="B165" s="4" t="s">
        <v>377</v>
      </c>
      <c r="C165" s="3" t="s">
        <v>378</v>
      </c>
      <c r="D165" s="3"/>
      <c r="E165" s="3" t="str">
        <f>VLOOKUP(B165,[1]general_report!$B$1:$I$713,8,0)</f>
        <v xml:space="preserve">Contax </v>
      </c>
      <c r="F165" s="3" t="str">
        <f>VLOOKUP(B165,[1]general_report!$B$1:$J$713,9,0)</f>
        <v xml:space="preserve"> Outro</v>
      </c>
      <c r="G165" s="3" t="s">
        <v>18</v>
      </c>
      <c r="H165" s="3" t="s">
        <v>379</v>
      </c>
      <c r="I165" s="3" t="s">
        <v>13</v>
      </c>
      <c r="J165" s="5">
        <v>42297.761805555558</v>
      </c>
      <c r="K165" s="3"/>
      <c r="L165" s="11">
        <f t="shared" ca="1" si="8"/>
        <v>135.23819444444234</v>
      </c>
      <c r="M165" s="1">
        <f t="shared" si="9"/>
        <v>10</v>
      </c>
      <c r="N165" s="1">
        <f t="shared" si="10"/>
        <v>2015</v>
      </c>
      <c r="O165" s="1" t="str">
        <f t="shared" ca="1" si="11"/>
        <v>entre 90 e 150 dias</v>
      </c>
    </row>
    <row r="166" spans="1:15" ht="15" x14ac:dyDescent="0.2">
      <c r="A166" s="3" t="s">
        <v>8</v>
      </c>
      <c r="B166" s="4" t="s">
        <v>380</v>
      </c>
      <c r="C166" s="3" t="s">
        <v>381</v>
      </c>
      <c r="D166" s="3"/>
      <c r="E166" s="3" t="str">
        <f>VLOOKUP(B166,[1]general_report!$B$1:$I$713,8,0)</f>
        <v xml:space="preserve">Contax </v>
      </c>
      <c r="F166" s="3" t="str">
        <f>VLOOKUP(B166,[1]general_report!$B$1:$J$713,9,0)</f>
        <v xml:space="preserve"> Ger Pré</v>
      </c>
      <c r="G166" s="3" t="s">
        <v>18</v>
      </c>
      <c r="H166" s="3" t="s">
        <v>366</v>
      </c>
      <c r="I166" s="3" t="s">
        <v>13</v>
      </c>
      <c r="J166" s="5">
        <v>42297.695833333331</v>
      </c>
      <c r="K166" s="3"/>
      <c r="L166" s="11">
        <f t="shared" ca="1" si="8"/>
        <v>135.30416666666861</v>
      </c>
      <c r="M166" s="1">
        <f t="shared" si="9"/>
        <v>10</v>
      </c>
      <c r="N166" s="1">
        <f t="shared" si="10"/>
        <v>2015</v>
      </c>
      <c r="O166" s="1" t="str">
        <f t="shared" ca="1" si="11"/>
        <v>entre 90 e 150 dias</v>
      </c>
    </row>
    <row r="167" spans="1:15" ht="25.5" x14ac:dyDescent="0.2">
      <c r="A167" s="3" t="s">
        <v>8</v>
      </c>
      <c r="B167" s="4" t="s">
        <v>382</v>
      </c>
      <c r="C167" s="3" t="s">
        <v>383</v>
      </c>
      <c r="D167" s="3"/>
      <c r="E167" s="3" t="str">
        <f>VLOOKUP(B167,[1]general_report!$B$1:$I$713,8,0)</f>
        <v xml:space="preserve">Contax </v>
      </c>
      <c r="F167" s="3" t="str">
        <f>VLOOKUP(B167,[1]general_report!$B$1:$J$713,9,0)</f>
        <v xml:space="preserve"> Ger Pré</v>
      </c>
      <c r="G167" s="3" t="s">
        <v>308</v>
      </c>
      <c r="H167" s="3" t="s">
        <v>308</v>
      </c>
      <c r="I167" s="3" t="s">
        <v>27</v>
      </c>
      <c r="J167" s="5">
        <v>42296.546527777777</v>
      </c>
      <c r="K167" s="5">
        <v>42388.679166666669</v>
      </c>
      <c r="L167" s="11">
        <f t="shared" ca="1" si="8"/>
        <v>92.132638888891961</v>
      </c>
      <c r="M167" s="1">
        <f t="shared" si="9"/>
        <v>10</v>
      </c>
      <c r="N167" s="1">
        <f t="shared" si="10"/>
        <v>2015</v>
      </c>
      <c r="O167" s="1" t="str">
        <f t="shared" ca="1" si="11"/>
        <v>entre 90 e 150 dias</v>
      </c>
    </row>
    <row r="168" spans="1:15" ht="25.5" x14ac:dyDescent="0.2">
      <c r="A168" s="3" t="s">
        <v>8</v>
      </c>
      <c r="B168" s="4" t="s">
        <v>384</v>
      </c>
      <c r="C168" s="3" t="s">
        <v>385</v>
      </c>
      <c r="D168" s="3"/>
      <c r="E168" s="3" t="str">
        <f>VLOOKUP(B168,[1]general_report!$B$1:$I$713,8,0)</f>
        <v xml:space="preserve">Contax </v>
      </c>
      <c r="F168" s="3" t="str">
        <f>VLOOKUP(B168,[1]general_report!$B$1:$J$713,9,0)</f>
        <v xml:space="preserve"> Ger Pré</v>
      </c>
      <c r="G168" s="3" t="s">
        <v>18</v>
      </c>
      <c r="H168" s="3" t="s">
        <v>308</v>
      </c>
      <c r="I168" s="3" t="s">
        <v>13</v>
      </c>
      <c r="J168" s="5">
        <v>42293.477083333331</v>
      </c>
      <c r="K168" s="3"/>
      <c r="L168" s="11">
        <f t="shared" ca="1" si="8"/>
        <v>139.52291666666861</v>
      </c>
      <c r="M168" s="1">
        <f t="shared" si="9"/>
        <v>10</v>
      </c>
      <c r="N168" s="1">
        <f t="shared" si="10"/>
        <v>2015</v>
      </c>
      <c r="O168" s="1" t="str">
        <f t="shared" ca="1" si="11"/>
        <v>entre 90 e 150 dias</v>
      </c>
    </row>
    <row r="169" spans="1:15" ht="15" x14ac:dyDescent="0.2">
      <c r="A169" s="3" t="s">
        <v>8</v>
      </c>
      <c r="B169" s="4" t="s">
        <v>386</v>
      </c>
      <c r="C169" s="3" t="s">
        <v>387</v>
      </c>
      <c r="D169" s="3"/>
      <c r="E169" s="3" t="str">
        <f>VLOOKUP(B169,[1]general_report!$B$1:$I$713,8,0)</f>
        <v xml:space="preserve">VIVO </v>
      </c>
      <c r="F169" s="3" t="str">
        <f>VLOOKUP(B169,[1]general_report!$B$1:$J$713,9,0)</f>
        <v xml:space="preserve"> VIVO</v>
      </c>
      <c r="G169" s="3" t="s">
        <v>206</v>
      </c>
      <c r="H169" s="3" t="s">
        <v>26</v>
      </c>
      <c r="I169" s="3" t="s">
        <v>48</v>
      </c>
      <c r="J169" s="5">
        <v>42292.648611111108</v>
      </c>
      <c r="K169" s="3"/>
      <c r="L169" s="11">
        <f t="shared" ca="1" si="8"/>
        <v>140.35138888889196</v>
      </c>
      <c r="M169" s="1">
        <f t="shared" si="9"/>
        <v>10</v>
      </c>
      <c r="N169" s="1">
        <f t="shared" si="10"/>
        <v>2015</v>
      </c>
      <c r="O169" s="1" t="str">
        <f t="shared" ca="1" si="11"/>
        <v>entre 90 e 150 dias</v>
      </c>
    </row>
    <row r="170" spans="1:15" ht="25.5" x14ac:dyDescent="0.2">
      <c r="A170" s="3" t="s">
        <v>8</v>
      </c>
      <c r="B170" s="4" t="s">
        <v>388</v>
      </c>
      <c r="C170" s="3" t="s">
        <v>389</v>
      </c>
      <c r="D170" s="3"/>
      <c r="E170" s="3" t="str">
        <f>VLOOKUP(B170,[1]general_report!$B$1:$I$713,8,0)</f>
        <v xml:space="preserve">TAM </v>
      </c>
      <c r="F170" s="3" t="str">
        <f>VLOOKUP(B170,[1]general_report!$B$1:$J$713,9,0)</f>
        <v xml:space="preserve"> TAM Cargo</v>
      </c>
      <c r="G170" s="3" t="s">
        <v>18</v>
      </c>
      <c r="H170" s="3" t="s">
        <v>47</v>
      </c>
      <c r="I170" s="3" t="s">
        <v>48</v>
      </c>
      <c r="J170" s="5">
        <v>42290.72152777778</v>
      </c>
      <c r="K170" s="3"/>
      <c r="L170" s="11">
        <f t="shared" ca="1" si="8"/>
        <v>142.27847222222044</v>
      </c>
      <c r="M170" s="1">
        <f t="shared" si="9"/>
        <v>10</v>
      </c>
      <c r="N170" s="1">
        <f t="shared" si="10"/>
        <v>2015</v>
      </c>
      <c r="O170" s="1" t="str">
        <f t="shared" ca="1" si="11"/>
        <v>entre 90 e 150 dias</v>
      </c>
    </row>
    <row r="171" spans="1:15" ht="15" x14ac:dyDescent="0.2">
      <c r="A171" s="3" t="s">
        <v>8</v>
      </c>
      <c r="B171" s="4" t="s">
        <v>390</v>
      </c>
      <c r="C171" s="3" t="s">
        <v>81</v>
      </c>
      <c r="D171" s="3"/>
      <c r="E171" s="3" t="str">
        <f>VLOOKUP(B171,[1]general_report!$B$1:$I$713,8,0)</f>
        <v xml:space="preserve">Contax </v>
      </c>
      <c r="F171" s="3" t="str">
        <f>VLOOKUP(B171,[1]general_report!$B$1:$J$713,9,0)</f>
        <v xml:space="preserve"> Ger Produtos</v>
      </c>
      <c r="G171" s="3" t="s">
        <v>18</v>
      </c>
      <c r="H171" s="3" t="s">
        <v>391</v>
      </c>
      <c r="I171" s="3" t="s">
        <v>48</v>
      </c>
      <c r="J171" s="5">
        <v>42283.517361111109</v>
      </c>
      <c r="K171" s="3"/>
      <c r="L171" s="11">
        <f t="shared" ca="1" si="8"/>
        <v>149.48263888889051</v>
      </c>
      <c r="M171" s="1">
        <f t="shared" si="9"/>
        <v>10</v>
      </c>
      <c r="N171" s="1">
        <f t="shared" si="10"/>
        <v>2015</v>
      </c>
      <c r="O171" s="1" t="str">
        <f t="shared" ca="1" si="11"/>
        <v>entre 90 e 150 dias</v>
      </c>
    </row>
    <row r="172" spans="1:15" ht="15" x14ac:dyDescent="0.2">
      <c r="A172" s="3" t="s">
        <v>8</v>
      </c>
      <c r="B172" s="4" t="s">
        <v>392</v>
      </c>
      <c r="C172" s="3" t="s">
        <v>393</v>
      </c>
      <c r="D172" s="3"/>
      <c r="E172" s="3" t="str">
        <f>VLOOKUP(B172,[1]general_report!$B$1:$I$713,8,0)</f>
        <v xml:space="preserve">TAM </v>
      </c>
      <c r="F172" s="3" t="str">
        <f>VLOOKUP(B172,[1]general_report!$B$1:$J$713,9,0)</f>
        <v xml:space="preserve"> Apoio</v>
      </c>
      <c r="G172" s="3" t="s">
        <v>241</v>
      </c>
      <c r="H172" s="3" t="s">
        <v>267</v>
      </c>
      <c r="I172" s="3" t="s">
        <v>48</v>
      </c>
      <c r="J172" s="5">
        <v>42277.496527777781</v>
      </c>
      <c r="K172" s="3"/>
      <c r="L172" s="11">
        <f t="shared" ca="1" si="8"/>
        <v>155.50347222221899</v>
      </c>
      <c r="M172" s="1">
        <f t="shared" si="9"/>
        <v>9</v>
      </c>
      <c r="N172" s="1">
        <f t="shared" si="10"/>
        <v>2015</v>
      </c>
      <c r="O172" s="1" t="str">
        <f t="shared" ca="1" si="11"/>
        <v>mais de 150 dias</v>
      </c>
    </row>
    <row r="173" spans="1:15" ht="15" x14ac:dyDescent="0.2">
      <c r="A173" s="3" t="s">
        <v>8</v>
      </c>
      <c r="B173" s="4" t="s">
        <v>394</v>
      </c>
      <c r="C173" s="3" t="s">
        <v>81</v>
      </c>
      <c r="D173" s="3"/>
      <c r="E173" s="3" t="str">
        <f>VLOOKUP(B173,[1]general_report!$B$1:$I$713,8,0)</f>
        <v xml:space="preserve">Contax </v>
      </c>
      <c r="F173" s="3" t="str">
        <f>VLOOKUP(B173,[1]general_report!$B$1:$J$713,9,0)</f>
        <v xml:space="preserve"> Ger Produtos</v>
      </c>
      <c r="G173" s="3" t="s">
        <v>18</v>
      </c>
      <c r="H173" s="3" t="s">
        <v>391</v>
      </c>
      <c r="I173" s="3" t="s">
        <v>234</v>
      </c>
      <c r="J173" s="5">
        <v>42257.688888888886</v>
      </c>
      <c r="K173" s="3"/>
      <c r="L173" s="11">
        <f t="shared" ca="1" si="8"/>
        <v>175.31111111111386</v>
      </c>
      <c r="M173" s="1">
        <f t="shared" si="9"/>
        <v>9</v>
      </c>
      <c r="N173" s="1">
        <f t="shared" si="10"/>
        <v>2015</v>
      </c>
      <c r="O173" s="1" t="str">
        <f t="shared" ca="1" si="11"/>
        <v>mais de 150 dias</v>
      </c>
    </row>
    <row r="174" spans="1:15" ht="25.5" x14ac:dyDescent="0.2">
      <c r="A174" s="3" t="s">
        <v>8</v>
      </c>
      <c r="B174" s="4" t="s">
        <v>395</v>
      </c>
      <c r="C174" s="3" t="s">
        <v>396</v>
      </c>
      <c r="D174" s="3"/>
      <c r="E174" s="3" t="str">
        <f>VLOOKUP(B174,[1]general_report!$B$1:$I$713,8,0)</f>
        <v xml:space="preserve">Contax </v>
      </c>
      <c r="F174" s="3" t="str">
        <f>VLOOKUP(B174,[1]general_report!$B$1:$J$713,9,0)</f>
        <v xml:space="preserve"> Ger Pré</v>
      </c>
      <c r="G174" s="3" t="s">
        <v>18</v>
      </c>
      <c r="H174" s="3" t="s">
        <v>308</v>
      </c>
      <c r="I174" s="3" t="s">
        <v>48</v>
      </c>
      <c r="J174" s="5">
        <v>42256.786111111112</v>
      </c>
      <c r="K174" s="3"/>
      <c r="L174" s="11">
        <f t="shared" ca="1" si="8"/>
        <v>176.2138888888876</v>
      </c>
      <c r="M174" s="1">
        <f t="shared" si="9"/>
        <v>9</v>
      </c>
      <c r="N174" s="1">
        <f t="shared" si="10"/>
        <v>2015</v>
      </c>
      <c r="O174" s="1" t="str">
        <f t="shared" ca="1" si="11"/>
        <v>mais de 150 dias</v>
      </c>
    </row>
    <row r="175" spans="1:15" ht="25.5" x14ac:dyDescent="0.2">
      <c r="A175" s="3" t="s">
        <v>8</v>
      </c>
      <c r="B175" s="4" t="s">
        <v>397</v>
      </c>
      <c r="C175" s="3" t="s">
        <v>81</v>
      </c>
      <c r="D175" s="3"/>
      <c r="E175" s="3" t="str">
        <f>VLOOKUP(B175,[1]general_report!$B$1:$I$713,8,0)</f>
        <v xml:space="preserve">Contax </v>
      </c>
      <c r="F175" s="3" t="str">
        <f>VLOOKUP(B175,[1]general_report!$B$1:$J$713,9,0)</f>
        <v xml:space="preserve"> Ger Planejamento SAC</v>
      </c>
      <c r="G175" s="3" t="s">
        <v>241</v>
      </c>
      <c r="H175" s="3" t="s">
        <v>398</v>
      </c>
      <c r="I175" s="3" t="s">
        <v>48</v>
      </c>
      <c r="J175" s="5">
        <v>42250.698611111111</v>
      </c>
      <c r="K175" s="3"/>
      <c r="L175" s="11">
        <f t="shared" ca="1" si="8"/>
        <v>182.30138888888905</v>
      </c>
      <c r="M175" s="1">
        <f t="shared" si="9"/>
        <v>9</v>
      </c>
      <c r="N175" s="1">
        <f t="shared" si="10"/>
        <v>2015</v>
      </c>
      <c r="O175" s="1" t="str">
        <f t="shared" ca="1" si="11"/>
        <v>mais de 150 dias</v>
      </c>
    </row>
    <row r="176" spans="1:15" ht="25.5" x14ac:dyDescent="0.2">
      <c r="A176" s="3" t="s">
        <v>8</v>
      </c>
      <c r="B176" s="4" t="s">
        <v>399</v>
      </c>
      <c r="C176" s="3" t="s">
        <v>81</v>
      </c>
      <c r="D176" s="3"/>
      <c r="E176" s="3" t="str">
        <f>VLOOKUP(B176,[1]general_report!$B$1:$I$713,8,0)</f>
        <v xml:space="preserve">Contax </v>
      </c>
      <c r="F176" s="3" t="str">
        <f>VLOOKUP(B176,[1]general_report!$B$1:$J$713,9,0)</f>
        <v xml:space="preserve"> Ger Planejamento SAC</v>
      </c>
      <c r="G176" s="3" t="s">
        <v>18</v>
      </c>
      <c r="H176" s="3" t="s">
        <v>398</v>
      </c>
      <c r="I176" s="3" t="s">
        <v>48</v>
      </c>
      <c r="J176" s="5">
        <v>42249.685416666667</v>
      </c>
      <c r="K176" s="3"/>
      <c r="L176" s="11">
        <f t="shared" ca="1" si="8"/>
        <v>183.31458333333285</v>
      </c>
      <c r="M176" s="1">
        <f t="shared" si="9"/>
        <v>9</v>
      </c>
      <c r="N176" s="1">
        <f t="shared" si="10"/>
        <v>2015</v>
      </c>
      <c r="O176" s="1" t="str">
        <f t="shared" ca="1" si="11"/>
        <v>mais de 150 dias</v>
      </c>
    </row>
    <row r="177" spans="1:15" ht="25.5" x14ac:dyDescent="0.2">
      <c r="A177" s="3" t="s">
        <v>8</v>
      </c>
      <c r="B177" s="4" t="s">
        <v>400</v>
      </c>
      <c r="C177" s="3" t="s">
        <v>401</v>
      </c>
      <c r="D177" s="3"/>
      <c r="E177" s="3" t="str">
        <f>VLOOKUP(B177,[1]general_report!$B$1:$I$713,8,0)</f>
        <v xml:space="preserve">VIVO </v>
      </c>
      <c r="F177" s="3" t="str">
        <f>VLOOKUP(B177,[1]general_report!$B$1:$J$713,9,0)</f>
        <v xml:space="preserve"> VIVO</v>
      </c>
      <c r="G177" s="3" t="s">
        <v>402</v>
      </c>
      <c r="H177" s="3" t="s">
        <v>26</v>
      </c>
      <c r="I177" s="3" t="s">
        <v>207</v>
      </c>
      <c r="J177" s="5">
        <v>42243.505555555559</v>
      </c>
      <c r="K177" s="3"/>
      <c r="L177" s="11">
        <f t="shared" ca="1" si="8"/>
        <v>189.49444444444089</v>
      </c>
      <c r="M177" s="1">
        <f t="shared" si="9"/>
        <v>8</v>
      </c>
      <c r="N177" s="1">
        <f t="shared" si="10"/>
        <v>2015</v>
      </c>
      <c r="O177" s="1" t="str">
        <f t="shared" ca="1" si="11"/>
        <v>mais de 150 dias</v>
      </c>
    </row>
    <row r="178" spans="1:15" ht="15" x14ac:dyDescent="0.2">
      <c r="A178" s="3" t="s">
        <v>8</v>
      </c>
      <c r="B178" s="4" t="s">
        <v>403</v>
      </c>
      <c r="C178" s="3" t="s">
        <v>404</v>
      </c>
      <c r="D178" s="3"/>
      <c r="E178" s="3" t="str">
        <f>VLOOKUP(B178,[1]general_report!$B$1:$I$713,8,0)</f>
        <v xml:space="preserve">Contax </v>
      </c>
      <c r="F178" s="3" t="str">
        <f>VLOOKUP(B178,[1]general_report!$B$1:$J$713,9,0)</f>
        <v xml:space="preserve"> Outro</v>
      </c>
      <c r="G178" s="3" t="s">
        <v>206</v>
      </c>
      <c r="H178" s="3" t="s">
        <v>405</v>
      </c>
      <c r="I178" s="3" t="s">
        <v>207</v>
      </c>
      <c r="J178" s="5">
        <v>42235.631944444445</v>
      </c>
      <c r="K178" s="3"/>
      <c r="L178" s="11">
        <f t="shared" ca="1" si="8"/>
        <v>197.36805555555475</v>
      </c>
      <c r="M178" s="1">
        <f t="shared" si="9"/>
        <v>8</v>
      </c>
      <c r="N178" s="1">
        <f t="shared" si="10"/>
        <v>2015</v>
      </c>
      <c r="O178" s="1" t="str">
        <f t="shared" ca="1" si="11"/>
        <v>mais de 150 dias</v>
      </c>
    </row>
    <row r="179" spans="1:15" ht="15" x14ac:dyDescent="0.2">
      <c r="A179" s="3" t="s">
        <v>8</v>
      </c>
      <c r="B179" s="4" t="s">
        <v>406</v>
      </c>
      <c r="C179" s="3" t="s">
        <v>407</v>
      </c>
      <c r="D179" s="3"/>
      <c r="E179" s="3" t="str">
        <f>VLOOKUP(B179,[1]general_report!$B$1:$I$713,8,0)</f>
        <v xml:space="preserve">Contax </v>
      </c>
      <c r="F179" s="3" t="str">
        <f>VLOOKUP(B179,[1]general_report!$B$1:$J$713,9,0)</f>
        <v xml:space="preserve"> Outro</v>
      </c>
      <c r="G179" s="3" t="s">
        <v>206</v>
      </c>
      <c r="H179" s="3" t="s">
        <v>405</v>
      </c>
      <c r="I179" s="3" t="s">
        <v>234</v>
      </c>
      <c r="J179" s="5">
        <v>42235.628472222219</v>
      </c>
      <c r="K179" s="3"/>
      <c r="L179" s="11">
        <f t="shared" ca="1" si="8"/>
        <v>197.37152777778101</v>
      </c>
      <c r="M179" s="1">
        <f t="shared" si="9"/>
        <v>8</v>
      </c>
      <c r="N179" s="1">
        <f t="shared" si="10"/>
        <v>2015</v>
      </c>
      <c r="O179" s="1" t="str">
        <f t="shared" ca="1" si="11"/>
        <v>mais de 150 dias</v>
      </c>
    </row>
    <row r="180" spans="1:15" ht="15" x14ac:dyDescent="0.2">
      <c r="A180" s="3" t="s">
        <v>8</v>
      </c>
      <c r="B180" s="4" t="s">
        <v>408</v>
      </c>
      <c r="C180" s="3" t="s">
        <v>409</v>
      </c>
      <c r="D180" s="3"/>
      <c r="E180" s="3" t="str">
        <f>VLOOKUP(B180,[1]general_report!$B$1:$I$713,8,0)</f>
        <v xml:space="preserve">Contax </v>
      </c>
      <c r="F180" s="3" t="str">
        <f>VLOOKUP(B180,[1]general_report!$B$1:$J$713,9,0)</f>
        <v xml:space="preserve"> Outro</v>
      </c>
      <c r="G180" s="3" t="s">
        <v>206</v>
      </c>
      <c r="H180" s="3" t="s">
        <v>405</v>
      </c>
      <c r="I180" s="3" t="s">
        <v>234</v>
      </c>
      <c r="J180" s="5">
        <v>42235.625</v>
      </c>
      <c r="K180" s="3"/>
      <c r="L180" s="11">
        <f t="shared" ca="1" si="8"/>
        <v>197.375</v>
      </c>
      <c r="M180" s="1">
        <f t="shared" si="9"/>
        <v>8</v>
      </c>
      <c r="N180" s="1">
        <f t="shared" si="10"/>
        <v>2015</v>
      </c>
      <c r="O180" s="1" t="str">
        <f t="shared" ca="1" si="11"/>
        <v>mais de 150 dias</v>
      </c>
    </row>
    <row r="181" spans="1:15" ht="15" x14ac:dyDescent="0.2">
      <c r="A181" s="3" t="s">
        <v>8</v>
      </c>
      <c r="B181" s="4" t="s">
        <v>410</v>
      </c>
      <c r="C181" s="3" t="s">
        <v>411</v>
      </c>
      <c r="D181" s="3"/>
      <c r="E181" s="3" t="str">
        <f>VLOOKUP(B181,[1]general_report!$B$1:$I$713,8,0)</f>
        <v xml:space="preserve">Contax </v>
      </c>
      <c r="F181" s="3" t="str">
        <f>VLOOKUP(B181,[1]general_report!$B$1:$J$713,9,0)</f>
        <v xml:space="preserve"> Outro</v>
      </c>
      <c r="G181" s="3" t="s">
        <v>18</v>
      </c>
      <c r="H181" s="3" t="s">
        <v>405</v>
      </c>
      <c r="I181" s="3" t="s">
        <v>13</v>
      </c>
      <c r="J181" s="5">
        <v>42234.657638888886</v>
      </c>
      <c r="K181" s="3"/>
      <c r="L181" s="11">
        <f t="shared" ca="1" si="8"/>
        <v>198.34236111111386</v>
      </c>
      <c r="M181" s="1">
        <f t="shared" si="9"/>
        <v>8</v>
      </c>
      <c r="N181" s="1">
        <f t="shared" si="10"/>
        <v>2015</v>
      </c>
      <c r="O181" s="1" t="str">
        <f t="shared" ca="1" si="11"/>
        <v>mais de 150 dias</v>
      </c>
    </row>
    <row r="182" spans="1:15" ht="15" x14ac:dyDescent="0.2">
      <c r="A182" s="3" t="s">
        <v>8</v>
      </c>
      <c r="B182" s="4" t="s">
        <v>412</v>
      </c>
      <c r="C182" s="3" t="s">
        <v>81</v>
      </c>
      <c r="D182" s="3"/>
      <c r="E182" s="3" t="str">
        <f>VLOOKUP(B182,[1]general_report!$B$1:$I$713,8,0)</f>
        <v xml:space="preserve">Contax </v>
      </c>
      <c r="F182" s="3" t="str">
        <f>VLOOKUP(B182,[1]general_report!$B$1:$J$713,9,0)</f>
        <v xml:space="preserve"> Ger Produtos</v>
      </c>
      <c r="G182" s="3" t="s">
        <v>18</v>
      </c>
      <c r="H182" s="3" t="s">
        <v>391</v>
      </c>
      <c r="I182" s="3" t="s">
        <v>48</v>
      </c>
      <c r="J182" s="5">
        <v>42233.49722222222</v>
      </c>
      <c r="K182" s="3"/>
      <c r="L182" s="11">
        <f t="shared" ca="1" si="8"/>
        <v>199.50277777777956</v>
      </c>
      <c r="M182" s="1">
        <f t="shared" si="9"/>
        <v>8</v>
      </c>
      <c r="N182" s="1">
        <f t="shared" si="10"/>
        <v>2015</v>
      </c>
      <c r="O182" s="1" t="str">
        <f t="shared" ca="1" si="11"/>
        <v>mais de 150 dias</v>
      </c>
    </row>
    <row r="183" spans="1:15" ht="25.5" x14ac:dyDescent="0.2">
      <c r="A183" s="3" t="s">
        <v>8</v>
      </c>
      <c r="B183" s="4" t="s">
        <v>413</v>
      </c>
      <c r="C183" s="3" t="s">
        <v>414</v>
      </c>
      <c r="D183" s="3"/>
      <c r="E183" s="3" t="str">
        <f>VLOOKUP(B183,[1]general_report!$B$1:$I$713,8,0)</f>
        <v xml:space="preserve">VIVO </v>
      </c>
      <c r="F183" s="3" t="str">
        <f>VLOOKUP(B183,[1]general_report!$B$1:$J$713,9,0)</f>
        <v xml:space="preserve"> VIVO</v>
      </c>
      <c r="G183" s="3" t="s">
        <v>18</v>
      </c>
      <c r="H183" s="3" t="s">
        <v>94</v>
      </c>
      <c r="I183" s="3" t="s">
        <v>48</v>
      </c>
      <c r="J183" s="5">
        <v>42216.699305555558</v>
      </c>
      <c r="K183" s="3"/>
      <c r="L183" s="11">
        <f t="shared" ca="1" si="8"/>
        <v>216.30069444444234</v>
      </c>
      <c r="M183" s="1">
        <f t="shared" si="9"/>
        <v>7</v>
      </c>
      <c r="N183" s="1">
        <f t="shared" si="10"/>
        <v>2015</v>
      </c>
      <c r="O183" s="1" t="str">
        <f t="shared" ca="1" si="11"/>
        <v>mais de 150 dias</v>
      </c>
    </row>
    <row r="184" spans="1:15" ht="15" x14ac:dyDescent="0.2">
      <c r="A184" s="3" t="s">
        <v>8</v>
      </c>
      <c r="B184" s="4" t="s">
        <v>415</v>
      </c>
      <c r="C184" s="3" t="s">
        <v>81</v>
      </c>
      <c r="D184" s="3"/>
      <c r="E184" s="3" t="str">
        <f>VLOOKUP(B184,[1]general_report!$B$1:$I$713,8,0)</f>
        <v xml:space="preserve">Contax </v>
      </c>
      <c r="F184" s="3" t="str">
        <f>VLOOKUP(B184,[1]general_report!$B$1:$J$713,9,0)</f>
        <v xml:space="preserve"> Ger Seg Inf e Fraude</v>
      </c>
      <c r="G184" s="3" t="s">
        <v>18</v>
      </c>
      <c r="H184" s="3" t="s">
        <v>416</v>
      </c>
      <c r="I184" s="3" t="s">
        <v>234</v>
      </c>
      <c r="J184" s="5">
        <v>42207.728472222225</v>
      </c>
      <c r="K184" s="3"/>
      <c r="L184" s="11">
        <f t="shared" ca="1" si="8"/>
        <v>225.27152777777519</v>
      </c>
      <c r="M184" s="1">
        <f t="shared" si="9"/>
        <v>7</v>
      </c>
      <c r="N184" s="1">
        <f t="shared" si="10"/>
        <v>2015</v>
      </c>
      <c r="O184" s="1" t="str">
        <f t="shared" ca="1" si="11"/>
        <v>mais de 150 dias</v>
      </c>
    </row>
    <row r="185" spans="1:15" ht="15" x14ac:dyDescent="0.2">
      <c r="A185" s="3" t="s">
        <v>8</v>
      </c>
      <c r="B185" s="4" t="s">
        <v>417</v>
      </c>
      <c r="C185" s="3" t="s">
        <v>81</v>
      </c>
      <c r="D185" s="3"/>
      <c r="E185" s="3" t="str">
        <f>VLOOKUP(B185,[1]general_report!$B$1:$I$713,8,0)</f>
        <v xml:space="preserve">Contax </v>
      </c>
      <c r="F185" s="3" t="str">
        <f>VLOOKUP(B185,[1]general_report!$B$1:$J$713,9,0)</f>
        <v xml:space="preserve"> Ger Seg Inf e Fraude</v>
      </c>
      <c r="G185" s="3" t="s">
        <v>18</v>
      </c>
      <c r="H185" s="3" t="s">
        <v>329</v>
      </c>
      <c r="I185" s="3" t="s">
        <v>48</v>
      </c>
      <c r="J185" s="5">
        <v>42192.793055555558</v>
      </c>
      <c r="K185" s="3"/>
      <c r="L185" s="11">
        <f t="shared" ca="1" si="8"/>
        <v>240.20694444444234</v>
      </c>
      <c r="M185" s="1">
        <f t="shared" si="9"/>
        <v>7</v>
      </c>
      <c r="N185" s="1">
        <f t="shared" si="10"/>
        <v>2015</v>
      </c>
      <c r="O185" s="1" t="str">
        <f t="shared" ca="1" si="11"/>
        <v>mais de 150 dias</v>
      </c>
    </row>
    <row r="186" spans="1:15" ht="25.5" x14ac:dyDescent="0.2">
      <c r="A186" s="3" t="s">
        <v>8</v>
      </c>
      <c r="B186" s="4" t="s">
        <v>418</v>
      </c>
      <c r="C186" s="3" t="s">
        <v>81</v>
      </c>
      <c r="D186" s="3"/>
      <c r="E186" s="3" t="str">
        <f>VLOOKUP(B186,[1]general_report!$B$1:$I$713,8,0)</f>
        <v xml:space="preserve">Contax </v>
      </c>
      <c r="F186" s="3" t="str">
        <f>VLOOKUP(B186,[1]general_report!$B$1:$J$713,9,0)</f>
        <v xml:space="preserve"> Ger Segurança Patrimonial</v>
      </c>
      <c r="G186" s="3" t="s">
        <v>419</v>
      </c>
      <c r="H186" s="3" t="s">
        <v>420</v>
      </c>
      <c r="I186" s="3" t="s">
        <v>207</v>
      </c>
      <c r="J186" s="5">
        <v>42191.456944444442</v>
      </c>
      <c r="K186" s="3"/>
      <c r="L186" s="11">
        <f t="shared" ca="1" si="8"/>
        <v>241.54305555555766</v>
      </c>
      <c r="M186" s="1">
        <f t="shared" si="9"/>
        <v>7</v>
      </c>
      <c r="N186" s="1">
        <f t="shared" si="10"/>
        <v>2015</v>
      </c>
      <c r="O186" s="1" t="str">
        <f t="shared" ca="1" si="11"/>
        <v>mais de 150 dias</v>
      </c>
    </row>
    <row r="187" spans="1:15" ht="25.5" x14ac:dyDescent="0.2">
      <c r="A187" s="3" t="s">
        <v>8</v>
      </c>
      <c r="B187" s="4" t="s">
        <v>421</v>
      </c>
      <c r="C187" s="3" t="s">
        <v>81</v>
      </c>
      <c r="D187" s="3"/>
      <c r="E187" s="3" t="str">
        <f>VLOOKUP(B187,[1]general_report!$B$1:$I$713,8,0)</f>
        <v xml:space="preserve">Contax </v>
      </c>
      <c r="F187" s="3" t="str">
        <f>VLOOKUP(B187,[1]general_report!$B$1:$J$713,9,0)</f>
        <v xml:space="preserve"> Ger Segurança Patrimonial</v>
      </c>
      <c r="G187" s="3" t="s">
        <v>18</v>
      </c>
      <c r="H187" s="3" t="s">
        <v>420</v>
      </c>
      <c r="I187" s="3" t="s">
        <v>48</v>
      </c>
      <c r="J187" s="5">
        <v>42187.531944444447</v>
      </c>
      <c r="K187" s="3"/>
      <c r="L187" s="11">
        <f t="shared" ca="1" si="8"/>
        <v>245.46805555555329</v>
      </c>
      <c r="M187" s="1">
        <f t="shared" si="9"/>
        <v>7</v>
      </c>
      <c r="N187" s="1">
        <f t="shared" si="10"/>
        <v>2015</v>
      </c>
      <c r="O187" s="1" t="str">
        <f t="shared" ca="1" si="11"/>
        <v>mais de 150 dias</v>
      </c>
    </row>
    <row r="188" spans="1:15" ht="25.5" x14ac:dyDescent="0.2">
      <c r="A188" s="3" t="s">
        <v>8</v>
      </c>
      <c r="B188" s="4" t="s">
        <v>422</v>
      </c>
      <c r="C188" s="3" t="s">
        <v>81</v>
      </c>
      <c r="D188" s="3"/>
      <c r="E188" s="3" t="str">
        <f>VLOOKUP(B188,[1]general_report!$B$1:$I$713,8,0)</f>
        <v xml:space="preserve">Contax </v>
      </c>
      <c r="F188" s="3" t="str">
        <f>VLOOKUP(B188,[1]general_report!$B$1:$J$713,9,0)</f>
        <v xml:space="preserve"> Ger Segurança Patrimonial</v>
      </c>
      <c r="G188" s="3" t="s">
        <v>18</v>
      </c>
      <c r="H188" s="3" t="s">
        <v>420</v>
      </c>
      <c r="I188" s="3" t="s">
        <v>234</v>
      </c>
      <c r="J188" s="5">
        <v>42180.524305555555</v>
      </c>
      <c r="K188" s="3"/>
      <c r="L188" s="11">
        <f t="shared" ca="1" si="8"/>
        <v>252.47569444444525</v>
      </c>
      <c r="M188" s="1">
        <f t="shared" si="9"/>
        <v>6</v>
      </c>
      <c r="N188" s="1">
        <f t="shared" si="10"/>
        <v>2015</v>
      </c>
      <c r="O188" s="1" t="str">
        <f t="shared" ca="1" si="11"/>
        <v>mais de 150 dias</v>
      </c>
    </row>
    <row r="189" spans="1:15" ht="25.5" x14ac:dyDescent="0.2">
      <c r="A189" s="3" t="s">
        <v>8</v>
      </c>
      <c r="B189" s="4" t="s">
        <v>423</v>
      </c>
      <c r="C189" s="3" t="s">
        <v>81</v>
      </c>
      <c r="D189" s="3"/>
      <c r="E189" s="3" t="str">
        <f>VLOOKUP(B189,[1]general_report!$B$1:$I$713,8,0)</f>
        <v xml:space="preserve">Contax </v>
      </c>
      <c r="F189" s="3" t="str">
        <f>VLOOKUP(B189,[1]general_report!$B$1:$J$713,9,0)</f>
        <v xml:space="preserve"> Ger Segurança Patrimonial</v>
      </c>
      <c r="G189" s="3" t="s">
        <v>18</v>
      </c>
      <c r="H189" s="3" t="s">
        <v>420</v>
      </c>
      <c r="I189" s="3" t="s">
        <v>234</v>
      </c>
      <c r="J189" s="5">
        <v>42180.467361111114</v>
      </c>
      <c r="K189" s="3"/>
      <c r="L189" s="11">
        <f t="shared" ca="1" si="8"/>
        <v>252.53263888888614</v>
      </c>
      <c r="M189" s="1">
        <f t="shared" si="9"/>
        <v>6</v>
      </c>
      <c r="N189" s="1">
        <f t="shared" si="10"/>
        <v>2015</v>
      </c>
      <c r="O189" s="1" t="str">
        <f t="shared" ca="1" si="11"/>
        <v>mais de 150 dias</v>
      </c>
    </row>
    <row r="190" spans="1:15" ht="25.5" x14ac:dyDescent="0.2">
      <c r="A190" s="3" t="s">
        <v>8</v>
      </c>
      <c r="B190" s="4" t="s">
        <v>424</v>
      </c>
      <c r="C190" s="3" t="s">
        <v>425</v>
      </c>
      <c r="D190" s="3"/>
      <c r="E190" s="3" t="str">
        <f>VLOOKUP(B190,[1]general_report!$B$1:$I$713,8,0)</f>
        <v xml:space="preserve">Orbitall </v>
      </c>
      <c r="F190" s="3" t="str">
        <f>VLOOKUP(B190,[1]general_report!$B$1:$J$713,9,0)</f>
        <v xml:space="preserve"> SAC Central Bancos (C)</v>
      </c>
      <c r="G190" s="3" t="s">
        <v>18</v>
      </c>
      <c r="H190" s="3" t="s">
        <v>426</v>
      </c>
      <c r="I190" s="3" t="s">
        <v>48</v>
      </c>
      <c r="J190" s="5">
        <v>42158.615277777775</v>
      </c>
      <c r="K190" s="3"/>
      <c r="L190" s="11">
        <f t="shared" ca="1" si="8"/>
        <v>274.38472222222481</v>
      </c>
      <c r="M190" s="1">
        <f t="shared" si="9"/>
        <v>6</v>
      </c>
      <c r="N190" s="1">
        <f t="shared" si="10"/>
        <v>2015</v>
      </c>
      <c r="O190" s="1" t="str">
        <f t="shared" ca="1" si="11"/>
        <v>mais de 150 dias</v>
      </c>
    </row>
    <row r="191" spans="1:15" ht="38.25" x14ac:dyDescent="0.2">
      <c r="A191" s="3" t="s">
        <v>8</v>
      </c>
      <c r="B191" s="4" t="s">
        <v>427</v>
      </c>
      <c r="C191" s="3" t="s">
        <v>428</v>
      </c>
      <c r="D191" s="3"/>
      <c r="E191" s="3" t="str">
        <f>VLOOKUP(B191,[1]general_report!$B$1:$I$713,8,0)</f>
        <v xml:space="preserve">Contax </v>
      </c>
      <c r="F191" s="3" t="str">
        <f>VLOOKUP(B191,[1]general_report!$B$1:$J$713,9,0)</f>
        <v xml:space="preserve"> Outro</v>
      </c>
      <c r="G191" s="3" t="s">
        <v>18</v>
      </c>
      <c r="H191" s="3" t="s">
        <v>426</v>
      </c>
      <c r="I191" s="3" t="s">
        <v>48</v>
      </c>
      <c r="J191" s="5">
        <v>42158.609722222223</v>
      </c>
      <c r="K191" s="3"/>
      <c r="L191" s="11">
        <f t="shared" ca="1" si="8"/>
        <v>274.39027777777665</v>
      </c>
      <c r="M191" s="1">
        <f t="shared" si="9"/>
        <v>6</v>
      </c>
      <c r="N191" s="1">
        <f t="shared" si="10"/>
        <v>2015</v>
      </c>
      <c r="O191" s="1" t="str">
        <f t="shared" ca="1" si="11"/>
        <v>mais de 150 dias</v>
      </c>
    </row>
    <row r="192" spans="1:15" ht="25.5" x14ac:dyDescent="0.2">
      <c r="A192" s="3" t="s">
        <v>8</v>
      </c>
      <c r="B192" s="4" t="s">
        <v>429</v>
      </c>
      <c r="C192" s="3" t="s">
        <v>430</v>
      </c>
      <c r="D192" s="3"/>
      <c r="E192" s="3" t="str">
        <f>VLOOKUP(B192,[1]general_report!$B$1:$I$713,8,0)</f>
        <v xml:space="preserve">Contax </v>
      </c>
      <c r="F192" s="3" t="str">
        <f>VLOOKUP(B192,[1]general_report!$B$1:$J$713,9,0)</f>
        <v xml:space="preserve"> Outro</v>
      </c>
      <c r="G192" s="3" t="s">
        <v>18</v>
      </c>
      <c r="H192" s="3" t="s">
        <v>426</v>
      </c>
      <c r="I192" s="3" t="s">
        <v>48</v>
      </c>
      <c r="J192" s="5">
        <v>42158.606944444444</v>
      </c>
      <c r="K192" s="3"/>
      <c r="L192" s="11">
        <f t="shared" ca="1" si="8"/>
        <v>274.3930555555562</v>
      </c>
      <c r="M192" s="1">
        <f t="shared" si="9"/>
        <v>6</v>
      </c>
      <c r="N192" s="1">
        <f t="shared" si="10"/>
        <v>2015</v>
      </c>
      <c r="O192" s="1" t="str">
        <f t="shared" ca="1" si="11"/>
        <v>mais de 150 dias</v>
      </c>
    </row>
    <row r="193" spans="1:15" ht="25.5" x14ac:dyDescent="0.2">
      <c r="A193" s="3" t="s">
        <v>8</v>
      </c>
      <c r="B193" s="4" t="s">
        <v>431</v>
      </c>
      <c r="C193" s="3" t="s">
        <v>432</v>
      </c>
      <c r="D193" s="3"/>
      <c r="E193" s="3" t="str">
        <f>VLOOKUP(B193,[1]general_report!$B$1:$I$713,8,0)</f>
        <v xml:space="preserve">Contax </v>
      </c>
      <c r="F193" s="3" t="str">
        <f>VLOOKUP(B193,[1]general_report!$B$1:$J$713,9,0)</f>
        <v xml:space="preserve"> Outro</v>
      </c>
      <c r="G193" s="3" t="s">
        <v>18</v>
      </c>
      <c r="H193" s="3" t="s">
        <v>426</v>
      </c>
      <c r="I193" s="3" t="s">
        <v>48</v>
      </c>
      <c r="J193" s="5">
        <v>42158.538888888892</v>
      </c>
      <c r="K193" s="3"/>
      <c r="L193" s="11">
        <f t="shared" ca="1" si="8"/>
        <v>274.46111111110804</v>
      </c>
      <c r="M193" s="1">
        <f t="shared" si="9"/>
        <v>6</v>
      </c>
      <c r="N193" s="1">
        <f t="shared" si="10"/>
        <v>2015</v>
      </c>
      <c r="O193" s="1" t="str">
        <f t="shared" ca="1" si="11"/>
        <v>mais de 150 dias</v>
      </c>
    </row>
    <row r="194" spans="1:15" ht="15" x14ac:dyDescent="0.2">
      <c r="A194" s="3" t="s">
        <v>8</v>
      </c>
      <c r="B194" s="4" t="s">
        <v>433</v>
      </c>
      <c r="C194" s="3" t="s">
        <v>434</v>
      </c>
      <c r="D194" s="3"/>
      <c r="E194" s="3" t="str">
        <f>VLOOKUP(B194,[1]general_report!$B$1:$I$713,8,0)</f>
        <v xml:space="preserve">Contax </v>
      </c>
      <c r="F194" s="3" t="str">
        <f>VLOOKUP(B194,[1]general_report!$B$1:$J$713,9,0)</f>
        <v xml:space="preserve"> Outro</v>
      </c>
      <c r="G194" s="3" t="s">
        <v>272</v>
      </c>
      <c r="H194" s="3" t="s">
        <v>426</v>
      </c>
      <c r="I194" s="3" t="s">
        <v>48</v>
      </c>
      <c r="J194" s="5">
        <v>42157.595138888886</v>
      </c>
      <c r="K194" s="3"/>
      <c r="L194" s="11">
        <f t="shared" ca="1" si="8"/>
        <v>275.40486111111386</v>
      </c>
      <c r="M194" s="1">
        <f t="shared" si="9"/>
        <v>6</v>
      </c>
      <c r="N194" s="1">
        <f t="shared" si="10"/>
        <v>2015</v>
      </c>
      <c r="O194" s="1" t="str">
        <f t="shared" ca="1" si="11"/>
        <v>mais de 150 dias</v>
      </c>
    </row>
    <row r="195" spans="1:15" ht="25.5" x14ac:dyDescent="0.2">
      <c r="A195" s="3" t="s">
        <v>8</v>
      </c>
      <c r="B195" s="4" t="s">
        <v>435</v>
      </c>
      <c r="C195" s="3" t="s">
        <v>436</v>
      </c>
      <c r="D195" s="3"/>
      <c r="E195" s="3" t="str">
        <f>VLOOKUP(B195,[1]general_report!$B$1:$I$713,8,0)</f>
        <v xml:space="preserve">Oi </v>
      </c>
      <c r="F195" s="3" t="str">
        <f>VLOOKUP(B195,[1]general_report!$B$1:$J$713,9,0)</f>
        <v xml:space="preserve"> SAC</v>
      </c>
      <c r="G195" s="3" t="s">
        <v>18</v>
      </c>
      <c r="H195" s="3" t="s">
        <v>426</v>
      </c>
      <c r="I195" s="3" t="s">
        <v>48</v>
      </c>
      <c r="J195" s="5">
        <v>42157.445138888892</v>
      </c>
      <c r="K195" s="3"/>
      <c r="L195" s="11">
        <f t="shared" ref="L195:L258" ca="1" si="12">IF(K195="",TODAY()-J195,K195-J195)</f>
        <v>275.55486111110804</v>
      </c>
      <c r="M195" s="1">
        <f t="shared" ref="M195:M258" si="13">MONTH(J195)</f>
        <v>6</v>
      </c>
      <c r="N195" s="1">
        <f t="shared" ref="N195:N258" si="14">YEAR(J195)</f>
        <v>2015</v>
      </c>
      <c r="O195" s="1" t="str">
        <f t="shared" ref="O195:O258" ca="1" si="15">IF(L195&lt;30,"menos 1 mês",IF(L195&lt;60,"entre 30 e 60 dias",IF(L195&lt;90,"entre 60 e 90 dias",IF(L195&lt;150,"entre 90 e 150 dias","mais de 150 dias"))))</f>
        <v>mais de 150 dias</v>
      </c>
    </row>
    <row r="196" spans="1:15" ht="25.5" x14ac:dyDescent="0.2">
      <c r="A196" s="3" t="s">
        <v>8</v>
      </c>
      <c r="B196" s="4" t="s">
        <v>437</v>
      </c>
      <c r="C196" s="3" t="s">
        <v>438</v>
      </c>
      <c r="D196" s="3"/>
      <c r="E196" s="3" t="str">
        <f>VLOOKUP(B196,[1]general_report!$B$1:$I$713,8,0)</f>
        <v xml:space="preserve">Oi </v>
      </c>
      <c r="F196" s="3" t="str">
        <f>VLOOKUP(B196,[1]general_report!$B$1:$J$713,9,0)</f>
        <v xml:space="preserve"> Cobrança</v>
      </c>
      <c r="G196" s="3" t="s">
        <v>33</v>
      </c>
      <c r="H196" s="3" t="s">
        <v>426</v>
      </c>
      <c r="I196" s="3" t="s">
        <v>48</v>
      </c>
      <c r="J196" s="5">
        <v>42156.470138888886</v>
      </c>
      <c r="K196" s="3"/>
      <c r="L196" s="11">
        <f t="shared" ca="1" si="12"/>
        <v>276.52986111111386</v>
      </c>
      <c r="M196" s="1">
        <f t="shared" si="13"/>
        <v>6</v>
      </c>
      <c r="N196" s="1">
        <f t="shared" si="14"/>
        <v>2015</v>
      </c>
      <c r="O196" s="1" t="str">
        <f t="shared" ca="1" si="15"/>
        <v>mais de 150 dias</v>
      </c>
    </row>
    <row r="197" spans="1:15" ht="38.25" x14ac:dyDescent="0.2">
      <c r="A197" s="3" t="s">
        <v>8</v>
      </c>
      <c r="B197" s="4" t="s">
        <v>439</v>
      </c>
      <c r="C197" s="3" t="s">
        <v>440</v>
      </c>
      <c r="D197" s="3"/>
      <c r="E197" s="3" t="str">
        <f>VLOOKUP(B197,[1]general_report!$B$1:$I$713,8,0)</f>
        <v xml:space="preserve">Oi </v>
      </c>
      <c r="F197" s="3" t="str">
        <f>VLOOKUP(B197,[1]general_report!$B$1:$J$713,9,0)</f>
        <v xml:space="preserve"> Outras Atividades</v>
      </c>
      <c r="G197" s="3" t="s">
        <v>441</v>
      </c>
      <c r="H197" s="3" t="s">
        <v>426</v>
      </c>
      <c r="I197" s="3" t="s">
        <v>207</v>
      </c>
      <c r="J197" s="5">
        <v>42156.440972222219</v>
      </c>
      <c r="K197" s="3"/>
      <c r="L197" s="11">
        <f t="shared" ca="1" si="12"/>
        <v>276.55902777778101</v>
      </c>
      <c r="M197" s="1">
        <f t="shared" si="13"/>
        <v>6</v>
      </c>
      <c r="N197" s="1">
        <f t="shared" si="14"/>
        <v>2015</v>
      </c>
      <c r="O197" s="1" t="str">
        <f t="shared" ca="1" si="15"/>
        <v>mais de 150 dias</v>
      </c>
    </row>
    <row r="198" spans="1:15" ht="25.5" x14ac:dyDescent="0.2">
      <c r="A198" s="3" t="s">
        <v>8</v>
      </c>
      <c r="B198" s="4" t="s">
        <v>442</v>
      </c>
      <c r="C198" s="3" t="s">
        <v>443</v>
      </c>
      <c r="D198" s="3"/>
      <c r="E198" s="3" t="str">
        <f>VLOOKUP(B198,[1]general_report!$B$1:$I$713,8,0)</f>
        <v xml:space="preserve">Net </v>
      </c>
      <c r="F198" s="3" t="str">
        <f>VLOOKUP(B198,[1]general_report!$B$1:$J$713,9,0)</f>
        <v xml:space="preserve"> Net Fone</v>
      </c>
      <c r="G198" s="3" t="s">
        <v>18</v>
      </c>
      <c r="H198" s="3" t="s">
        <v>426</v>
      </c>
      <c r="I198" s="3" t="s">
        <v>48</v>
      </c>
      <c r="J198" s="5">
        <v>42151.745138888888</v>
      </c>
      <c r="K198" s="3"/>
      <c r="L198" s="11">
        <f t="shared" ca="1" si="12"/>
        <v>281.2548611111124</v>
      </c>
      <c r="M198" s="1">
        <f t="shared" si="13"/>
        <v>5</v>
      </c>
      <c r="N198" s="1">
        <f t="shared" si="14"/>
        <v>2015</v>
      </c>
      <c r="O198" s="1" t="str">
        <f t="shared" ca="1" si="15"/>
        <v>mais de 150 dias</v>
      </c>
    </row>
    <row r="199" spans="1:15" ht="25.5" x14ac:dyDescent="0.2">
      <c r="A199" s="3" t="s">
        <v>8</v>
      </c>
      <c r="B199" s="4" t="s">
        <v>444</v>
      </c>
      <c r="C199" s="3" t="s">
        <v>445</v>
      </c>
      <c r="D199" s="3"/>
      <c r="E199" s="3" t="str">
        <f>VLOOKUP(B199,[1]general_report!$B$1:$I$713,8,0)</f>
        <v xml:space="preserve">Net </v>
      </c>
      <c r="F199" s="3" t="str">
        <f>VLOOKUP(B199,[1]general_report!$B$1:$J$713,9,0)</f>
        <v xml:space="preserve"> Ura</v>
      </c>
      <c r="G199" s="3" t="s">
        <v>18</v>
      </c>
      <c r="H199" s="3" t="s">
        <v>426</v>
      </c>
      <c r="I199" s="3" t="s">
        <v>48</v>
      </c>
      <c r="J199" s="5">
        <v>42151.742361111108</v>
      </c>
      <c r="K199" s="3"/>
      <c r="L199" s="11">
        <f t="shared" ca="1" si="12"/>
        <v>281.25763888889196</v>
      </c>
      <c r="M199" s="1">
        <f t="shared" si="13"/>
        <v>5</v>
      </c>
      <c r="N199" s="1">
        <f t="shared" si="14"/>
        <v>2015</v>
      </c>
      <c r="O199" s="1" t="str">
        <f t="shared" ca="1" si="15"/>
        <v>mais de 150 dias</v>
      </c>
    </row>
    <row r="200" spans="1:15" ht="38.25" x14ac:dyDescent="0.2">
      <c r="A200" s="3" t="s">
        <v>8</v>
      </c>
      <c r="B200" s="4" t="s">
        <v>446</v>
      </c>
      <c r="C200" s="3" t="s">
        <v>447</v>
      </c>
      <c r="D200" s="3"/>
      <c r="E200" s="3" t="str">
        <f>VLOOKUP(B200,[1]general_report!$B$1:$I$713,8,0)</f>
        <v xml:space="preserve">Itaú </v>
      </c>
      <c r="F200" s="3" t="str">
        <f>VLOOKUP(B200,[1]general_report!$B$1:$J$713,9,0)</f>
        <v xml:space="preserve"> Itaú Nacional</v>
      </c>
      <c r="G200" s="3" t="s">
        <v>402</v>
      </c>
      <c r="H200" s="3" t="s">
        <v>426</v>
      </c>
      <c r="I200" s="3" t="s">
        <v>48</v>
      </c>
      <c r="J200" s="5">
        <v>42151.729861111111</v>
      </c>
      <c r="K200" s="3"/>
      <c r="L200" s="11">
        <f t="shared" ca="1" si="12"/>
        <v>281.27013888888905</v>
      </c>
      <c r="M200" s="1">
        <f t="shared" si="13"/>
        <v>5</v>
      </c>
      <c r="N200" s="1">
        <f t="shared" si="14"/>
        <v>2015</v>
      </c>
      <c r="O200" s="1" t="str">
        <f t="shared" ca="1" si="15"/>
        <v>mais de 150 dias</v>
      </c>
    </row>
    <row r="201" spans="1:15" ht="25.5" x14ac:dyDescent="0.2">
      <c r="A201" s="3" t="s">
        <v>8</v>
      </c>
      <c r="B201" s="4" t="s">
        <v>448</v>
      </c>
      <c r="C201" s="3" t="s">
        <v>449</v>
      </c>
      <c r="D201" s="3"/>
      <c r="E201" s="3" t="str">
        <f>VLOOKUP(B201,[1]general_report!$B$1:$I$713,8,0)</f>
        <v xml:space="preserve">Santander </v>
      </c>
      <c r="F201" s="3" t="str">
        <f>VLOOKUP(B201,[1]general_report!$B$1:$J$713,9,0)</f>
        <v xml:space="preserve"> Santander</v>
      </c>
      <c r="G201" s="3" t="s">
        <v>18</v>
      </c>
      <c r="H201" s="3" t="s">
        <v>426</v>
      </c>
      <c r="I201" s="3" t="s">
        <v>48</v>
      </c>
      <c r="J201" s="5">
        <v>42151.713194444441</v>
      </c>
      <c r="K201" s="3"/>
      <c r="L201" s="11">
        <f t="shared" ca="1" si="12"/>
        <v>281.28680555555911</v>
      </c>
      <c r="M201" s="1">
        <f t="shared" si="13"/>
        <v>5</v>
      </c>
      <c r="N201" s="1">
        <f t="shared" si="14"/>
        <v>2015</v>
      </c>
      <c r="O201" s="1" t="str">
        <f t="shared" ca="1" si="15"/>
        <v>mais de 150 dias</v>
      </c>
    </row>
    <row r="202" spans="1:15" ht="25.5" x14ac:dyDescent="0.2">
      <c r="A202" s="3" t="s">
        <v>8</v>
      </c>
      <c r="B202" s="4" t="s">
        <v>450</v>
      </c>
      <c r="C202" s="3" t="s">
        <v>451</v>
      </c>
      <c r="D202" s="3"/>
      <c r="E202" s="3" t="str">
        <f>VLOOKUP(B202,[1]general_report!$B$1:$I$713,8,0)</f>
        <v xml:space="preserve">VIVO </v>
      </c>
      <c r="F202" s="3" t="str">
        <f>VLOOKUP(B202,[1]general_report!$B$1:$J$713,9,0)</f>
        <v xml:space="preserve"> VIVO</v>
      </c>
      <c r="G202" s="3" t="s">
        <v>402</v>
      </c>
      <c r="H202" s="3" t="s">
        <v>426</v>
      </c>
      <c r="I202" s="3" t="s">
        <v>207</v>
      </c>
      <c r="J202" s="5">
        <v>42151.654861111114</v>
      </c>
      <c r="K202" s="3"/>
      <c r="L202" s="11">
        <f t="shared" ca="1" si="12"/>
        <v>281.34513888888614</v>
      </c>
      <c r="M202" s="1">
        <f t="shared" si="13"/>
        <v>5</v>
      </c>
      <c r="N202" s="1">
        <f t="shared" si="14"/>
        <v>2015</v>
      </c>
      <c r="O202" s="1" t="str">
        <f t="shared" ca="1" si="15"/>
        <v>mais de 150 dias</v>
      </c>
    </row>
    <row r="203" spans="1:15" ht="25.5" x14ac:dyDescent="0.2">
      <c r="A203" s="3" t="s">
        <v>8</v>
      </c>
      <c r="B203" s="4" t="s">
        <v>452</v>
      </c>
      <c r="C203" s="3" t="s">
        <v>453</v>
      </c>
      <c r="D203" s="3"/>
      <c r="E203" s="3" t="str">
        <f>VLOOKUP(B203,[1]general_report!$B$1:$I$713,8,0)</f>
        <v xml:space="preserve">VIVO </v>
      </c>
      <c r="F203" s="3" t="str">
        <f>VLOOKUP(B203,[1]general_report!$B$1:$J$713,9,0)</f>
        <v xml:space="preserve"> VIVO</v>
      </c>
      <c r="G203" s="3" t="s">
        <v>18</v>
      </c>
      <c r="H203" s="3" t="s">
        <v>426</v>
      </c>
      <c r="I203" s="3" t="s">
        <v>48</v>
      </c>
      <c r="J203" s="5">
        <v>42151.650694444441</v>
      </c>
      <c r="K203" s="3"/>
      <c r="L203" s="11">
        <f t="shared" ca="1" si="12"/>
        <v>281.34930555555911</v>
      </c>
      <c r="M203" s="1">
        <f t="shared" si="13"/>
        <v>5</v>
      </c>
      <c r="N203" s="1">
        <f t="shared" si="14"/>
        <v>2015</v>
      </c>
      <c r="O203" s="1" t="str">
        <f t="shared" ca="1" si="15"/>
        <v>mais de 150 dias</v>
      </c>
    </row>
    <row r="204" spans="1:15" ht="51" x14ac:dyDescent="0.2">
      <c r="A204" s="3" t="s">
        <v>8</v>
      </c>
      <c r="B204" s="4" t="s">
        <v>454</v>
      </c>
      <c r="C204" s="3" t="s">
        <v>455</v>
      </c>
      <c r="D204" s="3"/>
      <c r="E204" s="3" t="str">
        <f>VLOOKUP(B204,[1]general_report!$B$1:$I$713,8,0)</f>
        <v xml:space="preserve">VIVO </v>
      </c>
      <c r="F204" s="3" t="str">
        <f>VLOOKUP(B204,[1]general_report!$B$1:$J$713,9,0)</f>
        <v xml:space="preserve"> VIVO</v>
      </c>
      <c r="G204" s="3" t="s">
        <v>18</v>
      </c>
      <c r="H204" s="3" t="s">
        <v>426</v>
      </c>
      <c r="I204" s="3" t="s">
        <v>48</v>
      </c>
      <c r="J204" s="5">
        <v>42151.646527777775</v>
      </c>
      <c r="K204" s="3"/>
      <c r="L204" s="11">
        <f t="shared" ca="1" si="12"/>
        <v>281.35347222222481</v>
      </c>
      <c r="M204" s="1">
        <f t="shared" si="13"/>
        <v>5</v>
      </c>
      <c r="N204" s="1">
        <f t="shared" si="14"/>
        <v>2015</v>
      </c>
      <c r="O204" s="1" t="str">
        <f t="shared" ca="1" si="15"/>
        <v>mais de 150 dias</v>
      </c>
    </row>
    <row r="205" spans="1:15" ht="25.5" x14ac:dyDescent="0.2">
      <c r="A205" s="3" t="s">
        <v>8</v>
      </c>
      <c r="B205" s="4" t="s">
        <v>456</v>
      </c>
      <c r="C205" s="3" t="s">
        <v>457</v>
      </c>
      <c r="D205" s="3"/>
      <c r="E205" s="3" t="str">
        <f>VLOOKUP(B205,[1]general_report!$B$1:$I$713,8,0)</f>
        <v xml:space="preserve">VIVO </v>
      </c>
      <c r="F205" s="3" t="str">
        <f>VLOOKUP(B205,[1]general_report!$B$1:$J$713,9,0)</f>
        <v xml:space="preserve"> VIVO</v>
      </c>
      <c r="G205" s="3" t="s">
        <v>18</v>
      </c>
      <c r="H205" s="3" t="s">
        <v>426</v>
      </c>
      <c r="I205" s="3" t="s">
        <v>48</v>
      </c>
      <c r="J205" s="5">
        <v>42151.643750000003</v>
      </c>
      <c r="K205" s="3"/>
      <c r="L205" s="11">
        <f t="shared" ca="1" si="12"/>
        <v>281.35624999999709</v>
      </c>
      <c r="M205" s="1">
        <f t="shared" si="13"/>
        <v>5</v>
      </c>
      <c r="N205" s="1">
        <f t="shared" si="14"/>
        <v>2015</v>
      </c>
      <c r="O205" s="1" t="str">
        <f t="shared" ca="1" si="15"/>
        <v>mais de 150 dias</v>
      </c>
    </row>
    <row r="206" spans="1:15" ht="25.5" x14ac:dyDescent="0.2">
      <c r="A206" s="3" t="s">
        <v>8</v>
      </c>
      <c r="B206" s="4" t="s">
        <v>458</v>
      </c>
      <c r="C206" s="3" t="s">
        <v>459</v>
      </c>
      <c r="D206" s="3"/>
      <c r="E206" s="3" t="str">
        <f>VLOOKUP(B206,[1]general_report!$B$1:$I$713,8,0)</f>
        <v xml:space="preserve">VIVO </v>
      </c>
      <c r="F206" s="3" t="str">
        <f>VLOOKUP(B206,[1]general_report!$B$1:$J$713,9,0)</f>
        <v xml:space="preserve"> VIVO</v>
      </c>
      <c r="G206" s="3" t="s">
        <v>402</v>
      </c>
      <c r="H206" s="3" t="s">
        <v>426</v>
      </c>
      <c r="I206" s="3" t="s">
        <v>48</v>
      </c>
      <c r="J206" s="5">
        <v>42151.527777777781</v>
      </c>
      <c r="K206" s="3"/>
      <c r="L206" s="11">
        <f t="shared" ca="1" si="12"/>
        <v>281.47222222221899</v>
      </c>
      <c r="M206" s="1">
        <f t="shared" si="13"/>
        <v>5</v>
      </c>
      <c r="N206" s="1">
        <f t="shared" si="14"/>
        <v>2015</v>
      </c>
      <c r="O206" s="1" t="str">
        <f t="shared" ca="1" si="15"/>
        <v>mais de 150 dias</v>
      </c>
    </row>
    <row r="207" spans="1:15" ht="25.5" x14ac:dyDescent="0.2">
      <c r="A207" s="3" t="s">
        <v>8</v>
      </c>
      <c r="B207" s="4" t="s">
        <v>460</v>
      </c>
      <c r="C207" s="3" t="s">
        <v>461</v>
      </c>
      <c r="D207" s="3"/>
      <c r="E207" s="3" t="str">
        <f>VLOOKUP(B207,[1]general_report!$B$1:$I$713,8,0)</f>
        <v xml:space="preserve">TAM </v>
      </c>
      <c r="F207" s="3" t="str">
        <f>VLOOKUP(B207,[1]general_report!$B$1:$J$713,9,0)</f>
        <v xml:space="preserve"> TAM Viagens</v>
      </c>
      <c r="G207" s="3" t="s">
        <v>34</v>
      </c>
      <c r="H207" s="3" t="s">
        <v>426</v>
      </c>
      <c r="I207" s="3" t="s">
        <v>27</v>
      </c>
      <c r="J207" s="5">
        <v>42151.508333333331</v>
      </c>
      <c r="K207" s="5">
        <v>42354.713888888888</v>
      </c>
      <c r="L207" s="11">
        <f t="shared" ca="1" si="12"/>
        <v>203.2055555555562</v>
      </c>
      <c r="M207" s="1">
        <f t="shared" si="13"/>
        <v>5</v>
      </c>
      <c r="N207" s="1">
        <f t="shared" si="14"/>
        <v>2015</v>
      </c>
      <c r="O207" s="1" t="str">
        <f t="shared" ca="1" si="15"/>
        <v>mais de 150 dias</v>
      </c>
    </row>
    <row r="208" spans="1:15" ht="15" x14ac:dyDescent="0.2">
      <c r="A208" s="3" t="s">
        <v>8</v>
      </c>
      <c r="B208" s="4" t="s">
        <v>462</v>
      </c>
      <c r="C208" s="3" t="s">
        <v>463</v>
      </c>
      <c r="D208" s="3"/>
      <c r="E208" s="3" t="str">
        <f>VLOOKUP(B208,[1]general_report!$B$1:$I$713,8,0)</f>
        <v xml:space="preserve">Contax </v>
      </c>
      <c r="F208" s="3" t="str">
        <f>VLOOKUP(B208,[1]general_report!$B$1:$J$713,9,0)</f>
        <v xml:space="preserve"> Ger Adm RH</v>
      </c>
      <c r="G208" s="3" t="s">
        <v>419</v>
      </c>
      <c r="H208" s="3" t="s">
        <v>426</v>
      </c>
      <c r="I208" s="3" t="s">
        <v>48</v>
      </c>
      <c r="J208" s="5">
        <v>42150.600694444445</v>
      </c>
      <c r="K208" s="3"/>
      <c r="L208" s="11">
        <f t="shared" ca="1" si="12"/>
        <v>282.39930555555475</v>
      </c>
      <c r="M208" s="1">
        <f t="shared" si="13"/>
        <v>5</v>
      </c>
      <c r="N208" s="1">
        <f t="shared" si="14"/>
        <v>2015</v>
      </c>
      <c r="O208" s="1" t="str">
        <f t="shared" ca="1" si="15"/>
        <v>mais de 150 dias</v>
      </c>
    </row>
    <row r="209" spans="1:15" ht="25.5" x14ac:dyDescent="0.2">
      <c r="A209" s="3" t="s">
        <v>8</v>
      </c>
      <c r="B209" s="4" t="s">
        <v>464</v>
      </c>
      <c r="C209" s="3" t="s">
        <v>465</v>
      </c>
      <c r="D209" s="3"/>
      <c r="E209" s="3" t="str">
        <f>VLOOKUP(B209,[1]general_report!$B$1:$I$713,8,0)</f>
        <v xml:space="preserve">Oi </v>
      </c>
      <c r="F209" s="3" t="str">
        <f>VLOOKUP(B209,[1]general_report!$B$1:$J$713,9,0)</f>
        <v xml:space="preserve"> Suporte Técnico</v>
      </c>
      <c r="G209" s="3" t="s">
        <v>33</v>
      </c>
      <c r="H209" s="3" t="s">
        <v>426</v>
      </c>
      <c r="I209" s="3" t="s">
        <v>48</v>
      </c>
      <c r="J209" s="5">
        <v>42144.668055555558</v>
      </c>
      <c r="K209" s="3"/>
      <c r="L209" s="11">
        <f t="shared" ca="1" si="12"/>
        <v>288.33194444444234</v>
      </c>
      <c r="M209" s="1">
        <f t="shared" si="13"/>
        <v>5</v>
      </c>
      <c r="N209" s="1">
        <f t="shared" si="14"/>
        <v>2015</v>
      </c>
      <c r="O209" s="1" t="str">
        <f t="shared" ca="1" si="15"/>
        <v>mais de 150 dias</v>
      </c>
    </row>
    <row r="210" spans="1:15" ht="25.5" x14ac:dyDescent="0.2">
      <c r="A210" s="3" t="s">
        <v>8</v>
      </c>
      <c r="B210" s="4" t="s">
        <v>466</v>
      </c>
      <c r="C210" s="3" t="s">
        <v>467</v>
      </c>
      <c r="D210" s="3"/>
      <c r="E210" s="3" t="str">
        <f>VLOOKUP(B210,[1]general_report!$B$1:$I$713,8,0)</f>
        <v xml:space="preserve">Oi </v>
      </c>
      <c r="F210" s="3" t="str">
        <f>VLOOKUP(B210,[1]general_report!$B$1:$J$713,9,0)</f>
        <v xml:space="preserve"> Suporte Técnico</v>
      </c>
      <c r="G210" s="3" t="s">
        <v>33</v>
      </c>
      <c r="H210" s="3" t="s">
        <v>426</v>
      </c>
      <c r="I210" s="3" t="s">
        <v>48</v>
      </c>
      <c r="J210" s="5">
        <v>42144.665972222225</v>
      </c>
      <c r="K210" s="3"/>
      <c r="L210" s="11">
        <f t="shared" ca="1" si="12"/>
        <v>288.33402777777519</v>
      </c>
      <c r="M210" s="1">
        <f t="shared" si="13"/>
        <v>5</v>
      </c>
      <c r="N210" s="1">
        <f t="shared" si="14"/>
        <v>2015</v>
      </c>
      <c r="O210" s="1" t="str">
        <f t="shared" ca="1" si="15"/>
        <v>mais de 150 dias</v>
      </c>
    </row>
    <row r="211" spans="1:15" ht="38.25" x14ac:dyDescent="0.2">
      <c r="A211" s="3" t="s">
        <v>8</v>
      </c>
      <c r="B211" s="4" t="s">
        <v>468</v>
      </c>
      <c r="C211" s="3" t="s">
        <v>469</v>
      </c>
      <c r="D211" s="3"/>
      <c r="E211" s="3" t="str">
        <f>VLOOKUP(B211,[1]general_report!$B$1:$I$713,8,0)</f>
        <v xml:space="preserve">Oi </v>
      </c>
      <c r="F211" s="3" t="str">
        <f>VLOOKUP(B211,[1]general_report!$B$1:$J$713,9,0)</f>
        <v xml:space="preserve"> Suporte Técnico</v>
      </c>
      <c r="G211" s="3" t="s">
        <v>33</v>
      </c>
      <c r="H211" s="3" t="s">
        <v>426</v>
      </c>
      <c r="I211" s="3" t="s">
        <v>48</v>
      </c>
      <c r="J211" s="5">
        <v>42144.661805555559</v>
      </c>
      <c r="K211" s="3"/>
      <c r="L211" s="11">
        <f t="shared" ca="1" si="12"/>
        <v>288.33819444444089</v>
      </c>
      <c r="M211" s="1">
        <f t="shared" si="13"/>
        <v>5</v>
      </c>
      <c r="N211" s="1">
        <f t="shared" si="14"/>
        <v>2015</v>
      </c>
      <c r="O211" s="1" t="str">
        <f t="shared" ca="1" si="15"/>
        <v>mais de 150 dias</v>
      </c>
    </row>
    <row r="212" spans="1:15" ht="25.5" x14ac:dyDescent="0.2">
      <c r="A212" s="3" t="s">
        <v>8</v>
      </c>
      <c r="B212" s="4" t="s">
        <v>470</v>
      </c>
      <c r="C212" s="3" t="s">
        <v>471</v>
      </c>
      <c r="D212" s="3"/>
      <c r="E212" s="3" t="str">
        <f>VLOOKUP(B212,[1]general_report!$B$1:$I$713,8,0)</f>
        <v xml:space="preserve">Contax </v>
      </c>
      <c r="F212" s="3" t="str">
        <f>VLOOKUP(B212,[1]general_report!$B$1:$J$713,9,0)</f>
        <v xml:space="preserve"> Outro</v>
      </c>
      <c r="G212" s="3" t="s">
        <v>419</v>
      </c>
      <c r="H212" s="3" t="s">
        <v>426</v>
      </c>
      <c r="I212" s="3" t="s">
        <v>48</v>
      </c>
      <c r="J212" s="5">
        <v>42144.618055555555</v>
      </c>
      <c r="K212" s="3"/>
      <c r="L212" s="11">
        <f t="shared" ca="1" si="12"/>
        <v>288.38194444444525</v>
      </c>
      <c r="M212" s="1">
        <f t="shared" si="13"/>
        <v>5</v>
      </c>
      <c r="N212" s="1">
        <f t="shared" si="14"/>
        <v>2015</v>
      </c>
      <c r="O212" s="1" t="str">
        <f t="shared" ca="1" si="15"/>
        <v>mais de 150 dias</v>
      </c>
    </row>
    <row r="213" spans="1:15" ht="25.5" x14ac:dyDescent="0.2">
      <c r="A213" s="3" t="s">
        <v>8</v>
      </c>
      <c r="B213" s="4" t="s">
        <v>472</v>
      </c>
      <c r="C213" s="3" t="s">
        <v>473</v>
      </c>
      <c r="D213" s="3"/>
      <c r="E213" s="3" t="str">
        <f>VLOOKUP(B213,[1]general_report!$B$1:$I$713,8,0)</f>
        <v xml:space="preserve">Contax </v>
      </c>
      <c r="F213" s="3" t="str">
        <f>VLOOKUP(B213,[1]general_report!$B$1:$J$713,9,0)</f>
        <v xml:space="preserve"> Dir. Clientes Especiais</v>
      </c>
      <c r="G213" s="3" t="s">
        <v>419</v>
      </c>
      <c r="H213" s="3" t="s">
        <v>67</v>
      </c>
      <c r="I213" s="3" t="s">
        <v>48</v>
      </c>
      <c r="J213" s="5">
        <v>42138.716666666667</v>
      </c>
      <c r="K213" s="3"/>
      <c r="L213" s="11">
        <f t="shared" ca="1" si="12"/>
        <v>294.28333333333285</v>
      </c>
      <c r="M213" s="1">
        <f t="shared" si="13"/>
        <v>5</v>
      </c>
      <c r="N213" s="1">
        <f t="shared" si="14"/>
        <v>2015</v>
      </c>
      <c r="O213" s="1" t="str">
        <f t="shared" ca="1" si="15"/>
        <v>mais de 150 dias</v>
      </c>
    </row>
    <row r="214" spans="1:15" ht="25.5" x14ac:dyDescent="0.2">
      <c r="A214" s="3" t="s">
        <v>8</v>
      </c>
      <c r="B214" s="4" t="s">
        <v>474</v>
      </c>
      <c r="C214" s="3" t="s">
        <v>475</v>
      </c>
      <c r="D214" s="3"/>
      <c r="E214" s="3" t="str">
        <f>VLOOKUP(B214,[1]general_report!$B$1:$I$713,8,0)</f>
        <v xml:space="preserve">Contax </v>
      </c>
      <c r="F214" s="3" t="str">
        <f>VLOOKUP(B214,[1]general_report!$B$1:$J$713,9,0)</f>
        <v xml:space="preserve"> Ger Implantação</v>
      </c>
      <c r="G214" s="3" t="s">
        <v>419</v>
      </c>
      <c r="H214" s="3" t="s">
        <v>476</v>
      </c>
      <c r="I214" s="3" t="s">
        <v>48</v>
      </c>
      <c r="J214" s="5">
        <v>42132.431250000001</v>
      </c>
      <c r="K214" s="3"/>
      <c r="L214" s="11">
        <f t="shared" ca="1" si="12"/>
        <v>300.56874999999854</v>
      </c>
      <c r="M214" s="1">
        <f t="shared" si="13"/>
        <v>5</v>
      </c>
      <c r="N214" s="1">
        <f t="shared" si="14"/>
        <v>2015</v>
      </c>
      <c r="O214" s="1" t="str">
        <f t="shared" ca="1" si="15"/>
        <v>mais de 150 dias</v>
      </c>
    </row>
    <row r="215" spans="1:15" ht="15" x14ac:dyDescent="0.2">
      <c r="A215" s="3" t="s">
        <v>8</v>
      </c>
      <c r="B215" s="4" t="s">
        <v>477</v>
      </c>
      <c r="C215" s="3" t="s">
        <v>81</v>
      </c>
      <c r="D215" s="3"/>
      <c r="E215" s="3" t="str">
        <f>VLOOKUP(B215,[1]general_report!$B$1:$I$713,8,0)</f>
        <v xml:space="preserve">Contax </v>
      </c>
      <c r="F215" s="3" t="str">
        <f>VLOOKUP(B215,[1]general_report!$B$1:$J$713,9,0)</f>
        <v xml:space="preserve"> Ger Seg Inf e Fraude</v>
      </c>
      <c r="G215" s="3" t="s">
        <v>419</v>
      </c>
      <c r="H215" s="3" t="s">
        <v>416</v>
      </c>
      <c r="I215" s="3" t="s">
        <v>48</v>
      </c>
      <c r="J215" s="5">
        <v>42128.688194444447</v>
      </c>
      <c r="K215" s="3"/>
      <c r="L215" s="11">
        <f t="shared" ca="1" si="12"/>
        <v>304.31180555555329</v>
      </c>
      <c r="M215" s="1">
        <f t="shared" si="13"/>
        <v>5</v>
      </c>
      <c r="N215" s="1">
        <f t="shared" si="14"/>
        <v>2015</v>
      </c>
      <c r="O215" s="1" t="str">
        <f t="shared" ca="1" si="15"/>
        <v>mais de 150 dias</v>
      </c>
    </row>
    <row r="216" spans="1:15" ht="25.5" x14ac:dyDescent="0.2">
      <c r="A216" s="3" t="s">
        <v>8</v>
      </c>
      <c r="B216" s="4" t="s">
        <v>478</v>
      </c>
      <c r="C216" s="3" t="s">
        <v>479</v>
      </c>
      <c r="D216" s="3"/>
      <c r="E216" s="3" t="str">
        <f>VLOOKUP(B216,[1]general_report!$B$1:$I$713,8,0)</f>
        <v xml:space="preserve">Contax </v>
      </c>
      <c r="F216" s="3" t="str">
        <f>VLOOKUP(B216,[1]general_report!$B$1:$J$713,9,0)</f>
        <v xml:space="preserve"> Dir. Clientes Especiais</v>
      </c>
      <c r="G216" s="3" t="s">
        <v>419</v>
      </c>
      <c r="H216" s="3" t="s">
        <v>67</v>
      </c>
      <c r="I216" s="3" t="s">
        <v>48</v>
      </c>
      <c r="J216" s="5">
        <v>42121.693749999999</v>
      </c>
      <c r="K216" s="3"/>
      <c r="L216" s="11">
        <f t="shared" ca="1" si="12"/>
        <v>311.30625000000146</v>
      </c>
      <c r="M216" s="1">
        <f t="shared" si="13"/>
        <v>4</v>
      </c>
      <c r="N216" s="1">
        <f t="shared" si="14"/>
        <v>2015</v>
      </c>
      <c r="O216" s="1" t="str">
        <f t="shared" ca="1" si="15"/>
        <v>mais de 150 dias</v>
      </c>
    </row>
    <row r="217" spans="1:15" ht="25.5" x14ac:dyDescent="0.2">
      <c r="A217" s="3" t="s">
        <v>8</v>
      </c>
      <c r="B217" s="4" t="s">
        <v>480</v>
      </c>
      <c r="C217" s="3" t="s">
        <v>81</v>
      </c>
      <c r="D217" s="3"/>
      <c r="E217" s="3" t="str">
        <f>VLOOKUP(B217,[1]general_report!$B$1:$I$713,8,0)</f>
        <v xml:space="preserve">Contax </v>
      </c>
      <c r="F217" s="3" t="str">
        <f>VLOOKUP(B217,[1]general_report!$B$1:$J$713,9,0)</f>
        <v xml:space="preserve"> Ger Segurança Patrimonial</v>
      </c>
      <c r="G217" s="3" t="s">
        <v>11</v>
      </c>
      <c r="H217" s="3" t="s">
        <v>420</v>
      </c>
      <c r="I217" s="3" t="s">
        <v>83</v>
      </c>
      <c r="J217" s="5">
        <v>42087.76458333333</v>
      </c>
      <c r="K217" s="3"/>
      <c r="L217" s="11">
        <f t="shared" ca="1" si="12"/>
        <v>345.23541666667006</v>
      </c>
      <c r="M217" s="1">
        <f t="shared" si="13"/>
        <v>3</v>
      </c>
      <c r="N217" s="1">
        <f t="shared" si="14"/>
        <v>2015</v>
      </c>
      <c r="O217" s="1" t="str">
        <f t="shared" ca="1" si="15"/>
        <v>mais de 150 dias</v>
      </c>
    </row>
    <row r="218" spans="1:15" ht="25.5" x14ac:dyDescent="0.2">
      <c r="A218" s="3" t="s">
        <v>8</v>
      </c>
      <c r="B218" s="4" t="s">
        <v>481</v>
      </c>
      <c r="C218" s="3" t="s">
        <v>482</v>
      </c>
      <c r="D218" s="3"/>
      <c r="E218" s="3" t="str">
        <f>VLOOKUP(B218,[1]general_report!$B$1:$I$713,8,0)</f>
        <v xml:space="preserve">Contax </v>
      </c>
      <c r="F218" s="3" t="str">
        <f>VLOOKUP(B218,[1]general_report!$B$1:$J$713,9,0)</f>
        <v xml:space="preserve"> Dir. Clientes Especiais</v>
      </c>
      <c r="G218" s="3" t="s">
        <v>11</v>
      </c>
      <c r="H218" s="3" t="s">
        <v>67</v>
      </c>
      <c r="I218" s="3" t="s">
        <v>83</v>
      </c>
      <c r="J218" s="5">
        <v>41957.731944444444</v>
      </c>
      <c r="K218" s="3"/>
      <c r="L218" s="11">
        <f t="shared" ca="1" si="12"/>
        <v>475.2680555555562</v>
      </c>
      <c r="M218" s="1">
        <f t="shared" si="13"/>
        <v>11</v>
      </c>
      <c r="N218" s="1">
        <f t="shared" si="14"/>
        <v>2014</v>
      </c>
      <c r="O218" s="1" t="str">
        <f t="shared" ca="1" si="15"/>
        <v>mais de 150 dias</v>
      </c>
    </row>
    <row r="219" spans="1:15" ht="25.5" x14ac:dyDescent="0.2">
      <c r="A219" s="3" t="s">
        <v>8</v>
      </c>
      <c r="B219" s="4" t="s">
        <v>483</v>
      </c>
      <c r="C219" s="3" t="s">
        <v>484</v>
      </c>
      <c r="D219" s="3"/>
      <c r="E219" s="3" t="str">
        <f>VLOOKUP(B219,[1]general_report!$B$1:$I$713,8,0)</f>
        <v xml:space="preserve">Contax </v>
      </c>
      <c r="F219" s="3" t="str">
        <f>VLOOKUP(B219,[1]general_report!$B$1:$J$713,9,0)</f>
        <v xml:space="preserve"> NOC</v>
      </c>
      <c r="G219" s="3" t="s">
        <v>11</v>
      </c>
      <c r="H219" s="3" t="s">
        <v>485</v>
      </c>
      <c r="I219" s="3" t="s">
        <v>13</v>
      </c>
      <c r="J219" s="5">
        <v>42387.361805555556</v>
      </c>
      <c r="K219" s="3"/>
      <c r="L219" s="11">
        <f t="shared" ca="1" si="12"/>
        <v>45.638194444443798</v>
      </c>
      <c r="M219" s="1">
        <f t="shared" si="13"/>
        <v>1</v>
      </c>
      <c r="N219" s="1">
        <f t="shared" si="14"/>
        <v>2016</v>
      </c>
      <c r="O219" s="1" t="str">
        <f t="shared" ca="1" si="15"/>
        <v>entre 30 e 60 dias</v>
      </c>
    </row>
    <row r="220" spans="1:15" ht="25.5" x14ac:dyDescent="0.2">
      <c r="A220" s="3" t="s">
        <v>8</v>
      </c>
      <c r="B220" s="4" t="s">
        <v>486</v>
      </c>
      <c r="C220" s="3" t="s">
        <v>487</v>
      </c>
      <c r="D220" s="3"/>
      <c r="E220" s="3" t="str">
        <f>VLOOKUP(B220,[1]general_report!$B$1:$I$713,8,0)</f>
        <v xml:space="preserve">Itaú </v>
      </c>
      <c r="F220" s="3" t="str">
        <f>VLOOKUP(B220,[1]general_report!$B$1:$J$713,9,0)</f>
        <v xml:space="preserve"> Itaú Cartão</v>
      </c>
      <c r="G220" s="3" t="s">
        <v>11</v>
      </c>
      <c r="H220" s="3" t="s">
        <v>199</v>
      </c>
      <c r="I220" s="3" t="s">
        <v>13</v>
      </c>
      <c r="J220" s="5">
        <v>42373.597916666666</v>
      </c>
      <c r="K220" s="3"/>
      <c r="L220" s="11">
        <f t="shared" ca="1" si="12"/>
        <v>59.402083333334303</v>
      </c>
      <c r="M220" s="1">
        <f t="shared" si="13"/>
        <v>1</v>
      </c>
      <c r="N220" s="1">
        <f t="shared" si="14"/>
        <v>2016</v>
      </c>
      <c r="O220" s="1" t="str">
        <f t="shared" ca="1" si="15"/>
        <v>entre 30 e 60 dias</v>
      </c>
    </row>
    <row r="221" spans="1:15" ht="25.5" x14ac:dyDescent="0.2">
      <c r="A221" s="3" t="s">
        <v>8</v>
      </c>
      <c r="B221" s="4" t="s">
        <v>488</v>
      </c>
      <c r="C221" s="3" t="s">
        <v>489</v>
      </c>
      <c r="D221" s="3"/>
      <c r="E221" s="3" t="str">
        <f>VLOOKUP(B221,[1]general_report!$B$1:$I$713,8,0)</f>
        <v xml:space="preserve">Intermédica </v>
      </c>
      <c r="F221" s="3" t="str">
        <f>VLOOKUP(B221,[1]general_report!$B$1:$J$713,9,0)</f>
        <v xml:space="preserve"> Marcação de Consultas</v>
      </c>
      <c r="G221" s="3" t="s">
        <v>11</v>
      </c>
      <c r="H221" s="3" t="s">
        <v>51</v>
      </c>
      <c r="I221" s="3" t="s">
        <v>13</v>
      </c>
      <c r="J221" s="5">
        <v>42367.467361111114</v>
      </c>
      <c r="K221" s="3"/>
      <c r="L221" s="11">
        <f t="shared" ca="1" si="12"/>
        <v>65.53263888888614</v>
      </c>
      <c r="M221" s="1">
        <f t="shared" si="13"/>
        <v>12</v>
      </c>
      <c r="N221" s="1">
        <f t="shared" si="14"/>
        <v>2015</v>
      </c>
      <c r="O221" s="1" t="str">
        <f t="shared" ca="1" si="15"/>
        <v>entre 60 e 90 dias</v>
      </c>
    </row>
    <row r="222" spans="1:15" ht="25.5" x14ac:dyDescent="0.2">
      <c r="A222" s="3" t="s">
        <v>8</v>
      </c>
      <c r="B222" s="4" t="s">
        <v>490</v>
      </c>
      <c r="C222" s="3" t="s">
        <v>491</v>
      </c>
      <c r="D222" s="3"/>
      <c r="E222" s="3" t="str">
        <f>VLOOKUP(B222,[1]general_report!$B$1:$I$713,8,0)</f>
        <v xml:space="preserve">Santander </v>
      </c>
      <c r="F222" s="3" t="str">
        <f>VLOOKUP(B222,[1]general_report!$B$1:$J$713,9,0)</f>
        <v xml:space="preserve"> Cartões</v>
      </c>
      <c r="G222" s="3" t="s">
        <v>11</v>
      </c>
      <c r="H222" s="3" t="s">
        <v>30</v>
      </c>
      <c r="I222" s="3" t="s">
        <v>13</v>
      </c>
      <c r="J222" s="5">
        <v>42361.699305555558</v>
      </c>
      <c r="K222" s="3"/>
      <c r="L222" s="11">
        <f t="shared" ca="1" si="12"/>
        <v>71.300694444442343</v>
      </c>
      <c r="M222" s="1">
        <f t="shared" si="13"/>
        <v>12</v>
      </c>
      <c r="N222" s="1">
        <f t="shared" si="14"/>
        <v>2015</v>
      </c>
      <c r="O222" s="1" t="str">
        <f t="shared" ca="1" si="15"/>
        <v>entre 60 e 90 dias</v>
      </c>
    </row>
    <row r="223" spans="1:15" ht="25.5" x14ac:dyDescent="0.2">
      <c r="A223" s="3" t="s">
        <v>8</v>
      </c>
      <c r="B223" s="4" t="s">
        <v>492</v>
      </c>
      <c r="C223" s="3" t="s">
        <v>493</v>
      </c>
      <c r="D223" s="3"/>
      <c r="E223" s="3" t="str">
        <f>VLOOKUP(B223,[1]general_report!$B$1:$I$713,8,0)</f>
        <v xml:space="preserve">Cielo </v>
      </c>
      <c r="F223" s="3" t="str">
        <f>VLOOKUP(B223,[1]general_report!$B$1:$J$713,9,0)</f>
        <v xml:space="preserve"> ARV</v>
      </c>
      <c r="G223" s="3" t="s">
        <v>196</v>
      </c>
      <c r="H223" s="3" t="s">
        <v>30</v>
      </c>
      <c r="I223" s="3" t="s">
        <v>27</v>
      </c>
      <c r="J223" s="5">
        <v>42359.53402777778</v>
      </c>
      <c r="K223" s="5">
        <v>42405.691666666666</v>
      </c>
      <c r="L223" s="11">
        <f t="shared" ca="1" si="12"/>
        <v>46.15763888888614</v>
      </c>
      <c r="M223" s="1">
        <f t="shared" si="13"/>
        <v>12</v>
      </c>
      <c r="N223" s="1">
        <f t="shared" si="14"/>
        <v>2015</v>
      </c>
      <c r="O223" s="1" t="str">
        <f t="shared" ca="1" si="15"/>
        <v>entre 30 e 60 dias</v>
      </c>
    </row>
    <row r="224" spans="1:15" ht="15" x14ac:dyDescent="0.2">
      <c r="A224" s="3" t="s">
        <v>8</v>
      </c>
      <c r="B224" s="4" t="s">
        <v>494</v>
      </c>
      <c r="C224" s="3" t="s">
        <v>495</v>
      </c>
      <c r="D224" s="3"/>
      <c r="E224" s="3" t="str">
        <f>VLOOKUP(B224,[1]general_report!$B$1:$I$713,8,0)</f>
        <v xml:space="preserve">Santander </v>
      </c>
      <c r="F224" s="3" t="str">
        <f>VLOOKUP(B224,[1]general_report!$B$1:$J$713,9,0)</f>
        <v xml:space="preserve"> Santander</v>
      </c>
      <c r="G224" s="3" t="s">
        <v>18</v>
      </c>
      <c r="H224" s="3" t="s">
        <v>23</v>
      </c>
      <c r="I224" s="3" t="s">
        <v>13</v>
      </c>
      <c r="J224" s="5">
        <v>42342.634722222225</v>
      </c>
      <c r="K224" s="3"/>
      <c r="L224" s="11">
        <f t="shared" ca="1" si="12"/>
        <v>90.365277777775191</v>
      </c>
      <c r="M224" s="1">
        <f t="shared" si="13"/>
        <v>12</v>
      </c>
      <c r="N224" s="1">
        <f t="shared" si="14"/>
        <v>2015</v>
      </c>
      <c r="O224" s="1" t="str">
        <f t="shared" ca="1" si="15"/>
        <v>entre 90 e 150 dias</v>
      </c>
    </row>
    <row r="225" spans="1:15" ht="25.5" x14ac:dyDescent="0.2">
      <c r="A225" s="3" t="s">
        <v>8</v>
      </c>
      <c r="B225" s="4" t="s">
        <v>496</v>
      </c>
      <c r="C225" s="3" t="s">
        <v>497</v>
      </c>
      <c r="D225" s="3"/>
      <c r="E225" s="3" t="str">
        <f>VLOOKUP(B225,[1]general_report!$B$1:$I$713,8,0)</f>
        <v xml:space="preserve">Intermédica </v>
      </c>
      <c r="F225" s="3" t="str">
        <f>VLOOKUP(B225,[1]general_report!$B$1:$J$713,9,0)</f>
        <v xml:space="preserve"> Marcação de Consultas</v>
      </c>
      <c r="G225" s="3" t="s">
        <v>18</v>
      </c>
      <c r="H225" s="3" t="s">
        <v>34</v>
      </c>
      <c r="I225" s="3" t="s">
        <v>13</v>
      </c>
      <c r="J225" s="5">
        <v>42341.999305555553</v>
      </c>
      <c r="K225" s="3"/>
      <c r="L225" s="11">
        <f t="shared" ca="1" si="12"/>
        <v>91.000694444446708</v>
      </c>
      <c r="M225" s="1">
        <f t="shared" si="13"/>
        <v>12</v>
      </c>
      <c r="N225" s="1">
        <f t="shared" si="14"/>
        <v>2015</v>
      </c>
      <c r="O225" s="1" t="str">
        <f t="shared" ca="1" si="15"/>
        <v>entre 90 e 150 dias</v>
      </c>
    </row>
    <row r="226" spans="1:15" ht="25.5" x14ac:dyDescent="0.2">
      <c r="A226" s="3" t="s">
        <v>8</v>
      </c>
      <c r="B226" s="4" t="s">
        <v>498</v>
      </c>
      <c r="C226" s="3" t="s">
        <v>499</v>
      </c>
      <c r="D226" s="3"/>
      <c r="E226" s="3" t="str">
        <f>VLOOKUP(B226,[1]general_report!$B$1:$I$713,8,0)</f>
        <v xml:space="preserve">BV Financeira </v>
      </c>
      <c r="F226" s="3" t="str">
        <f>VLOOKUP(B226,[1]general_report!$B$1:$J$713,9,0)</f>
        <v xml:space="preserve"> SAC</v>
      </c>
      <c r="G226" s="3" t="s">
        <v>18</v>
      </c>
      <c r="H226" s="3" t="s">
        <v>51</v>
      </c>
      <c r="I226" s="3" t="s">
        <v>13</v>
      </c>
      <c r="J226" s="5">
        <v>42340.621527777781</v>
      </c>
      <c r="K226" s="3"/>
      <c r="L226" s="11">
        <f t="shared" ca="1" si="12"/>
        <v>92.378472222218988</v>
      </c>
      <c r="M226" s="1">
        <f t="shared" si="13"/>
        <v>12</v>
      </c>
      <c r="N226" s="1">
        <f t="shared" si="14"/>
        <v>2015</v>
      </c>
      <c r="O226" s="1" t="str">
        <f t="shared" ca="1" si="15"/>
        <v>entre 90 e 150 dias</v>
      </c>
    </row>
    <row r="227" spans="1:15" ht="25.5" x14ac:dyDescent="0.2">
      <c r="A227" s="3" t="s">
        <v>8</v>
      </c>
      <c r="B227" s="4" t="s">
        <v>500</v>
      </c>
      <c r="C227" s="3" t="s">
        <v>501</v>
      </c>
      <c r="D227" s="3"/>
      <c r="E227" s="3" t="str">
        <f>VLOOKUP(B227,[1]general_report!$B$1:$I$713,8,0)</f>
        <v xml:space="preserve">Contax </v>
      </c>
      <c r="F227" s="3" t="str">
        <f>VLOOKUP(B227,[1]general_report!$B$1:$J$713,9,0)</f>
        <v xml:space="preserve"> Dir. Clientes Especiais</v>
      </c>
      <c r="G227" s="3" t="s">
        <v>18</v>
      </c>
      <c r="H227" s="3" t="s">
        <v>51</v>
      </c>
      <c r="I227" s="3" t="s">
        <v>13</v>
      </c>
      <c r="J227" s="5">
        <v>42332.429166666669</v>
      </c>
      <c r="K227" s="3"/>
      <c r="L227" s="11">
        <f t="shared" ca="1" si="12"/>
        <v>100.57083333333139</v>
      </c>
      <c r="M227" s="1">
        <f t="shared" si="13"/>
        <v>11</v>
      </c>
      <c r="N227" s="1">
        <f t="shared" si="14"/>
        <v>2015</v>
      </c>
      <c r="O227" s="1" t="str">
        <f t="shared" ca="1" si="15"/>
        <v>entre 90 e 150 dias</v>
      </c>
    </row>
    <row r="228" spans="1:15" ht="25.5" x14ac:dyDescent="0.2">
      <c r="A228" s="3" t="s">
        <v>8</v>
      </c>
      <c r="B228" s="4" t="s">
        <v>502</v>
      </c>
      <c r="C228" s="3" t="s">
        <v>503</v>
      </c>
      <c r="D228" s="3"/>
      <c r="E228" s="3" t="str">
        <f>VLOOKUP(B228,[1]general_report!$B$1:$I$713,8,0)</f>
        <v xml:space="preserve">Contax </v>
      </c>
      <c r="F228" s="3" t="str">
        <f>VLOOKUP(B228,[1]general_report!$B$1:$J$713,9,0)</f>
        <v xml:space="preserve"> Cobrança</v>
      </c>
      <c r="G228" s="3" t="s">
        <v>47</v>
      </c>
      <c r="H228" s="3" t="s">
        <v>47</v>
      </c>
      <c r="I228" s="3" t="s">
        <v>27</v>
      </c>
      <c r="J228" s="5">
        <v>42307.70208333333</v>
      </c>
      <c r="K228" s="5">
        <v>42352.487500000003</v>
      </c>
      <c r="L228" s="11">
        <f t="shared" ca="1" si="12"/>
        <v>44.785416666672972</v>
      </c>
      <c r="M228" s="1">
        <f t="shared" si="13"/>
        <v>10</v>
      </c>
      <c r="N228" s="1">
        <f t="shared" si="14"/>
        <v>2015</v>
      </c>
      <c r="O228" s="1" t="str">
        <f t="shared" ca="1" si="15"/>
        <v>entre 30 e 60 dias</v>
      </c>
    </row>
    <row r="229" spans="1:15" ht="25.5" x14ac:dyDescent="0.2">
      <c r="A229" s="3" t="s">
        <v>8</v>
      </c>
      <c r="B229" s="4" t="s">
        <v>504</v>
      </c>
      <c r="C229" s="3" t="s">
        <v>505</v>
      </c>
      <c r="D229" s="3"/>
      <c r="E229" s="3" t="str">
        <f>VLOOKUP(B229,[1]general_report!$B$1:$I$713,8,0)</f>
        <v xml:space="preserve">Contax </v>
      </c>
      <c r="F229" s="3" t="str">
        <f>VLOOKUP(B229,[1]general_report!$B$1:$J$713,9,0)</f>
        <v xml:space="preserve"> Outro</v>
      </c>
      <c r="G229" s="3" t="s">
        <v>18</v>
      </c>
      <c r="H229" s="3" t="s">
        <v>506</v>
      </c>
      <c r="I229" s="3" t="s">
        <v>13</v>
      </c>
      <c r="J229" s="5">
        <v>42299.654861111114</v>
      </c>
      <c r="K229" s="3"/>
      <c r="L229" s="11">
        <f t="shared" ca="1" si="12"/>
        <v>133.34513888888614</v>
      </c>
      <c r="M229" s="1">
        <f t="shared" si="13"/>
        <v>10</v>
      </c>
      <c r="N229" s="1">
        <f t="shared" si="14"/>
        <v>2015</v>
      </c>
      <c r="O229" s="1" t="str">
        <f t="shared" ca="1" si="15"/>
        <v>entre 90 e 150 dias</v>
      </c>
    </row>
    <row r="230" spans="1:15" ht="15" x14ac:dyDescent="0.2">
      <c r="A230" s="3" t="s">
        <v>8</v>
      </c>
      <c r="B230" s="4" t="s">
        <v>507</v>
      </c>
      <c r="C230" s="3" t="s">
        <v>508</v>
      </c>
      <c r="D230" s="3"/>
      <c r="E230" s="3" t="str">
        <f>VLOOKUP(B230,[1]general_report!$B$1:$I$713,8,0)</f>
        <v xml:space="preserve">Contax </v>
      </c>
      <c r="F230" s="3" t="str">
        <f>VLOOKUP(B230,[1]general_report!$B$1:$J$713,9,0)</f>
        <v xml:space="preserve"> Cobrança</v>
      </c>
      <c r="G230" s="3" t="s">
        <v>18</v>
      </c>
      <c r="H230" s="3" t="s">
        <v>47</v>
      </c>
      <c r="I230" s="3" t="s">
        <v>13</v>
      </c>
      <c r="J230" s="5">
        <v>42298.584027777775</v>
      </c>
      <c r="K230" s="3"/>
      <c r="L230" s="11">
        <f t="shared" ca="1" si="12"/>
        <v>134.41597222222481</v>
      </c>
      <c r="M230" s="1">
        <f t="shared" si="13"/>
        <v>10</v>
      </c>
      <c r="N230" s="1">
        <f t="shared" si="14"/>
        <v>2015</v>
      </c>
      <c r="O230" s="1" t="str">
        <f t="shared" ca="1" si="15"/>
        <v>entre 90 e 150 dias</v>
      </c>
    </row>
    <row r="231" spans="1:15" ht="25.5" x14ac:dyDescent="0.2">
      <c r="A231" s="3" t="s">
        <v>8</v>
      </c>
      <c r="B231" s="4" t="s">
        <v>509</v>
      </c>
      <c r="C231" s="3" t="s">
        <v>510</v>
      </c>
      <c r="D231" s="3"/>
      <c r="E231" s="3" t="str">
        <f>VLOOKUP(B231,[1]general_report!$B$1:$I$713,8,0)</f>
        <v xml:space="preserve">BB Mapfre </v>
      </c>
      <c r="F231" s="3" t="str">
        <f>VLOOKUP(B231,[1]general_report!$B$1:$J$713,9,0)</f>
        <v xml:space="preserve"> BB Mapfre</v>
      </c>
      <c r="G231" s="3" t="s">
        <v>18</v>
      </c>
      <c r="H231" s="3" t="s">
        <v>51</v>
      </c>
      <c r="I231" s="3" t="s">
        <v>13</v>
      </c>
      <c r="J231" s="5">
        <v>42297.688888888886</v>
      </c>
      <c r="K231" s="3"/>
      <c r="L231" s="11">
        <f t="shared" ca="1" si="12"/>
        <v>135.31111111111386</v>
      </c>
      <c r="M231" s="1">
        <f t="shared" si="13"/>
        <v>10</v>
      </c>
      <c r="N231" s="1">
        <f t="shared" si="14"/>
        <v>2015</v>
      </c>
      <c r="O231" s="1" t="str">
        <f t="shared" ca="1" si="15"/>
        <v>entre 90 e 150 dias</v>
      </c>
    </row>
    <row r="232" spans="1:15" ht="25.5" x14ac:dyDescent="0.2">
      <c r="A232" s="3" t="s">
        <v>8</v>
      </c>
      <c r="B232" s="4" t="s">
        <v>511</v>
      </c>
      <c r="C232" s="3" t="s">
        <v>512</v>
      </c>
      <c r="D232" s="3"/>
      <c r="E232" s="3" t="str">
        <f>VLOOKUP(B232,[1]general_report!$B$1:$I$713,8,0)</f>
        <v xml:space="preserve">Intermédica </v>
      </c>
      <c r="F232" s="3" t="str">
        <f>VLOOKUP(B232,[1]general_report!$B$1:$J$713,9,0)</f>
        <v xml:space="preserve"> Marcação de Consultas</v>
      </c>
      <c r="G232" s="3" t="s">
        <v>18</v>
      </c>
      <c r="H232" s="3" t="s">
        <v>51</v>
      </c>
      <c r="I232" s="3" t="s">
        <v>13</v>
      </c>
      <c r="J232" s="5">
        <v>42297.51458333333</v>
      </c>
      <c r="K232" s="3"/>
      <c r="L232" s="11">
        <f t="shared" ca="1" si="12"/>
        <v>135.48541666667006</v>
      </c>
      <c r="M232" s="1">
        <f t="shared" si="13"/>
        <v>10</v>
      </c>
      <c r="N232" s="1">
        <f t="shared" si="14"/>
        <v>2015</v>
      </c>
      <c r="O232" s="1" t="str">
        <f t="shared" ca="1" si="15"/>
        <v>entre 90 e 150 dias</v>
      </c>
    </row>
    <row r="233" spans="1:15" ht="38.25" x14ac:dyDescent="0.2">
      <c r="A233" s="3" t="s">
        <v>8</v>
      </c>
      <c r="B233" s="4" t="s">
        <v>513</v>
      </c>
      <c r="C233" s="3" t="s">
        <v>514</v>
      </c>
      <c r="D233" s="3"/>
      <c r="E233" s="3" t="str">
        <f>VLOOKUP(B233,[1]general_report!$B$1:$I$713,8,0)</f>
        <v xml:space="preserve">Contax </v>
      </c>
      <c r="F233" s="3" t="str">
        <f>VLOOKUP(B233,[1]general_report!$B$1:$J$713,9,0)</f>
        <v xml:space="preserve"> Dir. Clientes Especiais</v>
      </c>
      <c r="G233" s="3" t="s">
        <v>51</v>
      </c>
      <c r="H233" s="3" t="s">
        <v>51</v>
      </c>
      <c r="I233" s="3" t="s">
        <v>27</v>
      </c>
      <c r="J233" s="5">
        <v>42293.38958333333</v>
      </c>
      <c r="K233" s="5">
        <v>42389.635416666664</v>
      </c>
      <c r="L233" s="11">
        <f t="shared" ca="1" si="12"/>
        <v>96.245833333334303</v>
      </c>
      <c r="M233" s="1">
        <f t="shared" si="13"/>
        <v>10</v>
      </c>
      <c r="N233" s="1">
        <f t="shared" si="14"/>
        <v>2015</v>
      </c>
      <c r="O233" s="1" t="str">
        <f t="shared" ca="1" si="15"/>
        <v>entre 90 e 150 dias</v>
      </c>
    </row>
    <row r="234" spans="1:15" ht="38.25" x14ac:dyDescent="0.2">
      <c r="A234" s="3" t="s">
        <v>8</v>
      </c>
      <c r="B234" s="4" t="s">
        <v>515</v>
      </c>
      <c r="C234" s="3" t="s">
        <v>516</v>
      </c>
      <c r="D234" s="3"/>
      <c r="E234" s="3" t="str">
        <f>VLOOKUP(B234,[1]general_report!$B$1:$I$713,8,0)</f>
        <v xml:space="preserve">Contax </v>
      </c>
      <c r="F234" s="3" t="str">
        <f>VLOOKUP(B234,[1]general_report!$B$1:$J$713,9,0)</f>
        <v xml:space="preserve"> Dir. Clientes Especiais</v>
      </c>
      <c r="G234" s="3" t="s">
        <v>51</v>
      </c>
      <c r="H234" s="3" t="s">
        <v>51</v>
      </c>
      <c r="I234" s="3" t="s">
        <v>27</v>
      </c>
      <c r="J234" s="5">
        <v>42292.515277777777</v>
      </c>
      <c r="K234" s="5">
        <v>42398.659722222219</v>
      </c>
      <c r="L234" s="11">
        <f t="shared" ca="1" si="12"/>
        <v>106.14444444444234</v>
      </c>
      <c r="M234" s="1">
        <f t="shared" si="13"/>
        <v>10</v>
      </c>
      <c r="N234" s="1">
        <f t="shared" si="14"/>
        <v>2015</v>
      </c>
      <c r="O234" s="1" t="str">
        <f t="shared" ca="1" si="15"/>
        <v>entre 90 e 150 dias</v>
      </c>
    </row>
    <row r="235" spans="1:15" ht="15" x14ac:dyDescent="0.2">
      <c r="A235" s="3" t="s">
        <v>8</v>
      </c>
      <c r="B235" s="4" t="s">
        <v>517</v>
      </c>
      <c r="C235" s="3" t="s">
        <v>81</v>
      </c>
      <c r="D235" s="3"/>
      <c r="E235" s="3" t="str">
        <f>VLOOKUP(B235,[1]general_report!$B$1:$I$713,8,0)</f>
        <v xml:space="preserve">Nextel </v>
      </c>
      <c r="F235" s="3" t="str">
        <f>VLOOKUP(B235,[1]general_report!$B$1:$J$713,9,0)</f>
        <v xml:space="preserve"> Nextel TLV</v>
      </c>
      <c r="G235" s="3" t="s">
        <v>206</v>
      </c>
      <c r="H235" s="3" t="s">
        <v>269</v>
      </c>
      <c r="I235" s="3" t="s">
        <v>234</v>
      </c>
      <c r="J235" s="5">
        <v>42284.765972222223</v>
      </c>
      <c r="K235" s="3"/>
      <c r="L235" s="11">
        <f t="shared" ca="1" si="12"/>
        <v>148.23402777777665</v>
      </c>
      <c r="M235" s="1">
        <f t="shared" si="13"/>
        <v>10</v>
      </c>
      <c r="N235" s="1">
        <f t="shared" si="14"/>
        <v>2015</v>
      </c>
      <c r="O235" s="1" t="str">
        <f t="shared" ca="1" si="15"/>
        <v>entre 90 e 150 dias</v>
      </c>
    </row>
    <row r="236" spans="1:15" ht="51" x14ac:dyDescent="0.2">
      <c r="A236" s="3" t="s">
        <v>8</v>
      </c>
      <c r="B236" s="4" t="s">
        <v>518</v>
      </c>
      <c r="C236" s="3" t="s">
        <v>519</v>
      </c>
      <c r="D236" s="3"/>
      <c r="E236" s="3" t="str">
        <f>VLOOKUP(B236,[1]general_report!$B$1:$I$713,8,0)</f>
        <v xml:space="preserve">Contax </v>
      </c>
      <c r="F236" s="3" t="str">
        <f>VLOOKUP(B236,[1]general_report!$B$1:$J$713,9,0)</f>
        <v xml:space="preserve"> Dir. Clientes Especiais</v>
      </c>
      <c r="G236" s="3" t="s">
        <v>419</v>
      </c>
      <c r="H236" s="3" t="s">
        <v>51</v>
      </c>
      <c r="I236" s="3" t="s">
        <v>13</v>
      </c>
      <c r="J236" s="5">
        <v>42278.619444444441</v>
      </c>
      <c r="K236" s="3"/>
      <c r="L236" s="11">
        <f t="shared" ca="1" si="12"/>
        <v>154.38055555555911</v>
      </c>
      <c r="M236" s="1">
        <f t="shared" si="13"/>
        <v>10</v>
      </c>
      <c r="N236" s="1">
        <f t="shared" si="14"/>
        <v>2015</v>
      </c>
      <c r="O236" s="1" t="str">
        <f t="shared" ca="1" si="15"/>
        <v>mais de 150 dias</v>
      </c>
    </row>
    <row r="237" spans="1:15" ht="25.5" x14ac:dyDescent="0.2">
      <c r="A237" s="3" t="s">
        <v>8</v>
      </c>
      <c r="B237" s="4" t="s">
        <v>520</v>
      </c>
      <c r="C237" s="3" t="s">
        <v>521</v>
      </c>
      <c r="D237" s="3"/>
      <c r="E237" s="3" t="str">
        <f>VLOOKUP(B237,[1]general_report!$B$1:$I$713,8,0)</f>
        <v xml:space="preserve">Bradesco </v>
      </c>
      <c r="F237" s="3" t="str">
        <f>VLOOKUP(B237,[1]general_report!$B$1:$J$713,9,0)</f>
        <v xml:space="preserve"> Bradesco Seguros</v>
      </c>
      <c r="G237" s="3" t="s">
        <v>18</v>
      </c>
      <c r="H237" s="3" t="s">
        <v>51</v>
      </c>
      <c r="I237" s="3" t="s">
        <v>207</v>
      </c>
      <c r="J237" s="5">
        <v>42269.671527777777</v>
      </c>
      <c r="K237" s="3"/>
      <c r="L237" s="11">
        <f t="shared" ca="1" si="12"/>
        <v>163.32847222222335</v>
      </c>
      <c r="M237" s="1">
        <f t="shared" si="13"/>
        <v>9</v>
      </c>
      <c r="N237" s="1">
        <f t="shared" si="14"/>
        <v>2015</v>
      </c>
      <c r="O237" s="1" t="str">
        <f t="shared" ca="1" si="15"/>
        <v>mais de 150 dias</v>
      </c>
    </row>
    <row r="238" spans="1:15" ht="15" x14ac:dyDescent="0.2">
      <c r="A238" s="3" t="s">
        <v>8</v>
      </c>
      <c r="B238" s="4" t="s">
        <v>522</v>
      </c>
      <c r="C238" s="3" t="s">
        <v>81</v>
      </c>
      <c r="D238" s="3"/>
      <c r="E238" s="3" t="str">
        <f>VLOOKUP(B238,[1]general_report!$B$1:$I$713,8,0)</f>
        <v xml:space="preserve">Contax </v>
      </c>
      <c r="F238" s="3" t="str">
        <f>VLOOKUP(B238,[1]general_report!$B$1:$J$713,9,0)</f>
        <v xml:space="preserve"> NOC</v>
      </c>
      <c r="G238" s="3" t="s">
        <v>419</v>
      </c>
      <c r="H238" s="3" t="s">
        <v>485</v>
      </c>
      <c r="I238" s="3" t="s">
        <v>207</v>
      </c>
      <c r="J238" s="5">
        <v>42268.65347222222</v>
      </c>
      <c r="K238" s="3"/>
      <c r="L238" s="11">
        <f t="shared" ca="1" si="12"/>
        <v>164.34652777777956</v>
      </c>
      <c r="M238" s="1">
        <f t="shared" si="13"/>
        <v>9</v>
      </c>
      <c r="N238" s="1">
        <f t="shared" si="14"/>
        <v>2015</v>
      </c>
      <c r="O238" s="1" t="str">
        <f t="shared" ca="1" si="15"/>
        <v>mais de 150 dias</v>
      </c>
    </row>
    <row r="239" spans="1:15" ht="25.5" x14ac:dyDescent="0.2">
      <c r="A239" s="3" t="s">
        <v>8</v>
      </c>
      <c r="B239" s="4" t="s">
        <v>523</v>
      </c>
      <c r="C239" s="3" t="s">
        <v>524</v>
      </c>
      <c r="D239" s="3"/>
      <c r="E239" s="3" t="str">
        <f>VLOOKUP(B239,[1]general_report!$B$1:$I$713,8,0)</f>
        <v xml:space="preserve">Contax </v>
      </c>
      <c r="F239" s="3" t="str">
        <f>VLOOKUP(B239,[1]general_report!$B$1:$J$713,9,0)</f>
        <v xml:space="preserve"> Ger Comunicação</v>
      </c>
      <c r="G239" s="3" t="s">
        <v>419</v>
      </c>
      <c r="H239" s="3" t="s">
        <v>525</v>
      </c>
      <c r="I239" s="3" t="s">
        <v>13</v>
      </c>
      <c r="J239" s="5">
        <v>42258.677083333336</v>
      </c>
      <c r="K239" s="3"/>
      <c r="L239" s="11">
        <f t="shared" ca="1" si="12"/>
        <v>174.32291666666424</v>
      </c>
      <c r="M239" s="1">
        <f t="shared" si="13"/>
        <v>9</v>
      </c>
      <c r="N239" s="1">
        <f t="shared" si="14"/>
        <v>2015</v>
      </c>
      <c r="O239" s="1" t="str">
        <f t="shared" ca="1" si="15"/>
        <v>mais de 150 dias</v>
      </c>
    </row>
    <row r="240" spans="1:15" ht="38.25" x14ac:dyDescent="0.2">
      <c r="A240" s="3" t="s">
        <v>8</v>
      </c>
      <c r="B240" s="4" t="s">
        <v>526</v>
      </c>
      <c r="C240" s="3" t="s">
        <v>527</v>
      </c>
      <c r="D240" s="3"/>
      <c r="E240" s="3" t="str">
        <f>VLOOKUP(B240,[1]general_report!$B$1:$I$713,8,0)</f>
        <v xml:space="preserve">Cielo </v>
      </c>
      <c r="F240" s="3" t="str">
        <f>VLOOKUP(B240,[1]general_report!$B$1:$J$713,9,0)</f>
        <v xml:space="preserve"> ARV</v>
      </c>
      <c r="G240" s="3" t="s">
        <v>51</v>
      </c>
      <c r="H240" s="3" t="s">
        <v>51</v>
      </c>
      <c r="I240" s="3" t="s">
        <v>7</v>
      </c>
      <c r="J240" s="5">
        <v>42248.417361111111</v>
      </c>
      <c r="K240" s="5">
        <v>42415.438888888886</v>
      </c>
      <c r="L240" s="11">
        <f t="shared" ca="1" si="12"/>
        <v>167.02152777777519</v>
      </c>
      <c r="M240" s="1">
        <f t="shared" si="13"/>
        <v>9</v>
      </c>
      <c r="N240" s="1">
        <f t="shared" si="14"/>
        <v>2015</v>
      </c>
      <c r="O240" s="1" t="str">
        <f t="shared" ca="1" si="15"/>
        <v>mais de 150 dias</v>
      </c>
    </row>
    <row r="241" spans="1:15" ht="38.25" x14ac:dyDescent="0.2">
      <c r="A241" s="3" t="s">
        <v>8</v>
      </c>
      <c r="B241" s="4" t="s">
        <v>528</v>
      </c>
      <c r="C241" s="3" t="s">
        <v>529</v>
      </c>
      <c r="D241" s="3"/>
      <c r="E241" s="3" t="str">
        <f>VLOOKUP(B241,[1]general_report!$B$1:$I$713,8,0)</f>
        <v xml:space="preserve">Cielo </v>
      </c>
      <c r="F241" s="3" t="str">
        <f>VLOOKUP(B241,[1]general_report!$B$1:$J$713,9,0)</f>
        <v xml:space="preserve"> Campo</v>
      </c>
      <c r="G241" s="3" t="s">
        <v>419</v>
      </c>
      <c r="H241" s="3" t="s">
        <v>51</v>
      </c>
      <c r="I241" s="3" t="s">
        <v>207</v>
      </c>
      <c r="J241" s="5">
        <v>42243.638888888891</v>
      </c>
      <c r="K241" s="3"/>
      <c r="L241" s="11">
        <f t="shared" ca="1" si="12"/>
        <v>189.36111111110949</v>
      </c>
      <c r="M241" s="1">
        <f t="shared" si="13"/>
        <v>8</v>
      </c>
      <c r="N241" s="1">
        <f t="shared" si="14"/>
        <v>2015</v>
      </c>
      <c r="O241" s="1" t="str">
        <f t="shared" ca="1" si="15"/>
        <v>mais de 150 dias</v>
      </c>
    </row>
    <row r="242" spans="1:15" ht="15" x14ac:dyDescent="0.2">
      <c r="A242" s="3" t="s">
        <v>8</v>
      </c>
      <c r="B242" s="4" t="s">
        <v>530</v>
      </c>
      <c r="C242" s="3" t="s">
        <v>81</v>
      </c>
      <c r="D242" s="3"/>
      <c r="E242" s="3" t="str">
        <f>VLOOKUP(B242,[1]general_report!$B$1:$I$713,8,0)</f>
        <v xml:space="preserve">TAM </v>
      </c>
      <c r="F242" s="3" t="str">
        <f>VLOOKUP(B242,[1]general_report!$B$1:$J$713,9,0)</f>
        <v xml:space="preserve"> Multiplus</v>
      </c>
      <c r="G242" s="3" t="s">
        <v>241</v>
      </c>
      <c r="H242" s="3" t="s">
        <v>531</v>
      </c>
      <c r="I242" s="3" t="s">
        <v>48</v>
      </c>
      <c r="J242" s="5">
        <v>42240.614583333336</v>
      </c>
      <c r="K242" s="3"/>
      <c r="L242" s="11">
        <f t="shared" ca="1" si="12"/>
        <v>192.38541666666424</v>
      </c>
      <c r="M242" s="1">
        <f t="shared" si="13"/>
        <v>8</v>
      </c>
      <c r="N242" s="1">
        <f t="shared" si="14"/>
        <v>2015</v>
      </c>
      <c r="O242" s="1" t="str">
        <f t="shared" ca="1" si="15"/>
        <v>mais de 150 dias</v>
      </c>
    </row>
    <row r="243" spans="1:15" ht="15" x14ac:dyDescent="0.2">
      <c r="A243" s="3" t="s">
        <v>8</v>
      </c>
      <c r="B243" s="4" t="s">
        <v>532</v>
      </c>
      <c r="C243" s="3" t="s">
        <v>533</v>
      </c>
      <c r="D243" s="3"/>
      <c r="E243" s="3" t="str">
        <f>VLOOKUP(B243,[1]general_report!$B$1:$I$713,8,0)</f>
        <v xml:space="preserve">Cielo </v>
      </c>
      <c r="F243" s="3" t="str">
        <f>VLOOKUP(B243,[1]general_report!$B$1:$J$713,9,0)</f>
        <v xml:space="preserve"> ARV</v>
      </c>
      <c r="G243" s="3" t="s">
        <v>419</v>
      </c>
      <c r="H243" s="3" t="s">
        <v>56</v>
      </c>
      <c r="I243" s="3" t="s">
        <v>13</v>
      </c>
      <c r="J243" s="5">
        <v>42240.481944444444</v>
      </c>
      <c r="K243" s="3"/>
      <c r="L243" s="11">
        <f t="shared" ca="1" si="12"/>
        <v>192.5180555555562</v>
      </c>
      <c r="M243" s="1">
        <f t="shared" si="13"/>
        <v>8</v>
      </c>
      <c r="N243" s="1">
        <f t="shared" si="14"/>
        <v>2015</v>
      </c>
      <c r="O243" s="1" t="str">
        <f t="shared" ca="1" si="15"/>
        <v>mais de 150 dias</v>
      </c>
    </row>
    <row r="244" spans="1:15" ht="15" x14ac:dyDescent="0.2">
      <c r="A244" s="3" t="s">
        <v>8</v>
      </c>
      <c r="B244" s="4" t="s">
        <v>534</v>
      </c>
      <c r="C244" s="3" t="s">
        <v>535</v>
      </c>
      <c r="D244" s="3"/>
      <c r="E244" s="3" t="str">
        <f>VLOOKUP(B244,[1]general_report!$B$1:$I$713,8,0)</f>
        <v xml:space="preserve">Contax </v>
      </c>
      <c r="F244" s="3" t="str">
        <f>VLOOKUP(B244,[1]general_report!$B$1:$J$713,9,0)</f>
        <v xml:space="preserve"> Outro</v>
      </c>
      <c r="G244" s="3" t="s">
        <v>536</v>
      </c>
      <c r="H244" s="3" t="s">
        <v>536</v>
      </c>
      <c r="I244" s="3" t="s">
        <v>27</v>
      </c>
      <c r="J244" s="5">
        <v>42237.590277777781</v>
      </c>
      <c r="K244" s="5">
        <v>42380.684027777781</v>
      </c>
      <c r="L244" s="11">
        <f t="shared" ca="1" si="12"/>
        <v>143.09375</v>
      </c>
      <c r="M244" s="1">
        <f t="shared" si="13"/>
        <v>8</v>
      </c>
      <c r="N244" s="1">
        <f t="shared" si="14"/>
        <v>2015</v>
      </c>
      <c r="O244" s="1" t="str">
        <f t="shared" ca="1" si="15"/>
        <v>entre 90 e 150 dias</v>
      </c>
    </row>
    <row r="245" spans="1:15" ht="25.5" x14ac:dyDescent="0.2">
      <c r="A245" s="3" t="s">
        <v>8</v>
      </c>
      <c r="B245" s="4" t="s">
        <v>537</v>
      </c>
      <c r="C245" s="3" t="s">
        <v>538</v>
      </c>
      <c r="D245" s="3"/>
      <c r="E245" s="3" t="str">
        <f>VLOOKUP(B245,[1]general_report!$B$1:$I$713,8,0)</f>
        <v xml:space="preserve">Contax </v>
      </c>
      <c r="F245" s="3" t="str">
        <f>VLOOKUP(B245,[1]general_report!$B$1:$J$713,9,0)</f>
        <v xml:space="preserve"> RH</v>
      </c>
      <c r="G245" s="3" t="s">
        <v>419</v>
      </c>
      <c r="H245" s="3" t="s">
        <v>525</v>
      </c>
      <c r="I245" s="3" t="s">
        <v>13</v>
      </c>
      <c r="J245" s="5">
        <v>42237.421527777777</v>
      </c>
      <c r="K245" s="3"/>
      <c r="L245" s="11">
        <f t="shared" ca="1" si="12"/>
        <v>195.57847222222335</v>
      </c>
      <c r="M245" s="1">
        <f t="shared" si="13"/>
        <v>8</v>
      </c>
      <c r="N245" s="1">
        <f t="shared" si="14"/>
        <v>2015</v>
      </c>
      <c r="O245" s="1" t="str">
        <f t="shared" ca="1" si="15"/>
        <v>mais de 150 dias</v>
      </c>
    </row>
    <row r="246" spans="1:15" ht="38.25" x14ac:dyDescent="0.2">
      <c r="A246" s="3" t="s">
        <v>8</v>
      </c>
      <c r="B246" s="4" t="s">
        <v>539</v>
      </c>
      <c r="C246" s="3" t="s">
        <v>540</v>
      </c>
      <c r="D246" s="3"/>
      <c r="E246" s="3" t="str">
        <f>VLOOKUP(B246,[1]general_report!$B$1:$I$713,8,0)</f>
        <v xml:space="preserve">Contax </v>
      </c>
      <c r="F246" s="3" t="str">
        <f>VLOOKUP(B246,[1]general_report!$B$1:$J$713,9,0)</f>
        <v xml:space="preserve"> NOC</v>
      </c>
      <c r="G246" s="3" t="s">
        <v>419</v>
      </c>
      <c r="H246" s="3" t="s">
        <v>541</v>
      </c>
      <c r="I246" s="3" t="s">
        <v>13</v>
      </c>
      <c r="J246" s="5">
        <v>42228.703472222223</v>
      </c>
      <c r="K246" s="3"/>
      <c r="L246" s="11">
        <f t="shared" ca="1" si="12"/>
        <v>204.29652777777665</v>
      </c>
      <c r="M246" s="1">
        <f t="shared" si="13"/>
        <v>8</v>
      </c>
      <c r="N246" s="1">
        <f t="shared" si="14"/>
        <v>2015</v>
      </c>
      <c r="O246" s="1" t="str">
        <f t="shared" ca="1" si="15"/>
        <v>mais de 150 dias</v>
      </c>
    </row>
    <row r="247" spans="1:15" ht="15" x14ac:dyDescent="0.2">
      <c r="A247" s="3" t="s">
        <v>8</v>
      </c>
      <c r="B247" s="4" t="s">
        <v>542</v>
      </c>
      <c r="C247" s="3" t="s">
        <v>81</v>
      </c>
      <c r="D247" s="3"/>
      <c r="E247" s="3" t="str">
        <f>VLOOKUP(B247,[1]general_report!$B$1:$I$713,8,0)</f>
        <v xml:space="preserve">Nextel </v>
      </c>
      <c r="F247" s="3" t="str">
        <f>VLOOKUP(B247,[1]general_report!$B$1:$J$713,9,0)</f>
        <v xml:space="preserve"> Nextel TLV</v>
      </c>
      <c r="G247" s="3" t="s">
        <v>543</v>
      </c>
      <c r="H247" s="3" t="s">
        <v>543</v>
      </c>
      <c r="I247" s="3" t="s">
        <v>27</v>
      </c>
      <c r="J247" s="5">
        <v>42215.737500000003</v>
      </c>
      <c r="K247" s="5">
        <v>42396.393055555556</v>
      </c>
      <c r="L247" s="11">
        <f t="shared" ca="1" si="12"/>
        <v>180.65555555555329</v>
      </c>
      <c r="M247" s="1">
        <f t="shared" si="13"/>
        <v>7</v>
      </c>
      <c r="N247" s="1">
        <f t="shared" si="14"/>
        <v>2015</v>
      </c>
      <c r="O247" s="1" t="str">
        <f t="shared" ca="1" si="15"/>
        <v>mais de 150 dias</v>
      </c>
    </row>
    <row r="248" spans="1:15" ht="25.5" x14ac:dyDescent="0.2">
      <c r="A248" s="3" t="s">
        <v>8</v>
      </c>
      <c r="B248" s="4" t="s">
        <v>544</v>
      </c>
      <c r="C248" s="3" t="s">
        <v>81</v>
      </c>
      <c r="D248" s="3"/>
      <c r="E248" s="3" t="str">
        <f>VLOOKUP(B248,[1]general_report!$B$1:$I$713,8,0)</f>
        <v xml:space="preserve">TAM </v>
      </c>
      <c r="F248" s="3" t="str">
        <f>VLOOKUP(B248,[1]general_report!$B$1:$J$713,9,0)</f>
        <v xml:space="preserve"> Fale com o Presidente</v>
      </c>
      <c r="G248" s="3" t="s">
        <v>46</v>
      </c>
      <c r="H248" s="3" t="s">
        <v>398</v>
      </c>
      <c r="I248" s="3" t="s">
        <v>48</v>
      </c>
      <c r="J248" s="5">
        <v>42213.481249999997</v>
      </c>
      <c r="K248" s="3"/>
      <c r="L248" s="11">
        <f t="shared" ca="1" si="12"/>
        <v>219.51875000000291</v>
      </c>
      <c r="M248" s="1">
        <f t="shared" si="13"/>
        <v>7</v>
      </c>
      <c r="N248" s="1">
        <f t="shared" si="14"/>
        <v>2015</v>
      </c>
      <c r="O248" s="1" t="str">
        <f t="shared" ca="1" si="15"/>
        <v>mais de 150 dias</v>
      </c>
    </row>
    <row r="249" spans="1:15" ht="25.5" x14ac:dyDescent="0.2">
      <c r="A249" s="3" t="s">
        <v>8</v>
      </c>
      <c r="B249" s="4" t="s">
        <v>545</v>
      </c>
      <c r="C249" s="3" t="s">
        <v>546</v>
      </c>
      <c r="D249" s="3"/>
      <c r="E249" s="3" t="str">
        <f>VLOOKUP(B249,[1]general_report!$B$1:$I$713,8,0)</f>
        <v xml:space="preserve">Contax </v>
      </c>
      <c r="F249" s="3" t="str">
        <f>VLOOKUP(B249,[1]general_report!$B$1:$J$713,9,0)</f>
        <v xml:space="preserve"> Dir. Clientes Especiais</v>
      </c>
      <c r="G249" s="3" t="s">
        <v>419</v>
      </c>
      <c r="H249" s="3" t="s">
        <v>67</v>
      </c>
      <c r="I249" s="3" t="s">
        <v>13</v>
      </c>
      <c r="J249" s="5">
        <v>42208.479166666664</v>
      </c>
      <c r="K249" s="3"/>
      <c r="L249" s="11">
        <f t="shared" ca="1" si="12"/>
        <v>224.52083333333576</v>
      </c>
      <c r="M249" s="1">
        <f t="shared" si="13"/>
        <v>7</v>
      </c>
      <c r="N249" s="1">
        <f t="shared" si="14"/>
        <v>2015</v>
      </c>
      <c r="O249" s="1" t="str">
        <f t="shared" ca="1" si="15"/>
        <v>mais de 150 dias</v>
      </c>
    </row>
    <row r="250" spans="1:15" ht="25.5" x14ac:dyDescent="0.2">
      <c r="A250" s="3" t="s">
        <v>8</v>
      </c>
      <c r="B250" s="4" t="s">
        <v>547</v>
      </c>
      <c r="C250" s="3" t="s">
        <v>548</v>
      </c>
      <c r="D250" s="3"/>
      <c r="E250" s="3" t="str">
        <f>VLOOKUP(B250,[1]general_report!$B$1:$I$713,8,0)</f>
        <v xml:space="preserve">Contax </v>
      </c>
      <c r="F250" s="3" t="str">
        <f>VLOOKUP(B250,[1]general_report!$B$1:$J$713,9,0)</f>
        <v xml:space="preserve"> Dir. Clientes Especiais</v>
      </c>
      <c r="G250" s="3" t="s">
        <v>46</v>
      </c>
      <c r="H250" s="3" t="s">
        <v>67</v>
      </c>
      <c r="I250" s="3" t="s">
        <v>48</v>
      </c>
      <c r="J250" s="5">
        <v>42208.453472222223</v>
      </c>
      <c r="K250" s="3"/>
      <c r="L250" s="11">
        <f t="shared" ca="1" si="12"/>
        <v>224.54652777777665</v>
      </c>
      <c r="M250" s="1">
        <f t="shared" si="13"/>
        <v>7</v>
      </c>
      <c r="N250" s="1">
        <f t="shared" si="14"/>
        <v>2015</v>
      </c>
      <c r="O250" s="1" t="str">
        <f t="shared" ca="1" si="15"/>
        <v>mais de 150 dias</v>
      </c>
    </row>
    <row r="251" spans="1:15" ht="15" x14ac:dyDescent="0.2">
      <c r="A251" s="3" t="s">
        <v>8</v>
      </c>
      <c r="B251" s="4" t="s">
        <v>549</v>
      </c>
      <c r="C251" s="3" t="s">
        <v>81</v>
      </c>
      <c r="D251" s="3"/>
      <c r="E251" s="3" t="str">
        <f>VLOOKUP(B251,[1]general_report!$B$1:$I$713,8,0)</f>
        <v xml:space="preserve">Santander </v>
      </c>
      <c r="F251" s="3" t="str">
        <f>VLOOKUP(B251,[1]general_report!$B$1:$J$713,9,0)</f>
        <v xml:space="preserve"> Santander</v>
      </c>
      <c r="G251" s="3" t="s">
        <v>419</v>
      </c>
      <c r="H251" s="3" t="s">
        <v>47</v>
      </c>
      <c r="I251" s="3" t="s">
        <v>234</v>
      </c>
      <c r="J251" s="5">
        <v>42195.552083333336</v>
      </c>
      <c r="K251" s="3"/>
      <c r="L251" s="11">
        <f t="shared" ca="1" si="12"/>
        <v>237.44791666666424</v>
      </c>
      <c r="M251" s="1">
        <f t="shared" si="13"/>
        <v>7</v>
      </c>
      <c r="N251" s="1">
        <f t="shared" si="14"/>
        <v>2015</v>
      </c>
      <c r="O251" s="1" t="str">
        <f t="shared" ca="1" si="15"/>
        <v>mais de 150 dias</v>
      </c>
    </row>
    <row r="252" spans="1:15" ht="25.5" x14ac:dyDescent="0.2">
      <c r="A252" s="3" t="s">
        <v>8</v>
      </c>
      <c r="B252" s="4" t="s">
        <v>550</v>
      </c>
      <c r="C252" s="3" t="s">
        <v>551</v>
      </c>
      <c r="D252" s="3"/>
      <c r="E252" s="3" t="str">
        <f>VLOOKUP(B252,[1]general_report!$B$1:$I$713,8,0)</f>
        <v xml:space="preserve">Contax </v>
      </c>
      <c r="F252" s="3" t="str">
        <f>VLOOKUP(B252,[1]general_report!$B$1:$J$713,9,0)</f>
        <v xml:space="preserve"> Dir. Clientes Especiais</v>
      </c>
      <c r="G252" s="3" t="s">
        <v>11</v>
      </c>
      <c r="H252" s="3" t="s">
        <v>552</v>
      </c>
      <c r="I252" s="3" t="s">
        <v>83</v>
      </c>
      <c r="J252" s="5">
        <v>42172.75</v>
      </c>
      <c r="K252" s="3"/>
      <c r="L252" s="11">
        <f t="shared" ca="1" si="12"/>
        <v>260.25</v>
      </c>
      <c r="M252" s="1">
        <f t="shared" si="13"/>
        <v>6</v>
      </c>
      <c r="N252" s="1">
        <f t="shared" si="14"/>
        <v>2015</v>
      </c>
      <c r="O252" s="1" t="str">
        <f t="shared" ca="1" si="15"/>
        <v>mais de 150 dias</v>
      </c>
    </row>
    <row r="253" spans="1:15" ht="15" x14ac:dyDescent="0.2">
      <c r="A253" s="3" t="s">
        <v>8</v>
      </c>
      <c r="B253" s="4" t="s">
        <v>553</v>
      </c>
      <c r="C253" s="3" t="s">
        <v>81</v>
      </c>
      <c r="D253" s="3"/>
      <c r="E253" s="3" t="str">
        <f>VLOOKUP(B253,[1]general_report!$B$1:$I$713,8,0)</f>
        <v xml:space="preserve">Nextel </v>
      </c>
      <c r="F253" s="3" t="str">
        <f>VLOOKUP(B253,[1]general_report!$B$1:$J$713,9,0)</f>
        <v xml:space="preserve"> Nextel URC</v>
      </c>
      <c r="G253" s="3" t="s">
        <v>11</v>
      </c>
      <c r="H253" s="3" t="s">
        <v>47</v>
      </c>
      <c r="I253" s="3" t="s">
        <v>83</v>
      </c>
      <c r="J253" s="5">
        <v>42132.762499999997</v>
      </c>
      <c r="K253" s="3"/>
      <c r="L253" s="11">
        <f t="shared" ca="1" si="12"/>
        <v>300.23750000000291</v>
      </c>
      <c r="M253" s="1">
        <f t="shared" si="13"/>
        <v>5</v>
      </c>
      <c r="N253" s="1">
        <f t="shared" si="14"/>
        <v>2015</v>
      </c>
      <c r="O253" s="1" t="str">
        <f t="shared" ca="1" si="15"/>
        <v>mais de 150 dias</v>
      </c>
    </row>
    <row r="254" spans="1:15" ht="15" x14ac:dyDescent="0.2">
      <c r="A254" s="3" t="s">
        <v>8</v>
      </c>
      <c r="B254" s="4" t="s">
        <v>554</v>
      </c>
      <c r="C254" s="3" t="s">
        <v>555</v>
      </c>
      <c r="D254" s="3"/>
      <c r="E254" s="3" t="str">
        <f>VLOOKUP(B254,[1]general_report!$B$1:$I$713,8,0)</f>
        <v xml:space="preserve">Contax </v>
      </c>
      <c r="F254" s="3" t="str">
        <f>VLOOKUP(B254,[1]general_report!$B$1:$J$713,9,0)</f>
        <v xml:space="preserve"> Dir. Oi</v>
      </c>
      <c r="G254" s="3" t="s">
        <v>11</v>
      </c>
      <c r="H254" s="3" t="s">
        <v>556</v>
      </c>
      <c r="I254" s="3" t="s">
        <v>83</v>
      </c>
      <c r="J254" s="5">
        <v>42124.6</v>
      </c>
      <c r="K254" s="3"/>
      <c r="L254" s="11">
        <f t="shared" ca="1" si="12"/>
        <v>308.40000000000146</v>
      </c>
      <c r="M254" s="1">
        <f t="shared" si="13"/>
        <v>4</v>
      </c>
      <c r="N254" s="1">
        <f t="shared" si="14"/>
        <v>2015</v>
      </c>
      <c r="O254" s="1" t="str">
        <f t="shared" ca="1" si="15"/>
        <v>mais de 150 dias</v>
      </c>
    </row>
    <row r="255" spans="1:15" ht="15" x14ac:dyDescent="0.2">
      <c r="A255" s="3" t="s">
        <v>8</v>
      </c>
      <c r="B255" s="4" t="s">
        <v>557</v>
      </c>
      <c r="C255" s="3" t="s">
        <v>558</v>
      </c>
      <c r="D255" s="3"/>
      <c r="E255" s="3" t="str">
        <f>VLOOKUP(B255,[1]general_report!$B$1:$I$713,8,0)</f>
        <v xml:space="preserve">Santander </v>
      </c>
      <c r="F255" s="3" t="str">
        <f>VLOOKUP(B255,[1]general_report!$B$1:$J$713,9,0)</f>
        <v xml:space="preserve"> Produção Assistida</v>
      </c>
      <c r="G255" s="3" t="s">
        <v>419</v>
      </c>
      <c r="H255" s="3" t="s">
        <v>47</v>
      </c>
      <c r="I255" s="3" t="s">
        <v>48</v>
      </c>
      <c r="J255" s="5">
        <v>42101.479166666664</v>
      </c>
      <c r="K255" s="3"/>
      <c r="L255" s="11">
        <f t="shared" ca="1" si="12"/>
        <v>331.52083333333576</v>
      </c>
      <c r="M255" s="1">
        <f t="shared" si="13"/>
        <v>4</v>
      </c>
      <c r="N255" s="1">
        <f t="shared" si="14"/>
        <v>2015</v>
      </c>
      <c r="O255" s="1" t="str">
        <f t="shared" ca="1" si="15"/>
        <v>mais de 150 dias</v>
      </c>
    </row>
    <row r="256" spans="1:15" ht="25.5" x14ac:dyDescent="0.2">
      <c r="A256" s="3" t="s">
        <v>8</v>
      </c>
      <c r="B256" s="4" t="s">
        <v>559</v>
      </c>
      <c r="C256" s="3" t="s">
        <v>560</v>
      </c>
      <c r="D256" s="3"/>
      <c r="E256" s="3" t="str">
        <f>VLOOKUP(B256,[1]general_report!$B$1:$I$713,8,0)</f>
        <v xml:space="preserve">Banco Toyota </v>
      </c>
      <c r="F256" s="3" t="str">
        <f>VLOOKUP(B256,[1]general_report!$B$1:$J$713,9,0)</f>
        <v xml:space="preserve"> Suporte ao Cliente</v>
      </c>
      <c r="G256" s="3" t="s">
        <v>34</v>
      </c>
      <c r="H256" s="3" t="s">
        <v>34</v>
      </c>
      <c r="I256" s="3" t="s">
        <v>7</v>
      </c>
      <c r="J256" s="5">
        <v>42093.479166666664</v>
      </c>
      <c r="K256" s="5">
        <v>42417.765277777777</v>
      </c>
      <c r="L256" s="11">
        <f t="shared" ca="1" si="12"/>
        <v>324.2861111111124</v>
      </c>
      <c r="M256" s="1">
        <f t="shared" si="13"/>
        <v>3</v>
      </c>
      <c r="N256" s="1">
        <f t="shared" si="14"/>
        <v>2015</v>
      </c>
      <c r="O256" s="1" t="str">
        <f t="shared" ca="1" si="15"/>
        <v>mais de 150 dias</v>
      </c>
    </row>
    <row r="257" spans="1:15" ht="15" x14ac:dyDescent="0.2">
      <c r="A257" s="3" t="s">
        <v>8</v>
      </c>
      <c r="B257" s="4" t="s">
        <v>561</v>
      </c>
      <c r="C257" s="3" t="s">
        <v>81</v>
      </c>
      <c r="D257" s="3"/>
      <c r="E257" s="3" t="str">
        <f>VLOOKUP(B257,[1]general_report!$B$1:$I$713,8,0)</f>
        <v xml:space="preserve">Bradesco </v>
      </c>
      <c r="F257" s="3" t="str">
        <f>VLOOKUP(B257,[1]general_report!$B$1:$J$713,9,0)</f>
        <v xml:space="preserve"> Bradesco Cap</v>
      </c>
      <c r="G257" s="3" t="s">
        <v>419</v>
      </c>
      <c r="H257" s="3" t="s">
        <v>562</v>
      </c>
      <c r="I257" s="3" t="s">
        <v>48</v>
      </c>
      <c r="J257" s="5">
        <v>41774.526388888888</v>
      </c>
      <c r="K257" s="3"/>
      <c r="L257" s="11">
        <f t="shared" ca="1" si="12"/>
        <v>658.4736111111124</v>
      </c>
      <c r="M257" s="1">
        <f t="shared" si="13"/>
        <v>5</v>
      </c>
      <c r="N257" s="1">
        <f t="shared" si="14"/>
        <v>2014</v>
      </c>
      <c r="O257" s="1" t="str">
        <f t="shared" ca="1" si="15"/>
        <v>mais de 150 dias</v>
      </c>
    </row>
    <row r="258" spans="1:15" ht="15" x14ac:dyDescent="0.2">
      <c r="A258" s="3" t="s">
        <v>8</v>
      </c>
      <c r="B258" s="4" t="s">
        <v>563</v>
      </c>
      <c r="C258" s="3" t="s">
        <v>81</v>
      </c>
      <c r="D258" s="3"/>
      <c r="E258" s="3" t="str">
        <f>VLOOKUP(B258,[1]general_report!$B$1:$I$713,8,0)</f>
        <v xml:space="preserve">Bradesco </v>
      </c>
      <c r="F258" s="3" t="str">
        <f>VLOOKUP(B258,[1]general_report!$B$1:$J$713,9,0)</f>
        <v xml:space="preserve"> Bradesco Seguros</v>
      </c>
      <c r="G258" s="3" t="s">
        <v>419</v>
      </c>
      <c r="H258" s="3" t="s">
        <v>562</v>
      </c>
      <c r="I258" s="3" t="s">
        <v>48</v>
      </c>
      <c r="J258" s="5">
        <v>41774.525000000001</v>
      </c>
      <c r="K258" s="3"/>
      <c r="L258" s="11">
        <f t="shared" ca="1" si="12"/>
        <v>658.47499999999854</v>
      </c>
      <c r="M258" s="1">
        <f t="shared" si="13"/>
        <v>5</v>
      </c>
      <c r="N258" s="1">
        <f t="shared" si="14"/>
        <v>2014</v>
      </c>
      <c r="O258" s="1" t="str">
        <f t="shared" ca="1" si="15"/>
        <v>mais de 150 dias</v>
      </c>
    </row>
    <row r="259" spans="1:15" ht="25.5" x14ac:dyDescent="0.2">
      <c r="A259" s="3" t="s">
        <v>8</v>
      </c>
      <c r="B259" s="4" t="s">
        <v>564</v>
      </c>
      <c r="C259" s="3" t="s">
        <v>565</v>
      </c>
      <c r="D259" s="3"/>
      <c r="E259" s="3" t="str">
        <f>VLOOKUP(B259,[1]general_report!$B$1:$I$713,8,0)</f>
        <v xml:space="preserve">Contax </v>
      </c>
      <c r="F259" s="3" t="str">
        <f>VLOOKUP(B259,[1]general_report!$B$1:$J$713,9,0)</f>
        <v xml:space="preserve"> Ger Processos, Metodologia e MIS</v>
      </c>
      <c r="G259" s="3" t="s">
        <v>11</v>
      </c>
      <c r="H259" s="3" t="s">
        <v>566</v>
      </c>
      <c r="I259" s="3" t="s">
        <v>13</v>
      </c>
      <c r="J259" s="5">
        <v>42412.535416666666</v>
      </c>
      <c r="K259" s="3"/>
      <c r="L259" s="11">
        <f t="shared" ref="L259:L322" ca="1" si="16">IF(K259="",TODAY()-J259,K259-J259)</f>
        <v>20.464583333334303</v>
      </c>
      <c r="M259" s="1">
        <f t="shared" ref="M259:M322" si="17">MONTH(J259)</f>
        <v>2</v>
      </c>
      <c r="N259" s="1">
        <f t="shared" ref="N259:N322" si="18">YEAR(J259)</f>
        <v>2016</v>
      </c>
      <c r="O259" s="1" t="str">
        <f t="shared" ref="O259:O322" ca="1" si="19">IF(L259&lt;30,"menos 1 mês",IF(L259&lt;60,"entre 30 e 60 dias",IF(L259&lt;90,"entre 60 e 90 dias",IF(L259&lt;150,"entre 90 e 150 dias","mais de 150 dias"))))</f>
        <v>menos 1 mês</v>
      </c>
    </row>
    <row r="260" spans="1:15" ht="25.5" x14ac:dyDescent="0.2">
      <c r="A260" s="3" t="s">
        <v>8</v>
      </c>
      <c r="B260" s="4" t="s">
        <v>567</v>
      </c>
      <c r="C260" s="3" t="s">
        <v>568</v>
      </c>
      <c r="D260" s="3"/>
      <c r="E260" s="3" t="str">
        <f>VLOOKUP(B260,[1]general_report!$B$1:$I$713,8,0)</f>
        <v xml:space="preserve">Itaú </v>
      </c>
      <c r="F260" s="3" t="str">
        <f>VLOOKUP(B260,[1]general_report!$B$1:$J$713,9,0)</f>
        <v xml:space="preserve"> Itaú Cartão</v>
      </c>
      <c r="G260" s="3" t="s">
        <v>11</v>
      </c>
      <c r="H260" s="3" t="s">
        <v>199</v>
      </c>
      <c r="I260" s="3" t="s">
        <v>13</v>
      </c>
      <c r="J260" s="5">
        <v>42348.763888888891</v>
      </c>
      <c r="K260" s="3"/>
      <c r="L260" s="11">
        <f t="shared" ca="1" si="16"/>
        <v>84.236111111109494</v>
      </c>
      <c r="M260" s="1">
        <f t="shared" si="17"/>
        <v>12</v>
      </c>
      <c r="N260" s="1">
        <f t="shared" si="18"/>
        <v>2015</v>
      </c>
      <c r="O260" s="1" t="str">
        <f t="shared" ca="1" si="19"/>
        <v>entre 60 e 90 dias</v>
      </c>
    </row>
    <row r="261" spans="1:15" ht="25.5" x14ac:dyDescent="0.2">
      <c r="A261" s="3" t="s">
        <v>8</v>
      </c>
      <c r="B261" s="4" t="s">
        <v>569</v>
      </c>
      <c r="C261" s="3" t="s">
        <v>570</v>
      </c>
      <c r="D261" s="3"/>
      <c r="E261" s="3" t="str">
        <f>VLOOKUP(B261,[1]general_report!$B$1:$I$713,8,0)</f>
        <v xml:space="preserve">Oi </v>
      </c>
      <c r="F261" s="3" t="str">
        <f>VLOOKUP(B261,[1]general_report!$B$1:$J$713,9,0)</f>
        <v xml:space="preserve"> Televendas Oi</v>
      </c>
      <c r="G261" s="3" t="s">
        <v>571</v>
      </c>
      <c r="H261" s="3" t="s">
        <v>571</v>
      </c>
      <c r="I261" s="3" t="s">
        <v>27</v>
      </c>
      <c r="J261" s="5">
        <v>42341.777083333334</v>
      </c>
      <c r="K261" s="5">
        <v>42384.657638888886</v>
      </c>
      <c r="L261" s="11">
        <f t="shared" ca="1" si="16"/>
        <v>42.880555555551837</v>
      </c>
      <c r="M261" s="1">
        <f t="shared" si="17"/>
        <v>12</v>
      </c>
      <c r="N261" s="1">
        <f t="shared" si="18"/>
        <v>2015</v>
      </c>
      <c r="O261" s="1" t="str">
        <f t="shared" ca="1" si="19"/>
        <v>entre 30 e 60 dias</v>
      </c>
    </row>
    <row r="262" spans="1:15" ht="25.5" x14ac:dyDescent="0.2">
      <c r="A262" s="3" t="s">
        <v>8</v>
      </c>
      <c r="B262" s="4" t="s">
        <v>572</v>
      </c>
      <c r="C262" s="3" t="s">
        <v>573</v>
      </c>
      <c r="D262" s="3"/>
      <c r="E262" s="3" t="str">
        <f>VLOOKUP(B262,[1]general_report!$B$1:$I$713,8,0)</f>
        <v xml:space="preserve">Oi </v>
      </c>
      <c r="F262" s="3" t="str">
        <f>VLOOKUP(B262,[1]general_report!$B$1:$J$713,9,0)</f>
        <v xml:space="preserve"> Televendas Oi</v>
      </c>
      <c r="G262" s="3" t="s">
        <v>571</v>
      </c>
      <c r="H262" s="3" t="s">
        <v>571</v>
      </c>
      <c r="I262" s="3" t="s">
        <v>27</v>
      </c>
      <c r="J262" s="5">
        <v>42325.632638888892</v>
      </c>
      <c r="K262" s="5">
        <v>42384.657638888886</v>
      </c>
      <c r="L262" s="11">
        <f t="shared" ca="1" si="16"/>
        <v>59.024999999994179</v>
      </c>
      <c r="M262" s="1">
        <f t="shared" si="17"/>
        <v>11</v>
      </c>
      <c r="N262" s="1">
        <f t="shared" si="18"/>
        <v>2015</v>
      </c>
      <c r="O262" s="1" t="str">
        <f t="shared" ca="1" si="19"/>
        <v>entre 30 e 60 dias</v>
      </c>
    </row>
    <row r="263" spans="1:15" ht="25.5" x14ac:dyDescent="0.2">
      <c r="A263" s="3" t="s">
        <v>8</v>
      </c>
      <c r="B263" s="4" t="s">
        <v>574</v>
      </c>
      <c r="C263" s="3" t="s">
        <v>337</v>
      </c>
      <c r="D263" s="3"/>
      <c r="E263" s="3" t="str">
        <f>VLOOKUP(B263,[1]general_report!$B$1:$I$713,8,0)</f>
        <v xml:space="preserve">Contax </v>
      </c>
      <c r="F263" s="3" t="str">
        <f>VLOOKUP(B263,[1]general_report!$B$1:$J$713,9,0)</f>
        <v xml:space="preserve"> Ger Processos, Metodologia e MIS</v>
      </c>
      <c r="G263" s="3" t="s">
        <v>18</v>
      </c>
      <c r="H263" s="3" t="s">
        <v>566</v>
      </c>
      <c r="I263" s="3" t="s">
        <v>13</v>
      </c>
      <c r="J263" s="5">
        <v>42319.62222222222</v>
      </c>
      <c r="K263" s="3"/>
      <c r="L263" s="11">
        <f t="shared" ca="1" si="16"/>
        <v>113.37777777777956</v>
      </c>
      <c r="M263" s="1">
        <f t="shared" si="17"/>
        <v>11</v>
      </c>
      <c r="N263" s="1">
        <f t="shared" si="18"/>
        <v>2015</v>
      </c>
      <c r="O263" s="1" t="str">
        <f t="shared" ca="1" si="19"/>
        <v>entre 90 e 150 dias</v>
      </c>
    </row>
    <row r="264" spans="1:15" ht="38.25" x14ac:dyDescent="0.2">
      <c r="A264" s="3" t="s">
        <v>8</v>
      </c>
      <c r="B264" s="4" t="s">
        <v>575</v>
      </c>
      <c r="C264" s="3" t="s">
        <v>576</v>
      </c>
      <c r="D264" s="3"/>
      <c r="E264" s="3" t="str">
        <f>VLOOKUP(B264,[1]general_report!$B$1:$I$713,8,0)</f>
        <v xml:space="preserve">Contax </v>
      </c>
      <c r="F264" s="3" t="str">
        <f>VLOOKUP(B264,[1]general_report!$B$1:$J$713,9,0)</f>
        <v xml:space="preserve"> Outro</v>
      </c>
      <c r="G264" s="3" t="s">
        <v>11</v>
      </c>
      <c r="H264" s="3" t="s">
        <v>577</v>
      </c>
      <c r="I264" s="3" t="s">
        <v>13</v>
      </c>
      <c r="J264" s="5">
        <v>42296.658333333333</v>
      </c>
      <c r="K264" s="3"/>
      <c r="L264" s="11">
        <f t="shared" ca="1" si="16"/>
        <v>136.34166666666715</v>
      </c>
      <c r="M264" s="1">
        <f t="shared" si="17"/>
        <v>10</v>
      </c>
      <c r="N264" s="1">
        <f t="shared" si="18"/>
        <v>2015</v>
      </c>
      <c r="O264" s="1" t="str">
        <f t="shared" ca="1" si="19"/>
        <v>entre 90 e 150 dias</v>
      </c>
    </row>
    <row r="265" spans="1:15" ht="15" x14ac:dyDescent="0.2">
      <c r="A265" s="3" t="s">
        <v>8</v>
      </c>
      <c r="B265" s="4" t="s">
        <v>578</v>
      </c>
      <c r="C265" s="3" t="s">
        <v>579</v>
      </c>
      <c r="D265" s="3"/>
      <c r="E265" s="3" t="str">
        <f>VLOOKUP(B265,[1]general_report!$B$1:$I$713,8,0)</f>
        <v xml:space="preserve">Contax </v>
      </c>
      <c r="F265" s="3" t="str">
        <f>VLOOKUP(B265,[1]general_report!$B$1:$J$713,9,0)</f>
        <v xml:space="preserve"> Outro</v>
      </c>
      <c r="G265" s="3" t="s">
        <v>402</v>
      </c>
      <c r="H265" s="3" t="s">
        <v>199</v>
      </c>
      <c r="I265" s="3" t="s">
        <v>13</v>
      </c>
      <c r="J265" s="5">
        <v>42291.729861111111</v>
      </c>
      <c r="K265" s="3"/>
      <c r="L265" s="11">
        <f t="shared" ca="1" si="16"/>
        <v>141.27013888888905</v>
      </c>
      <c r="M265" s="1">
        <f t="shared" si="17"/>
        <v>10</v>
      </c>
      <c r="N265" s="1">
        <f t="shared" si="18"/>
        <v>2015</v>
      </c>
      <c r="O265" s="1" t="str">
        <f t="shared" ca="1" si="19"/>
        <v>entre 90 e 150 dias</v>
      </c>
    </row>
    <row r="266" spans="1:15" ht="25.5" x14ac:dyDescent="0.2">
      <c r="A266" s="3" t="s">
        <v>8</v>
      </c>
      <c r="B266" s="4" t="s">
        <v>580</v>
      </c>
      <c r="C266" s="3" t="s">
        <v>581</v>
      </c>
      <c r="D266" s="3"/>
      <c r="E266" s="3" t="str">
        <f>VLOOKUP(B266,[1]general_report!$B$1:$I$713,8,0)</f>
        <v xml:space="preserve">Contax </v>
      </c>
      <c r="F266" s="3" t="str">
        <f>VLOOKUP(B266,[1]general_report!$B$1:$J$713,9,0)</f>
        <v xml:space="preserve"> Outro</v>
      </c>
      <c r="G266" s="3" t="s">
        <v>402</v>
      </c>
      <c r="H266" s="3" t="s">
        <v>199</v>
      </c>
      <c r="I266" s="3" t="s">
        <v>13</v>
      </c>
      <c r="J266" s="5">
        <v>42291.633333333331</v>
      </c>
      <c r="K266" s="3"/>
      <c r="L266" s="11">
        <f t="shared" ca="1" si="16"/>
        <v>141.36666666666861</v>
      </c>
      <c r="M266" s="1">
        <f t="shared" si="17"/>
        <v>10</v>
      </c>
      <c r="N266" s="1">
        <f t="shared" si="18"/>
        <v>2015</v>
      </c>
      <c r="O266" s="1" t="str">
        <f t="shared" ca="1" si="19"/>
        <v>entre 90 e 150 dias</v>
      </c>
    </row>
    <row r="267" spans="1:15" ht="38.25" x14ac:dyDescent="0.2">
      <c r="A267" s="3" t="s">
        <v>8</v>
      </c>
      <c r="B267" s="4" t="s">
        <v>582</v>
      </c>
      <c r="C267" s="3" t="s">
        <v>583</v>
      </c>
      <c r="D267" s="3"/>
      <c r="E267" s="3" t="str">
        <f>VLOOKUP(B267,[1]general_report!$B$1:$I$713,8,0)</f>
        <v xml:space="preserve">Contax </v>
      </c>
      <c r="F267" s="3" t="str">
        <f>VLOOKUP(B267,[1]general_report!$B$1:$J$713,9,0)</f>
        <v xml:space="preserve"> Outro</v>
      </c>
      <c r="G267" s="3" t="s">
        <v>402</v>
      </c>
      <c r="H267" s="3" t="s">
        <v>199</v>
      </c>
      <c r="I267" s="3" t="s">
        <v>48</v>
      </c>
      <c r="J267" s="5">
        <v>42262.451388888891</v>
      </c>
      <c r="K267" s="3"/>
      <c r="L267" s="11">
        <f t="shared" ca="1" si="16"/>
        <v>170.54861111110949</v>
      </c>
      <c r="M267" s="1">
        <f t="shared" si="17"/>
        <v>9</v>
      </c>
      <c r="N267" s="1">
        <f t="shared" si="18"/>
        <v>2015</v>
      </c>
      <c r="O267" s="1" t="str">
        <f t="shared" ca="1" si="19"/>
        <v>mais de 150 dias</v>
      </c>
    </row>
    <row r="268" spans="1:15" ht="51" x14ac:dyDescent="0.2">
      <c r="A268" s="3" t="s">
        <v>8</v>
      </c>
      <c r="B268" s="4" t="s">
        <v>584</v>
      </c>
      <c r="C268" s="3" t="s">
        <v>585</v>
      </c>
      <c r="D268" s="3"/>
      <c r="E268" s="3" t="str">
        <f>VLOOKUP(B268,[1]general_report!$B$1:$I$713,8,0)</f>
        <v xml:space="preserve">Itaú </v>
      </c>
      <c r="F268" s="3" t="str">
        <f>VLOOKUP(B268,[1]general_report!$B$1:$J$713,9,0)</f>
        <v xml:space="preserve"> Itaú Cartão</v>
      </c>
      <c r="G268" s="3" t="s">
        <v>402</v>
      </c>
      <c r="H268" s="3" t="s">
        <v>199</v>
      </c>
      <c r="I268" s="3" t="s">
        <v>207</v>
      </c>
      <c r="J268" s="5">
        <v>42251.677777777775</v>
      </c>
      <c r="K268" s="3"/>
      <c r="L268" s="11">
        <f t="shared" ca="1" si="16"/>
        <v>181.32222222222481</v>
      </c>
      <c r="M268" s="1">
        <f t="shared" si="17"/>
        <v>9</v>
      </c>
      <c r="N268" s="1">
        <f t="shared" si="18"/>
        <v>2015</v>
      </c>
      <c r="O268" s="1" t="str">
        <f t="shared" ca="1" si="19"/>
        <v>mais de 150 dias</v>
      </c>
    </row>
    <row r="269" spans="1:15" ht="25.5" x14ac:dyDescent="0.2">
      <c r="A269" s="3" t="s">
        <v>8</v>
      </c>
      <c r="B269" s="4" t="s">
        <v>586</v>
      </c>
      <c r="C269" s="3" t="s">
        <v>81</v>
      </c>
      <c r="D269" s="3"/>
      <c r="E269" s="3" t="str">
        <f>VLOOKUP(B269,[1]general_report!$B$1:$I$713,8,0)</f>
        <v xml:space="preserve">Contax </v>
      </c>
      <c r="F269" s="3" t="str">
        <f>VLOOKUP(B269,[1]general_report!$B$1:$J$713,9,0)</f>
        <v xml:space="preserve"> Ger Processos, Metodologia e MIS</v>
      </c>
      <c r="G269" s="3" t="s">
        <v>419</v>
      </c>
      <c r="H269" s="3" t="s">
        <v>566</v>
      </c>
      <c r="I269" s="3" t="s">
        <v>207</v>
      </c>
      <c r="J269" s="5">
        <v>42206.511111111111</v>
      </c>
      <c r="K269" s="3"/>
      <c r="L269" s="11">
        <f t="shared" ca="1" si="16"/>
        <v>226.48888888888905</v>
      </c>
      <c r="M269" s="1">
        <f t="shared" si="17"/>
        <v>7</v>
      </c>
      <c r="N269" s="1">
        <f t="shared" si="18"/>
        <v>2015</v>
      </c>
      <c r="O269" s="1" t="str">
        <f t="shared" ca="1" si="19"/>
        <v>mais de 150 dias</v>
      </c>
    </row>
    <row r="270" spans="1:15" ht="25.5" x14ac:dyDescent="0.2">
      <c r="A270" s="3" t="s">
        <v>8</v>
      </c>
      <c r="B270" s="4" t="s">
        <v>587</v>
      </c>
      <c r="C270" s="3" t="s">
        <v>588</v>
      </c>
      <c r="D270" s="3"/>
      <c r="E270" s="3" t="str">
        <f>VLOOKUP(B270,[1]general_report!$B$1:$I$713,8,0)</f>
        <v xml:space="preserve">Itaú </v>
      </c>
      <c r="F270" s="3" t="str">
        <f>VLOOKUP(B270,[1]general_report!$B$1:$J$713,9,0)</f>
        <v xml:space="preserve"> Venda de Cartões</v>
      </c>
      <c r="G270" s="3" t="s">
        <v>419</v>
      </c>
      <c r="H270" s="3" t="s">
        <v>199</v>
      </c>
      <c r="I270" s="3" t="s">
        <v>13</v>
      </c>
      <c r="J270" s="5">
        <v>42192.69027777778</v>
      </c>
      <c r="K270" s="3"/>
      <c r="L270" s="11">
        <f t="shared" ca="1" si="16"/>
        <v>240.30972222222044</v>
      </c>
      <c r="M270" s="1">
        <f t="shared" si="17"/>
        <v>7</v>
      </c>
      <c r="N270" s="1">
        <f t="shared" si="18"/>
        <v>2015</v>
      </c>
      <c r="O270" s="1" t="str">
        <f t="shared" ca="1" si="19"/>
        <v>mais de 150 dias</v>
      </c>
    </row>
    <row r="271" spans="1:15" ht="25.5" x14ac:dyDescent="0.2">
      <c r="A271" s="3" t="s">
        <v>8</v>
      </c>
      <c r="B271" s="4" t="s">
        <v>589</v>
      </c>
      <c r="C271" s="3" t="s">
        <v>81</v>
      </c>
      <c r="D271" s="3"/>
      <c r="E271" s="3" t="str">
        <f>VLOOKUP(B271,[1]general_report!$B$1:$I$713,8,0)</f>
        <v xml:space="preserve">Contax </v>
      </c>
      <c r="F271" s="3" t="str">
        <f>VLOOKUP(B271,[1]general_report!$B$1:$J$713,9,0)</f>
        <v xml:space="preserve"> Ger Processos, Metodologia e MIS</v>
      </c>
      <c r="G271" s="3" t="s">
        <v>33</v>
      </c>
      <c r="H271" s="3" t="s">
        <v>566</v>
      </c>
      <c r="I271" s="3" t="s">
        <v>234</v>
      </c>
      <c r="J271" s="5">
        <v>42188.760416666664</v>
      </c>
      <c r="K271" s="3"/>
      <c r="L271" s="11">
        <f t="shared" ca="1" si="16"/>
        <v>244.23958333333576</v>
      </c>
      <c r="M271" s="1">
        <f t="shared" si="17"/>
        <v>7</v>
      </c>
      <c r="N271" s="1">
        <f t="shared" si="18"/>
        <v>2015</v>
      </c>
      <c r="O271" s="1" t="str">
        <f t="shared" ca="1" si="19"/>
        <v>mais de 150 dias</v>
      </c>
    </row>
    <row r="272" spans="1:15" ht="25.5" x14ac:dyDescent="0.2">
      <c r="A272" s="3" t="s">
        <v>8</v>
      </c>
      <c r="B272" s="4" t="s">
        <v>590</v>
      </c>
      <c r="C272" s="3" t="s">
        <v>591</v>
      </c>
      <c r="D272" s="3"/>
      <c r="E272" s="3" t="str">
        <f>VLOOKUP(B272,[1]general_report!$B$1:$I$713,8,0)</f>
        <v xml:space="preserve">Itaú </v>
      </c>
      <c r="F272" s="3" t="str">
        <f>VLOOKUP(B272,[1]general_report!$B$1:$J$713,9,0)</f>
        <v xml:space="preserve"> Itaú Cartão</v>
      </c>
      <c r="G272" s="3" t="s">
        <v>402</v>
      </c>
      <c r="H272" s="3" t="s">
        <v>199</v>
      </c>
      <c r="I272" s="3" t="s">
        <v>48</v>
      </c>
      <c r="J272" s="5">
        <v>42081.73333333333</v>
      </c>
      <c r="K272" s="3"/>
      <c r="L272" s="11">
        <f t="shared" ca="1" si="16"/>
        <v>351.26666666667006</v>
      </c>
      <c r="M272" s="1">
        <f t="shared" si="17"/>
        <v>3</v>
      </c>
      <c r="N272" s="1">
        <f t="shared" si="18"/>
        <v>2015</v>
      </c>
      <c r="O272" s="1" t="str">
        <f t="shared" ca="1" si="19"/>
        <v>mais de 150 dias</v>
      </c>
    </row>
    <row r="273" spans="1:15" ht="25.5" x14ac:dyDescent="0.2">
      <c r="A273" s="3" t="s">
        <v>8</v>
      </c>
      <c r="B273" s="4" t="s">
        <v>592</v>
      </c>
      <c r="C273" s="3" t="s">
        <v>593</v>
      </c>
      <c r="D273" s="3"/>
      <c r="E273" s="3" t="str">
        <f>VLOOKUP(B273,[1]general_report!$B$1:$I$713,8,0)</f>
        <v xml:space="preserve">Oi </v>
      </c>
      <c r="F273" s="3" t="str">
        <f>VLOOKUP(B273,[1]general_report!$B$1:$J$713,9,0)</f>
        <v xml:space="preserve"> Rentabilização</v>
      </c>
      <c r="G273" s="3" t="s">
        <v>11</v>
      </c>
      <c r="H273" s="3" t="s">
        <v>594</v>
      </c>
      <c r="I273" s="3" t="s">
        <v>13</v>
      </c>
      <c r="J273" s="5">
        <v>42412.789583333331</v>
      </c>
      <c r="K273" s="3"/>
      <c r="L273" s="11">
        <f t="shared" ca="1" si="16"/>
        <v>20.210416666668607</v>
      </c>
      <c r="M273" s="1">
        <f t="shared" si="17"/>
        <v>2</v>
      </c>
      <c r="N273" s="1">
        <f t="shared" si="18"/>
        <v>2016</v>
      </c>
      <c r="O273" s="1" t="str">
        <f t="shared" ca="1" si="19"/>
        <v>menos 1 mês</v>
      </c>
    </row>
    <row r="274" spans="1:15" ht="25.5" x14ac:dyDescent="0.2">
      <c r="A274" s="3" t="s">
        <v>8</v>
      </c>
      <c r="B274" s="4" t="s">
        <v>595</v>
      </c>
      <c r="C274" s="3" t="s">
        <v>596</v>
      </c>
      <c r="D274" s="3"/>
      <c r="E274" s="3" t="str">
        <f>VLOOKUP(B274,[1]general_report!$B$1:$I$713,8,0)</f>
        <v xml:space="preserve">Oi </v>
      </c>
      <c r="F274" s="3" t="str">
        <f>VLOOKUP(B274,[1]general_report!$B$1:$J$713,9,0)</f>
        <v xml:space="preserve"> Televendas Oi</v>
      </c>
      <c r="G274" s="3" t="s">
        <v>11</v>
      </c>
      <c r="H274" s="3" t="s">
        <v>571</v>
      </c>
      <c r="I274" s="3" t="s">
        <v>13</v>
      </c>
      <c r="J274" s="5">
        <v>42402.71875</v>
      </c>
      <c r="K274" s="3"/>
      <c r="L274" s="11">
        <f t="shared" ca="1" si="16"/>
        <v>30.28125</v>
      </c>
      <c r="M274" s="1">
        <f t="shared" si="17"/>
        <v>2</v>
      </c>
      <c r="N274" s="1">
        <f t="shared" si="18"/>
        <v>2016</v>
      </c>
      <c r="O274" s="1" t="str">
        <f t="shared" ca="1" si="19"/>
        <v>entre 30 e 60 dias</v>
      </c>
    </row>
    <row r="275" spans="1:15" ht="15" x14ac:dyDescent="0.2">
      <c r="A275" s="3" t="s">
        <v>8</v>
      </c>
      <c r="B275" s="4" t="s">
        <v>597</v>
      </c>
      <c r="C275" s="3" t="s">
        <v>598</v>
      </c>
      <c r="D275" s="3"/>
      <c r="E275" s="3" t="str">
        <f>VLOOKUP(B275,[1]general_report!$B$1:$I$713,8,0)</f>
        <v xml:space="preserve">Oi </v>
      </c>
      <c r="F275" s="3" t="str">
        <f>VLOOKUP(B275,[1]general_report!$B$1:$J$713,9,0)</f>
        <v xml:space="preserve"> Televendas Oi</v>
      </c>
      <c r="G275" s="3" t="s">
        <v>11</v>
      </c>
      <c r="H275" s="3" t="s">
        <v>571</v>
      </c>
      <c r="I275" s="3" t="s">
        <v>13</v>
      </c>
      <c r="J275" s="5">
        <v>42401.802777777775</v>
      </c>
      <c r="K275" s="3"/>
      <c r="L275" s="11">
        <f t="shared" ca="1" si="16"/>
        <v>31.197222222224809</v>
      </c>
      <c r="M275" s="1">
        <f t="shared" si="17"/>
        <v>2</v>
      </c>
      <c r="N275" s="1">
        <f t="shared" si="18"/>
        <v>2016</v>
      </c>
      <c r="O275" s="1" t="str">
        <f t="shared" ca="1" si="19"/>
        <v>entre 30 e 60 dias</v>
      </c>
    </row>
    <row r="276" spans="1:15" ht="25.5" x14ac:dyDescent="0.2">
      <c r="A276" s="3" t="s">
        <v>8</v>
      </c>
      <c r="B276" s="4" t="s">
        <v>599</v>
      </c>
      <c r="C276" s="3" t="s">
        <v>337</v>
      </c>
      <c r="D276" s="3"/>
      <c r="E276" s="3" t="str">
        <f>VLOOKUP(B276,[1]general_report!$B$1:$I$713,8,0)</f>
        <v xml:space="preserve">Oi </v>
      </c>
      <c r="F276" s="3" t="str">
        <f>VLOOKUP(B276,[1]general_report!$B$1:$J$713,9,0)</f>
        <v xml:space="preserve"> Televendas Oi</v>
      </c>
      <c r="G276" s="3" t="s">
        <v>11</v>
      </c>
      <c r="H276" s="3" t="s">
        <v>571</v>
      </c>
      <c r="I276" s="3" t="s">
        <v>13</v>
      </c>
      <c r="J276" s="5">
        <v>42389.65</v>
      </c>
      <c r="K276" s="3"/>
      <c r="L276" s="11">
        <f t="shared" ca="1" si="16"/>
        <v>43.349999999998545</v>
      </c>
      <c r="M276" s="1">
        <f t="shared" si="17"/>
        <v>1</v>
      </c>
      <c r="N276" s="1">
        <f t="shared" si="18"/>
        <v>2016</v>
      </c>
      <c r="O276" s="1" t="str">
        <f t="shared" ca="1" si="19"/>
        <v>entre 30 e 60 dias</v>
      </c>
    </row>
    <row r="277" spans="1:15" ht="25.5" x14ac:dyDescent="0.2">
      <c r="A277" s="3" t="s">
        <v>8</v>
      </c>
      <c r="B277" s="4" t="s">
        <v>600</v>
      </c>
      <c r="C277" s="3" t="s">
        <v>337</v>
      </c>
      <c r="D277" s="3"/>
      <c r="E277" s="3" t="str">
        <f>VLOOKUP(B277,[1]general_report!$B$1:$I$713,8,0)</f>
        <v xml:space="preserve">Oi </v>
      </c>
      <c r="F277" s="3" t="str">
        <f>VLOOKUP(B277,[1]general_report!$B$1:$J$713,9,0)</f>
        <v xml:space="preserve"> Televendas Oi</v>
      </c>
      <c r="G277" s="3" t="s">
        <v>11</v>
      </c>
      <c r="H277" s="3" t="s">
        <v>571</v>
      </c>
      <c r="I277" s="3" t="s">
        <v>13</v>
      </c>
      <c r="J277" s="5">
        <v>42389.646527777775</v>
      </c>
      <c r="K277" s="3"/>
      <c r="L277" s="11">
        <f t="shared" ca="1" si="16"/>
        <v>43.353472222224809</v>
      </c>
      <c r="M277" s="1">
        <f t="shared" si="17"/>
        <v>1</v>
      </c>
      <c r="N277" s="1">
        <f t="shared" si="18"/>
        <v>2016</v>
      </c>
      <c r="O277" s="1" t="str">
        <f t="shared" ca="1" si="19"/>
        <v>entre 30 e 60 dias</v>
      </c>
    </row>
    <row r="278" spans="1:15" ht="25.5" x14ac:dyDescent="0.2">
      <c r="A278" s="3" t="s">
        <v>8</v>
      </c>
      <c r="B278" s="4" t="s">
        <v>601</v>
      </c>
      <c r="C278" s="3" t="s">
        <v>602</v>
      </c>
      <c r="D278" s="3"/>
      <c r="E278" s="3" t="str">
        <f>VLOOKUP(B278,[1]general_report!$B$1:$I$713,8,0)</f>
        <v xml:space="preserve">Oi </v>
      </c>
      <c r="F278" s="3" t="str">
        <f>VLOOKUP(B278,[1]general_report!$B$1:$J$713,9,0)</f>
        <v xml:space="preserve"> Televendas Oi</v>
      </c>
      <c r="G278" s="3" t="s">
        <v>603</v>
      </c>
      <c r="H278" s="3" t="s">
        <v>571</v>
      </c>
      <c r="I278" s="3" t="s">
        <v>13</v>
      </c>
      <c r="J278" s="5">
        <v>42367.852777777778</v>
      </c>
      <c r="K278" s="3"/>
      <c r="L278" s="11">
        <f t="shared" ca="1" si="16"/>
        <v>65.147222222221899</v>
      </c>
      <c r="M278" s="1">
        <f t="shared" si="17"/>
        <v>12</v>
      </c>
      <c r="N278" s="1">
        <f t="shared" si="18"/>
        <v>2015</v>
      </c>
      <c r="O278" s="1" t="str">
        <f t="shared" ca="1" si="19"/>
        <v>entre 60 e 90 dias</v>
      </c>
    </row>
    <row r="279" spans="1:15" ht="25.5" x14ac:dyDescent="0.2">
      <c r="A279" s="3" t="s">
        <v>8</v>
      </c>
      <c r="B279" s="4" t="s">
        <v>604</v>
      </c>
      <c r="C279" s="3" t="s">
        <v>605</v>
      </c>
      <c r="D279" s="3"/>
      <c r="E279" s="3" t="str">
        <f>VLOOKUP(B279,[1]general_report!$B$1:$I$713,8,0)</f>
        <v xml:space="preserve">Oi </v>
      </c>
      <c r="F279" s="3" t="str">
        <f>VLOOKUP(B279,[1]general_report!$B$1:$J$713,9,0)</f>
        <v xml:space="preserve"> Televendas Oi</v>
      </c>
      <c r="G279" s="3" t="s">
        <v>571</v>
      </c>
      <c r="H279" s="3" t="s">
        <v>571</v>
      </c>
      <c r="I279" s="3" t="s">
        <v>27</v>
      </c>
      <c r="J279" s="5">
        <v>42361.668749999997</v>
      </c>
      <c r="K279" s="5">
        <v>42397.404861111114</v>
      </c>
      <c r="L279" s="11">
        <f t="shared" ca="1" si="16"/>
        <v>35.73611111111677</v>
      </c>
      <c r="M279" s="1">
        <f t="shared" si="17"/>
        <v>12</v>
      </c>
      <c r="N279" s="1">
        <f t="shared" si="18"/>
        <v>2015</v>
      </c>
      <c r="O279" s="1" t="str">
        <f t="shared" ca="1" si="19"/>
        <v>entre 30 e 60 dias</v>
      </c>
    </row>
    <row r="280" spans="1:15" ht="15" x14ac:dyDescent="0.2">
      <c r="A280" s="3" t="s">
        <v>8</v>
      </c>
      <c r="B280" s="4" t="s">
        <v>606</v>
      </c>
      <c r="C280" s="3" t="s">
        <v>607</v>
      </c>
      <c r="D280" s="3"/>
      <c r="E280" s="3" t="str">
        <f>VLOOKUP(B280,[1]general_report!$B$1:$I$713,8,0)</f>
        <v xml:space="preserve">Oi </v>
      </c>
      <c r="F280" s="3" t="str">
        <f>VLOOKUP(B280,[1]general_report!$B$1:$J$713,9,0)</f>
        <v xml:space="preserve"> Rentabilização</v>
      </c>
      <c r="G280" s="3" t="s">
        <v>441</v>
      </c>
      <c r="H280" s="3" t="s">
        <v>594</v>
      </c>
      <c r="I280" s="3" t="s">
        <v>207</v>
      </c>
      <c r="J280" s="5">
        <v>42333.762499999997</v>
      </c>
      <c r="K280" s="3"/>
      <c r="L280" s="11">
        <f t="shared" ca="1" si="16"/>
        <v>99.23750000000291</v>
      </c>
      <c r="M280" s="1">
        <f t="shared" si="17"/>
        <v>11</v>
      </c>
      <c r="N280" s="1">
        <f t="shared" si="18"/>
        <v>2015</v>
      </c>
      <c r="O280" s="1" t="str">
        <f t="shared" ca="1" si="19"/>
        <v>entre 90 e 150 dias</v>
      </c>
    </row>
    <row r="281" spans="1:15" ht="25.5" x14ac:dyDescent="0.2">
      <c r="A281" s="3" t="s">
        <v>8</v>
      </c>
      <c r="B281" s="4" t="s">
        <v>608</v>
      </c>
      <c r="C281" s="3" t="s">
        <v>609</v>
      </c>
      <c r="D281" s="3"/>
      <c r="E281" s="3" t="str">
        <f>VLOOKUP(B281,[1]general_report!$B$1:$I$713,8,0)</f>
        <v xml:space="preserve">Oi </v>
      </c>
      <c r="F281" s="3" t="str">
        <f>VLOOKUP(B281,[1]general_report!$B$1:$J$713,9,0)</f>
        <v xml:space="preserve"> Televendas Oi</v>
      </c>
      <c r="G281" s="3" t="s">
        <v>571</v>
      </c>
      <c r="H281" s="3" t="s">
        <v>571</v>
      </c>
      <c r="I281" s="3" t="s">
        <v>27</v>
      </c>
      <c r="J281" s="5">
        <v>42324.798611111109</v>
      </c>
      <c r="K281" s="5">
        <v>42384.658333333333</v>
      </c>
      <c r="L281" s="11">
        <f t="shared" ca="1" si="16"/>
        <v>59.859722222223354</v>
      </c>
      <c r="M281" s="1">
        <f t="shared" si="17"/>
        <v>11</v>
      </c>
      <c r="N281" s="1">
        <f t="shared" si="18"/>
        <v>2015</v>
      </c>
      <c r="O281" s="1" t="str">
        <f t="shared" ca="1" si="19"/>
        <v>entre 30 e 60 dias</v>
      </c>
    </row>
    <row r="282" spans="1:15" ht="25.5" x14ac:dyDescent="0.2">
      <c r="A282" s="3" t="s">
        <v>8</v>
      </c>
      <c r="B282" s="4" t="s">
        <v>610</v>
      </c>
      <c r="C282" s="3" t="s">
        <v>611</v>
      </c>
      <c r="D282" s="3"/>
      <c r="E282" s="3" t="str">
        <f>VLOOKUP(B282,[1]general_report!$B$1:$I$713,8,0)</f>
        <v xml:space="preserve">Oi </v>
      </c>
      <c r="F282" s="3" t="str">
        <f>VLOOKUP(B282,[1]general_report!$B$1:$J$713,9,0)</f>
        <v xml:space="preserve"> Televendas Oi</v>
      </c>
      <c r="G282" s="3" t="s">
        <v>571</v>
      </c>
      <c r="H282" s="3" t="s">
        <v>571</v>
      </c>
      <c r="I282" s="3" t="s">
        <v>27</v>
      </c>
      <c r="J282" s="5">
        <v>42324.794444444444</v>
      </c>
      <c r="K282" s="5">
        <v>42384.658333333333</v>
      </c>
      <c r="L282" s="11">
        <f t="shared" ca="1" si="16"/>
        <v>59.863888888889051</v>
      </c>
      <c r="M282" s="1">
        <f t="shared" si="17"/>
        <v>11</v>
      </c>
      <c r="N282" s="1">
        <f t="shared" si="18"/>
        <v>2015</v>
      </c>
      <c r="O282" s="1" t="str">
        <f t="shared" ca="1" si="19"/>
        <v>entre 30 e 60 dias</v>
      </c>
    </row>
    <row r="283" spans="1:15" ht="25.5" x14ac:dyDescent="0.2">
      <c r="A283" s="3" t="s">
        <v>8</v>
      </c>
      <c r="B283" s="4" t="s">
        <v>612</v>
      </c>
      <c r="C283" s="3" t="s">
        <v>613</v>
      </c>
      <c r="D283" s="3"/>
      <c r="E283" s="3" t="str">
        <f>VLOOKUP(B283,[1]general_report!$B$1:$I$713,8,0)</f>
        <v xml:space="preserve">Oi </v>
      </c>
      <c r="F283" s="3" t="str">
        <f>VLOOKUP(B283,[1]general_report!$B$1:$J$713,9,0)</f>
        <v xml:space="preserve"> Televendas Oi</v>
      </c>
      <c r="G283" s="3" t="s">
        <v>571</v>
      </c>
      <c r="H283" s="3" t="s">
        <v>571</v>
      </c>
      <c r="I283" s="3" t="s">
        <v>27</v>
      </c>
      <c r="J283" s="5">
        <v>42324.724999999999</v>
      </c>
      <c r="K283" s="5">
        <v>42384.65902777778</v>
      </c>
      <c r="L283" s="11">
        <f t="shared" ca="1" si="16"/>
        <v>59.934027777781012</v>
      </c>
      <c r="M283" s="1">
        <f t="shared" si="17"/>
        <v>11</v>
      </c>
      <c r="N283" s="1">
        <f t="shared" si="18"/>
        <v>2015</v>
      </c>
      <c r="O283" s="1" t="str">
        <f t="shared" ca="1" si="19"/>
        <v>entre 30 e 60 dias</v>
      </c>
    </row>
    <row r="284" spans="1:15" ht="25.5" x14ac:dyDescent="0.2">
      <c r="A284" s="3" t="s">
        <v>8</v>
      </c>
      <c r="B284" s="4" t="s">
        <v>614</v>
      </c>
      <c r="C284" s="3" t="s">
        <v>615</v>
      </c>
      <c r="D284" s="3"/>
      <c r="E284" s="3" t="str">
        <f>VLOOKUP(B284,[1]general_report!$B$1:$I$713,8,0)</f>
        <v xml:space="preserve">Oi </v>
      </c>
      <c r="F284" s="3" t="str">
        <f>VLOOKUP(B284,[1]general_report!$B$1:$J$713,9,0)</f>
        <v xml:space="preserve"> Rentabilização</v>
      </c>
      <c r="G284" s="3" t="s">
        <v>603</v>
      </c>
      <c r="H284" s="3" t="s">
        <v>594</v>
      </c>
      <c r="I284" s="3" t="s">
        <v>13</v>
      </c>
      <c r="J284" s="5">
        <v>42320.727083333331</v>
      </c>
      <c r="K284" s="3"/>
      <c r="L284" s="11">
        <f t="shared" ca="1" si="16"/>
        <v>112.27291666666861</v>
      </c>
      <c r="M284" s="1">
        <f t="shared" si="17"/>
        <v>11</v>
      </c>
      <c r="N284" s="1">
        <f t="shared" si="18"/>
        <v>2015</v>
      </c>
      <c r="O284" s="1" t="str">
        <f t="shared" ca="1" si="19"/>
        <v>entre 90 e 150 dias</v>
      </c>
    </row>
    <row r="285" spans="1:15" ht="25.5" x14ac:dyDescent="0.2">
      <c r="A285" s="3" t="s">
        <v>8</v>
      </c>
      <c r="B285" s="4" t="s">
        <v>616</v>
      </c>
      <c r="C285" s="3" t="s">
        <v>617</v>
      </c>
      <c r="D285" s="3"/>
      <c r="E285" s="3" t="str">
        <f>VLOOKUP(B285,[1]general_report!$B$1:$I$713,8,0)</f>
        <v xml:space="preserve">Oi </v>
      </c>
      <c r="F285" s="3" t="str">
        <f>VLOOKUP(B285,[1]general_report!$B$1:$J$713,9,0)</f>
        <v xml:space="preserve"> Rentabilização</v>
      </c>
      <c r="G285" s="3" t="s">
        <v>419</v>
      </c>
      <c r="H285" s="3" t="s">
        <v>594</v>
      </c>
      <c r="I285" s="3" t="s">
        <v>234</v>
      </c>
      <c r="J285" s="5">
        <v>42258.415972222225</v>
      </c>
      <c r="K285" s="3"/>
      <c r="L285" s="11">
        <f t="shared" ca="1" si="16"/>
        <v>174.58402777777519</v>
      </c>
      <c r="M285" s="1">
        <f t="shared" si="17"/>
        <v>9</v>
      </c>
      <c r="N285" s="1">
        <f t="shared" si="18"/>
        <v>2015</v>
      </c>
      <c r="O285" s="1" t="str">
        <f t="shared" ca="1" si="19"/>
        <v>mais de 150 dias</v>
      </c>
    </row>
    <row r="286" spans="1:15" ht="15" x14ac:dyDescent="0.2">
      <c r="A286" s="3" t="s">
        <v>8</v>
      </c>
      <c r="B286" s="4" t="s">
        <v>618</v>
      </c>
      <c r="C286" s="3" t="s">
        <v>81</v>
      </c>
      <c r="D286" s="3"/>
      <c r="E286" s="3" t="str">
        <f>VLOOKUP(B286,[1]general_report!$B$1:$I$713,8,0)</f>
        <v xml:space="preserve">Oi </v>
      </c>
      <c r="F286" s="3" t="str">
        <f>VLOOKUP(B286,[1]general_report!$B$1:$J$713,9,0)</f>
        <v xml:space="preserve"> OI TV</v>
      </c>
      <c r="G286" s="3" t="s">
        <v>419</v>
      </c>
      <c r="H286" s="3" t="s">
        <v>525</v>
      </c>
      <c r="I286" s="3" t="s">
        <v>13</v>
      </c>
      <c r="J286" s="5">
        <v>42206.522222222222</v>
      </c>
      <c r="K286" s="3"/>
      <c r="L286" s="11">
        <f t="shared" ca="1" si="16"/>
        <v>226.4777777777781</v>
      </c>
      <c r="M286" s="1">
        <f t="shared" si="17"/>
        <v>7</v>
      </c>
      <c r="N286" s="1">
        <f t="shared" si="18"/>
        <v>2015</v>
      </c>
      <c r="O286" s="1" t="str">
        <f t="shared" ca="1" si="19"/>
        <v>mais de 150 dias</v>
      </c>
    </row>
    <row r="287" spans="1:15" ht="15" x14ac:dyDescent="0.2">
      <c r="A287" s="3" t="s">
        <v>8</v>
      </c>
      <c r="B287" s="4" t="s">
        <v>619</v>
      </c>
      <c r="C287" s="3" t="s">
        <v>620</v>
      </c>
      <c r="D287" s="3"/>
      <c r="E287" s="3" t="str">
        <f>VLOOKUP(B287,[1]general_report!$B$1:$I$713,8,0)</f>
        <v xml:space="preserve">Oi </v>
      </c>
      <c r="F287" s="3" t="str">
        <f>VLOOKUP(B287,[1]general_report!$B$1:$J$713,9,0)</f>
        <v xml:space="preserve"> Rentabilização</v>
      </c>
      <c r="G287" s="3" t="s">
        <v>441</v>
      </c>
      <c r="H287" s="3" t="s">
        <v>594</v>
      </c>
      <c r="I287" s="3" t="s">
        <v>207</v>
      </c>
      <c r="J287" s="5">
        <v>42122.445138888892</v>
      </c>
      <c r="K287" s="3"/>
      <c r="L287" s="11">
        <f t="shared" ca="1" si="16"/>
        <v>310.55486111110804</v>
      </c>
      <c r="M287" s="1">
        <f t="shared" si="17"/>
        <v>4</v>
      </c>
      <c r="N287" s="1">
        <f t="shared" si="18"/>
        <v>2015</v>
      </c>
      <c r="O287" s="1" t="str">
        <f t="shared" ca="1" si="19"/>
        <v>mais de 150 dias</v>
      </c>
    </row>
    <row r="288" spans="1:15" ht="25.5" x14ac:dyDescent="0.2">
      <c r="A288" s="3" t="s">
        <v>8</v>
      </c>
      <c r="B288" s="4" t="s">
        <v>621</v>
      </c>
      <c r="C288" s="3" t="s">
        <v>622</v>
      </c>
      <c r="D288" s="3"/>
      <c r="E288" s="3" t="str">
        <f>VLOOKUP(B288,[1]general_report!$B$1:$I$713,8,0)</f>
        <v xml:space="preserve">Oi </v>
      </c>
      <c r="F288" s="3" t="str">
        <f>VLOOKUP(B288,[1]general_report!$B$1:$J$713,9,0)</f>
        <v xml:space="preserve"> Televendas Oi</v>
      </c>
      <c r="G288" s="3" t="s">
        <v>11</v>
      </c>
      <c r="H288" s="3" t="s">
        <v>571</v>
      </c>
      <c r="I288" s="3" t="s">
        <v>13</v>
      </c>
      <c r="J288" s="5">
        <v>42389.628472222219</v>
      </c>
      <c r="K288" s="3"/>
      <c r="L288" s="11">
        <f t="shared" ca="1" si="16"/>
        <v>43.371527777781012</v>
      </c>
      <c r="M288" s="1">
        <f t="shared" si="17"/>
        <v>1</v>
      </c>
      <c r="N288" s="1">
        <f t="shared" si="18"/>
        <v>2016</v>
      </c>
      <c r="O288" s="1" t="str">
        <f t="shared" ca="1" si="19"/>
        <v>entre 30 e 60 dias</v>
      </c>
    </row>
    <row r="289" spans="1:15" ht="25.5" x14ac:dyDescent="0.2">
      <c r="A289" s="3" t="s">
        <v>8</v>
      </c>
      <c r="B289" s="4" t="s">
        <v>623</v>
      </c>
      <c r="C289" s="3" t="s">
        <v>624</v>
      </c>
      <c r="D289" s="3"/>
      <c r="E289" s="3" t="str">
        <f>VLOOKUP(B289,[1]general_report!$B$1:$I$713,8,0)</f>
        <v xml:space="preserve">Contax </v>
      </c>
      <c r="F289" s="3" t="str">
        <f>VLOOKUP(B289,[1]general_report!$B$1:$J$713,9,0)</f>
        <v xml:space="preserve"> Ger Processos, Metodologia e MIS</v>
      </c>
      <c r="G289" s="3" t="s">
        <v>566</v>
      </c>
      <c r="H289" s="3" t="s">
        <v>566</v>
      </c>
      <c r="I289" s="3" t="s">
        <v>27</v>
      </c>
      <c r="J289" s="5">
        <v>42374.429861111108</v>
      </c>
      <c r="K289" s="5">
        <v>42391.352083333331</v>
      </c>
      <c r="L289" s="11">
        <f t="shared" ca="1" si="16"/>
        <v>16.922222222223354</v>
      </c>
      <c r="M289" s="1">
        <f t="shared" si="17"/>
        <v>1</v>
      </c>
      <c r="N289" s="1">
        <f t="shared" si="18"/>
        <v>2016</v>
      </c>
      <c r="O289" s="1" t="str">
        <f t="shared" ca="1" si="19"/>
        <v>menos 1 mês</v>
      </c>
    </row>
    <row r="290" spans="1:15" ht="25.5" x14ac:dyDescent="0.2">
      <c r="A290" s="3" t="s">
        <v>8</v>
      </c>
      <c r="B290" s="4" t="s">
        <v>625</v>
      </c>
      <c r="C290" s="3" t="s">
        <v>337</v>
      </c>
      <c r="D290" s="3"/>
      <c r="E290" s="3" t="str">
        <f>VLOOKUP(B290,[1]general_report!$B$1:$I$713,8,0)</f>
        <v xml:space="preserve">Citibank </v>
      </c>
      <c r="F290" s="3" t="str">
        <f>VLOOKUP(B290,[1]general_report!$B$1:$J$713,9,0)</f>
        <v xml:space="preserve"> Ilha Ativação</v>
      </c>
      <c r="G290" s="3" t="s">
        <v>269</v>
      </c>
      <c r="H290" s="3" t="s">
        <v>269</v>
      </c>
      <c r="I290" s="3" t="s">
        <v>27</v>
      </c>
      <c r="J290" s="5">
        <v>42366.529861111114</v>
      </c>
      <c r="K290" s="5">
        <v>42380.775694444441</v>
      </c>
      <c r="L290" s="11">
        <f t="shared" ca="1" si="16"/>
        <v>14.245833333327028</v>
      </c>
      <c r="M290" s="1">
        <f t="shared" si="17"/>
        <v>12</v>
      </c>
      <c r="N290" s="1">
        <f t="shared" si="18"/>
        <v>2015</v>
      </c>
      <c r="O290" s="1" t="str">
        <f t="shared" ca="1" si="19"/>
        <v>menos 1 mês</v>
      </c>
    </row>
    <row r="291" spans="1:15" ht="25.5" x14ac:dyDescent="0.2">
      <c r="A291" s="3" t="s">
        <v>8</v>
      </c>
      <c r="B291" s="4" t="s">
        <v>626</v>
      </c>
      <c r="C291" s="3" t="s">
        <v>627</v>
      </c>
      <c r="D291" s="3"/>
      <c r="E291" s="3" t="str">
        <f>VLOOKUP(B291,[1]general_report!$B$1:$I$713,8,0)</f>
        <v xml:space="preserve">Citibank </v>
      </c>
      <c r="F291" s="3" t="str">
        <f>VLOOKUP(B291,[1]general_report!$B$1:$J$713,9,0)</f>
        <v xml:space="preserve"> SAC Citibank</v>
      </c>
      <c r="G291" s="3" t="s">
        <v>199</v>
      </c>
      <c r="H291" s="3" t="s">
        <v>199</v>
      </c>
      <c r="I291" s="3" t="s">
        <v>27</v>
      </c>
      <c r="J291" s="5">
        <v>42361.705555555556</v>
      </c>
      <c r="K291" s="5">
        <v>42382.604861111111</v>
      </c>
      <c r="L291" s="11">
        <f t="shared" ca="1" si="16"/>
        <v>20.899305555554747</v>
      </c>
      <c r="M291" s="1">
        <f t="shared" si="17"/>
        <v>12</v>
      </c>
      <c r="N291" s="1">
        <f t="shared" si="18"/>
        <v>2015</v>
      </c>
      <c r="O291" s="1" t="str">
        <f t="shared" ca="1" si="19"/>
        <v>menos 1 mês</v>
      </c>
    </row>
    <row r="292" spans="1:15" ht="15" x14ac:dyDescent="0.2">
      <c r="A292" s="3" t="s">
        <v>8</v>
      </c>
      <c r="B292" s="4" t="s">
        <v>628</v>
      </c>
      <c r="C292" s="3" t="s">
        <v>629</v>
      </c>
      <c r="D292" s="3"/>
      <c r="E292" s="3" t="str">
        <f>VLOOKUP(B292,[1]general_report!$B$1:$I$713,8,0)</f>
        <v xml:space="preserve">Citibank </v>
      </c>
      <c r="F292" s="3" t="str">
        <f>VLOOKUP(B292,[1]general_report!$B$1:$J$713,9,0)</f>
        <v xml:space="preserve"> Televendas PIL</v>
      </c>
      <c r="G292" s="3" t="s">
        <v>199</v>
      </c>
      <c r="H292" s="3" t="s">
        <v>199</v>
      </c>
      <c r="I292" s="3" t="s">
        <v>27</v>
      </c>
      <c r="J292" s="5">
        <v>42360.459722222222</v>
      </c>
      <c r="K292" s="5">
        <v>42375.455555555556</v>
      </c>
      <c r="L292" s="11">
        <f t="shared" ca="1" si="16"/>
        <v>14.995833333334303</v>
      </c>
      <c r="M292" s="1">
        <f t="shared" si="17"/>
        <v>12</v>
      </c>
      <c r="N292" s="1">
        <f t="shared" si="18"/>
        <v>2015</v>
      </c>
      <c r="O292" s="1" t="str">
        <f t="shared" ca="1" si="19"/>
        <v>menos 1 mês</v>
      </c>
    </row>
    <row r="293" spans="1:15" ht="15" x14ac:dyDescent="0.2">
      <c r="A293" s="3" t="s">
        <v>8</v>
      </c>
      <c r="B293" s="4" t="s">
        <v>630</v>
      </c>
      <c r="C293" s="3" t="s">
        <v>631</v>
      </c>
      <c r="D293" s="3"/>
      <c r="E293" s="3" t="str">
        <f>VLOOKUP(B293,[1]general_report!$B$1:$I$713,8,0)</f>
        <v xml:space="preserve">Citibank </v>
      </c>
      <c r="F293" s="3" t="str">
        <f>VLOOKUP(B293,[1]general_report!$B$1:$J$713,9,0)</f>
        <v xml:space="preserve"> Ilha Ativação</v>
      </c>
      <c r="G293" s="3" t="s">
        <v>18</v>
      </c>
      <c r="H293" s="3" t="s">
        <v>269</v>
      </c>
      <c r="I293" s="3" t="s">
        <v>13</v>
      </c>
      <c r="J293" s="5">
        <v>42338.478472222225</v>
      </c>
      <c r="K293" s="3"/>
      <c r="L293" s="11">
        <f t="shared" ca="1" si="16"/>
        <v>94.521527777775191</v>
      </c>
      <c r="M293" s="1">
        <f t="shared" si="17"/>
        <v>11</v>
      </c>
      <c r="N293" s="1">
        <f t="shared" si="18"/>
        <v>2015</v>
      </c>
      <c r="O293" s="1" t="str">
        <f t="shared" ca="1" si="19"/>
        <v>entre 90 e 150 dias</v>
      </c>
    </row>
    <row r="294" spans="1:15" ht="25.5" x14ac:dyDescent="0.2">
      <c r="A294" s="3" t="s">
        <v>8</v>
      </c>
      <c r="B294" s="4" t="s">
        <v>632</v>
      </c>
      <c r="C294" s="3" t="s">
        <v>633</v>
      </c>
      <c r="D294" s="3"/>
      <c r="E294" s="3" t="str">
        <f>VLOOKUP(B294,[1]general_report!$B$1:$I$713,8,0)</f>
        <v xml:space="preserve">Oi </v>
      </c>
      <c r="F294" s="3" t="str">
        <f>VLOOKUP(B294,[1]general_report!$B$1:$J$713,9,0)</f>
        <v xml:space="preserve"> Televendas Oi</v>
      </c>
      <c r="G294" s="3" t="s">
        <v>571</v>
      </c>
      <c r="H294" s="3" t="s">
        <v>571</v>
      </c>
      <c r="I294" s="3" t="s">
        <v>27</v>
      </c>
      <c r="J294" s="5">
        <v>42324.717361111114</v>
      </c>
      <c r="K294" s="5">
        <v>42374.510416666664</v>
      </c>
      <c r="L294" s="11">
        <f t="shared" ca="1" si="16"/>
        <v>49.793055555550382</v>
      </c>
      <c r="M294" s="1">
        <f t="shared" si="17"/>
        <v>11</v>
      </c>
      <c r="N294" s="1">
        <f t="shared" si="18"/>
        <v>2015</v>
      </c>
      <c r="O294" s="1" t="str">
        <f t="shared" ca="1" si="19"/>
        <v>entre 30 e 60 dias</v>
      </c>
    </row>
    <row r="295" spans="1:15" ht="25.5" x14ac:dyDescent="0.2">
      <c r="A295" s="3" t="s">
        <v>8</v>
      </c>
      <c r="B295" s="4" t="s">
        <v>634</v>
      </c>
      <c r="C295" s="3" t="s">
        <v>635</v>
      </c>
      <c r="D295" s="3"/>
      <c r="E295" s="3" t="str">
        <f>VLOOKUP(B295,[1]general_report!$B$1:$I$713,8,0)</f>
        <v xml:space="preserve">Oi </v>
      </c>
      <c r="F295" s="3" t="str">
        <f>VLOOKUP(B295,[1]general_report!$B$1:$J$713,9,0)</f>
        <v xml:space="preserve"> Televendas Oi</v>
      </c>
      <c r="G295" s="3" t="s">
        <v>571</v>
      </c>
      <c r="H295" s="3" t="s">
        <v>571</v>
      </c>
      <c r="I295" s="3" t="s">
        <v>27</v>
      </c>
      <c r="J295" s="5">
        <v>42324.712500000001</v>
      </c>
      <c r="K295" s="5">
        <v>42374.511111111111</v>
      </c>
      <c r="L295" s="11">
        <f t="shared" ca="1" si="16"/>
        <v>49.798611111109494</v>
      </c>
      <c r="M295" s="1">
        <f t="shared" si="17"/>
        <v>11</v>
      </c>
      <c r="N295" s="1">
        <f t="shared" si="18"/>
        <v>2015</v>
      </c>
      <c r="O295" s="1" t="str">
        <f t="shared" ca="1" si="19"/>
        <v>entre 30 e 60 dias</v>
      </c>
    </row>
    <row r="296" spans="1:15" ht="25.5" x14ac:dyDescent="0.2">
      <c r="A296" s="3" t="s">
        <v>8</v>
      </c>
      <c r="B296" s="4" t="s">
        <v>636</v>
      </c>
      <c r="C296" s="3" t="s">
        <v>637</v>
      </c>
      <c r="D296" s="3"/>
      <c r="E296" s="3" t="str">
        <f>VLOOKUP(B296,[1]general_report!$B$1:$I$713,8,0)</f>
        <v xml:space="preserve">Contax </v>
      </c>
      <c r="F296" s="3" t="str">
        <f>VLOOKUP(B296,[1]general_report!$B$1:$J$713,9,0)</f>
        <v xml:space="preserve"> Outro</v>
      </c>
      <c r="G296" s="3" t="s">
        <v>577</v>
      </c>
      <c r="H296" s="3" t="s">
        <v>577</v>
      </c>
      <c r="I296" s="3" t="s">
        <v>27</v>
      </c>
      <c r="J296" s="5">
        <v>42282.775000000001</v>
      </c>
      <c r="K296" s="5">
        <v>42367.59652777778</v>
      </c>
      <c r="L296" s="11">
        <f t="shared" ca="1" si="16"/>
        <v>84.821527777778101</v>
      </c>
      <c r="M296" s="1">
        <f t="shared" si="17"/>
        <v>10</v>
      </c>
      <c r="N296" s="1">
        <f t="shared" si="18"/>
        <v>2015</v>
      </c>
      <c r="O296" s="1" t="str">
        <f t="shared" ca="1" si="19"/>
        <v>entre 60 e 90 dias</v>
      </c>
    </row>
    <row r="297" spans="1:15" ht="25.5" x14ac:dyDescent="0.2">
      <c r="A297" s="3" t="s">
        <v>8</v>
      </c>
      <c r="B297" s="4" t="s">
        <v>638</v>
      </c>
      <c r="C297" s="3" t="s">
        <v>639</v>
      </c>
      <c r="D297" s="3"/>
      <c r="E297" s="3" t="str">
        <f>VLOOKUP(B297,[1]general_report!$B$1:$I$713,8,0)</f>
        <v xml:space="preserve">Contax </v>
      </c>
      <c r="F297" s="3" t="str">
        <f>VLOOKUP(B297,[1]general_report!$B$1:$J$713,9,0)</f>
        <v xml:space="preserve"> Outro</v>
      </c>
      <c r="G297" s="3" t="s">
        <v>56</v>
      </c>
      <c r="H297" s="3" t="s">
        <v>56</v>
      </c>
      <c r="I297" s="3" t="s">
        <v>27</v>
      </c>
      <c r="J297" s="5">
        <v>42256.649305555555</v>
      </c>
      <c r="K297" s="5">
        <v>42373.390972222223</v>
      </c>
      <c r="L297" s="11">
        <f t="shared" ca="1" si="16"/>
        <v>116.74166666666861</v>
      </c>
      <c r="M297" s="1">
        <f t="shared" si="17"/>
        <v>9</v>
      </c>
      <c r="N297" s="1">
        <f t="shared" si="18"/>
        <v>2015</v>
      </c>
      <c r="O297" s="1" t="str">
        <f t="shared" ca="1" si="19"/>
        <v>entre 90 e 150 dias</v>
      </c>
    </row>
    <row r="298" spans="1:15" ht="25.5" x14ac:dyDescent="0.2">
      <c r="A298" s="3" t="s">
        <v>8</v>
      </c>
      <c r="B298" s="4" t="s">
        <v>640</v>
      </c>
      <c r="C298" s="3" t="s">
        <v>641</v>
      </c>
      <c r="D298" s="3"/>
      <c r="E298" s="3" t="str">
        <f>VLOOKUP(B298,[1]general_report!$B$1:$I$713,8,0)</f>
        <v xml:space="preserve">Contax </v>
      </c>
      <c r="F298" s="3" t="str">
        <f>VLOOKUP(B298,[1]general_report!$B$1:$J$713,9,0)</f>
        <v xml:space="preserve"> Ger Processos, Metodologia e MIS</v>
      </c>
      <c r="G298" s="3" t="s">
        <v>642</v>
      </c>
      <c r="H298" s="3" t="s">
        <v>642</v>
      </c>
      <c r="I298" s="3" t="s">
        <v>27</v>
      </c>
      <c r="J298" s="5">
        <v>42100.42083333333</v>
      </c>
      <c r="K298" s="5">
        <v>42355.699305555558</v>
      </c>
      <c r="L298" s="11">
        <f t="shared" ca="1" si="16"/>
        <v>255.27847222222772</v>
      </c>
      <c r="M298" s="1">
        <f t="shared" si="17"/>
        <v>4</v>
      </c>
      <c r="N298" s="1">
        <f t="shared" si="18"/>
        <v>2015</v>
      </c>
      <c r="O298" s="1" t="str">
        <f t="shared" ca="1" si="19"/>
        <v>mais de 150 dias</v>
      </c>
    </row>
    <row r="299" spans="1:15" ht="25.5" x14ac:dyDescent="0.2">
      <c r="A299" s="3" t="s">
        <v>8</v>
      </c>
      <c r="B299" s="4" t="s">
        <v>643</v>
      </c>
      <c r="C299" s="3" t="s">
        <v>337</v>
      </c>
      <c r="D299" s="3"/>
      <c r="E299" s="3" t="str">
        <f>VLOOKUP(B299,[1]general_report!$B$1:$I$713,8,0)</f>
        <v xml:space="preserve">Oi </v>
      </c>
      <c r="F299" s="3" t="str">
        <f>VLOOKUP(B299,[1]general_report!$B$1:$J$713,9,0)</f>
        <v xml:space="preserve"> Televendas Oi</v>
      </c>
      <c r="G299" s="3" t="s">
        <v>18</v>
      </c>
      <c r="H299" s="3" t="s">
        <v>571</v>
      </c>
      <c r="I299" s="3" t="s">
        <v>13</v>
      </c>
      <c r="J299" s="5">
        <v>42321.755555555559</v>
      </c>
      <c r="K299" s="3"/>
      <c r="L299" s="11">
        <f t="shared" ca="1" si="16"/>
        <v>111.24444444444089</v>
      </c>
      <c r="M299" s="1">
        <f t="shared" si="17"/>
        <v>11</v>
      </c>
      <c r="N299" s="1">
        <f t="shared" si="18"/>
        <v>2015</v>
      </c>
      <c r="O299" s="1" t="str">
        <f t="shared" ca="1" si="19"/>
        <v>entre 90 e 150 dias</v>
      </c>
    </row>
    <row r="300" spans="1:15" ht="15" x14ac:dyDescent="0.2">
      <c r="A300" s="3" t="s">
        <v>8</v>
      </c>
      <c r="B300" s="4" t="s">
        <v>644</v>
      </c>
      <c r="C300" s="3" t="s">
        <v>81</v>
      </c>
      <c r="D300" s="3"/>
      <c r="E300" s="3" t="str">
        <f>VLOOKUP(B300,[1]general_report!$B$1:$I$713,8,0)</f>
        <v xml:space="preserve">Oi </v>
      </c>
      <c r="F300" s="3" t="str">
        <f>VLOOKUP(B300,[1]general_report!$B$1:$J$713,9,0)</f>
        <v xml:space="preserve"> Televendas Oi</v>
      </c>
      <c r="G300" s="3" t="s">
        <v>33</v>
      </c>
      <c r="H300" s="3" t="s">
        <v>571</v>
      </c>
      <c r="I300" s="3" t="s">
        <v>234</v>
      </c>
      <c r="J300" s="5">
        <v>42251.803472222222</v>
      </c>
      <c r="K300" s="3"/>
      <c r="L300" s="11">
        <f t="shared" ca="1" si="16"/>
        <v>181.1965277777781</v>
      </c>
      <c r="M300" s="1">
        <f t="shared" si="17"/>
        <v>9</v>
      </c>
      <c r="N300" s="1">
        <f t="shared" si="18"/>
        <v>2015</v>
      </c>
      <c r="O300" s="1" t="str">
        <f t="shared" ca="1" si="19"/>
        <v>mais de 150 dias</v>
      </c>
    </row>
    <row r="301" spans="1:15" ht="25.5" x14ac:dyDescent="0.2">
      <c r="A301" s="3" t="s">
        <v>8</v>
      </c>
      <c r="B301" s="4" t="s">
        <v>645</v>
      </c>
      <c r="C301" s="3" t="s">
        <v>81</v>
      </c>
      <c r="D301" s="3"/>
      <c r="E301" s="3" t="str">
        <f>VLOOKUP(B301,[1]general_report!$B$1:$I$713,8,0)</f>
        <v xml:space="preserve">Contax </v>
      </c>
      <c r="F301" s="3" t="str">
        <f>VLOOKUP(B301,[1]general_report!$B$1:$J$713,9,0)</f>
        <v xml:space="preserve"> Ger Processos, Metodologia e MIS</v>
      </c>
      <c r="G301" s="3" t="s">
        <v>419</v>
      </c>
      <c r="H301" s="3" t="s">
        <v>566</v>
      </c>
      <c r="I301" s="3" t="s">
        <v>234</v>
      </c>
      <c r="J301" s="5">
        <v>42216.731249999997</v>
      </c>
      <c r="K301" s="3"/>
      <c r="L301" s="11">
        <f t="shared" ca="1" si="16"/>
        <v>216.26875000000291</v>
      </c>
      <c r="M301" s="1">
        <f t="shared" si="17"/>
        <v>7</v>
      </c>
      <c r="N301" s="1">
        <f t="shared" si="18"/>
        <v>2015</v>
      </c>
      <c r="O301" s="1" t="str">
        <f t="shared" ca="1" si="19"/>
        <v>mais de 150 dias</v>
      </c>
    </row>
    <row r="302" spans="1:15" ht="15" x14ac:dyDescent="0.2">
      <c r="A302" s="3" t="s">
        <v>8</v>
      </c>
      <c r="B302" s="4" t="s">
        <v>646</v>
      </c>
      <c r="C302" s="3" t="s">
        <v>81</v>
      </c>
      <c r="D302" s="3"/>
      <c r="E302" s="3" t="str">
        <f>VLOOKUP(B302,[1]general_report!$B$1:$I$713,8,0)</f>
        <v xml:space="preserve">Oi </v>
      </c>
      <c r="F302" s="3" t="str">
        <f>VLOOKUP(B302,[1]general_report!$B$1:$J$713,9,0)</f>
        <v xml:space="preserve"> Televendas Oi</v>
      </c>
      <c r="G302" s="3" t="s">
        <v>419</v>
      </c>
      <c r="H302" s="3" t="s">
        <v>571</v>
      </c>
      <c r="I302" s="3" t="s">
        <v>13</v>
      </c>
      <c r="J302" s="5">
        <v>42212.806250000001</v>
      </c>
      <c r="K302" s="3"/>
      <c r="L302" s="11">
        <f t="shared" ca="1" si="16"/>
        <v>220.19374999999854</v>
      </c>
      <c r="M302" s="1">
        <f t="shared" si="17"/>
        <v>7</v>
      </c>
      <c r="N302" s="1">
        <f t="shared" si="18"/>
        <v>2015</v>
      </c>
      <c r="O302" s="1" t="str">
        <f t="shared" ca="1" si="19"/>
        <v>mais de 150 dias</v>
      </c>
    </row>
    <row r="303" spans="1:15" ht="15" x14ac:dyDescent="0.2">
      <c r="A303" s="3" t="s">
        <v>8</v>
      </c>
      <c r="B303" s="4" t="s">
        <v>647</v>
      </c>
      <c r="C303" s="3" t="s">
        <v>81</v>
      </c>
      <c r="D303" s="3"/>
      <c r="E303" s="3" t="str">
        <f>VLOOKUP(B303,[1]general_report!$B$1:$I$713,8,0)</f>
        <v xml:space="preserve">Oi </v>
      </c>
      <c r="F303" s="3" t="str">
        <f>VLOOKUP(B303,[1]general_report!$B$1:$J$713,9,0)</f>
        <v xml:space="preserve"> Televendas Oi</v>
      </c>
      <c r="G303" s="3" t="s">
        <v>441</v>
      </c>
      <c r="H303" s="3" t="s">
        <v>571</v>
      </c>
      <c r="I303" s="3" t="s">
        <v>48</v>
      </c>
      <c r="J303" s="5">
        <v>42187.679166666669</v>
      </c>
      <c r="K303" s="3"/>
      <c r="L303" s="11">
        <f t="shared" ca="1" si="16"/>
        <v>245.32083333333139</v>
      </c>
      <c r="M303" s="1">
        <f t="shared" si="17"/>
        <v>7</v>
      </c>
      <c r="N303" s="1">
        <f t="shared" si="18"/>
        <v>2015</v>
      </c>
      <c r="O303" s="1" t="str">
        <f t="shared" ca="1" si="19"/>
        <v>mais de 150 dias</v>
      </c>
    </row>
    <row r="304" spans="1:15" ht="25.5" x14ac:dyDescent="0.2">
      <c r="A304" s="3" t="s">
        <v>8</v>
      </c>
      <c r="B304" s="4" t="s">
        <v>648</v>
      </c>
      <c r="C304" s="3" t="s">
        <v>81</v>
      </c>
      <c r="D304" s="3"/>
      <c r="E304" s="3" t="str">
        <f>VLOOKUP(B304,[1]general_report!$B$1:$I$713,8,0)</f>
        <v xml:space="preserve">Contax </v>
      </c>
      <c r="F304" s="3" t="str">
        <f>VLOOKUP(B304,[1]general_report!$B$1:$J$713,9,0)</f>
        <v xml:space="preserve"> Ger Processos, Metodologia e MIS</v>
      </c>
      <c r="G304" s="3" t="s">
        <v>419</v>
      </c>
      <c r="H304" s="3" t="s">
        <v>566</v>
      </c>
      <c r="I304" s="3" t="s">
        <v>83</v>
      </c>
      <c r="J304" s="5">
        <v>42167.669444444444</v>
      </c>
      <c r="K304" s="3"/>
      <c r="L304" s="11">
        <f t="shared" ca="1" si="16"/>
        <v>265.3305555555562</v>
      </c>
      <c r="M304" s="1">
        <f t="shared" si="17"/>
        <v>6</v>
      </c>
      <c r="N304" s="1">
        <f t="shared" si="18"/>
        <v>2015</v>
      </c>
      <c r="O304" s="1" t="str">
        <f t="shared" ca="1" si="19"/>
        <v>mais de 150 dias</v>
      </c>
    </row>
    <row r="305" spans="1:15" ht="25.5" x14ac:dyDescent="0.2">
      <c r="A305" s="3" t="s">
        <v>8</v>
      </c>
      <c r="B305" s="4" t="s">
        <v>649</v>
      </c>
      <c r="C305" s="3" t="s">
        <v>81</v>
      </c>
      <c r="D305" s="3"/>
      <c r="E305" s="3" t="str">
        <f>VLOOKUP(B305,[1]general_report!$B$1:$I$713,8,0)</f>
        <v xml:space="preserve">Contax </v>
      </c>
      <c r="F305" s="3" t="str">
        <f>VLOOKUP(B305,[1]general_report!$B$1:$J$713,9,0)</f>
        <v xml:space="preserve"> Ger Processos, Metodologia e MIS</v>
      </c>
      <c r="G305" s="3" t="s">
        <v>419</v>
      </c>
      <c r="H305" s="3" t="s">
        <v>566</v>
      </c>
      <c r="I305" s="3" t="s">
        <v>83</v>
      </c>
      <c r="J305" s="5">
        <v>42100.466666666667</v>
      </c>
      <c r="K305" s="3"/>
      <c r="L305" s="11">
        <f t="shared" ca="1" si="16"/>
        <v>332.53333333333285</v>
      </c>
      <c r="M305" s="1">
        <f t="shared" si="17"/>
        <v>4</v>
      </c>
      <c r="N305" s="1">
        <f t="shared" si="18"/>
        <v>2015</v>
      </c>
      <c r="O305" s="1" t="str">
        <f t="shared" ca="1" si="19"/>
        <v>mais de 150 dias</v>
      </c>
    </row>
    <row r="306" spans="1:15" ht="25.5" x14ac:dyDescent="0.2">
      <c r="A306" s="3" t="s">
        <v>8</v>
      </c>
      <c r="B306" s="4" t="s">
        <v>650</v>
      </c>
      <c r="C306" s="3" t="s">
        <v>81</v>
      </c>
      <c r="D306" s="3"/>
      <c r="E306" s="3" t="str">
        <f>VLOOKUP(B306,[1]general_report!$B$1:$I$713,8,0)</f>
        <v xml:space="preserve">Contax </v>
      </c>
      <c r="F306" s="3" t="str">
        <f>VLOOKUP(B306,[1]general_report!$B$1:$J$713,9,0)</f>
        <v xml:space="preserve"> Ger Processos, Metodologia e MIS</v>
      </c>
      <c r="G306" s="3" t="s">
        <v>419</v>
      </c>
      <c r="H306" s="3" t="s">
        <v>566</v>
      </c>
      <c r="I306" s="3" t="s">
        <v>48</v>
      </c>
      <c r="J306" s="5">
        <v>42088.557638888888</v>
      </c>
      <c r="K306" s="3"/>
      <c r="L306" s="11">
        <f t="shared" ca="1" si="16"/>
        <v>344.4423611111124</v>
      </c>
      <c r="M306" s="1">
        <f t="shared" si="17"/>
        <v>3</v>
      </c>
      <c r="N306" s="1">
        <f t="shared" si="18"/>
        <v>2015</v>
      </c>
      <c r="O306" s="1" t="str">
        <f t="shared" ca="1" si="19"/>
        <v>mais de 150 dias</v>
      </c>
    </row>
    <row r="307" spans="1:15" ht="25.5" x14ac:dyDescent="0.2">
      <c r="A307" s="3" t="s">
        <v>8</v>
      </c>
      <c r="B307" s="4" t="s">
        <v>651</v>
      </c>
      <c r="C307" s="3" t="s">
        <v>337</v>
      </c>
      <c r="D307" s="3"/>
      <c r="E307" s="3" t="str">
        <f>VLOOKUP(B307,[1]general_report!$B$1:$I$713,8,0)</f>
        <v xml:space="preserve">Contax </v>
      </c>
      <c r="F307" s="3" t="str">
        <f>VLOOKUP(B307,[1]general_report!$B$1:$J$713,9,0)</f>
        <v xml:space="preserve"> Monitoria</v>
      </c>
      <c r="G307" s="3" t="s">
        <v>11</v>
      </c>
      <c r="H307" s="3" t="s">
        <v>652</v>
      </c>
      <c r="I307" s="3" t="s">
        <v>13</v>
      </c>
      <c r="J307" s="5">
        <v>42415.667361111111</v>
      </c>
      <c r="K307" s="3"/>
      <c r="L307" s="11">
        <f t="shared" ca="1" si="16"/>
        <v>17.332638888889051</v>
      </c>
      <c r="M307" s="1">
        <f t="shared" si="17"/>
        <v>2</v>
      </c>
      <c r="N307" s="1">
        <f t="shared" si="18"/>
        <v>2016</v>
      </c>
      <c r="O307" s="1" t="str">
        <f t="shared" ca="1" si="19"/>
        <v>menos 1 mês</v>
      </c>
    </row>
    <row r="308" spans="1:15" ht="25.5" x14ac:dyDescent="0.2">
      <c r="A308" s="3" t="s">
        <v>8</v>
      </c>
      <c r="B308" s="4" t="s">
        <v>653</v>
      </c>
      <c r="C308" s="3" t="s">
        <v>337</v>
      </c>
      <c r="D308" s="3"/>
      <c r="E308" s="3" t="str">
        <f>VLOOKUP(B308,[1]general_report!$B$1:$I$713,8,0)</f>
        <v xml:space="preserve">Contax </v>
      </c>
      <c r="F308" s="3" t="str">
        <f>VLOOKUP(B308,[1]general_report!$B$1:$J$713,9,0)</f>
        <v xml:space="preserve"> Dir. Oi</v>
      </c>
      <c r="G308" s="3" t="s">
        <v>18</v>
      </c>
      <c r="H308" s="3" t="s">
        <v>654</v>
      </c>
      <c r="I308" s="3" t="s">
        <v>13</v>
      </c>
      <c r="J308" s="5">
        <v>42296.625</v>
      </c>
      <c r="K308" s="3"/>
      <c r="L308" s="11">
        <f t="shared" ca="1" si="16"/>
        <v>136.375</v>
      </c>
      <c r="M308" s="1">
        <f t="shared" si="17"/>
        <v>10</v>
      </c>
      <c r="N308" s="1">
        <f t="shared" si="18"/>
        <v>2015</v>
      </c>
      <c r="O308" s="1" t="str">
        <f t="shared" ca="1" si="19"/>
        <v>entre 90 e 150 dias</v>
      </c>
    </row>
    <row r="309" spans="1:15" ht="15" x14ac:dyDescent="0.2">
      <c r="A309" s="3" t="s">
        <v>8</v>
      </c>
      <c r="B309" s="4" t="s">
        <v>655</v>
      </c>
      <c r="C309" s="3" t="s">
        <v>81</v>
      </c>
      <c r="D309" s="3"/>
      <c r="E309" s="3" t="str">
        <f>VLOOKUP(B309,[1]general_report!$B$1:$I$713,8,0)</f>
        <v xml:space="preserve">Oi </v>
      </c>
      <c r="F309" s="3" t="str">
        <f>VLOOKUP(B309,[1]general_report!$B$1:$J$713,9,0)</f>
        <v xml:space="preserve"> Outras Atividades</v>
      </c>
      <c r="G309" s="3" t="s">
        <v>419</v>
      </c>
      <c r="H309" s="3" t="s">
        <v>656</v>
      </c>
      <c r="I309" s="3" t="s">
        <v>13</v>
      </c>
      <c r="J309" s="5">
        <v>42219.607638888891</v>
      </c>
      <c r="K309" s="3"/>
      <c r="L309" s="11">
        <f t="shared" ca="1" si="16"/>
        <v>213.39236111110949</v>
      </c>
      <c r="M309" s="1">
        <f t="shared" si="17"/>
        <v>8</v>
      </c>
      <c r="N309" s="1">
        <f t="shared" si="18"/>
        <v>2015</v>
      </c>
      <c r="O309" s="1" t="str">
        <f t="shared" ca="1" si="19"/>
        <v>mais de 150 dias</v>
      </c>
    </row>
    <row r="310" spans="1:15" ht="25.5" x14ac:dyDescent="0.2">
      <c r="A310" s="3" t="s">
        <v>8</v>
      </c>
      <c r="B310" s="4" t="s">
        <v>657</v>
      </c>
      <c r="C310" s="3" t="s">
        <v>658</v>
      </c>
      <c r="D310" s="3"/>
      <c r="E310" s="3" t="str">
        <f>VLOOKUP(B310,[1]general_report!$B$1:$I$713,8,0)</f>
        <v xml:space="preserve">Bradesco </v>
      </c>
      <c r="F310" s="3" t="str">
        <f>VLOOKUP(B310,[1]general_report!$B$1:$J$713,9,0)</f>
        <v xml:space="preserve"> Bradesco Seguros</v>
      </c>
      <c r="G310" s="3" t="s">
        <v>419</v>
      </c>
      <c r="H310" s="3" t="s">
        <v>51</v>
      </c>
      <c r="I310" s="3" t="s">
        <v>207</v>
      </c>
      <c r="J310" s="5">
        <v>42205.445138888892</v>
      </c>
      <c r="K310" s="3"/>
      <c r="L310" s="11">
        <f t="shared" ca="1" si="16"/>
        <v>227.55486111110804</v>
      </c>
      <c r="M310" s="1">
        <f t="shared" si="17"/>
        <v>7</v>
      </c>
      <c r="N310" s="1">
        <f t="shared" si="18"/>
        <v>2015</v>
      </c>
      <c r="O310" s="1" t="str">
        <f t="shared" ca="1" si="19"/>
        <v>mais de 150 dias</v>
      </c>
    </row>
    <row r="311" spans="1:15" ht="15" x14ac:dyDescent="0.2">
      <c r="A311" s="3" t="s">
        <v>8</v>
      </c>
      <c r="B311" s="4" t="s">
        <v>659</v>
      </c>
      <c r="C311" s="3" t="s">
        <v>81</v>
      </c>
      <c r="D311" s="3"/>
      <c r="E311" s="3" t="str">
        <f>VLOOKUP(B311,[1]general_report!$B$1:$I$713,8,0)</f>
        <v xml:space="preserve">BB Mapfre </v>
      </c>
      <c r="F311" s="3" t="str">
        <f>VLOOKUP(B311,[1]general_report!$B$1:$J$713,9,0)</f>
        <v xml:space="preserve"> BB Mapfre</v>
      </c>
      <c r="G311" s="3" t="s">
        <v>419</v>
      </c>
      <c r="H311" s="3" t="s">
        <v>660</v>
      </c>
      <c r="I311" s="3" t="s">
        <v>13</v>
      </c>
      <c r="J311" s="5">
        <v>42199.604166666664</v>
      </c>
      <c r="K311" s="3"/>
      <c r="L311" s="11">
        <f t="shared" ca="1" si="16"/>
        <v>233.39583333333576</v>
      </c>
      <c r="M311" s="1">
        <f t="shared" si="17"/>
        <v>7</v>
      </c>
      <c r="N311" s="1">
        <f t="shared" si="18"/>
        <v>2015</v>
      </c>
      <c r="O311" s="1" t="str">
        <f t="shared" ca="1" si="19"/>
        <v>mais de 150 dias</v>
      </c>
    </row>
    <row r="312" spans="1:15" ht="15" x14ac:dyDescent="0.2">
      <c r="A312" s="3" t="s">
        <v>8</v>
      </c>
      <c r="B312" s="4" t="s">
        <v>661</v>
      </c>
      <c r="C312" s="3" t="s">
        <v>81</v>
      </c>
      <c r="D312" s="3"/>
      <c r="E312" s="3" t="str">
        <f>VLOOKUP(B312,[1]general_report!$B$1:$I$713,8,0)</f>
        <v xml:space="preserve">Contax </v>
      </c>
      <c r="F312" s="3" t="str">
        <f>VLOOKUP(B312,[1]general_report!$B$1:$J$713,9,0)</f>
        <v xml:space="preserve"> Ger Adm RH</v>
      </c>
      <c r="G312" s="3" t="s">
        <v>662</v>
      </c>
      <c r="H312" s="3" t="s">
        <v>663</v>
      </c>
      <c r="I312" s="3" t="s">
        <v>207</v>
      </c>
      <c r="J312" s="5">
        <v>42198.461805555555</v>
      </c>
      <c r="K312" s="3"/>
      <c r="L312" s="11">
        <f t="shared" ca="1" si="16"/>
        <v>234.53819444444525</v>
      </c>
      <c r="M312" s="1">
        <f t="shared" si="17"/>
        <v>7</v>
      </c>
      <c r="N312" s="1">
        <f t="shared" si="18"/>
        <v>2015</v>
      </c>
      <c r="O312" s="1" t="str">
        <f t="shared" ca="1" si="19"/>
        <v>mais de 150 dias</v>
      </c>
    </row>
    <row r="313" spans="1:15" ht="15" x14ac:dyDescent="0.2">
      <c r="A313" s="3" t="s">
        <v>8</v>
      </c>
      <c r="B313" s="4" t="s">
        <v>664</v>
      </c>
      <c r="C313" s="3" t="s">
        <v>81</v>
      </c>
      <c r="D313" s="3"/>
      <c r="E313" s="3" t="str">
        <f>VLOOKUP(B313,[1]general_report!$B$1:$I$713,8,0)</f>
        <v xml:space="preserve">Contax </v>
      </c>
      <c r="F313" s="3" t="str">
        <f>VLOOKUP(B313,[1]general_report!$B$1:$J$713,9,0)</f>
        <v xml:space="preserve"> Ger Adm RH</v>
      </c>
      <c r="G313" s="3" t="s">
        <v>665</v>
      </c>
      <c r="H313" s="3" t="s">
        <v>665</v>
      </c>
      <c r="I313" s="3" t="s">
        <v>27</v>
      </c>
      <c r="J313" s="5">
        <v>41983.499305555553</v>
      </c>
      <c r="K313" s="5">
        <v>42384.677083333336</v>
      </c>
      <c r="L313" s="11">
        <f t="shared" ca="1" si="16"/>
        <v>401.17777777778247</v>
      </c>
      <c r="M313" s="1">
        <f t="shared" si="17"/>
        <v>12</v>
      </c>
      <c r="N313" s="1">
        <f t="shared" si="18"/>
        <v>2014</v>
      </c>
      <c r="O313" s="1" t="str">
        <f t="shared" ca="1" si="19"/>
        <v>mais de 150 dias</v>
      </c>
    </row>
    <row r="314" spans="1:15" ht="25.5" x14ac:dyDescent="0.2">
      <c r="A314" s="3" t="s">
        <v>8</v>
      </c>
      <c r="B314" s="4" t="s">
        <v>666</v>
      </c>
      <c r="C314" s="3" t="s">
        <v>667</v>
      </c>
      <c r="D314" s="3"/>
      <c r="E314" s="3" t="str">
        <f>VLOOKUP(B314,[1]general_report!$B$1:$I$713,8,0)</f>
        <v xml:space="preserve">Oi </v>
      </c>
      <c r="F314" s="3" t="str">
        <f>VLOOKUP(B314,[1]general_report!$B$1:$J$713,9,0)</f>
        <v xml:space="preserve"> Outras Atividades</v>
      </c>
      <c r="G314" s="3" t="s">
        <v>11</v>
      </c>
      <c r="H314" s="3" t="s">
        <v>26</v>
      </c>
      <c r="I314" s="3" t="s">
        <v>13</v>
      </c>
      <c r="J314" s="5">
        <v>42417.473611111112</v>
      </c>
      <c r="K314" s="3"/>
      <c r="L314" s="11">
        <f t="shared" ca="1" si="16"/>
        <v>15.526388888887595</v>
      </c>
      <c r="M314" s="1">
        <f t="shared" si="17"/>
        <v>2</v>
      </c>
      <c r="N314" s="1">
        <f t="shared" si="18"/>
        <v>2016</v>
      </c>
      <c r="O314" s="1" t="str">
        <f t="shared" ca="1" si="19"/>
        <v>menos 1 mês</v>
      </c>
    </row>
    <row r="315" spans="1:15" ht="38.25" x14ac:dyDescent="0.2">
      <c r="A315" s="3" t="s">
        <v>8</v>
      </c>
      <c r="B315" s="4" t="s">
        <v>668</v>
      </c>
      <c r="C315" s="3" t="s">
        <v>669</v>
      </c>
      <c r="D315" s="3"/>
      <c r="E315" s="3" t="str">
        <f>VLOOKUP(B315,[1]general_report!$B$1:$I$713,8,0)</f>
        <v xml:space="preserve">Oi </v>
      </c>
      <c r="F315" s="3" t="str">
        <f>VLOOKUP(B315,[1]general_report!$B$1:$J$713,9,0)</f>
        <v xml:space="preserve"> Outras Atividades</v>
      </c>
      <c r="G315" s="3" t="s">
        <v>11</v>
      </c>
      <c r="H315" s="3" t="s">
        <v>26</v>
      </c>
      <c r="I315" s="3" t="s">
        <v>13</v>
      </c>
      <c r="J315" s="5">
        <v>42417.472222222219</v>
      </c>
      <c r="K315" s="3"/>
      <c r="L315" s="11">
        <f t="shared" ca="1" si="16"/>
        <v>15.527777777781012</v>
      </c>
      <c r="M315" s="1">
        <f t="shared" si="17"/>
        <v>2</v>
      </c>
      <c r="N315" s="1">
        <f t="shared" si="18"/>
        <v>2016</v>
      </c>
      <c r="O315" s="1" t="str">
        <f t="shared" ca="1" si="19"/>
        <v>menos 1 mês</v>
      </c>
    </row>
    <row r="316" spans="1:15" ht="38.25" x14ac:dyDescent="0.2">
      <c r="A316" s="3" t="s">
        <v>8</v>
      </c>
      <c r="B316" s="4" t="s">
        <v>670</v>
      </c>
      <c r="C316" s="3" t="s">
        <v>671</v>
      </c>
      <c r="D316" s="3"/>
      <c r="E316" s="3" t="str">
        <f>VLOOKUP(B316,[1]general_report!$B$1:$I$713,8,0)</f>
        <v xml:space="preserve">Oi </v>
      </c>
      <c r="F316" s="3" t="str">
        <f>VLOOKUP(B316,[1]general_report!$B$1:$J$713,9,0)</f>
        <v xml:space="preserve"> Outras Atividades</v>
      </c>
      <c r="G316" s="3" t="s">
        <v>11</v>
      </c>
      <c r="H316" s="3" t="s">
        <v>26</v>
      </c>
      <c r="I316" s="3" t="s">
        <v>13</v>
      </c>
      <c r="J316" s="5">
        <v>42417.464583333334</v>
      </c>
      <c r="K316" s="3"/>
      <c r="L316" s="11">
        <f t="shared" ca="1" si="16"/>
        <v>15.535416666665697</v>
      </c>
      <c r="M316" s="1">
        <f t="shared" si="17"/>
        <v>2</v>
      </c>
      <c r="N316" s="1">
        <f t="shared" si="18"/>
        <v>2016</v>
      </c>
      <c r="O316" s="1" t="str">
        <f t="shared" ca="1" si="19"/>
        <v>menos 1 mês</v>
      </c>
    </row>
    <row r="317" spans="1:15" ht="25.5" x14ac:dyDescent="0.2">
      <c r="A317" s="3" t="s">
        <v>8</v>
      </c>
      <c r="B317" s="4" t="s">
        <v>672</v>
      </c>
      <c r="C317" s="3" t="s">
        <v>673</v>
      </c>
      <c r="D317" s="3"/>
      <c r="E317" s="3" t="str">
        <f>VLOOKUP(B317,[1]general_report!$B$1:$I$713,8,0)</f>
        <v xml:space="preserve">Oi </v>
      </c>
      <c r="F317" s="3" t="str">
        <f>VLOOKUP(B317,[1]general_report!$B$1:$J$713,9,0)</f>
        <v xml:space="preserve"> Outras Atividades</v>
      </c>
      <c r="G317" s="3" t="s">
        <v>11</v>
      </c>
      <c r="H317" s="3" t="s">
        <v>26</v>
      </c>
      <c r="I317" s="3" t="s">
        <v>13</v>
      </c>
      <c r="J317" s="5">
        <v>42417.461111111108</v>
      </c>
      <c r="K317" s="3"/>
      <c r="L317" s="11">
        <f t="shared" ca="1" si="16"/>
        <v>15.538888888891961</v>
      </c>
      <c r="M317" s="1">
        <f t="shared" si="17"/>
        <v>2</v>
      </c>
      <c r="N317" s="1">
        <f t="shared" si="18"/>
        <v>2016</v>
      </c>
      <c r="O317" s="1" t="str">
        <f t="shared" ca="1" si="19"/>
        <v>menos 1 mês</v>
      </c>
    </row>
    <row r="318" spans="1:15" ht="25.5" x14ac:dyDescent="0.2">
      <c r="A318" s="3" t="s">
        <v>8</v>
      </c>
      <c r="B318" s="4" t="s">
        <v>674</v>
      </c>
      <c r="C318" s="3" t="s">
        <v>675</v>
      </c>
      <c r="D318" s="3"/>
      <c r="E318" s="3" t="str">
        <f>VLOOKUP(B318,[1]general_report!$B$1:$I$713,8,0)</f>
        <v xml:space="preserve">Oi </v>
      </c>
      <c r="F318" s="3" t="str">
        <f>VLOOKUP(B318,[1]general_report!$B$1:$J$713,9,0)</f>
        <v xml:space="preserve"> Outras Atividades</v>
      </c>
      <c r="G318" s="3" t="s">
        <v>11</v>
      </c>
      <c r="H318" s="3" t="s">
        <v>26</v>
      </c>
      <c r="I318" s="3" t="s">
        <v>13</v>
      </c>
      <c r="J318" s="5">
        <v>42417.458333333336</v>
      </c>
      <c r="K318" s="3"/>
      <c r="L318" s="11">
        <f t="shared" ca="1" si="16"/>
        <v>15.541666666664241</v>
      </c>
      <c r="M318" s="1">
        <f t="shared" si="17"/>
        <v>2</v>
      </c>
      <c r="N318" s="1">
        <f t="shared" si="18"/>
        <v>2016</v>
      </c>
      <c r="O318" s="1" t="str">
        <f t="shared" ca="1" si="19"/>
        <v>menos 1 mês</v>
      </c>
    </row>
    <row r="319" spans="1:15" ht="25.5" x14ac:dyDescent="0.2">
      <c r="A319" s="3" t="s">
        <v>8</v>
      </c>
      <c r="B319" s="4" t="s">
        <v>676</v>
      </c>
      <c r="C319" s="3" t="s">
        <v>677</v>
      </c>
      <c r="D319" s="3"/>
      <c r="E319" s="3" t="str">
        <f>VLOOKUP(B319,[1]general_report!$B$1:$I$713,8,0)</f>
        <v xml:space="preserve">Oi </v>
      </c>
      <c r="F319" s="3" t="str">
        <f>VLOOKUP(B319,[1]general_report!$B$1:$J$713,9,0)</f>
        <v xml:space="preserve"> Outras Atividades</v>
      </c>
      <c r="G319" s="3" t="s">
        <v>11</v>
      </c>
      <c r="H319" s="3" t="s">
        <v>26</v>
      </c>
      <c r="I319" s="3" t="s">
        <v>13</v>
      </c>
      <c r="J319" s="5">
        <v>42417.454861111109</v>
      </c>
      <c r="K319" s="3"/>
      <c r="L319" s="11">
        <f t="shared" ca="1" si="16"/>
        <v>15.545138888890506</v>
      </c>
      <c r="M319" s="1">
        <f t="shared" si="17"/>
        <v>2</v>
      </c>
      <c r="N319" s="1">
        <f t="shared" si="18"/>
        <v>2016</v>
      </c>
      <c r="O319" s="1" t="str">
        <f t="shared" ca="1" si="19"/>
        <v>menos 1 mês</v>
      </c>
    </row>
    <row r="320" spans="1:15" ht="25.5" x14ac:dyDescent="0.2">
      <c r="A320" s="3" t="s">
        <v>8</v>
      </c>
      <c r="B320" s="4" t="s">
        <v>678</v>
      </c>
      <c r="C320" s="3" t="s">
        <v>679</v>
      </c>
      <c r="D320" s="3"/>
      <c r="E320" s="3" t="str">
        <f>VLOOKUP(B320,[1]general_report!$B$1:$I$713,8,0)</f>
        <v xml:space="preserve">Oi </v>
      </c>
      <c r="F320" s="3" t="str">
        <f>VLOOKUP(B320,[1]general_report!$B$1:$J$713,9,0)</f>
        <v xml:space="preserve"> Outras Atividades</v>
      </c>
      <c r="G320" s="3" t="s">
        <v>11</v>
      </c>
      <c r="H320" s="3" t="s">
        <v>26</v>
      </c>
      <c r="I320" s="3" t="s">
        <v>13</v>
      </c>
      <c r="J320" s="5">
        <v>42417.442361111112</v>
      </c>
      <c r="K320" s="3"/>
      <c r="L320" s="11">
        <f t="shared" ca="1" si="16"/>
        <v>15.557638888887595</v>
      </c>
      <c r="M320" s="1">
        <f t="shared" si="17"/>
        <v>2</v>
      </c>
      <c r="N320" s="1">
        <f t="shared" si="18"/>
        <v>2016</v>
      </c>
      <c r="O320" s="1" t="str">
        <f t="shared" ca="1" si="19"/>
        <v>menos 1 mês</v>
      </c>
    </row>
    <row r="321" spans="1:15" ht="25.5" x14ac:dyDescent="0.2">
      <c r="A321" s="3" t="s">
        <v>8</v>
      </c>
      <c r="B321" s="4" t="s">
        <v>680</v>
      </c>
      <c r="C321" s="3" t="s">
        <v>667</v>
      </c>
      <c r="D321" s="3"/>
      <c r="E321" s="3" t="str">
        <f>VLOOKUP(B321,[1]general_report!$B$1:$I$713,8,0)</f>
        <v xml:space="preserve">Oi </v>
      </c>
      <c r="F321" s="3" t="str">
        <f>VLOOKUP(B321,[1]general_report!$B$1:$J$713,9,0)</f>
        <v xml:space="preserve"> Outras Atividades</v>
      </c>
      <c r="G321" s="3" t="s">
        <v>11</v>
      </c>
      <c r="H321" s="3" t="s">
        <v>26</v>
      </c>
      <c r="I321" s="3" t="s">
        <v>13</v>
      </c>
      <c r="J321" s="5">
        <v>42417.439583333333</v>
      </c>
      <c r="K321" s="3"/>
      <c r="L321" s="11">
        <f t="shared" ca="1" si="16"/>
        <v>15.560416666667152</v>
      </c>
      <c r="M321" s="1">
        <f t="shared" si="17"/>
        <v>2</v>
      </c>
      <c r="N321" s="1">
        <f t="shared" si="18"/>
        <v>2016</v>
      </c>
      <c r="O321" s="1" t="str">
        <f t="shared" ca="1" si="19"/>
        <v>menos 1 mês</v>
      </c>
    </row>
    <row r="322" spans="1:15" ht="25.5" x14ac:dyDescent="0.2">
      <c r="A322" s="3" t="s">
        <v>8</v>
      </c>
      <c r="B322" s="4" t="s">
        <v>681</v>
      </c>
      <c r="C322" s="3" t="s">
        <v>682</v>
      </c>
      <c r="D322" s="3"/>
      <c r="E322" s="3" t="str">
        <f>VLOOKUP(B322,[1]general_report!$B$1:$I$713,8,0)</f>
        <v xml:space="preserve">Oi </v>
      </c>
      <c r="F322" s="3" t="str">
        <f>VLOOKUP(B322,[1]general_report!$B$1:$J$713,9,0)</f>
        <v xml:space="preserve"> Outras Atividades</v>
      </c>
      <c r="G322" s="3" t="s">
        <v>11</v>
      </c>
      <c r="H322" s="3" t="s">
        <v>26</v>
      </c>
      <c r="I322" s="3" t="s">
        <v>13</v>
      </c>
      <c r="J322" s="5">
        <v>42417.434027777781</v>
      </c>
      <c r="K322" s="3"/>
      <c r="L322" s="11">
        <f t="shared" ca="1" si="16"/>
        <v>15.565972222218988</v>
      </c>
      <c r="M322" s="1">
        <f t="shared" si="17"/>
        <v>2</v>
      </c>
      <c r="N322" s="1">
        <f t="shared" si="18"/>
        <v>2016</v>
      </c>
      <c r="O322" s="1" t="str">
        <f t="shared" ca="1" si="19"/>
        <v>menos 1 mês</v>
      </c>
    </row>
    <row r="323" spans="1:15" ht="25.5" x14ac:dyDescent="0.2">
      <c r="A323" s="3" t="s">
        <v>8</v>
      </c>
      <c r="B323" s="4" t="s">
        <v>683</v>
      </c>
      <c r="C323" s="3" t="s">
        <v>684</v>
      </c>
      <c r="D323" s="3"/>
      <c r="E323" s="3" t="str">
        <f>VLOOKUP(B323,[1]general_report!$B$1:$I$713,8,0)</f>
        <v xml:space="preserve">Contax </v>
      </c>
      <c r="F323" s="3" t="str">
        <f>VLOOKUP(B323,[1]general_report!$B$1:$J$713,9,0)</f>
        <v xml:space="preserve"> Outro</v>
      </c>
      <c r="G323" s="3" t="s">
        <v>11</v>
      </c>
      <c r="H323" s="3" t="s">
        <v>26</v>
      </c>
      <c r="I323" s="3" t="s">
        <v>13</v>
      </c>
      <c r="J323" s="5">
        <v>42411.598611111112</v>
      </c>
      <c r="K323" s="3"/>
      <c r="L323" s="11">
        <f t="shared" ref="L323:L386" ca="1" si="20">IF(K323="",TODAY()-J323,K323-J323)</f>
        <v>21.401388888887595</v>
      </c>
      <c r="M323" s="1">
        <f t="shared" ref="M323:M386" si="21">MONTH(J323)</f>
        <v>2</v>
      </c>
      <c r="N323" s="1">
        <f t="shared" ref="N323:N386" si="22">YEAR(J323)</f>
        <v>2016</v>
      </c>
      <c r="O323" s="1" t="str">
        <f t="shared" ref="O323:O386" ca="1" si="23">IF(L323&lt;30,"menos 1 mês",IF(L323&lt;60,"entre 30 e 60 dias",IF(L323&lt;90,"entre 60 e 90 dias",IF(L323&lt;150,"entre 90 e 150 dias","mais de 150 dias"))))</f>
        <v>menos 1 mês</v>
      </c>
    </row>
    <row r="324" spans="1:15" ht="25.5" x14ac:dyDescent="0.2">
      <c r="A324" s="3" t="s">
        <v>8</v>
      </c>
      <c r="B324" s="4" t="s">
        <v>685</v>
      </c>
      <c r="C324" s="3" t="s">
        <v>686</v>
      </c>
      <c r="D324" s="3"/>
      <c r="E324" s="3" t="str">
        <f>VLOOKUP(B324,[1]general_report!$B$1:$I$713,8,0)</f>
        <v xml:space="preserve">Contax </v>
      </c>
      <c r="F324" s="3" t="str">
        <f>VLOOKUP(B324,[1]general_report!$B$1:$J$713,9,0)</f>
        <v xml:space="preserve"> Outro</v>
      </c>
      <c r="G324" s="3" t="s">
        <v>11</v>
      </c>
      <c r="H324" s="3" t="s">
        <v>26</v>
      </c>
      <c r="I324" s="3" t="s">
        <v>13</v>
      </c>
      <c r="J324" s="5">
        <v>42411.595138888886</v>
      </c>
      <c r="K324" s="3"/>
      <c r="L324" s="11">
        <f t="shared" ca="1" si="20"/>
        <v>21.40486111111386</v>
      </c>
      <c r="M324" s="1">
        <f t="shared" si="21"/>
        <v>2</v>
      </c>
      <c r="N324" s="1">
        <f t="shared" si="22"/>
        <v>2016</v>
      </c>
      <c r="O324" s="1" t="str">
        <f t="shared" ca="1" si="23"/>
        <v>menos 1 mês</v>
      </c>
    </row>
    <row r="325" spans="1:15" ht="25.5" x14ac:dyDescent="0.2">
      <c r="A325" s="3" t="s">
        <v>8</v>
      </c>
      <c r="B325" s="4" t="s">
        <v>687</v>
      </c>
      <c r="C325" s="3" t="s">
        <v>688</v>
      </c>
      <c r="D325" s="3"/>
      <c r="E325" s="3" t="str">
        <f>VLOOKUP(B325,[1]general_report!$B$1:$I$713,8,0)</f>
        <v xml:space="preserve">Contax </v>
      </c>
      <c r="F325" s="3" t="str">
        <f>VLOOKUP(B325,[1]general_report!$B$1:$J$713,9,0)</f>
        <v xml:space="preserve"> Dir. Oi</v>
      </c>
      <c r="G325" s="3" t="s">
        <v>11</v>
      </c>
      <c r="H325" s="3" t="s">
        <v>689</v>
      </c>
      <c r="I325" s="3" t="s">
        <v>13</v>
      </c>
      <c r="J325" s="5">
        <v>42411.570138888892</v>
      </c>
      <c r="K325" s="3"/>
      <c r="L325" s="11">
        <f t="shared" ca="1" si="20"/>
        <v>21.429861111108039</v>
      </c>
      <c r="M325" s="1">
        <f t="shared" si="21"/>
        <v>2</v>
      </c>
      <c r="N325" s="1">
        <f t="shared" si="22"/>
        <v>2016</v>
      </c>
      <c r="O325" s="1" t="str">
        <f t="shared" ca="1" si="23"/>
        <v>menos 1 mês</v>
      </c>
    </row>
    <row r="326" spans="1:15" ht="25.5" x14ac:dyDescent="0.2">
      <c r="A326" s="3" t="s">
        <v>8</v>
      </c>
      <c r="B326" s="4" t="s">
        <v>690</v>
      </c>
      <c r="C326" s="3" t="s">
        <v>691</v>
      </c>
      <c r="D326" s="3"/>
      <c r="E326" s="3" t="str">
        <f>VLOOKUP(B326,[1]general_report!$B$1:$I$713,8,0)</f>
        <v xml:space="preserve">Contax </v>
      </c>
      <c r="F326" s="3" t="str">
        <f>VLOOKUP(B326,[1]general_report!$B$1:$J$713,9,0)</f>
        <v xml:space="preserve"> Dir. Oi</v>
      </c>
      <c r="G326" s="3" t="s">
        <v>402</v>
      </c>
      <c r="H326" s="3" t="s">
        <v>26</v>
      </c>
      <c r="I326" s="3" t="s">
        <v>207</v>
      </c>
      <c r="J326" s="5">
        <v>42403.619444444441</v>
      </c>
      <c r="K326" s="3"/>
      <c r="L326" s="11">
        <f t="shared" ca="1" si="20"/>
        <v>29.380555555559113</v>
      </c>
      <c r="M326" s="1">
        <f t="shared" si="21"/>
        <v>2</v>
      </c>
      <c r="N326" s="1">
        <f t="shared" si="22"/>
        <v>2016</v>
      </c>
      <c r="O326" s="1" t="str">
        <f t="shared" ca="1" si="23"/>
        <v>menos 1 mês</v>
      </c>
    </row>
    <row r="327" spans="1:15" ht="25.5" x14ac:dyDescent="0.2">
      <c r="A327" s="3" t="s">
        <v>8</v>
      </c>
      <c r="B327" s="4" t="s">
        <v>692</v>
      </c>
      <c r="C327" s="3" t="s">
        <v>693</v>
      </c>
      <c r="D327" s="3"/>
      <c r="E327" s="3" t="str">
        <f>VLOOKUP(B327,[1]general_report!$B$1:$I$713,8,0)</f>
        <v xml:space="preserve">Oi </v>
      </c>
      <c r="F327" s="3" t="str">
        <f>VLOOKUP(B327,[1]general_report!$B$1:$J$713,9,0)</f>
        <v xml:space="preserve"> Atendimento</v>
      </c>
      <c r="G327" s="3" t="s">
        <v>603</v>
      </c>
      <c r="H327" s="3" t="s">
        <v>694</v>
      </c>
      <c r="I327" s="3" t="s">
        <v>13</v>
      </c>
      <c r="J327" s="5">
        <v>42394.502083333333</v>
      </c>
      <c r="K327" s="3"/>
      <c r="L327" s="11">
        <f t="shared" ca="1" si="20"/>
        <v>38.497916666667152</v>
      </c>
      <c r="M327" s="1">
        <f t="shared" si="21"/>
        <v>1</v>
      </c>
      <c r="N327" s="1">
        <f t="shared" si="22"/>
        <v>2016</v>
      </c>
      <c r="O327" s="1" t="str">
        <f t="shared" ca="1" si="23"/>
        <v>entre 30 e 60 dias</v>
      </c>
    </row>
    <row r="328" spans="1:15" ht="25.5" x14ac:dyDescent="0.2">
      <c r="A328" s="3" t="s">
        <v>8</v>
      </c>
      <c r="B328" s="4" t="s">
        <v>695</v>
      </c>
      <c r="C328" s="3" t="s">
        <v>696</v>
      </c>
      <c r="D328" s="3"/>
      <c r="E328" s="3" t="str">
        <f>VLOOKUP(B328,[1]general_report!$B$1:$I$713,8,0)</f>
        <v xml:space="preserve">Contax </v>
      </c>
      <c r="F328" s="3" t="str">
        <f>VLOOKUP(B328,[1]general_report!$B$1:$J$713,9,0)</f>
        <v xml:space="preserve"> Ger Planejamento SAC</v>
      </c>
      <c r="G328" s="3" t="s">
        <v>697</v>
      </c>
      <c r="H328" s="3" t="s">
        <v>697</v>
      </c>
      <c r="I328" s="3" t="s">
        <v>27</v>
      </c>
      <c r="J328" s="5">
        <v>42383.472222222219</v>
      </c>
      <c r="K328" s="5">
        <v>42402.505555555559</v>
      </c>
      <c r="L328" s="11">
        <f t="shared" ca="1" si="20"/>
        <v>19.033333333340124</v>
      </c>
      <c r="M328" s="1">
        <f t="shared" si="21"/>
        <v>1</v>
      </c>
      <c r="N328" s="1">
        <f t="shared" si="22"/>
        <v>2016</v>
      </c>
      <c r="O328" s="1" t="str">
        <f t="shared" ca="1" si="23"/>
        <v>menos 1 mês</v>
      </c>
    </row>
    <row r="329" spans="1:15" ht="25.5" x14ac:dyDescent="0.2">
      <c r="A329" s="3" t="s">
        <v>8</v>
      </c>
      <c r="B329" s="4" t="s">
        <v>698</v>
      </c>
      <c r="C329" s="3" t="s">
        <v>699</v>
      </c>
      <c r="D329" s="3"/>
      <c r="E329" s="3" t="str">
        <f>VLOOKUP(B329,[1]general_report!$B$1:$I$713,8,0)</f>
        <v xml:space="preserve">Contax </v>
      </c>
      <c r="F329" s="3" t="str">
        <f>VLOOKUP(B329,[1]general_report!$B$1:$J$713,9,0)</f>
        <v xml:space="preserve"> Ger Planejamento SAC</v>
      </c>
      <c r="G329" s="3" t="s">
        <v>697</v>
      </c>
      <c r="H329" s="3" t="s">
        <v>697</v>
      </c>
      <c r="I329" s="3" t="s">
        <v>27</v>
      </c>
      <c r="J329" s="5">
        <v>42383.46875</v>
      </c>
      <c r="K329" s="5">
        <v>42402.504861111112</v>
      </c>
      <c r="L329" s="11">
        <f t="shared" ca="1" si="20"/>
        <v>19.036111111112405</v>
      </c>
      <c r="M329" s="1">
        <f t="shared" si="21"/>
        <v>1</v>
      </c>
      <c r="N329" s="1">
        <f t="shared" si="22"/>
        <v>2016</v>
      </c>
      <c r="O329" s="1" t="str">
        <f t="shared" ca="1" si="23"/>
        <v>menos 1 mês</v>
      </c>
    </row>
    <row r="330" spans="1:15" ht="25.5" x14ac:dyDescent="0.2">
      <c r="A330" s="3" t="s">
        <v>8</v>
      </c>
      <c r="B330" s="4" t="s">
        <v>700</v>
      </c>
      <c r="C330" s="3" t="s">
        <v>701</v>
      </c>
      <c r="D330" s="3"/>
      <c r="E330" s="3" t="str">
        <f>VLOOKUP(B330,[1]general_report!$B$1:$I$713,8,0)</f>
        <v xml:space="preserve">Contax </v>
      </c>
      <c r="F330" s="3" t="str">
        <f>VLOOKUP(B330,[1]general_report!$B$1:$J$713,9,0)</f>
        <v xml:space="preserve"> Ger Planejamento SAC</v>
      </c>
      <c r="G330" s="3" t="s">
        <v>697</v>
      </c>
      <c r="H330" s="3" t="s">
        <v>697</v>
      </c>
      <c r="I330" s="3" t="s">
        <v>27</v>
      </c>
      <c r="J330" s="5">
        <v>42383.46597222222</v>
      </c>
      <c r="K330" s="5">
        <v>42402.504861111112</v>
      </c>
      <c r="L330" s="11">
        <f t="shared" ca="1" si="20"/>
        <v>19.038888888891961</v>
      </c>
      <c r="M330" s="1">
        <f t="shared" si="21"/>
        <v>1</v>
      </c>
      <c r="N330" s="1">
        <f t="shared" si="22"/>
        <v>2016</v>
      </c>
      <c r="O330" s="1" t="str">
        <f t="shared" ca="1" si="23"/>
        <v>menos 1 mês</v>
      </c>
    </row>
    <row r="331" spans="1:15" ht="15" x14ac:dyDescent="0.2">
      <c r="A331" s="3" t="s">
        <v>8</v>
      </c>
      <c r="B331" s="4" t="s">
        <v>702</v>
      </c>
      <c r="C331" s="3" t="s">
        <v>703</v>
      </c>
      <c r="D331" s="3"/>
      <c r="E331" s="3" t="str">
        <f>VLOOKUP(B331,[1]general_report!$B$1:$I$713,8,0)</f>
        <v xml:space="preserve">Contax </v>
      </c>
      <c r="F331" s="3" t="str">
        <f>VLOOKUP(B331,[1]general_report!$B$1:$J$713,9,0)</f>
        <v xml:space="preserve"> Dir. Oi</v>
      </c>
      <c r="G331" s="3" t="s">
        <v>11</v>
      </c>
      <c r="H331" s="3" t="s">
        <v>704</v>
      </c>
      <c r="I331" s="3" t="s">
        <v>13</v>
      </c>
      <c r="J331" s="5">
        <v>42381.775694444441</v>
      </c>
      <c r="K331" s="3"/>
      <c r="L331" s="11">
        <f t="shared" ca="1" si="20"/>
        <v>51.224305555559113</v>
      </c>
      <c r="M331" s="1">
        <f t="shared" si="21"/>
        <v>1</v>
      </c>
      <c r="N331" s="1">
        <f t="shared" si="22"/>
        <v>2016</v>
      </c>
      <c r="O331" s="1" t="str">
        <f t="shared" ca="1" si="23"/>
        <v>entre 30 e 60 dias</v>
      </c>
    </row>
    <row r="332" spans="1:15" ht="15" x14ac:dyDescent="0.2">
      <c r="A332" s="3" t="s">
        <v>8</v>
      </c>
      <c r="B332" s="4" t="s">
        <v>705</v>
      </c>
      <c r="C332" s="3" t="s">
        <v>706</v>
      </c>
      <c r="D332" s="3"/>
      <c r="E332" s="3" t="str">
        <f>VLOOKUP(B332,[1]general_report!$B$1:$I$713,8,0)</f>
        <v xml:space="preserve">Contax </v>
      </c>
      <c r="F332" s="3" t="str">
        <f>VLOOKUP(B332,[1]general_report!$B$1:$J$713,9,0)</f>
        <v xml:space="preserve"> Dir. Oi</v>
      </c>
      <c r="G332" s="3" t="s">
        <v>11</v>
      </c>
      <c r="H332" s="3" t="s">
        <v>704</v>
      </c>
      <c r="I332" s="3" t="s">
        <v>13</v>
      </c>
      <c r="J332" s="5">
        <v>42381.770138888889</v>
      </c>
      <c r="K332" s="3"/>
      <c r="L332" s="11">
        <f t="shared" ca="1" si="20"/>
        <v>51.229861111110949</v>
      </c>
      <c r="M332" s="1">
        <f t="shared" si="21"/>
        <v>1</v>
      </c>
      <c r="N332" s="1">
        <f t="shared" si="22"/>
        <v>2016</v>
      </c>
      <c r="O332" s="1" t="str">
        <f t="shared" ca="1" si="23"/>
        <v>entre 30 e 60 dias</v>
      </c>
    </row>
    <row r="333" spans="1:15" ht="25.5" x14ac:dyDescent="0.2">
      <c r="A333" s="3" t="s">
        <v>8</v>
      </c>
      <c r="B333" s="4" t="s">
        <v>707</v>
      </c>
      <c r="C333" s="3" t="s">
        <v>708</v>
      </c>
      <c r="D333" s="3"/>
      <c r="E333" s="3" t="str">
        <f>VLOOKUP(B333,[1]general_report!$B$1:$I$713,8,0)</f>
        <v xml:space="preserve">Contax </v>
      </c>
      <c r="F333" s="3" t="str">
        <f>VLOOKUP(B333,[1]general_report!$B$1:$J$713,9,0)</f>
        <v xml:space="preserve"> Ger Planejamento SAC</v>
      </c>
      <c r="G333" s="3" t="s">
        <v>11</v>
      </c>
      <c r="H333" s="3" t="s">
        <v>697</v>
      </c>
      <c r="I333" s="3" t="s">
        <v>13</v>
      </c>
      <c r="J333" s="5">
        <v>42380.761111111111</v>
      </c>
      <c r="K333" s="3"/>
      <c r="L333" s="11">
        <f t="shared" ca="1" si="20"/>
        <v>52.238888888889051</v>
      </c>
      <c r="M333" s="1">
        <f t="shared" si="21"/>
        <v>1</v>
      </c>
      <c r="N333" s="1">
        <f t="shared" si="22"/>
        <v>2016</v>
      </c>
      <c r="O333" s="1" t="str">
        <f t="shared" ca="1" si="23"/>
        <v>entre 30 e 60 dias</v>
      </c>
    </row>
    <row r="334" spans="1:15" ht="25.5" x14ac:dyDescent="0.2">
      <c r="A334" s="3" t="s">
        <v>8</v>
      </c>
      <c r="B334" s="4" t="s">
        <v>709</v>
      </c>
      <c r="C334" s="3" t="s">
        <v>710</v>
      </c>
      <c r="D334" s="3"/>
      <c r="E334" s="3" t="str">
        <f>VLOOKUP(B334,[1]general_report!$B$1:$I$713,8,0)</f>
        <v xml:space="preserve">Contax </v>
      </c>
      <c r="F334" s="3" t="str">
        <f>VLOOKUP(B334,[1]general_report!$B$1:$J$713,9,0)</f>
        <v xml:space="preserve"> Ger Planejamento SAC</v>
      </c>
      <c r="G334" s="3" t="s">
        <v>711</v>
      </c>
      <c r="H334" s="3" t="s">
        <v>697</v>
      </c>
      <c r="I334" s="3" t="s">
        <v>48</v>
      </c>
      <c r="J334" s="5">
        <v>42367.678472222222</v>
      </c>
      <c r="K334" s="3"/>
      <c r="L334" s="11">
        <f t="shared" ca="1" si="20"/>
        <v>65.321527777778101</v>
      </c>
      <c r="M334" s="1">
        <f t="shared" si="21"/>
        <v>12</v>
      </c>
      <c r="N334" s="1">
        <f t="shared" si="22"/>
        <v>2015</v>
      </c>
      <c r="O334" s="1" t="str">
        <f t="shared" ca="1" si="23"/>
        <v>entre 60 e 90 dias</v>
      </c>
    </row>
    <row r="335" spans="1:15" ht="25.5" x14ac:dyDescent="0.2">
      <c r="A335" s="3" t="s">
        <v>8</v>
      </c>
      <c r="B335" s="4" t="s">
        <v>712</v>
      </c>
      <c r="C335" s="3" t="s">
        <v>713</v>
      </c>
      <c r="D335" s="3"/>
      <c r="E335" s="3" t="str">
        <f>VLOOKUP(B335,[1]general_report!$B$1:$I$713,8,0)</f>
        <v xml:space="preserve">Contax </v>
      </c>
      <c r="F335" s="3" t="str">
        <f>VLOOKUP(B335,[1]general_report!$B$1:$J$713,9,0)</f>
        <v xml:space="preserve"> Ger Planejamento SAC</v>
      </c>
      <c r="G335" s="3" t="s">
        <v>18</v>
      </c>
      <c r="H335" s="3" t="s">
        <v>697</v>
      </c>
      <c r="I335" s="3" t="s">
        <v>13</v>
      </c>
      <c r="J335" s="5">
        <v>42356.651388888888</v>
      </c>
      <c r="K335" s="3"/>
      <c r="L335" s="11">
        <f t="shared" ca="1" si="20"/>
        <v>76.348611111112405</v>
      </c>
      <c r="M335" s="1">
        <f t="shared" si="21"/>
        <v>12</v>
      </c>
      <c r="N335" s="1">
        <f t="shared" si="22"/>
        <v>2015</v>
      </c>
      <c r="O335" s="1" t="str">
        <f t="shared" ca="1" si="23"/>
        <v>entre 60 e 90 dias</v>
      </c>
    </row>
    <row r="336" spans="1:15" ht="25.5" x14ac:dyDescent="0.2">
      <c r="A336" s="3" t="s">
        <v>8</v>
      </c>
      <c r="B336" s="4" t="s">
        <v>714</v>
      </c>
      <c r="C336" s="3" t="s">
        <v>715</v>
      </c>
      <c r="D336" s="3"/>
      <c r="E336" s="3" t="str">
        <f>VLOOKUP(B336,[1]general_report!$B$1:$I$713,8,0)</f>
        <v xml:space="preserve">Contax </v>
      </c>
      <c r="F336" s="3" t="str">
        <f>VLOOKUP(B336,[1]general_report!$B$1:$J$713,9,0)</f>
        <v xml:space="preserve"> Ger Planejamento SAC</v>
      </c>
      <c r="G336" s="3" t="s">
        <v>697</v>
      </c>
      <c r="H336" s="3" t="s">
        <v>697</v>
      </c>
      <c r="I336" s="3" t="s">
        <v>27</v>
      </c>
      <c r="J336" s="5">
        <v>42355.792361111111</v>
      </c>
      <c r="K336" s="5">
        <v>42402.504166666666</v>
      </c>
      <c r="L336" s="11">
        <f t="shared" ca="1" si="20"/>
        <v>46.711805555554747</v>
      </c>
      <c r="M336" s="1">
        <f t="shared" si="21"/>
        <v>12</v>
      </c>
      <c r="N336" s="1">
        <f t="shared" si="22"/>
        <v>2015</v>
      </c>
      <c r="O336" s="1" t="str">
        <f t="shared" ca="1" si="23"/>
        <v>entre 30 e 60 dias</v>
      </c>
    </row>
    <row r="337" spans="1:15" ht="25.5" x14ac:dyDescent="0.2">
      <c r="A337" s="3" t="s">
        <v>8</v>
      </c>
      <c r="B337" s="4" t="s">
        <v>716</v>
      </c>
      <c r="C337" s="3" t="s">
        <v>717</v>
      </c>
      <c r="D337" s="3"/>
      <c r="E337" s="3" t="str">
        <f>VLOOKUP(B337,[1]general_report!$B$1:$I$713,8,0)</f>
        <v xml:space="preserve">Contax </v>
      </c>
      <c r="F337" s="3" t="str">
        <f>VLOOKUP(B337,[1]general_report!$B$1:$J$713,9,0)</f>
        <v xml:space="preserve"> Ger Planejamento SAC</v>
      </c>
      <c r="G337" s="3" t="s">
        <v>18</v>
      </c>
      <c r="H337" s="3" t="s">
        <v>697</v>
      </c>
      <c r="I337" s="3" t="s">
        <v>13</v>
      </c>
      <c r="J337" s="5">
        <v>42353.625694444447</v>
      </c>
      <c r="K337" s="3"/>
      <c r="L337" s="11">
        <f t="shared" ca="1" si="20"/>
        <v>79.374305555553292</v>
      </c>
      <c r="M337" s="1">
        <f t="shared" si="21"/>
        <v>12</v>
      </c>
      <c r="N337" s="1">
        <f t="shared" si="22"/>
        <v>2015</v>
      </c>
      <c r="O337" s="1" t="str">
        <f t="shared" ca="1" si="23"/>
        <v>entre 60 e 90 dias</v>
      </c>
    </row>
    <row r="338" spans="1:15" ht="25.5" x14ac:dyDescent="0.2">
      <c r="A338" s="3" t="s">
        <v>8</v>
      </c>
      <c r="B338" s="4" t="s">
        <v>718</v>
      </c>
      <c r="C338" s="3" t="s">
        <v>719</v>
      </c>
      <c r="D338" s="3"/>
      <c r="E338" s="3" t="str">
        <f>VLOOKUP(B338,[1]general_report!$B$1:$I$713,8,0)</f>
        <v xml:space="preserve">Contax </v>
      </c>
      <c r="F338" s="3" t="str">
        <f>VLOOKUP(B338,[1]general_report!$B$1:$J$713,9,0)</f>
        <v xml:space="preserve"> Dir. Oi</v>
      </c>
      <c r="G338" s="3" t="s">
        <v>603</v>
      </c>
      <c r="H338" s="3" t="s">
        <v>720</v>
      </c>
      <c r="I338" s="3" t="s">
        <v>13</v>
      </c>
      <c r="J338" s="5">
        <v>42226.526388888888</v>
      </c>
      <c r="K338" s="3"/>
      <c r="L338" s="11">
        <f t="shared" ca="1" si="20"/>
        <v>206.4736111111124</v>
      </c>
      <c r="M338" s="1">
        <f t="shared" si="21"/>
        <v>8</v>
      </c>
      <c r="N338" s="1">
        <f t="shared" si="22"/>
        <v>2015</v>
      </c>
      <c r="O338" s="1" t="str">
        <f t="shared" ca="1" si="23"/>
        <v>mais de 150 dias</v>
      </c>
    </row>
    <row r="339" spans="1:15" ht="15" x14ac:dyDescent="0.2">
      <c r="A339" s="3" t="s">
        <v>8</v>
      </c>
      <c r="B339" s="4" t="s">
        <v>721</v>
      </c>
      <c r="C339" s="3" t="s">
        <v>722</v>
      </c>
      <c r="D339" s="3"/>
      <c r="E339" s="3" t="str">
        <f>VLOOKUP(B339,[1]general_report!$B$1:$I$713,8,0)</f>
        <v xml:space="preserve">Contax </v>
      </c>
      <c r="F339" s="3" t="str">
        <f>VLOOKUP(B339,[1]general_report!$B$1:$J$713,9,0)</f>
        <v xml:space="preserve"> Dir. Oi</v>
      </c>
      <c r="G339" s="3" t="s">
        <v>441</v>
      </c>
      <c r="H339" s="3" t="s">
        <v>720</v>
      </c>
      <c r="I339" s="3" t="s">
        <v>207</v>
      </c>
      <c r="J339" s="5">
        <v>42209.636805555558</v>
      </c>
      <c r="K339" s="3"/>
      <c r="L339" s="11">
        <f t="shared" ca="1" si="20"/>
        <v>223.36319444444234</v>
      </c>
      <c r="M339" s="1">
        <f t="shared" si="21"/>
        <v>7</v>
      </c>
      <c r="N339" s="1">
        <f t="shared" si="22"/>
        <v>2015</v>
      </c>
      <c r="O339" s="1" t="str">
        <f t="shared" ca="1" si="23"/>
        <v>mais de 150 dias</v>
      </c>
    </row>
    <row r="340" spans="1:15" ht="25.5" x14ac:dyDescent="0.2">
      <c r="A340" s="3" t="s">
        <v>8</v>
      </c>
      <c r="B340" s="4" t="s">
        <v>723</v>
      </c>
      <c r="C340" s="3" t="s">
        <v>724</v>
      </c>
      <c r="D340" s="3"/>
      <c r="E340" s="3" t="str">
        <f>VLOOKUP(B340,[1]general_report!$B$1:$I$713,8,0)</f>
        <v xml:space="preserve">Contax </v>
      </c>
      <c r="F340" s="3" t="str">
        <f>VLOOKUP(B340,[1]general_report!$B$1:$J$713,9,0)</f>
        <v xml:space="preserve"> Dir. Oi</v>
      </c>
      <c r="G340" s="3" t="s">
        <v>441</v>
      </c>
      <c r="H340" s="3" t="s">
        <v>725</v>
      </c>
      <c r="I340" s="3" t="s">
        <v>207</v>
      </c>
      <c r="J340" s="5">
        <v>42178.690972222219</v>
      </c>
      <c r="K340" s="3"/>
      <c r="L340" s="11">
        <f t="shared" ca="1" si="20"/>
        <v>254.30902777778101</v>
      </c>
      <c r="M340" s="1">
        <f t="shared" si="21"/>
        <v>6</v>
      </c>
      <c r="N340" s="1">
        <f t="shared" si="22"/>
        <v>2015</v>
      </c>
      <c r="O340" s="1" t="str">
        <f t="shared" ca="1" si="23"/>
        <v>mais de 150 dias</v>
      </c>
    </row>
    <row r="341" spans="1:15" ht="15" x14ac:dyDescent="0.2">
      <c r="A341" s="3" t="s">
        <v>8</v>
      </c>
      <c r="B341" s="4" t="s">
        <v>726</v>
      </c>
      <c r="C341" s="3" t="s">
        <v>727</v>
      </c>
      <c r="D341" s="3"/>
      <c r="E341" s="3" t="str">
        <f>VLOOKUP(B341,[1]general_report!$B$1:$I$713,8,0)</f>
        <v xml:space="preserve">Prefeitura RJ </v>
      </c>
      <c r="F341" s="3" t="str">
        <f>VLOOKUP(B341,[1]general_report!$B$1:$J$713,9,0)</f>
        <v xml:space="preserve"> Atendimento Nivel 1</v>
      </c>
      <c r="G341" s="3" t="s">
        <v>728</v>
      </c>
      <c r="H341" s="3" t="s">
        <v>660</v>
      </c>
      <c r="I341" s="3" t="s">
        <v>13</v>
      </c>
      <c r="J341" s="5">
        <v>42353.753472222219</v>
      </c>
      <c r="K341" s="3"/>
      <c r="L341" s="11">
        <f t="shared" ca="1" si="20"/>
        <v>79.246527777781012</v>
      </c>
      <c r="M341" s="1">
        <f t="shared" si="21"/>
        <v>12</v>
      </c>
      <c r="N341" s="1">
        <f t="shared" si="22"/>
        <v>2015</v>
      </c>
      <c r="O341" s="1" t="str">
        <f t="shared" ca="1" si="23"/>
        <v>entre 60 e 90 dias</v>
      </c>
    </row>
    <row r="342" spans="1:15" ht="25.5" x14ac:dyDescent="0.2">
      <c r="A342" s="3" t="s">
        <v>8</v>
      </c>
      <c r="B342" s="4" t="s">
        <v>729</v>
      </c>
      <c r="C342" s="3" t="s">
        <v>337</v>
      </c>
      <c r="D342" s="3"/>
      <c r="E342" s="3" t="str">
        <f>VLOOKUP(B342,[1]general_report!$B$1:$I$713,8,0)</f>
        <v xml:space="preserve">Prefeitura RJ </v>
      </c>
      <c r="F342" s="3" t="str">
        <f>VLOOKUP(B342,[1]general_report!$B$1:$J$713,9,0)</f>
        <v xml:space="preserve"> Atendimento Nivel 1</v>
      </c>
      <c r="G342" s="3" t="s">
        <v>728</v>
      </c>
      <c r="H342" s="3" t="s">
        <v>660</v>
      </c>
      <c r="I342" s="3" t="s">
        <v>13</v>
      </c>
      <c r="J342" s="5">
        <v>42353.729166666664</v>
      </c>
      <c r="K342" s="3"/>
      <c r="L342" s="11">
        <f t="shared" ca="1" si="20"/>
        <v>79.270833333335759</v>
      </c>
      <c r="M342" s="1">
        <f t="shared" si="21"/>
        <v>12</v>
      </c>
      <c r="N342" s="1">
        <f t="shared" si="22"/>
        <v>2015</v>
      </c>
      <c r="O342" s="1" t="str">
        <f t="shared" ca="1" si="23"/>
        <v>entre 60 e 90 dias</v>
      </c>
    </row>
    <row r="343" spans="1:15" ht="25.5" x14ac:dyDescent="0.2">
      <c r="A343" s="3" t="s">
        <v>8</v>
      </c>
      <c r="B343" s="4" t="s">
        <v>730</v>
      </c>
      <c r="C343" s="3" t="s">
        <v>337</v>
      </c>
      <c r="D343" s="3"/>
      <c r="E343" s="3" t="str">
        <f>VLOOKUP(B343,[1]general_report!$B$1:$I$713,8,0)</f>
        <v xml:space="preserve">Prefeitura RJ </v>
      </c>
      <c r="F343" s="3" t="str">
        <f>VLOOKUP(B343,[1]general_report!$B$1:$J$713,9,0)</f>
        <v xml:space="preserve"> Atendimento Nivel 1</v>
      </c>
      <c r="G343" s="3" t="s">
        <v>728</v>
      </c>
      <c r="H343" s="3" t="s">
        <v>660</v>
      </c>
      <c r="I343" s="3" t="s">
        <v>13</v>
      </c>
      <c r="J343" s="5">
        <v>42353.713888888888</v>
      </c>
      <c r="K343" s="3"/>
      <c r="L343" s="11">
        <f t="shared" ca="1" si="20"/>
        <v>79.286111111112405</v>
      </c>
      <c r="M343" s="1">
        <f t="shared" si="21"/>
        <v>12</v>
      </c>
      <c r="N343" s="1">
        <f t="shared" si="22"/>
        <v>2015</v>
      </c>
      <c r="O343" s="1" t="str">
        <f t="shared" ca="1" si="23"/>
        <v>entre 60 e 90 dias</v>
      </c>
    </row>
    <row r="344" spans="1:15" ht="15" x14ac:dyDescent="0.2">
      <c r="A344" s="3" t="s">
        <v>8</v>
      </c>
      <c r="B344" s="4" t="s">
        <v>731</v>
      </c>
      <c r="C344" s="3" t="s">
        <v>732</v>
      </c>
      <c r="D344" s="3"/>
      <c r="E344" s="3" t="str">
        <f>VLOOKUP(B344,[1]general_report!$B$1:$I$713,8,0)</f>
        <v xml:space="preserve">Contax </v>
      </c>
      <c r="F344" s="3" t="str">
        <f>VLOOKUP(B344,[1]general_report!$B$1:$J$713,9,0)</f>
        <v xml:space="preserve"> Ger Implantação</v>
      </c>
      <c r="G344" s="3" t="s">
        <v>441</v>
      </c>
      <c r="H344" s="3" t="s">
        <v>47</v>
      </c>
      <c r="I344" s="3" t="s">
        <v>207</v>
      </c>
      <c r="J344" s="5">
        <v>42338.709722222222</v>
      </c>
      <c r="K344" s="3"/>
      <c r="L344" s="11">
        <f t="shared" ca="1" si="20"/>
        <v>94.290277777778101</v>
      </c>
      <c r="M344" s="1">
        <f t="shared" si="21"/>
        <v>11</v>
      </c>
      <c r="N344" s="1">
        <f t="shared" si="22"/>
        <v>2015</v>
      </c>
      <c r="O344" s="1" t="str">
        <f t="shared" ca="1" si="23"/>
        <v>entre 90 e 150 dias</v>
      </c>
    </row>
    <row r="345" spans="1:15" ht="25.5" x14ac:dyDescent="0.2">
      <c r="A345" s="3" t="s">
        <v>8</v>
      </c>
      <c r="B345" s="4" t="s">
        <v>733</v>
      </c>
      <c r="C345" s="3" t="s">
        <v>734</v>
      </c>
      <c r="D345" s="3"/>
      <c r="E345" s="3" t="str">
        <f>VLOOKUP(B345,[1]general_report!$B$1:$I$713,8,0)</f>
        <v xml:space="preserve">Contax </v>
      </c>
      <c r="F345" s="3" t="str">
        <f>VLOOKUP(B345,[1]general_report!$B$1:$J$713,9,0)</f>
        <v xml:space="preserve"> Dir. Oi</v>
      </c>
      <c r="G345" s="3" t="s">
        <v>603</v>
      </c>
      <c r="H345" s="3" t="s">
        <v>720</v>
      </c>
      <c r="I345" s="3" t="s">
        <v>13</v>
      </c>
      <c r="J345" s="5">
        <v>42321.452777777777</v>
      </c>
      <c r="K345" s="3"/>
      <c r="L345" s="11">
        <f t="shared" ca="1" si="20"/>
        <v>111.54722222222335</v>
      </c>
      <c r="M345" s="1">
        <f t="shared" si="21"/>
        <v>11</v>
      </c>
      <c r="N345" s="1">
        <f t="shared" si="22"/>
        <v>2015</v>
      </c>
      <c r="O345" s="1" t="str">
        <f t="shared" ca="1" si="23"/>
        <v>entre 90 e 150 dias</v>
      </c>
    </row>
    <row r="346" spans="1:15" ht="15" x14ac:dyDescent="0.2">
      <c r="A346" s="3" t="s">
        <v>8</v>
      </c>
      <c r="B346" s="4" t="s">
        <v>735</v>
      </c>
      <c r="C346" s="3" t="s">
        <v>81</v>
      </c>
      <c r="D346" s="3"/>
      <c r="E346" s="3" t="str">
        <f>VLOOKUP(B346,[1]general_report!$B$1:$I$713,8,0)</f>
        <v xml:space="preserve">Prefeitura RJ </v>
      </c>
      <c r="F346" s="3" t="str">
        <f>VLOOKUP(B346,[1]general_report!$B$1:$J$713,9,0)</f>
        <v xml:space="preserve"> Atendimento Nivel 1</v>
      </c>
      <c r="G346" s="3" t="s">
        <v>728</v>
      </c>
      <c r="H346" s="3" t="s">
        <v>660</v>
      </c>
      <c r="I346" s="3" t="s">
        <v>48</v>
      </c>
      <c r="J346" s="5">
        <v>42263.698611111111</v>
      </c>
      <c r="K346" s="3"/>
      <c r="L346" s="11">
        <f t="shared" ca="1" si="20"/>
        <v>169.30138888888905</v>
      </c>
      <c r="M346" s="1">
        <f t="shared" si="21"/>
        <v>9</v>
      </c>
      <c r="N346" s="1">
        <f t="shared" si="22"/>
        <v>2015</v>
      </c>
      <c r="O346" s="1" t="str">
        <f t="shared" ca="1" si="23"/>
        <v>mais de 150 dias</v>
      </c>
    </row>
    <row r="347" spans="1:15" ht="15" x14ac:dyDescent="0.2">
      <c r="A347" s="3" t="s">
        <v>8</v>
      </c>
      <c r="B347" s="4" t="s">
        <v>736</v>
      </c>
      <c r="C347" s="3" t="s">
        <v>737</v>
      </c>
      <c r="D347" s="3"/>
      <c r="E347" s="3" t="str">
        <f>VLOOKUP(B347,[1]general_report!$B$1:$I$713,8,0)</f>
        <v xml:space="preserve">Contax </v>
      </c>
      <c r="F347" s="3" t="str">
        <f>VLOOKUP(B347,[1]general_report!$B$1:$J$713,9,0)</f>
        <v xml:space="preserve"> Outro</v>
      </c>
      <c r="G347" s="3" t="s">
        <v>33</v>
      </c>
      <c r="H347" s="3" t="s">
        <v>728</v>
      </c>
      <c r="I347" s="3" t="s">
        <v>13</v>
      </c>
      <c r="J347" s="5">
        <v>42243.744444444441</v>
      </c>
      <c r="K347" s="3"/>
      <c r="L347" s="11">
        <f t="shared" ca="1" si="20"/>
        <v>189.25555555555911</v>
      </c>
      <c r="M347" s="1">
        <f t="shared" si="21"/>
        <v>8</v>
      </c>
      <c r="N347" s="1">
        <f t="shared" si="22"/>
        <v>2015</v>
      </c>
      <c r="O347" s="1" t="str">
        <f t="shared" ca="1" si="23"/>
        <v>mais de 150 dias</v>
      </c>
    </row>
    <row r="348" spans="1:15" ht="15" x14ac:dyDescent="0.2">
      <c r="A348" s="3" t="s">
        <v>8</v>
      </c>
      <c r="B348" s="4" t="s">
        <v>738</v>
      </c>
      <c r="C348" s="3" t="s">
        <v>739</v>
      </c>
      <c r="D348" s="3"/>
      <c r="E348" s="3" t="str">
        <f>VLOOKUP(B348,[1]general_report!$B$1:$I$713,8,0)</f>
        <v xml:space="preserve">Contax </v>
      </c>
      <c r="F348" s="3" t="str">
        <f>VLOOKUP(B348,[1]general_report!$B$1:$J$713,9,0)</f>
        <v xml:space="preserve"> Dir. Oi</v>
      </c>
      <c r="G348" s="3" t="s">
        <v>441</v>
      </c>
      <c r="H348" s="3" t="s">
        <v>720</v>
      </c>
      <c r="I348" s="3" t="s">
        <v>207</v>
      </c>
      <c r="J348" s="5">
        <v>42234.724305555559</v>
      </c>
      <c r="K348" s="3"/>
      <c r="L348" s="11">
        <f t="shared" ca="1" si="20"/>
        <v>198.27569444444089</v>
      </c>
      <c r="M348" s="1">
        <f t="shared" si="21"/>
        <v>8</v>
      </c>
      <c r="N348" s="1">
        <f t="shared" si="22"/>
        <v>2015</v>
      </c>
      <c r="O348" s="1" t="str">
        <f t="shared" ca="1" si="23"/>
        <v>mais de 150 dias</v>
      </c>
    </row>
    <row r="349" spans="1:15" ht="15" x14ac:dyDescent="0.2">
      <c r="A349" s="3" t="s">
        <v>8</v>
      </c>
      <c r="B349" s="4" t="s">
        <v>740</v>
      </c>
      <c r="C349" s="3" t="s">
        <v>81</v>
      </c>
      <c r="D349" s="3"/>
      <c r="E349" s="3" t="str">
        <f>VLOOKUP(B349,[1]general_report!$B$1:$I$713,8,0)</f>
        <v xml:space="preserve">Prefeitura RJ </v>
      </c>
      <c r="F349" s="3" t="str">
        <f>VLOOKUP(B349,[1]general_report!$B$1:$J$713,9,0)</f>
        <v xml:space="preserve"> Atendimento Nivel 1</v>
      </c>
      <c r="G349" s="3" t="s">
        <v>660</v>
      </c>
      <c r="H349" s="3" t="s">
        <v>660</v>
      </c>
      <c r="I349" s="3" t="s">
        <v>27</v>
      </c>
      <c r="J349" s="5">
        <v>42234.481249999997</v>
      </c>
      <c r="K349" s="5">
        <v>42397.584722222222</v>
      </c>
      <c r="L349" s="11">
        <f t="shared" ca="1" si="20"/>
        <v>163.10347222222481</v>
      </c>
      <c r="M349" s="1">
        <f t="shared" si="21"/>
        <v>8</v>
      </c>
      <c r="N349" s="1">
        <f t="shared" si="22"/>
        <v>2015</v>
      </c>
      <c r="O349" s="1" t="str">
        <f t="shared" ca="1" si="23"/>
        <v>mais de 150 dias</v>
      </c>
    </row>
    <row r="350" spans="1:15" ht="15" x14ac:dyDescent="0.2">
      <c r="A350" s="3" t="s">
        <v>8</v>
      </c>
      <c r="B350" s="4" t="s">
        <v>741</v>
      </c>
      <c r="C350" s="3" t="s">
        <v>742</v>
      </c>
      <c r="D350" s="3"/>
      <c r="E350" s="3" t="str">
        <f>VLOOKUP(B350,[1]general_report!$B$1:$I$713,8,0)</f>
        <v xml:space="preserve">Prefeitura RJ </v>
      </c>
      <c r="F350" s="3" t="str">
        <f>VLOOKUP(B350,[1]general_report!$B$1:$J$713,9,0)</f>
        <v xml:space="preserve"> Atendimento Nivel 1</v>
      </c>
      <c r="G350" s="3" t="s">
        <v>11</v>
      </c>
      <c r="H350" s="3" t="s">
        <v>743</v>
      </c>
      <c r="I350" s="3" t="s">
        <v>83</v>
      </c>
      <c r="J350" s="5">
        <v>42165.742361111108</v>
      </c>
      <c r="K350" s="3"/>
      <c r="L350" s="11">
        <f t="shared" ca="1" si="20"/>
        <v>267.25763888889196</v>
      </c>
      <c r="M350" s="1">
        <f t="shared" si="21"/>
        <v>6</v>
      </c>
      <c r="N350" s="1">
        <f t="shared" si="22"/>
        <v>2015</v>
      </c>
      <c r="O350" s="1" t="str">
        <f t="shared" ca="1" si="23"/>
        <v>mais de 150 dias</v>
      </c>
    </row>
    <row r="351" spans="1:15" ht="15" x14ac:dyDescent="0.2">
      <c r="A351" s="3" t="s">
        <v>8</v>
      </c>
      <c r="B351" s="4" t="s">
        <v>744</v>
      </c>
      <c r="C351" s="3" t="s">
        <v>81</v>
      </c>
      <c r="D351" s="3"/>
      <c r="E351" s="3" t="str">
        <f>VLOOKUP(B351,[1]general_report!$B$1:$I$713,8,0)</f>
        <v xml:space="preserve">Prefeitura RJ </v>
      </c>
      <c r="F351" s="3" t="str">
        <f>VLOOKUP(B351,[1]general_report!$B$1:$J$713,9,0)</f>
        <v xml:space="preserve"> Atendimento Nivel 1</v>
      </c>
      <c r="G351" s="3" t="s">
        <v>419</v>
      </c>
      <c r="H351" s="3" t="s">
        <v>660</v>
      </c>
      <c r="I351" s="3" t="s">
        <v>48</v>
      </c>
      <c r="J351" s="5">
        <v>42104.640277777777</v>
      </c>
      <c r="K351" s="3"/>
      <c r="L351" s="11">
        <f t="shared" ca="1" si="20"/>
        <v>328.35972222222335</v>
      </c>
      <c r="M351" s="1">
        <f t="shared" si="21"/>
        <v>4</v>
      </c>
      <c r="N351" s="1">
        <f t="shared" si="22"/>
        <v>2015</v>
      </c>
      <c r="O351" s="1" t="str">
        <f t="shared" ca="1" si="23"/>
        <v>mais de 150 dias</v>
      </c>
    </row>
    <row r="352" spans="1:15" ht="15" x14ac:dyDescent="0.2">
      <c r="A352" s="3" t="s">
        <v>8</v>
      </c>
      <c r="B352" s="4" t="s">
        <v>745</v>
      </c>
      <c r="C352" s="3" t="s">
        <v>746</v>
      </c>
      <c r="D352" s="3"/>
      <c r="E352" s="3" t="str">
        <f>VLOOKUP(B352,[1]general_report!$B$1:$I$713,8,0)</f>
        <v xml:space="preserve">Contax </v>
      </c>
      <c r="F352" s="3" t="str">
        <f>VLOOKUP(B352,[1]general_report!$B$1:$J$713,9,0)</f>
        <v xml:space="preserve"> Dir. Oi</v>
      </c>
      <c r="G352" s="3" t="s">
        <v>11</v>
      </c>
      <c r="H352" s="3" t="s">
        <v>747</v>
      </c>
      <c r="I352" s="3" t="s">
        <v>13</v>
      </c>
      <c r="J352" s="5">
        <v>42417.686111111114</v>
      </c>
      <c r="K352" s="3"/>
      <c r="L352" s="11">
        <f t="shared" ca="1" si="20"/>
        <v>15.31388888888614</v>
      </c>
      <c r="M352" s="1">
        <f t="shared" si="21"/>
        <v>2</v>
      </c>
      <c r="N352" s="1">
        <f t="shared" si="22"/>
        <v>2016</v>
      </c>
      <c r="O352" s="1" t="str">
        <f t="shared" ca="1" si="23"/>
        <v>menos 1 mês</v>
      </c>
    </row>
    <row r="353" spans="1:15" ht="25.5" x14ac:dyDescent="0.2">
      <c r="A353" s="3" t="s">
        <v>8</v>
      </c>
      <c r="B353" s="4" t="s">
        <v>748</v>
      </c>
      <c r="C353" s="3" t="s">
        <v>749</v>
      </c>
      <c r="D353" s="3"/>
      <c r="E353" s="3" t="str">
        <f>VLOOKUP(B353,[1]general_report!$B$1:$I$713,8,0)</f>
        <v xml:space="preserve">Santander </v>
      </c>
      <c r="F353" s="3" t="str">
        <f>VLOOKUP(B353,[1]general_report!$B$1:$J$713,9,0)</f>
        <v xml:space="preserve"> Cartões</v>
      </c>
      <c r="G353" s="3" t="s">
        <v>11</v>
      </c>
      <c r="H353" s="3" t="s">
        <v>30</v>
      </c>
      <c r="I353" s="3" t="s">
        <v>13</v>
      </c>
      <c r="J353" s="5">
        <v>42415.450694444444</v>
      </c>
      <c r="K353" s="3"/>
      <c r="L353" s="11">
        <f t="shared" ca="1" si="20"/>
        <v>17.549305555556202</v>
      </c>
      <c r="M353" s="1">
        <f t="shared" si="21"/>
        <v>2</v>
      </c>
      <c r="N353" s="1">
        <f t="shared" si="22"/>
        <v>2016</v>
      </c>
      <c r="O353" s="1" t="str">
        <f t="shared" ca="1" si="23"/>
        <v>menos 1 mês</v>
      </c>
    </row>
    <row r="354" spans="1:15" ht="25.5" x14ac:dyDescent="0.2">
      <c r="A354" s="3" t="s">
        <v>8</v>
      </c>
      <c r="B354" s="4" t="s">
        <v>750</v>
      </c>
      <c r="C354" s="3" t="s">
        <v>751</v>
      </c>
      <c r="D354" s="3"/>
      <c r="E354" s="3" t="str">
        <f>VLOOKUP(B354,[1]general_report!$B$1:$I$713,8,0)</f>
        <v xml:space="preserve">Contax </v>
      </c>
      <c r="F354" s="3" t="str">
        <f>VLOOKUP(B354,[1]general_report!$B$1:$J$713,9,0)</f>
        <v xml:space="preserve"> Dir. Clientes Premium</v>
      </c>
      <c r="G354" s="3" t="s">
        <v>18</v>
      </c>
      <c r="H354" s="3" t="s">
        <v>752</v>
      </c>
      <c r="I354" s="3" t="s">
        <v>13</v>
      </c>
      <c r="J354" s="5">
        <v>42412.402083333334</v>
      </c>
      <c r="K354" s="3"/>
      <c r="L354" s="11">
        <f t="shared" ca="1" si="20"/>
        <v>20.597916666665697</v>
      </c>
      <c r="M354" s="1">
        <f t="shared" si="21"/>
        <v>2</v>
      </c>
      <c r="N354" s="1">
        <f t="shared" si="22"/>
        <v>2016</v>
      </c>
      <c r="O354" s="1" t="str">
        <f t="shared" ca="1" si="23"/>
        <v>menos 1 mês</v>
      </c>
    </row>
    <row r="355" spans="1:15" ht="25.5" x14ac:dyDescent="0.2">
      <c r="A355" s="3" t="s">
        <v>8</v>
      </c>
      <c r="B355" s="4" t="s">
        <v>753</v>
      </c>
      <c r="C355" s="3" t="s">
        <v>754</v>
      </c>
      <c r="D355" s="3"/>
      <c r="E355" s="3" t="str">
        <f>VLOOKUP(B355,[1]general_report!$B$1:$I$713,8,0)</f>
        <v xml:space="preserve">Oi </v>
      </c>
      <c r="F355" s="3" t="str">
        <f>VLOOKUP(B355,[1]general_report!$B$1:$J$713,9,0)</f>
        <v xml:space="preserve"> Oi Movél</v>
      </c>
      <c r="G355" s="3" t="s">
        <v>11</v>
      </c>
      <c r="H355" s="3" t="s">
        <v>755</v>
      </c>
      <c r="I355" s="3" t="s">
        <v>13</v>
      </c>
      <c r="J355" s="5">
        <v>42405.806944444441</v>
      </c>
      <c r="K355" s="3"/>
      <c r="L355" s="11">
        <f t="shared" ca="1" si="20"/>
        <v>27.193055555559113</v>
      </c>
      <c r="M355" s="1">
        <f t="shared" si="21"/>
        <v>2</v>
      </c>
      <c r="N355" s="1">
        <f t="shared" si="22"/>
        <v>2016</v>
      </c>
      <c r="O355" s="1" t="str">
        <f t="shared" ca="1" si="23"/>
        <v>menos 1 mês</v>
      </c>
    </row>
    <row r="356" spans="1:15" ht="25.5" x14ac:dyDescent="0.2">
      <c r="A356" s="3" t="s">
        <v>8</v>
      </c>
      <c r="B356" s="4" t="s">
        <v>756</v>
      </c>
      <c r="C356" s="3" t="s">
        <v>757</v>
      </c>
      <c r="D356" s="3"/>
      <c r="E356" s="3" t="str">
        <f>VLOOKUP(B356,[1]general_report!$B$1:$I$713,8,0)</f>
        <v xml:space="preserve">Santander </v>
      </c>
      <c r="F356" s="3" t="str">
        <f>VLOOKUP(B356,[1]general_report!$B$1:$J$713,9,0)</f>
        <v xml:space="preserve"> Cartões</v>
      </c>
      <c r="G356" s="3" t="s">
        <v>11</v>
      </c>
      <c r="H356" s="3" t="s">
        <v>30</v>
      </c>
      <c r="I356" s="3" t="s">
        <v>13</v>
      </c>
      <c r="J356" s="5">
        <v>42398.381249999999</v>
      </c>
      <c r="K356" s="3"/>
      <c r="L356" s="11">
        <f t="shared" ca="1" si="20"/>
        <v>34.618750000001455</v>
      </c>
      <c r="M356" s="1">
        <f t="shared" si="21"/>
        <v>1</v>
      </c>
      <c r="N356" s="1">
        <f t="shared" si="22"/>
        <v>2016</v>
      </c>
      <c r="O356" s="1" t="str">
        <f t="shared" ca="1" si="23"/>
        <v>entre 30 e 60 dias</v>
      </c>
    </row>
    <row r="357" spans="1:15" ht="25.5" x14ac:dyDescent="0.2">
      <c r="A357" s="3" t="s">
        <v>8</v>
      </c>
      <c r="B357" s="4" t="s">
        <v>758</v>
      </c>
      <c r="C357" s="3" t="s">
        <v>759</v>
      </c>
      <c r="D357" s="3"/>
      <c r="E357" s="3" t="str">
        <f>VLOOKUP(B357,[1]general_report!$B$1:$I$713,8,0)</f>
        <v xml:space="preserve">Oi </v>
      </c>
      <c r="F357" s="3" t="str">
        <f>VLOOKUP(B357,[1]general_report!$B$1:$J$713,9,0)</f>
        <v xml:space="preserve"> Back Office</v>
      </c>
      <c r="G357" s="3" t="s">
        <v>11</v>
      </c>
      <c r="H357" s="3" t="s">
        <v>694</v>
      </c>
      <c r="I357" s="3" t="s">
        <v>13</v>
      </c>
      <c r="J357" s="5">
        <v>42395.459722222222</v>
      </c>
      <c r="K357" s="3"/>
      <c r="L357" s="11">
        <f t="shared" ca="1" si="20"/>
        <v>37.540277777778101</v>
      </c>
      <c r="M357" s="1">
        <f t="shared" si="21"/>
        <v>1</v>
      </c>
      <c r="N357" s="1">
        <f t="shared" si="22"/>
        <v>2016</v>
      </c>
      <c r="O357" s="1" t="str">
        <f t="shared" ca="1" si="23"/>
        <v>entre 30 e 60 dias</v>
      </c>
    </row>
    <row r="358" spans="1:15" ht="15" x14ac:dyDescent="0.2">
      <c r="A358" s="3" t="s">
        <v>8</v>
      </c>
      <c r="B358" s="4" t="s">
        <v>760</v>
      </c>
      <c r="C358" s="3" t="s">
        <v>761</v>
      </c>
      <c r="D358" s="3"/>
      <c r="E358" s="3" t="str">
        <f>VLOOKUP(B358,[1]general_report!$B$1:$I$713,8,0)</f>
        <v xml:space="preserve">Contax </v>
      </c>
      <c r="F358" s="3" t="str">
        <f>VLOOKUP(B358,[1]general_report!$B$1:$J$713,9,0)</f>
        <v xml:space="preserve"> Outro</v>
      </c>
      <c r="G358" s="3" t="s">
        <v>11</v>
      </c>
      <c r="H358" s="3" t="s">
        <v>199</v>
      </c>
      <c r="I358" s="3" t="s">
        <v>13</v>
      </c>
      <c r="J358" s="5">
        <v>42389.411805555559</v>
      </c>
      <c r="K358" s="3"/>
      <c r="L358" s="11">
        <f t="shared" ca="1" si="20"/>
        <v>43.588194444440887</v>
      </c>
      <c r="M358" s="1">
        <f t="shared" si="21"/>
        <v>1</v>
      </c>
      <c r="N358" s="1">
        <f t="shared" si="22"/>
        <v>2016</v>
      </c>
      <c r="O358" s="1" t="str">
        <f t="shared" ca="1" si="23"/>
        <v>entre 30 e 60 dias</v>
      </c>
    </row>
    <row r="359" spans="1:15" ht="15" x14ac:dyDescent="0.2">
      <c r="A359" s="3" t="s">
        <v>8</v>
      </c>
      <c r="B359" s="4" t="s">
        <v>762</v>
      </c>
      <c r="C359" s="3" t="s">
        <v>763</v>
      </c>
      <c r="D359" s="3"/>
      <c r="E359" s="3" t="str">
        <f>VLOOKUP(B359,[1]general_report!$B$1:$I$713,8,0)</f>
        <v xml:space="preserve">Santander </v>
      </c>
      <c r="F359" s="3" t="str">
        <f>VLOOKUP(B359,[1]general_report!$B$1:$J$713,9,0)</f>
        <v xml:space="preserve"> Santander</v>
      </c>
      <c r="G359" s="3" t="s">
        <v>11</v>
      </c>
      <c r="H359" s="3" t="s">
        <v>30</v>
      </c>
      <c r="I359" s="3" t="s">
        <v>13</v>
      </c>
      <c r="J359" s="5">
        <v>42384.456250000003</v>
      </c>
      <c r="K359" s="3"/>
      <c r="L359" s="11">
        <f t="shared" ca="1" si="20"/>
        <v>48.54374999999709</v>
      </c>
      <c r="M359" s="1">
        <f t="shared" si="21"/>
        <v>1</v>
      </c>
      <c r="N359" s="1">
        <f t="shared" si="22"/>
        <v>2016</v>
      </c>
      <c r="O359" s="1" t="str">
        <f t="shared" ca="1" si="23"/>
        <v>entre 30 e 60 dias</v>
      </c>
    </row>
    <row r="360" spans="1:15" ht="25.5" x14ac:dyDescent="0.2">
      <c r="A360" s="3" t="s">
        <v>8</v>
      </c>
      <c r="B360" s="4" t="s">
        <v>764</v>
      </c>
      <c r="C360" s="3" t="s">
        <v>765</v>
      </c>
      <c r="D360" s="3"/>
      <c r="E360" s="3" t="str">
        <f>VLOOKUP(B360,[1]general_report!$B$1:$I$713,8,0)</f>
        <v xml:space="preserve">Oi </v>
      </c>
      <c r="F360" s="3" t="str">
        <f>VLOOKUP(B360,[1]general_report!$B$1:$J$713,9,0)</f>
        <v xml:space="preserve"> Oi Movél</v>
      </c>
      <c r="G360" s="3" t="s">
        <v>11</v>
      </c>
      <c r="H360" s="3" t="s">
        <v>755</v>
      </c>
      <c r="I360" s="3" t="s">
        <v>13</v>
      </c>
      <c r="J360" s="5">
        <v>42383.51666666667</v>
      </c>
      <c r="K360" s="3"/>
      <c r="L360" s="11">
        <f t="shared" ca="1" si="20"/>
        <v>49.483333333329938</v>
      </c>
      <c r="M360" s="1">
        <f t="shared" si="21"/>
        <v>1</v>
      </c>
      <c r="N360" s="1">
        <f t="shared" si="22"/>
        <v>2016</v>
      </c>
      <c r="O360" s="1" t="str">
        <f t="shared" ca="1" si="23"/>
        <v>entre 30 e 60 dias</v>
      </c>
    </row>
    <row r="361" spans="1:15" ht="25.5" x14ac:dyDescent="0.2">
      <c r="A361" s="3" t="s">
        <v>8</v>
      </c>
      <c r="B361" s="4" t="s">
        <v>766</v>
      </c>
      <c r="C361" s="3" t="s">
        <v>767</v>
      </c>
      <c r="D361" s="3"/>
      <c r="E361" s="3" t="str">
        <f>VLOOKUP(B361,[1]general_report!$B$1:$I$713,8,0)</f>
        <v xml:space="preserve">Oi </v>
      </c>
      <c r="F361" s="3" t="str">
        <f>VLOOKUP(B361,[1]general_report!$B$1:$J$713,9,0)</f>
        <v xml:space="preserve"> Oi Movél</v>
      </c>
      <c r="G361" s="3" t="s">
        <v>603</v>
      </c>
      <c r="H361" s="3" t="s">
        <v>755</v>
      </c>
      <c r="I361" s="3" t="s">
        <v>13</v>
      </c>
      <c r="J361" s="5">
        <v>42380.842361111114</v>
      </c>
      <c r="K361" s="3"/>
      <c r="L361" s="11">
        <f t="shared" ca="1" si="20"/>
        <v>52.15763888888614</v>
      </c>
      <c r="M361" s="1">
        <f t="shared" si="21"/>
        <v>1</v>
      </c>
      <c r="N361" s="1">
        <f t="shared" si="22"/>
        <v>2016</v>
      </c>
      <c r="O361" s="1" t="str">
        <f t="shared" ca="1" si="23"/>
        <v>entre 30 e 60 dias</v>
      </c>
    </row>
    <row r="362" spans="1:15" ht="25.5" x14ac:dyDescent="0.2">
      <c r="A362" s="3" t="s">
        <v>8</v>
      </c>
      <c r="B362" s="4" t="s">
        <v>768</v>
      </c>
      <c r="C362" s="3" t="s">
        <v>769</v>
      </c>
      <c r="D362" s="3"/>
      <c r="E362" s="3" t="str">
        <f>VLOOKUP(B362,[1]general_report!$B$1:$I$713,8,0)</f>
        <v xml:space="preserve">Bradesco </v>
      </c>
      <c r="F362" s="3" t="str">
        <f>VLOOKUP(B362,[1]general_report!$B$1:$J$713,9,0)</f>
        <v xml:space="preserve"> Back office</v>
      </c>
      <c r="G362" s="3" t="s">
        <v>206</v>
      </c>
      <c r="H362" s="3" t="s">
        <v>56</v>
      </c>
      <c r="I362" s="3" t="s">
        <v>48</v>
      </c>
      <c r="J362" s="5">
        <v>42361.487500000003</v>
      </c>
      <c r="K362" s="3"/>
      <c r="L362" s="11">
        <f t="shared" ca="1" si="20"/>
        <v>71.51249999999709</v>
      </c>
      <c r="M362" s="1">
        <f t="shared" si="21"/>
        <v>12</v>
      </c>
      <c r="N362" s="1">
        <f t="shared" si="22"/>
        <v>2015</v>
      </c>
      <c r="O362" s="1" t="str">
        <f t="shared" ca="1" si="23"/>
        <v>entre 60 e 90 dias</v>
      </c>
    </row>
    <row r="363" spans="1:15" ht="25.5" x14ac:dyDescent="0.2">
      <c r="A363" s="3" t="s">
        <v>8</v>
      </c>
      <c r="B363" s="4" t="s">
        <v>770</v>
      </c>
      <c r="C363" s="3" t="s">
        <v>771</v>
      </c>
      <c r="D363" s="3"/>
      <c r="E363" s="3" t="str">
        <f>VLOOKUP(B363,[1]general_report!$B$1:$I$713,8,0)</f>
        <v xml:space="preserve">Contax </v>
      </c>
      <c r="F363" s="3" t="str">
        <f>VLOOKUP(B363,[1]general_report!$B$1:$J$713,9,0)</f>
        <v xml:space="preserve"> Outro</v>
      </c>
      <c r="G363" s="3" t="s">
        <v>199</v>
      </c>
      <c r="H363" s="3" t="s">
        <v>199</v>
      </c>
      <c r="I363" s="3" t="s">
        <v>27</v>
      </c>
      <c r="J363" s="5">
        <v>42353.443749999999</v>
      </c>
      <c r="K363" s="5">
        <v>42380.760416666664</v>
      </c>
      <c r="L363" s="11">
        <f t="shared" ca="1" si="20"/>
        <v>27.316666666665697</v>
      </c>
      <c r="M363" s="1">
        <f t="shared" si="21"/>
        <v>12</v>
      </c>
      <c r="N363" s="1">
        <f t="shared" si="22"/>
        <v>2015</v>
      </c>
      <c r="O363" s="1" t="str">
        <f t="shared" ca="1" si="23"/>
        <v>menos 1 mês</v>
      </c>
    </row>
    <row r="364" spans="1:15" ht="15" x14ac:dyDescent="0.2">
      <c r="A364" s="3" t="s">
        <v>8</v>
      </c>
      <c r="B364" s="4" t="s">
        <v>772</v>
      </c>
      <c r="C364" s="3" t="s">
        <v>773</v>
      </c>
      <c r="D364" s="3"/>
      <c r="E364" s="3" t="str">
        <f>VLOOKUP(B364,[1]general_report!$B$1:$I$713,8,0)</f>
        <v xml:space="preserve">Itaú </v>
      </c>
      <c r="F364" s="3" t="str">
        <f>VLOOKUP(B364,[1]general_report!$B$1:$J$713,9,0)</f>
        <v xml:space="preserve"> Itaú Cartão</v>
      </c>
      <c r="G364" s="3" t="s">
        <v>18</v>
      </c>
      <c r="H364" s="3" t="s">
        <v>199</v>
      </c>
      <c r="I364" s="3" t="s">
        <v>13</v>
      </c>
      <c r="J364" s="5">
        <v>42348.643750000003</v>
      </c>
      <c r="K364" s="3"/>
      <c r="L364" s="11">
        <f t="shared" ca="1" si="20"/>
        <v>84.35624999999709</v>
      </c>
      <c r="M364" s="1">
        <f t="shared" si="21"/>
        <v>12</v>
      </c>
      <c r="N364" s="1">
        <f t="shared" si="22"/>
        <v>2015</v>
      </c>
      <c r="O364" s="1" t="str">
        <f t="shared" ca="1" si="23"/>
        <v>entre 60 e 90 dias</v>
      </c>
    </row>
    <row r="365" spans="1:15" ht="15" x14ac:dyDescent="0.2">
      <c r="A365" s="3" t="s">
        <v>8</v>
      </c>
      <c r="B365" s="4" t="s">
        <v>774</v>
      </c>
      <c r="C365" s="3" t="s">
        <v>775</v>
      </c>
      <c r="D365" s="3"/>
      <c r="E365" s="3" t="str">
        <f>VLOOKUP(B365,[1]general_report!$B$1:$I$713,8,0)</f>
        <v xml:space="preserve">Oi </v>
      </c>
      <c r="F365" s="3" t="str">
        <f>VLOOKUP(B365,[1]general_report!$B$1:$J$713,9,0)</f>
        <v xml:space="preserve"> Oi Movél</v>
      </c>
      <c r="G365" s="3" t="s">
        <v>18</v>
      </c>
      <c r="H365" s="3" t="s">
        <v>776</v>
      </c>
      <c r="I365" s="3" t="s">
        <v>13</v>
      </c>
      <c r="J365" s="5">
        <v>42348.525694444441</v>
      </c>
      <c r="K365" s="3"/>
      <c r="L365" s="11">
        <f t="shared" ca="1" si="20"/>
        <v>84.474305555559113</v>
      </c>
      <c r="M365" s="1">
        <f t="shared" si="21"/>
        <v>12</v>
      </c>
      <c r="N365" s="1">
        <f t="shared" si="22"/>
        <v>2015</v>
      </c>
      <c r="O365" s="1" t="str">
        <f t="shared" ca="1" si="23"/>
        <v>entre 60 e 90 dias</v>
      </c>
    </row>
    <row r="366" spans="1:15" ht="25.5" x14ac:dyDescent="0.2">
      <c r="A366" s="3" t="s">
        <v>8</v>
      </c>
      <c r="B366" s="4" t="s">
        <v>777</v>
      </c>
      <c r="C366" s="3" t="s">
        <v>778</v>
      </c>
      <c r="D366" s="3"/>
      <c r="E366" s="3" t="e">
        <f>VLOOKUP(B366,[1]general_report!$B$1:$I$713,8,0)</f>
        <v>#N/A</v>
      </c>
      <c r="F366" s="3" t="e">
        <f>VLOOKUP(B366,[1]general_report!$B$1:$J$713,9,0)</f>
        <v>#N/A</v>
      </c>
      <c r="G366" s="3" t="s">
        <v>752</v>
      </c>
      <c r="H366" s="3" t="s">
        <v>752</v>
      </c>
      <c r="I366" s="3" t="s">
        <v>27</v>
      </c>
      <c r="J366" s="5">
        <v>42340.498611111114</v>
      </c>
      <c r="K366" s="5">
        <v>42354.425000000003</v>
      </c>
      <c r="L366" s="11">
        <f t="shared" ca="1" si="20"/>
        <v>13.926388888889051</v>
      </c>
      <c r="M366" s="1">
        <f t="shared" si="21"/>
        <v>12</v>
      </c>
      <c r="N366" s="1">
        <f t="shared" si="22"/>
        <v>2015</v>
      </c>
      <c r="O366" s="1" t="str">
        <f t="shared" ca="1" si="23"/>
        <v>menos 1 mês</v>
      </c>
    </row>
    <row r="367" spans="1:15" ht="25.5" x14ac:dyDescent="0.2">
      <c r="A367" s="3" t="s">
        <v>8</v>
      </c>
      <c r="B367" s="4" t="s">
        <v>779</v>
      </c>
      <c r="C367" s="3" t="s">
        <v>780</v>
      </c>
      <c r="D367" s="3"/>
      <c r="E367" s="3" t="str">
        <f>VLOOKUP(B367,[1]general_report!$B$1:$I$713,8,0)</f>
        <v xml:space="preserve">Contax </v>
      </c>
      <c r="F367" s="3" t="str">
        <f>VLOOKUP(B367,[1]general_report!$B$1:$J$713,9,0)</f>
        <v xml:space="preserve"> Outro</v>
      </c>
      <c r="G367" s="3" t="s">
        <v>18</v>
      </c>
      <c r="H367" s="3" t="s">
        <v>577</v>
      </c>
      <c r="I367" s="3" t="s">
        <v>13</v>
      </c>
      <c r="J367" s="5">
        <v>42334.602083333331</v>
      </c>
      <c r="K367" s="3"/>
      <c r="L367" s="11">
        <f t="shared" ca="1" si="20"/>
        <v>98.397916666668607</v>
      </c>
      <c r="M367" s="1">
        <f t="shared" si="21"/>
        <v>11</v>
      </c>
      <c r="N367" s="1">
        <f t="shared" si="22"/>
        <v>2015</v>
      </c>
      <c r="O367" s="1" t="str">
        <f t="shared" ca="1" si="23"/>
        <v>entre 90 e 150 dias</v>
      </c>
    </row>
    <row r="368" spans="1:15" ht="25.5" x14ac:dyDescent="0.2">
      <c r="A368" s="3" t="s">
        <v>8</v>
      </c>
      <c r="B368" s="4" t="s">
        <v>781</v>
      </c>
      <c r="C368" s="3" t="s">
        <v>782</v>
      </c>
      <c r="D368" s="3"/>
      <c r="E368" s="3" t="str">
        <f>VLOOKUP(B368,[1]general_report!$B$1:$I$713,8,0)</f>
        <v xml:space="preserve">Oi </v>
      </c>
      <c r="F368" s="3" t="str">
        <f>VLOOKUP(B368,[1]general_report!$B$1:$J$713,9,0)</f>
        <v xml:space="preserve"> BO ATENDIMENTO</v>
      </c>
      <c r="G368" s="3" t="s">
        <v>783</v>
      </c>
      <c r="H368" s="3" t="s">
        <v>783</v>
      </c>
      <c r="I368" s="3" t="s">
        <v>27</v>
      </c>
      <c r="J368" s="5">
        <v>42332.822916666664</v>
      </c>
      <c r="K368" s="5">
        <v>42384.65902777778</v>
      </c>
      <c r="L368" s="11">
        <f t="shared" ca="1" si="20"/>
        <v>51.836111111115315</v>
      </c>
      <c r="M368" s="1">
        <f t="shared" si="21"/>
        <v>11</v>
      </c>
      <c r="N368" s="1">
        <f t="shared" si="22"/>
        <v>2015</v>
      </c>
      <c r="O368" s="1" t="str">
        <f t="shared" ca="1" si="23"/>
        <v>entre 30 e 60 dias</v>
      </c>
    </row>
    <row r="369" spans="1:15" ht="25.5" x14ac:dyDescent="0.2">
      <c r="A369" s="3" t="s">
        <v>8</v>
      </c>
      <c r="B369" s="4" t="s">
        <v>784</v>
      </c>
      <c r="C369" s="3" t="s">
        <v>785</v>
      </c>
      <c r="D369" s="3"/>
      <c r="E369" s="3" t="str">
        <f>VLOOKUP(B369,[1]general_report!$B$1:$I$713,8,0)</f>
        <v xml:space="preserve">Oi </v>
      </c>
      <c r="F369" s="3" t="str">
        <f>VLOOKUP(B369,[1]general_report!$B$1:$J$713,9,0)</f>
        <v xml:space="preserve"> BO ATENDIMENTO</v>
      </c>
      <c r="G369" s="3" t="s">
        <v>783</v>
      </c>
      <c r="H369" s="3" t="s">
        <v>783</v>
      </c>
      <c r="I369" s="3" t="s">
        <v>27</v>
      </c>
      <c r="J369" s="5">
        <v>42332.800000000003</v>
      </c>
      <c r="K369" s="5">
        <v>42384.660416666666</v>
      </c>
      <c r="L369" s="11">
        <f t="shared" ca="1" si="20"/>
        <v>51.860416666662786</v>
      </c>
      <c r="M369" s="1">
        <f t="shared" si="21"/>
        <v>11</v>
      </c>
      <c r="N369" s="1">
        <f t="shared" si="22"/>
        <v>2015</v>
      </c>
      <c r="O369" s="1" t="str">
        <f t="shared" ca="1" si="23"/>
        <v>entre 30 e 60 dias</v>
      </c>
    </row>
    <row r="370" spans="1:15" ht="25.5" x14ac:dyDescent="0.2">
      <c r="A370" s="3" t="s">
        <v>8</v>
      </c>
      <c r="B370" s="4" t="s">
        <v>786</v>
      </c>
      <c r="C370" s="3" t="s">
        <v>787</v>
      </c>
      <c r="D370" s="3"/>
      <c r="E370" s="3" t="str">
        <f>VLOOKUP(B370,[1]general_report!$B$1:$I$713,8,0)</f>
        <v xml:space="preserve">Oi </v>
      </c>
      <c r="F370" s="3" t="str">
        <f>VLOOKUP(B370,[1]general_report!$B$1:$J$713,9,0)</f>
        <v xml:space="preserve"> BO ATENDIMENTO</v>
      </c>
      <c r="G370" s="3" t="s">
        <v>783</v>
      </c>
      <c r="H370" s="3" t="s">
        <v>783</v>
      </c>
      <c r="I370" s="3" t="s">
        <v>27</v>
      </c>
      <c r="J370" s="5">
        <v>42332.79583333333</v>
      </c>
      <c r="K370" s="5">
        <v>42384.660416666666</v>
      </c>
      <c r="L370" s="11">
        <f t="shared" ca="1" si="20"/>
        <v>51.864583333335759</v>
      </c>
      <c r="M370" s="1">
        <f t="shared" si="21"/>
        <v>11</v>
      </c>
      <c r="N370" s="1">
        <f t="shared" si="22"/>
        <v>2015</v>
      </c>
      <c r="O370" s="1" t="str">
        <f t="shared" ca="1" si="23"/>
        <v>entre 30 e 60 dias</v>
      </c>
    </row>
    <row r="371" spans="1:15" ht="25.5" x14ac:dyDescent="0.2">
      <c r="A371" s="3" t="s">
        <v>8</v>
      </c>
      <c r="B371" s="4" t="s">
        <v>788</v>
      </c>
      <c r="C371" s="3" t="s">
        <v>789</v>
      </c>
      <c r="D371" s="3"/>
      <c r="E371" s="3" t="str">
        <f>VLOOKUP(B371,[1]general_report!$B$1:$I$713,8,0)</f>
        <v xml:space="preserve">Oi </v>
      </c>
      <c r="F371" s="3" t="str">
        <f>VLOOKUP(B371,[1]general_report!$B$1:$J$713,9,0)</f>
        <v xml:space="preserve"> BO ATENDIMENTO</v>
      </c>
      <c r="G371" s="3" t="s">
        <v>783</v>
      </c>
      <c r="H371" s="3" t="s">
        <v>783</v>
      </c>
      <c r="I371" s="3" t="s">
        <v>27</v>
      </c>
      <c r="J371" s="5">
        <v>42332.790972222225</v>
      </c>
      <c r="K371" s="5">
        <v>42384.661111111112</v>
      </c>
      <c r="L371" s="11">
        <f t="shared" ca="1" si="20"/>
        <v>51.870138888887595</v>
      </c>
      <c r="M371" s="1">
        <f t="shared" si="21"/>
        <v>11</v>
      </c>
      <c r="N371" s="1">
        <f t="shared" si="22"/>
        <v>2015</v>
      </c>
      <c r="O371" s="1" t="str">
        <f t="shared" ca="1" si="23"/>
        <v>entre 30 e 60 dias</v>
      </c>
    </row>
    <row r="372" spans="1:15" ht="25.5" x14ac:dyDescent="0.2">
      <c r="A372" s="3" t="s">
        <v>8</v>
      </c>
      <c r="B372" s="4" t="s">
        <v>790</v>
      </c>
      <c r="C372" s="3" t="s">
        <v>791</v>
      </c>
      <c r="D372" s="3"/>
      <c r="E372" s="3" t="str">
        <f>VLOOKUP(B372,[1]general_report!$B$1:$I$713,8,0)</f>
        <v xml:space="preserve">Oi </v>
      </c>
      <c r="F372" s="3" t="str">
        <f>VLOOKUP(B372,[1]general_report!$B$1:$J$713,9,0)</f>
        <v xml:space="preserve"> BO ATENDIMENTO</v>
      </c>
      <c r="G372" s="3" t="s">
        <v>783</v>
      </c>
      <c r="H372" s="3" t="s">
        <v>783</v>
      </c>
      <c r="I372" s="3" t="s">
        <v>27</v>
      </c>
      <c r="J372" s="5">
        <v>42332.786805555559</v>
      </c>
      <c r="K372" s="5">
        <v>42384.661111111112</v>
      </c>
      <c r="L372" s="11">
        <f t="shared" ca="1" si="20"/>
        <v>51.874305555553292</v>
      </c>
      <c r="M372" s="1">
        <f t="shared" si="21"/>
        <v>11</v>
      </c>
      <c r="N372" s="1">
        <f t="shared" si="22"/>
        <v>2015</v>
      </c>
      <c r="O372" s="1" t="str">
        <f t="shared" ca="1" si="23"/>
        <v>entre 30 e 60 dias</v>
      </c>
    </row>
    <row r="373" spans="1:15" ht="25.5" x14ac:dyDescent="0.2">
      <c r="A373" s="3" t="s">
        <v>8</v>
      </c>
      <c r="B373" s="4" t="s">
        <v>792</v>
      </c>
      <c r="C373" s="3" t="s">
        <v>793</v>
      </c>
      <c r="D373" s="3"/>
      <c r="E373" s="3" t="str">
        <f>VLOOKUP(B373,[1]general_report!$B$1:$I$713,8,0)</f>
        <v xml:space="preserve">Oi </v>
      </c>
      <c r="F373" s="3" t="str">
        <f>VLOOKUP(B373,[1]general_report!$B$1:$J$713,9,0)</f>
        <v xml:space="preserve"> BO ATENDIMENTO</v>
      </c>
      <c r="G373" s="3" t="s">
        <v>783</v>
      </c>
      <c r="H373" s="3" t="s">
        <v>783</v>
      </c>
      <c r="I373" s="3" t="s">
        <v>27</v>
      </c>
      <c r="J373" s="5">
        <v>42332.745833333334</v>
      </c>
      <c r="K373" s="5">
        <v>42384.661111111112</v>
      </c>
      <c r="L373" s="11">
        <f t="shared" ca="1" si="20"/>
        <v>51.915277777778101</v>
      </c>
      <c r="M373" s="1">
        <f t="shared" si="21"/>
        <v>11</v>
      </c>
      <c r="N373" s="1">
        <f t="shared" si="22"/>
        <v>2015</v>
      </c>
      <c r="O373" s="1" t="str">
        <f t="shared" ca="1" si="23"/>
        <v>entre 30 e 60 dias</v>
      </c>
    </row>
    <row r="374" spans="1:15" ht="25.5" x14ac:dyDescent="0.2">
      <c r="A374" s="3" t="s">
        <v>8</v>
      </c>
      <c r="B374" s="4" t="s">
        <v>794</v>
      </c>
      <c r="C374" s="3" t="s">
        <v>795</v>
      </c>
      <c r="D374" s="3"/>
      <c r="E374" s="3" t="str">
        <f>VLOOKUP(B374,[1]general_report!$B$1:$I$713,8,0)</f>
        <v xml:space="preserve">Oi </v>
      </c>
      <c r="F374" s="3" t="str">
        <f>VLOOKUP(B374,[1]general_report!$B$1:$J$713,9,0)</f>
        <v xml:space="preserve"> BO ATENDIMENTO</v>
      </c>
      <c r="G374" s="3" t="s">
        <v>783</v>
      </c>
      <c r="H374" s="3" t="s">
        <v>783</v>
      </c>
      <c r="I374" s="3" t="s">
        <v>27</v>
      </c>
      <c r="J374" s="5">
        <v>42332.743055555555</v>
      </c>
      <c r="K374" s="5">
        <v>42384.661805555559</v>
      </c>
      <c r="L374" s="11">
        <f t="shared" ca="1" si="20"/>
        <v>51.918750000004366</v>
      </c>
      <c r="M374" s="1">
        <f t="shared" si="21"/>
        <v>11</v>
      </c>
      <c r="N374" s="1">
        <f t="shared" si="22"/>
        <v>2015</v>
      </c>
      <c r="O374" s="1" t="str">
        <f t="shared" ca="1" si="23"/>
        <v>entre 30 e 60 dias</v>
      </c>
    </row>
    <row r="375" spans="1:15" ht="25.5" x14ac:dyDescent="0.2">
      <c r="A375" s="3" t="s">
        <v>8</v>
      </c>
      <c r="B375" s="4" t="s">
        <v>796</v>
      </c>
      <c r="C375" s="3" t="s">
        <v>797</v>
      </c>
      <c r="D375" s="3"/>
      <c r="E375" s="3" t="str">
        <f>VLOOKUP(B375,[1]general_report!$B$1:$I$713,8,0)</f>
        <v xml:space="preserve">Oi </v>
      </c>
      <c r="F375" s="3" t="str">
        <f>VLOOKUP(B375,[1]general_report!$B$1:$J$713,9,0)</f>
        <v xml:space="preserve"> BO ATENDIMENTO</v>
      </c>
      <c r="G375" s="3" t="s">
        <v>783</v>
      </c>
      <c r="H375" s="3" t="s">
        <v>783</v>
      </c>
      <c r="I375" s="3" t="s">
        <v>27</v>
      </c>
      <c r="J375" s="5">
        <v>42332.709722222222</v>
      </c>
      <c r="K375" s="5">
        <v>42384.662499999999</v>
      </c>
      <c r="L375" s="11">
        <f t="shared" ca="1" si="20"/>
        <v>51.952777777776646</v>
      </c>
      <c r="M375" s="1">
        <f t="shared" si="21"/>
        <v>11</v>
      </c>
      <c r="N375" s="1">
        <f t="shared" si="22"/>
        <v>2015</v>
      </c>
      <c r="O375" s="1" t="str">
        <f t="shared" ca="1" si="23"/>
        <v>entre 30 e 60 dias</v>
      </c>
    </row>
    <row r="376" spans="1:15" ht="25.5" x14ac:dyDescent="0.2">
      <c r="A376" s="3" t="s">
        <v>8</v>
      </c>
      <c r="B376" s="4" t="s">
        <v>798</v>
      </c>
      <c r="C376" s="3" t="s">
        <v>799</v>
      </c>
      <c r="D376" s="3"/>
      <c r="E376" s="3" t="str">
        <f>VLOOKUP(B376,[1]general_report!$B$1:$I$713,8,0)</f>
        <v xml:space="preserve">Oi </v>
      </c>
      <c r="F376" s="3" t="str">
        <f>VLOOKUP(B376,[1]general_report!$B$1:$J$713,9,0)</f>
        <v xml:space="preserve"> BO ATENDIMENTO</v>
      </c>
      <c r="G376" s="3" t="s">
        <v>783</v>
      </c>
      <c r="H376" s="3" t="s">
        <v>783</v>
      </c>
      <c r="I376" s="3" t="s">
        <v>27</v>
      </c>
      <c r="J376" s="5">
        <v>42332.703472222223</v>
      </c>
      <c r="K376" s="5">
        <v>42384.662499999999</v>
      </c>
      <c r="L376" s="11">
        <f t="shared" ca="1" si="20"/>
        <v>51.959027777775191</v>
      </c>
      <c r="M376" s="1">
        <f t="shared" si="21"/>
        <v>11</v>
      </c>
      <c r="N376" s="1">
        <f t="shared" si="22"/>
        <v>2015</v>
      </c>
      <c r="O376" s="1" t="str">
        <f t="shared" ca="1" si="23"/>
        <v>entre 30 e 60 dias</v>
      </c>
    </row>
    <row r="377" spans="1:15" ht="25.5" x14ac:dyDescent="0.2">
      <c r="A377" s="3" t="s">
        <v>8</v>
      </c>
      <c r="B377" s="4" t="s">
        <v>800</v>
      </c>
      <c r="C377" s="3" t="s">
        <v>801</v>
      </c>
      <c r="D377" s="3"/>
      <c r="E377" s="3" t="str">
        <f>VLOOKUP(B377,[1]general_report!$B$1:$I$713,8,0)</f>
        <v xml:space="preserve">Oi </v>
      </c>
      <c r="F377" s="3" t="str">
        <f>VLOOKUP(B377,[1]general_report!$B$1:$J$713,9,0)</f>
        <v xml:space="preserve"> BO ATENDIMENTO</v>
      </c>
      <c r="G377" s="3" t="s">
        <v>783</v>
      </c>
      <c r="H377" s="3" t="s">
        <v>783</v>
      </c>
      <c r="I377" s="3" t="s">
        <v>27</v>
      </c>
      <c r="J377" s="5">
        <v>42332.701388888891</v>
      </c>
      <c r="K377" s="5">
        <v>42384.663194444445</v>
      </c>
      <c r="L377" s="11">
        <f t="shared" ca="1" si="20"/>
        <v>51.961805555554747</v>
      </c>
      <c r="M377" s="1">
        <f t="shared" si="21"/>
        <v>11</v>
      </c>
      <c r="N377" s="1">
        <f t="shared" si="22"/>
        <v>2015</v>
      </c>
      <c r="O377" s="1" t="str">
        <f t="shared" ca="1" si="23"/>
        <v>entre 30 e 60 dias</v>
      </c>
    </row>
    <row r="378" spans="1:15" ht="25.5" x14ac:dyDescent="0.2">
      <c r="A378" s="3" t="s">
        <v>8</v>
      </c>
      <c r="B378" s="4" t="s">
        <v>802</v>
      </c>
      <c r="C378" s="3" t="s">
        <v>803</v>
      </c>
      <c r="D378" s="3"/>
      <c r="E378" s="3" t="str">
        <f>VLOOKUP(B378,[1]general_report!$B$1:$I$713,8,0)</f>
        <v xml:space="preserve">Oi </v>
      </c>
      <c r="F378" s="3" t="str">
        <f>VLOOKUP(B378,[1]general_report!$B$1:$J$713,9,0)</f>
        <v xml:space="preserve"> BO ATENDIMENTO</v>
      </c>
      <c r="G378" s="3" t="s">
        <v>783</v>
      </c>
      <c r="H378" s="3" t="s">
        <v>783</v>
      </c>
      <c r="I378" s="3" t="s">
        <v>27</v>
      </c>
      <c r="J378" s="5">
        <v>42332.695138888892</v>
      </c>
      <c r="K378" s="5">
        <v>42384.663194444445</v>
      </c>
      <c r="L378" s="11">
        <f t="shared" ca="1" si="20"/>
        <v>51.968055555553292</v>
      </c>
      <c r="M378" s="1">
        <f t="shared" si="21"/>
        <v>11</v>
      </c>
      <c r="N378" s="1">
        <f t="shared" si="22"/>
        <v>2015</v>
      </c>
      <c r="O378" s="1" t="str">
        <f t="shared" ca="1" si="23"/>
        <v>entre 30 e 60 dias</v>
      </c>
    </row>
    <row r="379" spans="1:15" ht="15" x14ac:dyDescent="0.2">
      <c r="A379" s="3" t="s">
        <v>8</v>
      </c>
      <c r="B379" s="4" t="s">
        <v>804</v>
      </c>
      <c r="C379" s="3" t="s">
        <v>805</v>
      </c>
      <c r="D379" s="3"/>
      <c r="E379" s="3" t="str">
        <f>VLOOKUP(B379,[1]general_report!$B$1:$I$713,8,0)</f>
        <v xml:space="preserve">Contax </v>
      </c>
      <c r="F379" s="3" t="str">
        <f>VLOOKUP(B379,[1]general_report!$B$1:$J$713,9,0)</f>
        <v xml:space="preserve"> Dir. Oi</v>
      </c>
      <c r="G379" s="3" t="s">
        <v>603</v>
      </c>
      <c r="H379" s="3" t="s">
        <v>725</v>
      </c>
      <c r="I379" s="3" t="s">
        <v>13</v>
      </c>
      <c r="J379" s="5">
        <v>42325.567361111112</v>
      </c>
      <c r="K379" s="3"/>
      <c r="L379" s="11">
        <f t="shared" ca="1" si="20"/>
        <v>107.4326388888876</v>
      </c>
      <c r="M379" s="1">
        <f t="shared" si="21"/>
        <v>11</v>
      </c>
      <c r="N379" s="1">
        <f t="shared" si="22"/>
        <v>2015</v>
      </c>
      <c r="O379" s="1" t="str">
        <f t="shared" ca="1" si="23"/>
        <v>entre 90 e 150 dias</v>
      </c>
    </row>
    <row r="380" spans="1:15" ht="38.25" x14ac:dyDescent="0.2">
      <c r="A380" s="3" t="s">
        <v>8</v>
      </c>
      <c r="B380" s="4" t="s">
        <v>806</v>
      </c>
      <c r="C380" s="3" t="s">
        <v>807</v>
      </c>
      <c r="D380" s="3"/>
      <c r="E380" s="3" t="str">
        <f>VLOOKUP(B380,[1]general_report!$B$1:$I$713,8,0)</f>
        <v xml:space="preserve">Contax </v>
      </c>
      <c r="F380" s="3" t="str">
        <f>VLOOKUP(B380,[1]general_report!$B$1:$J$713,9,0)</f>
        <v xml:space="preserve"> Outro</v>
      </c>
      <c r="G380" s="3" t="s">
        <v>577</v>
      </c>
      <c r="H380" s="3" t="s">
        <v>577</v>
      </c>
      <c r="I380" s="3" t="s">
        <v>27</v>
      </c>
      <c r="J380" s="5">
        <v>42321.827777777777</v>
      </c>
      <c r="K380" s="5">
        <v>42384.649305555555</v>
      </c>
      <c r="L380" s="11">
        <f t="shared" ca="1" si="20"/>
        <v>62.821527777778101</v>
      </c>
      <c r="M380" s="1">
        <f t="shared" si="21"/>
        <v>11</v>
      </c>
      <c r="N380" s="1">
        <f t="shared" si="22"/>
        <v>2015</v>
      </c>
      <c r="O380" s="1" t="str">
        <f t="shared" ca="1" si="23"/>
        <v>entre 60 e 90 dias</v>
      </c>
    </row>
    <row r="381" spans="1:15" ht="15" x14ac:dyDescent="0.2">
      <c r="A381" s="3" t="s">
        <v>8</v>
      </c>
      <c r="B381" s="4" t="s">
        <v>808</v>
      </c>
      <c r="C381" s="3" t="s">
        <v>809</v>
      </c>
      <c r="D381" s="3"/>
      <c r="E381" s="3" t="str">
        <f>VLOOKUP(B381,[1]general_report!$B$1:$I$713,8,0)</f>
        <v xml:space="preserve">Contax </v>
      </c>
      <c r="F381" s="3" t="str">
        <f>VLOOKUP(B381,[1]general_report!$B$1:$J$713,9,0)</f>
        <v xml:space="preserve"> Outro</v>
      </c>
      <c r="G381" s="3" t="s">
        <v>11</v>
      </c>
      <c r="H381" s="3" t="s">
        <v>199</v>
      </c>
      <c r="I381" s="3" t="s">
        <v>13</v>
      </c>
      <c r="J381" s="5">
        <v>42321.769444444442</v>
      </c>
      <c r="K381" s="3"/>
      <c r="L381" s="11">
        <f t="shared" ca="1" si="20"/>
        <v>111.23055555555766</v>
      </c>
      <c r="M381" s="1">
        <f t="shared" si="21"/>
        <v>11</v>
      </c>
      <c r="N381" s="1">
        <f t="shared" si="22"/>
        <v>2015</v>
      </c>
      <c r="O381" s="1" t="str">
        <f t="shared" ca="1" si="23"/>
        <v>entre 90 e 150 dias</v>
      </c>
    </row>
    <row r="382" spans="1:15" ht="25.5" x14ac:dyDescent="0.2">
      <c r="A382" s="3" t="s">
        <v>8</v>
      </c>
      <c r="B382" s="4" t="s">
        <v>810</v>
      </c>
      <c r="C382" s="3" t="s">
        <v>811</v>
      </c>
      <c r="D382" s="3"/>
      <c r="E382" s="3" t="str">
        <f>VLOOKUP(B382,[1]general_report!$B$1:$I$713,8,0)</f>
        <v xml:space="preserve">Oi </v>
      </c>
      <c r="F382" s="3" t="str">
        <f>VLOOKUP(B382,[1]general_report!$B$1:$J$713,9,0)</f>
        <v xml:space="preserve"> Oi Movél</v>
      </c>
      <c r="G382" s="3" t="s">
        <v>18</v>
      </c>
      <c r="H382" s="3" t="s">
        <v>755</v>
      </c>
      <c r="I382" s="3" t="s">
        <v>13</v>
      </c>
      <c r="J382" s="5">
        <v>42321.765277777777</v>
      </c>
      <c r="K382" s="3"/>
      <c r="L382" s="11">
        <f t="shared" ca="1" si="20"/>
        <v>111.23472222222335</v>
      </c>
      <c r="M382" s="1">
        <f t="shared" si="21"/>
        <v>11</v>
      </c>
      <c r="N382" s="1">
        <f t="shared" si="22"/>
        <v>2015</v>
      </c>
      <c r="O382" s="1" t="str">
        <f t="shared" ca="1" si="23"/>
        <v>entre 90 e 150 dias</v>
      </c>
    </row>
    <row r="383" spans="1:15" ht="38.25" x14ac:dyDescent="0.2">
      <c r="A383" s="3" t="s">
        <v>8</v>
      </c>
      <c r="B383" s="4" t="s">
        <v>812</v>
      </c>
      <c r="C383" s="3" t="s">
        <v>813</v>
      </c>
      <c r="D383" s="3"/>
      <c r="E383" s="3" t="str">
        <f>VLOOKUP(B383,[1]general_report!$B$1:$I$713,8,0)</f>
        <v xml:space="preserve">Contax </v>
      </c>
      <c r="F383" s="3" t="str">
        <f>VLOOKUP(B383,[1]general_report!$B$1:$J$713,9,0)</f>
        <v xml:space="preserve"> Dir. Oi</v>
      </c>
      <c r="G383" s="3" t="s">
        <v>603</v>
      </c>
      <c r="H383" s="3" t="s">
        <v>720</v>
      </c>
      <c r="I383" s="3" t="s">
        <v>13</v>
      </c>
      <c r="J383" s="5">
        <v>42321.619444444441</v>
      </c>
      <c r="K383" s="3"/>
      <c r="L383" s="11">
        <f t="shared" ca="1" si="20"/>
        <v>111.38055555555911</v>
      </c>
      <c r="M383" s="1">
        <f t="shared" si="21"/>
        <v>11</v>
      </c>
      <c r="N383" s="1">
        <f t="shared" si="22"/>
        <v>2015</v>
      </c>
      <c r="O383" s="1" t="str">
        <f t="shared" ca="1" si="23"/>
        <v>entre 90 e 150 dias</v>
      </c>
    </row>
    <row r="384" spans="1:15" ht="38.25" x14ac:dyDescent="0.2">
      <c r="A384" s="3" t="s">
        <v>8</v>
      </c>
      <c r="B384" s="4" t="s">
        <v>814</v>
      </c>
      <c r="C384" s="3" t="s">
        <v>815</v>
      </c>
      <c r="D384" s="3"/>
      <c r="E384" s="3" t="str">
        <f>VLOOKUP(B384,[1]general_report!$B$1:$I$713,8,0)</f>
        <v xml:space="preserve">Oi </v>
      </c>
      <c r="F384" s="3" t="str">
        <f>VLOOKUP(B384,[1]general_report!$B$1:$J$713,9,0)</f>
        <v xml:space="preserve"> Velox</v>
      </c>
      <c r="G384" s="3" t="s">
        <v>18</v>
      </c>
      <c r="H384" s="3" t="s">
        <v>816</v>
      </c>
      <c r="I384" s="3" t="s">
        <v>13</v>
      </c>
      <c r="J384" s="5">
        <v>42320.529861111114</v>
      </c>
      <c r="K384" s="3"/>
      <c r="L384" s="11">
        <f t="shared" ca="1" si="20"/>
        <v>112.47013888888614</v>
      </c>
      <c r="M384" s="1">
        <f t="shared" si="21"/>
        <v>11</v>
      </c>
      <c r="N384" s="1">
        <f t="shared" si="22"/>
        <v>2015</v>
      </c>
      <c r="O384" s="1" t="str">
        <f t="shared" ca="1" si="23"/>
        <v>entre 90 e 150 dias</v>
      </c>
    </row>
    <row r="385" spans="1:15" ht="25.5" x14ac:dyDescent="0.2">
      <c r="A385" s="3" t="s">
        <v>8</v>
      </c>
      <c r="B385" s="4" t="s">
        <v>817</v>
      </c>
      <c r="C385" s="3" t="s">
        <v>818</v>
      </c>
      <c r="D385" s="3"/>
      <c r="E385" s="3" t="str">
        <f>VLOOKUP(B385,[1]general_report!$B$1:$I$713,8,0)</f>
        <v xml:space="preserve">Contax </v>
      </c>
      <c r="F385" s="3" t="str">
        <f>VLOOKUP(B385,[1]general_report!$B$1:$J$713,9,0)</f>
        <v xml:space="preserve"> Dir. Clientes Premium</v>
      </c>
      <c r="G385" s="3" t="s">
        <v>752</v>
      </c>
      <c r="H385" s="3" t="s">
        <v>752</v>
      </c>
      <c r="I385" s="3" t="s">
        <v>27</v>
      </c>
      <c r="J385" s="5">
        <v>42300.388194444444</v>
      </c>
      <c r="K385" s="5">
        <v>42403.445138888892</v>
      </c>
      <c r="L385" s="11">
        <f t="shared" ca="1" si="20"/>
        <v>103.05694444444816</v>
      </c>
      <c r="M385" s="1">
        <f t="shared" si="21"/>
        <v>10</v>
      </c>
      <c r="N385" s="1">
        <f t="shared" si="22"/>
        <v>2015</v>
      </c>
      <c r="O385" s="1" t="str">
        <f t="shared" ca="1" si="23"/>
        <v>entre 90 e 150 dias</v>
      </c>
    </row>
    <row r="386" spans="1:15" ht="15" x14ac:dyDescent="0.2">
      <c r="A386" s="3" t="s">
        <v>8</v>
      </c>
      <c r="B386" s="4" t="s">
        <v>819</v>
      </c>
      <c r="C386" s="3" t="s">
        <v>579</v>
      </c>
      <c r="D386" s="3"/>
      <c r="E386" s="3" t="str">
        <f>VLOOKUP(B386,[1]general_report!$B$1:$I$713,8,0)</f>
        <v xml:space="preserve">Contax </v>
      </c>
      <c r="F386" s="3" t="str">
        <f>VLOOKUP(B386,[1]general_report!$B$1:$J$713,9,0)</f>
        <v xml:space="preserve"> Outro</v>
      </c>
      <c r="G386" s="3" t="s">
        <v>402</v>
      </c>
      <c r="H386" s="3" t="s">
        <v>199</v>
      </c>
      <c r="I386" s="3" t="s">
        <v>13</v>
      </c>
      <c r="J386" s="5">
        <v>42291.73333333333</v>
      </c>
      <c r="K386" s="3"/>
      <c r="L386" s="11">
        <f t="shared" ca="1" si="20"/>
        <v>141.26666666667006</v>
      </c>
      <c r="M386" s="1">
        <f t="shared" si="21"/>
        <v>10</v>
      </c>
      <c r="N386" s="1">
        <f t="shared" si="22"/>
        <v>2015</v>
      </c>
      <c r="O386" s="1" t="str">
        <f t="shared" ca="1" si="23"/>
        <v>entre 90 e 150 dias</v>
      </c>
    </row>
    <row r="387" spans="1:15" ht="25.5" x14ac:dyDescent="0.2">
      <c r="A387" s="3" t="s">
        <v>8</v>
      </c>
      <c r="B387" s="4" t="s">
        <v>820</v>
      </c>
      <c r="C387" s="3" t="s">
        <v>581</v>
      </c>
      <c r="D387" s="3"/>
      <c r="E387" s="3" t="str">
        <f>VLOOKUP(B387,[1]general_report!$B$1:$I$713,8,0)</f>
        <v xml:space="preserve">Contax </v>
      </c>
      <c r="F387" s="3" t="str">
        <f>VLOOKUP(B387,[1]general_report!$B$1:$J$713,9,0)</f>
        <v xml:space="preserve"> Outro</v>
      </c>
      <c r="G387" s="3" t="s">
        <v>402</v>
      </c>
      <c r="H387" s="3" t="s">
        <v>199</v>
      </c>
      <c r="I387" s="3" t="s">
        <v>13</v>
      </c>
      <c r="J387" s="5">
        <v>42291.629166666666</v>
      </c>
      <c r="K387" s="3"/>
      <c r="L387" s="11">
        <f t="shared" ref="L387:L450" ca="1" si="24">IF(K387="",TODAY()-J387,K387-J387)</f>
        <v>141.3708333333343</v>
      </c>
      <c r="M387" s="1">
        <f t="shared" ref="M387:M450" si="25">MONTH(J387)</f>
        <v>10</v>
      </c>
      <c r="N387" s="1">
        <f t="shared" ref="N387:N450" si="26">YEAR(J387)</f>
        <v>2015</v>
      </c>
      <c r="O387" s="1" t="str">
        <f t="shared" ref="O387:O450" ca="1" si="27">IF(L387&lt;30,"menos 1 mês",IF(L387&lt;60,"entre 30 e 60 dias",IF(L387&lt;90,"entre 60 e 90 dias",IF(L387&lt;150,"entre 90 e 150 dias","mais de 150 dias"))))</f>
        <v>entre 90 e 150 dias</v>
      </c>
    </row>
    <row r="388" spans="1:15" ht="25.5" x14ac:dyDescent="0.2">
      <c r="A388" s="3" t="s">
        <v>8</v>
      </c>
      <c r="B388" s="4" t="s">
        <v>821</v>
      </c>
      <c r="C388" s="3" t="s">
        <v>822</v>
      </c>
      <c r="D388" s="3"/>
      <c r="E388" s="3" t="str">
        <f>VLOOKUP(B388,[1]general_report!$B$1:$I$713,8,0)</f>
        <v xml:space="preserve">Contax </v>
      </c>
      <c r="F388" s="3" t="str">
        <f>VLOOKUP(B388,[1]general_report!$B$1:$J$713,9,0)</f>
        <v xml:space="preserve"> Outro</v>
      </c>
      <c r="G388" s="3" t="s">
        <v>18</v>
      </c>
      <c r="H388" s="3" t="s">
        <v>577</v>
      </c>
      <c r="I388" s="3" t="s">
        <v>13</v>
      </c>
      <c r="J388" s="5">
        <v>42290.619444444441</v>
      </c>
      <c r="K388" s="3"/>
      <c r="L388" s="11">
        <f t="shared" ca="1" si="24"/>
        <v>142.38055555555911</v>
      </c>
      <c r="M388" s="1">
        <f t="shared" si="25"/>
        <v>10</v>
      </c>
      <c r="N388" s="1">
        <f t="shared" si="26"/>
        <v>2015</v>
      </c>
      <c r="O388" s="1" t="str">
        <f t="shared" ca="1" si="27"/>
        <v>entre 90 e 150 dias</v>
      </c>
    </row>
    <row r="389" spans="1:15" ht="15" x14ac:dyDescent="0.2">
      <c r="A389" s="3" t="s">
        <v>8</v>
      </c>
      <c r="B389" s="4" t="s">
        <v>823</v>
      </c>
      <c r="C389" s="3" t="s">
        <v>81</v>
      </c>
      <c r="D389" s="3"/>
      <c r="E389" s="3" t="str">
        <f>VLOOKUP(B389,[1]general_report!$B$1:$I$713,8,0)</f>
        <v xml:space="preserve">Oi </v>
      </c>
      <c r="F389" s="3" t="str">
        <f>VLOOKUP(B389,[1]general_report!$B$1:$J$713,9,0)</f>
        <v xml:space="preserve"> Pré Pago</v>
      </c>
      <c r="G389" s="3" t="s">
        <v>824</v>
      </c>
      <c r="H389" s="3" t="s">
        <v>824</v>
      </c>
      <c r="I389" s="3" t="s">
        <v>27</v>
      </c>
      <c r="J389" s="5">
        <v>42268.767361111109</v>
      </c>
      <c r="K389" s="5">
        <v>42383.620833333334</v>
      </c>
      <c r="L389" s="11">
        <f t="shared" ca="1" si="24"/>
        <v>114.85347222222481</v>
      </c>
      <c r="M389" s="1">
        <f t="shared" si="25"/>
        <v>9</v>
      </c>
      <c r="N389" s="1">
        <f t="shared" si="26"/>
        <v>2015</v>
      </c>
      <c r="O389" s="1" t="str">
        <f t="shared" ca="1" si="27"/>
        <v>entre 90 e 150 dias</v>
      </c>
    </row>
    <row r="390" spans="1:15" ht="38.25" x14ac:dyDescent="0.2">
      <c r="A390" s="3" t="s">
        <v>8</v>
      </c>
      <c r="B390" s="4" t="s">
        <v>825</v>
      </c>
      <c r="C390" s="3" t="s">
        <v>583</v>
      </c>
      <c r="D390" s="3"/>
      <c r="E390" s="3" t="str">
        <f>VLOOKUP(B390,[1]general_report!$B$1:$I$713,8,0)</f>
        <v xml:space="preserve">Contax </v>
      </c>
      <c r="F390" s="3" t="str">
        <f>VLOOKUP(B390,[1]general_report!$B$1:$J$713,9,0)</f>
        <v xml:space="preserve"> Outro</v>
      </c>
      <c r="G390" s="3" t="s">
        <v>402</v>
      </c>
      <c r="H390" s="3" t="s">
        <v>199</v>
      </c>
      <c r="I390" s="3" t="s">
        <v>48</v>
      </c>
      <c r="J390" s="5">
        <v>42262.447222222225</v>
      </c>
      <c r="K390" s="3"/>
      <c r="L390" s="11">
        <f t="shared" ca="1" si="24"/>
        <v>170.55277777777519</v>
      </c>
      <c r="M390" s="1">
        <f t="shared" si="25"/>
        <v>9</v>
      </c>
      <c r="N390" s="1">
        <f t="shared" si="26"/>
        <v>2015</v>
      </c>
      <c r="O390" s="1" t="str">
        <f t="shared" ca="1" si="27"/>
        <v>mais de 150 dias</v>
      </c>
    </row>
    <row r="391" spans="1:15" ht="25.5" x14ac:dyDescent="0.2">
      <c r="A391" s="3" t="s">
        <v>8</v>
      </c>
      <c r="B391" s="4" t="s">
        <v>826</v>
      </c>
      <c r="C391" s="3" t="s">
        <v>827</v>
      </c>
      <c r="D391" s="3"/>
      <c r="E391" s="3" t="str">
        <f>VLOOKUP(B391,[1]general_report!$B$1:$I$713,8,0)</f>
        <v xml:space="preserve">Contax </v>
      </c>
      <c r="F391" s="3" t="str">
        <f>VLOOKUP(B391,[1]general_report!$B$1:$J$713,9,0)</f>
        <v xml:space="preserve"> Outro</v>
      </c>
      <c r="G391" s="3" t="s">
        <v>402</v>
      </c>
      <c r="H391" s="3" t="s">
        <v>199</v>
      </c>
      <c r="I391" s="3" t="s">
        <v>48</v>
      </c>
      <c r="J391" s="5">
        <v>42261.618055555555</v>
      </c>
      <c r="K391" s="3"/>
      <c r="L391" s="11">
        <f t="shared" ca="1" si="24"/>
        <v>171.38194444444525</v>
      </c>
      <c r="M391" s="1">
        <f t="shared" si="25"/>
        <v>9</v>
      </c>
      <c r="N391" s="1">
        <f t="shared" si="26"/>
        <v>2015</v>
      </c>
      <c r="O391" s="1" t="str">
        <f t="shared" ca="1" si="27"/>
        <v>mais de 150 dias</v>
      </c>
    </row>
    <row r="392" spans="1:15" ht="15" x14ac:dyDescent="0.2">
      <c r="A392" s="3" t="s">
        <v>8</v>
      </c>
      <c r="B392" s="4" t="s">
        <v>828</v>
      </c>
      <c r="C392" s="3" t="s">
        <v>81</v>
      </c>
      <c r="D392" s="3"/>
      <c r="E392" s="3" t="str">
        <f>VLOOKUP(B392,[1]general_report!$B$1:$I$713,8,0)</f>
        <v xml:space="preserve">Oi </v>
      </c>
      <c r="F392" s="3" t="str">
        <f>VLOOKUP(B392,[1]general_report!$B$1:$J$713,9,0)</f>
        <v xml:space="preserve"> Oi Movél</v>
      </c>
      <c r="G392" s="3" t="s">
        <v>603</v>
      </c>
      <c r="H392" s="3" t="s">
        <v>776</v>
      </c>
      <c r="I392" s="3" t="s">
        <v>83</v>
      </c>
      <c r="J392" s="5">
        <v>42261.566666666666</v>
      </c>
      <c r="K392" s="3"/>
      <c r="L392" s="11">
        <f t="shared" ca="1" si="24"/>
        <v>171.4333333333343</v>
      </c>
      <c r="M392" s="1">
        <f t="shared" si="25"/>
        <v>9</v>
      </c>
      <c r="N392" s="1">
        <f t="shared" si="26"/>
        <v>2015</v>
      </c>
      <c r="O392" s="1" t="str">
        <f t="shared" ca="1" si="27"/>
        <v>mais de 150 dias</v>
      </c>
    </row>
    <row r="393" spans="1:15" ht="51" x14ac:dyDescent="0.2">
      <c r="A393" s="3" t="s">
        <v>8</v>
      </c>
      <c r="B393" s="4" t="s">
        <v>829</v>
      </c>
      <c r="C393" s="3" t="s">
        <v>585</v>
      </c>
      <c r="D393" s="3"/>
      <c r="E393" s="3" t="str">
        <f>VLOOKUP(B393,[1]general_report!$B$1:$I$713,8,0)</f>
        <v xml:space="preserve">Itaú </v>
      </c>
      <c r="F393" s="3" t="str">
        <f>VLOOKUP(B393,[1]general_report!$B$1:$J$713,9,0)</f>
        <v xml:space="preserve"> Itaú Cartão</v>
      </c>
      <c r="G393" s="3" t="s">
        <v>402</v>
      </c>
      <c r="H393" s="3" t="s">
        <v>199</v>
      </c>
      <c r="I393" s="3" t="s">
        <v>207</v>
      </c>
      <c r="J393" s="5">
        <v>42251.675694444442</v>
      </c>
      <c r="K393" s="3"/>
      <c r="L393" s="11">
        <f t="shared" ca="1" si="24"/>
        <v>181.32430555555766</v>
      </c>
      <c r="M393" s="1">
        <f t="shared" si="25"/>
        <v>9</v>
      </c>
      <c r="N393" s="1">
        <f t="shared" si="26"/>
        <v>2015</v>
      </c>
      <c r="O393" s="1" t="str">
        <f t="shared" ca="1" si="27"/>
        <v>mais de 150 dias</v>
      </c>
    </row>
    <row r="394" spans="1:15" ht="38.25" x14ac:dyDescent="0.2">
      <c r="A394" s="3" t="s">
        <v>8</v>
      </c>
      <c r="B394" s="4" t="s">
        <v>830</v>
      </c>
      <c r="C394" s="3" t="s">
        <v>831</v>
      </c>
      <c r="D394" s="3"/>
      <c r="E394" s="3" t="str">
        <f>VLOOKUP(B394,[1]general_report!$B$1:$I$713,8,0)</f>
        <v xml:space="preserve">Contax </v>
      </c>
      <c r="F394" s="3" t="str">
        <f>VLOOKUP(B394,[1]general_report!$B$1:$J$713,9,0)</f>
        <v xml:space="preserve"> Outro</v>
      </c>
      <c r="G394" s="3" t="s">
        <v>402</v>
      </c>
      <c r="H394" s="3" t="s">
        <v>199</v>
      </c>
      <c r="I394" s="3" t="s">
        <v>48</v>
      </c>
      <c r="J394" s="5">
        <v>42250.392361111109</v>
      </c>
      <c r="K394" s="3"/>
      <c r="L394" s="11">
        <f t="shared" ca="1" si="24"/>
        <v>182.60763888889051</v>
      </c>
      <c r="M394" s="1">
        <f t="shared" si="25"/>
        <v>9</v>
      </c>
      <c r="N394" s="1">
        <f t="shared" si="26"/>
        <v>2015</v>
      </c>
      <c r="O394" s="1" t="str">
        <f t="shared" ca="1" si="27"/>
        <v>mais de 150 dias</v>
      </c>
    </row>
    <row r="395" spans="1:15" ht="15" x14ac:dyDescent="0.2">
      <c r="A395" s="3" t="s">
        <v>8</v>
      </c>
      <c r="B395" s="4" t="s">
        <v>832</v>
      </c>
      <c r="C395" s="3" t="s">
        <v>833</v>
      </c>
      <c r="D395" s="3"/>
      <c r="E395" s="3" t="str">
        <f>VLOOKUP(B395,[1]general_report!$B$1:$I$713,8,0)</f>
        <v xml:space="preserve">Itaú </v>
      </c>
      <c r="F395" s="3" t="str">
        <f>VLOOKUP(B395,[1]general_report!$B$1:$J$713,9,0)</f>
        <v xml:space="preserve"> CAC Não Correntista</v>
      </c>
      <c r="G395" s="3" t="s">
        <v>402</v>
      </c>
      <c r="H395" s="3" t="s">
        <v>12</v>
      </c>
      <c r="I395" s="3" t="s">
        <v>234</v>
      </c>
      <c r="J395" s="5">
        <v>42236.530555555553</v>
      </c>
      <c r="K395" s="3"/>
      <c r="L395" s="11">
        <f t="shared" ca="1" si="24"/>
        <v>196.46944444444671</v>
      </c>
      <c r="M395" s="1">
        <f t="shared" si="25"/>
        <v>8</v>
      </c>
      <c r="N395" s="1">
        <f t="shared" si="26"/>
        <v>2015</v>
      </c>
      <c r="O395" s="1" t="str">
        <f t="shared" ca="1" si="27"/>
        <v>mais de 150 dias</v>
      </c>
    </row>
    <row r="396" spans="1:15" ht="15" x14ac:dyDescent="0.2">
      <c r="A396" s="3" t="s">
        <v>8</v>
      </c>
      <c r="B396" s="4" t="s">
        <v>834</v>
      </c>
      <c r="C396" s="3" t="s">
        <v>81</v>
      </c>
      <c r="D396" s="3"/>
      <c r="E396" s="3" t="str">
        <f>VLOOKUP(B396,[1]general_report!$B$1:$I$713,8,0)</f>
        <v xml:space="preserve">Oi </v>
      </c>
      <c r="F396" s="3" t="str">
        <f>VLOOKUP(B396,[1]general_report!$B$1:$J$713,9,0)</f>
        <v xml:space="preserve"> Oi Movél</v>
      </c>
      <c r="G396" s="3" t="s">
        <v>33</v>
      </c>
      <c r="H396" s="3" t="s">
        <v>755</v>
      </c>
      <c r="I396" s="3" t="s">
        <v>83</v>
      </c>
      <c r="J396" s="5">
        <v>42230.838888888888</v>
      </c>
      <c r="K396" s="3"/>
      <c r="L396" s="11">
        <f t="shared" ca="1" si="24"/>
        <v>202.1611111111124</v>
      </c>
      <c r="M396" s="1">
        <f t="shared" si="25"/>
        <v>8</v>
      </c>
      <c r="N396" s="1">
        <f t="shared" si="26"/>
        <v>2015</v>
      </c>
      <c r="O396" s="1" t="str">
        <f t="shared" ca="1" si="27"/>
        <v>mais de 150 dias</v>
      </c>
    </row>
    <row r="397" spans="1:15" ht="25.5" x14ac:dyDescent="0.2">
      <c r="A397" s="3" t="s">
        <v>8</v>
      </c>
      <c r="B397" s="4" t="s">
        <v>835</v>
      </c>
      <c r="C397" s="3" t="s">
        <v>836</v>
      </c>
      <c r="D397" s="3"/>
      <c r="E397" s="3" t="str">
        <f>VLOOKUP(B397,[1]general_report!$B$1:$I$713,8,0)</f>
        <v xml:space="preserve">Oi </v>
      </c>
      <c r="F397" s="3" t="str">
        <f>VLOOKUP(B397,[1]general_report!$B$1:$J$713,9,0)</f>
        <v xml:space="preserve"> SAC</v>
      </c>
      <c r="G397" s="3" t="s">
        <v>783</v>
      </c>
      <c r="H397" s="3" t="s">
        <v>783</v>
      </c>
      <c r="I397" s="3" t="s">
        <v>27</v>
      </c>
      <c r="J397" s="5">
        <v>42222.763194444444</v>
      </c>
      <c r="K397" s="5">
        <v>42383.622916666667</v>
      </c>
      <c r="L397" s="11">
        <f t="shared" ca="1" si="24"/>
        <v>160.85972222222335</v>
      </c>
      <c r="M397" s="1">
        <f t="shared" si="25"/>
        <v>8</v>
      </c>
      <c r="N397" s="1">
        <f t="shared" si="26"/>
        <v>2015</v>
      </c>
      <c r="O397" s="1" t="str">
        <f t="shared" ca="1" si="27"/>
        <v>mais de 150 dias</v>
      </c>
    </row>
    <row r="398" spans="1:15" ht="25.5" x14ac:dyDescent="0.2">
      <c r="A398" s="3" t="s">
        <v>8</v>
      </c>
      <c r="B398" s="4" t="s">
        <v>837</v>
      </c>
      <c r="C398" s="3" t="s">
        <v>838</v>
      </c>
      <c r="D398" s="3"/>
      <c r="E398" s="3" t="str">
        <f>VLOOKUP(B398,[1]general_report!$B$1:$I$713,8,0)</f>
        <v xml:space="preserve">Itaú </v>
      </c>
      <c r="F398" s="3" t="str">
        <f>VLOOKUP(B398,[1]general_report!$B$1:$J$713,9,0)</f>
        <v xml:space="preserve"> Itaú Nacional</v>
      </c>
      <c r="G398" s="3" t="s">
        <v>199</v>
      </c>
      <c r="H398" s="3" t="s">
        <v>199</v>
      </c>
      <c r="I398" s="3" t="s">
        <v>7</v>
      </c>
      <c r="J398" s="5">
        <v>42222.449305555558</v>
      </c>
      <c r="K398" s="5">
        <v>42299.649305555555</v>
      </c>
      <c r="L398" s="11">
        <f t="shared" ca="1" si="24"/>
        <v>77.19999999999709</v>
      </c>
      <c r="M398" s="1">
        <f t="shared" si="25"/>
        <v>8</v>
      </c>
      <c r="N398" s="1">
        <f t="shared" si="26"/>
        <v>2015</v>
      </c>
      <c r="O398" s="1" t="str">
        <f t="shared" ca="1" si="27"/>
        <v>entre 60 e 90 dias</v>
      </c>
    </row>
    <row r="399" spans="1:15" ht="15" x14ac:dyDescent="0.2">
      <c r="A399" s="3" t="s">
        <v>8</v>
      </c>
      <c r="B399" s="4" t="s">
        <v>839</v>
      </c>
      <c r="C399" s="3" t="s">
        <v>81</v>
      </c>
      <c r="D399" s="3"/>
      <c r="E399" s="3" t="str">
        <f>VLOOKUP(B399,[1]general_report!$B$1:$I$713,8,0)</f>
        <v xml:space="preserve">Oi </v>
      </c>
      <c r="F399" s="3" t="str">
        <f>VLOOKUP(B399,[1]general_report!$B$1:$J$713,9,0)</f>
        <v xml:space="preserve"> Oi Movél</v>
      </c>
      <c r="G399" s="3" t="s">
        <v>33</v>
      </c>
      <c r="H399" s="3" t="s">
        <v>755</v>
      </c>
      <c r="I399" s="3" t="s">
        <v>83</v>
      </c>
      <c r="J399" s="5">
        <v>42214.806944444441</v>
      </c>
      <c r="K399" s="3"/>
      <c r="L399" s="11">
        <f t="shared" ca="1" si="24"/>
        <v>218.19305555555911</v>
      </c>
      <c r="M399" s="1">
        <f t="shared" si="25"/>
        <v>7</v>
      </c>
      <c r="N399" s="1">
        <f t="shared" si="26"/>
        <v>2015</v>
      </c>
      <c r="O399" s="1" t="str">
        <f t="shared" ca="1" si="27"/>
        <v>mais de 150 dias</v>
      </c>
    </row>
    <row r="400" spans="1:15" ht="15" x14ac:dyDescent="0.2">
      <c r="A400" s="3" t="s">
        <v>8</v>
      </c>
      <c r="B400" s="4" t="s">
        <v>840</v>
      </c>
      <c r="C400" s="3" t="s">
        <v>81</v>
      </c>
      <c r="D400" s="3"/>
      <c r="E400" s="3" t="str">
        <f>VLOOKUP(B400,[1]general_report!$B$1:$I$713,8,0)</f>
        <v xml:space="preserve">Oi </v>
      </c>
      <c r="F400" s="3" t="str">
        <f>VLOOKUP(B400,[1]general_report!$B$1:$J$713,9,0)</f>
        <v xml:space="preserve"> Oi Movél</v>
      </c>
      <c r="G400" s="3" t="s">
        <v>33</v>
      </c>
      <c r="H400" s="3" t="s">
        <v>755</v>
      </c>
      <c r="I400" s="3" t="s">
        <v>13</v>
      </c>
      <c r="J400" s="5">
        <v>42214.658333333333</v>
      </c>
      <c r="K400" s="3"/>
      <c r="L400" s="11">
        <f t="shared" ca="1" si="24"/>
        <v>218.34166666666715</v>
      </c>
      <c r="M400" s="1">
        <f t="shared" si="25"/>
        <v>7</v>
      </c>
      <c r="N400" s="1">
        <f t="shared" si="26"/>
        <v>2015</v>
      </c>
      <c r="O400" s="1" t="str">
        <f t="shared" ca="1" si="27"/>
        <v>mais de 150 dias</v>
      </c>
    </row>
    <row r="401" spans="1:15" ht="25.5" x14ac:dyDescent="0.2">
      <c r="A401" s="3" t="s">
        <v>8</v>
      </c>
      <c r="B401" s="4" t="s">
        <v>841</v>
      </c>
      <c r="C401" s="3" t="s">
        <v>842</v>
      </c>
      <c r="D401" s="3"/>
      <c r="E401" s="3" t="str">
        <f>VLOOKUP(B401,[1]general_report!$B$1:$I$713,8,0)</f>
        <v xml:space="preserve">Contax </v>
      </c>
      <c r="F401" s="3" t="str">
        <f>VLOOKUP(B401,[1]general_report!$B$1:$J$713,9,0)</f>
        <v xml:space="preserve"> Dir. Oi</v>
      </c>
      <c r="G401" s="3" t="s">
        <v>441</v>
      </c>
      <c r="H401" s="3" t="s">
        <v>441</v>
      </c>
      <c r="I401" s="3" t="s">
        <v>207</v>
      </c>
      <c r="J401" s="5">
        <v>42199.772222222222</v>
      </c>
      <c r="K401" s="3"/>
      <c r="L401" s="11">
        <f t="shared" ca="1" si="24"/>
        <v>233.2277777777781</v>
      </c>
      <c r="M401" s="1">
        <f t="shared" si="25"/>
        <v>7</v>
      </c>
      <c r="N401" s="1">
        <f t="shared" si="26"/>
        <v>2015</v>
      </c>
      <c r="O401" s="1" t="str">
        <f t="shared" ca="1" si="27"/>
        <v>mais de 150 dias</v>
      </c>
    </row>
    <row r="402" spans="1:15" ht="15" x14ac:dyDescent="0.2">
      <c r="A402" s="3" t="s">
        <v>8</v>
      </c>
      <c r="B402" s="4" t="s">
        <v>843</v>
      </c>
      <c r="C402" s="3" t="s">
        <v>81</v>
      </c>
      <c r="D402" s="3"/>
      <c r="E402" s="3" t="str">
        <f>VLOOKUP(B402,[1]general_report!$B$1:$I$713,8,0)</f>
        <v xml:space="preserve">Oi </v>
      </c>
      <c r="F402" s="3" t="str">
        <f>VLOOKUP(B402,[1]general_report!$B$1:$J$713,9,0)</f>
        <v xml:space="preserve"> Oi Movél</v>
      </c>
      <c r="G402" s="3" t="s">
        <v>755</v>
      </c>
      <c r="H402" s="3" t="s">
        <v>755</v>
      </c>
      <c r="I402" s="3" t="s">
        <v>27</v>
      </c>
      <c r="J402" s="5">
        <v>42193.452777777777</v>
      </c>
      <c r="K402" s="5">
        <v>42397.49722222222</v>
      </c>
      <c r="L402" s="11">
        <f t="shared" ca="1" si="24"/>
        <v>204.0444444444438</v>
      </c>
      <c r="M402" s="1">
        <f t="shared" si="25"/>
        <v>7</v>
      </c>
      <c r="N402" s="1">
        <f t="shared" si="26"/>
        <v>2015</v>
      </c>
      <c r="O402" s="1" t="str">
        <f t="shared" ca="1" si="27"/>
        <v>mais de 150 dias</v>
      </c>
    </row>
    <row r="403" spans="1:15" ht="25.5" x14ac:dyDescent="0.2">
      <c r="A403" s="3" t="s">
        <v>8</v>
      </c>
      <c r="B403" s="4" t="s">
        <v>844</v>
      </c>
      <c r="C403" s="3" t="s">
        <v>845</v>
      </c>
      <c r="D403" s="3"/>
      <c r="E403" s="3" t="str">
        <f>VLOOKUP(B403,[1]general_report!$B$1:$I$713,8,0)</f>
        <v xml:space="preserve">Itaú </v>
      </c>
      <c r="F403" s="3" t="str">
        <f>VLOOKUP(B403,[1]general_report!$B$1:$J$713,9,0)</f>
        <v xml:space="preserve"> Venda de Cartões</v>
      </c>
      <c r="G403" s="3" t="s">
        <v>419</v>
      </c>
      <c r="H403" s="3" t="s">
        <v>199</v>
      </c>
      <c r="I403" s="3" t="s">
        <v>13</v>
      </c>
      <c r="J403" s="5">
        <v>42192.688194444447</v>
      </c>
      <c r="K403" s="3"/>
      <c r="L403" s="11">
        <f t="shared" ca="1" si="24"/>
        <v>240.31180555555329</v>
      </c>
      <c r="M403" s="1">
        <f t="shared" si="25"/>
        <v>7</v>
      </c>
      <c r="N403" s="1">
        <f t="shared" si="26"/>
        <v>2015</v>
      </c>
      <c r="O403" s="1" t="str">
        <f t="shared" ca="1" si="27"/>
        <v>mais de 150 dias</v>
      </c>
    </row>
    <row r="404" spans="1:15" ht="25.5" x14ac:dyDescent="0.2">
      <c r="A404" s="3" t="s">
        <v>8</v>
      </c>
      <c r="B404" s="4" t="s">
        <v>846</v>
      </c>
      <c r="C404" s="3" t="s">
        <v>847</v>
      </c>
      <c r="D404" s="3"/>
      <c r="E404" s="3" t="str">
        <f>VLOOKUP(B404,[1]general_report!$B$1:$I$713,8,0)</f>
        <v xml:space="preserve">Bradesco </v>
      </c>
      <c r="F404" s="3" t="str">
        <f>VLOOKUP(B404,[1]general_report!$B$1:$J$713,9,0)</f>
        <v xml:space="preserve"> Bradesco Oferta de Crédito</v>
      </c>
      <c r="G404" s="3" t="s">
        <v>419</v>
      </c>
      <c r="H404" s="3" t="s">
        <v>12</v>
      </c>
      <c r="I404" s="3" t="s">
        <v>48</v>
      </c>
      <c r="J404" s="5">
        <v>42152.789583333331</v>
      </c>
      <c r="K404" s="3"/>
      <c r="L404" s="11">
        <f t="shared" ca="1" si="24"/>
        <v>280.21041666666861</v>
      </c>
      <c r="M404" s="1">
        <f t="shared" si="25"/>
        <v>5</v>
      </c>
      <c r="N404" s="1">
        <f t="shared" si="26"/>
        <v>2015</v>
      </c>
      <c r="O404" s="1" t="str">
        <f t="shared" ca="1" si="27"/>
        <v>mais de 150 dias</v>
      </c>
    </row>
    <row r="405" spans="1:15" ht="38.25" x14ac:dyDescent="0.2">
      <c r="A405" s="3" t="s">
        <v>8</v>
      </c>
      <c r="B405" s="4" t="s">
        <v>848</v>
      </c>
      <c r="C405" s="3" t="s">
        <v>81</v>
      </c>
      <c r="D405" s="3"/>
      <c r="E405" s="3" t="str">
        <f>VLOOKUP(B405,[1]general_report!$B$1:$I$713,8,0)</f>
        <v xml:space="preserve">Contax </v>
      </c>
      <c r="F405" s="3" t="str">
        <f>VLOOKUP(B405,[1]general_report!$B$1:$J$713,9,0)</f>
        <v xml:space="preserve"> Ger Jurídico Contencioso e Consultivo</v>
      </c>
      <c r="G405" s="3" t="s">
        <v>849</v>
      </c>
      <c r="H405" s="3" t="s">
        <v>849</v>
      </c>
      <c r="I405" s="3" t="s">
        <v>27</v>
      </c>
      <c r="J405" s="5">
        <v>42121.442361111112</v>
      </c>
      <c r="K405" s="5">
        <v>42384.680555555555</v>
      </c>
      <c r="L405" s="11">
        <f t="shared" ca="1" si="24"/>
        <v>263.23819444444234</v>
      </c>
      <c r="M405" s="1">
        <f t="shared" si="25"/>
        <v>4</v>
      </c>
      <c r="N405" s="1">
        <f t="shared" si="26"/>
        <v>2015</v>
      </c>
      <c r="O405" s="1" t="str">
        <f t="shared" ca="1" si="27"/>
        <v>mais de 150 dias</v>
      </c>
    </row>
    <row r="406" spans="1:15" ht="38.25" x14ac:dyDescent="0.2">
      <c r="A406" s="3" t="s">
        <v>8</v>
      </c>
      <c r="B406" s="4" t="s">
        <v>850</v>
      </c>
      <c r="C406" s="3" t="s">
        <v>851</v>
      </c>
      <c r="D406" s="3"/>
      <c r="E406" s="3" t="str">
        <f>VLOOKUP(B406,[1]general_report!$B$1:$I$713,8,0)</f>
        <v xml:space="preserve">Itaú </v>
      </c>
      <c r="F406" s="3" t="str">
        <f>VLOOKUP(B406,[1]general_report!$B$1:$J$713,9,0)</f>
        <v xml:space="preserve"> Itaú Cartão</v>
      </c>
      <c r="G406" s="3" t="s">
        <v>402</v>
      </c>
      <c r="H406" s="3" t="s">
        <v>199</v>
      </c>
      <c r="I406" s="3" t="s">
        <v>48</v>
      </c>
      <c r="J406" s="5">
        <v>42081.736111111109</v>
      </c>
      <c r="K406" s="3"/>
      <c r="L406" s="11">
        <f t="shared" ca="1" si="24"/>
        <v>351.26388888889051</v>
      </c>
      <c r="M406" s="1">
        <f t="shared" si="25"/>
        <v>3</v>
      </c>
      <c r="N406" s="1">
        <f t="shared" si="26"/>
        <v>2015</v>
      </c>
      <c r="O406" s="1" t="str">
        <f t="shared" ca="1" si="27"/>
        <v>mais de 150 dias</v>
      </c>
    </row>
    <row r="407" spans="1:15" ht="15" x14ac:dyDescent="0.2">
      <c r="A407" s="3" t="s">
        <v>8</v>
      </c>
      <c r="B407" s="4" t="s">
        <v>852</v>
      </c>
      <c r="C407" s="3" t="s">
        <v>81</v>
      </c>
      <c r="D407" s="3"/>
      <c r="E407" s="3" t="str">
        <f>VLOOKUP(B407,[1]general_report!$B$1:$I$713,8,0)</f>
        <v xml:space="preserve">Oi </v>
      </c>
      <c r="F407" s="3" t="str">
        <f>VLOOKUP(B407,[1]general_report!$B$1:$J$713,9,0)</f>
        <v xml:space="preserve"> Oi Movél</v>
      </c>
      <c r="G407" s="3" t="s">
        <v>33</v>
      </c>
      <c r="H407" s="3" t="s">
        <v>755</v>
      </c>
      <c r="I407" s="3" t="s">
        <v>48</v>
      </c>
      <c r="J407" s="5">
        <v>42037.625</v>
      </c>
      <c r="K407" s="3"/>
      <c r="L407" s="11">
        <f t="shared" ca="1" si="24"/>
        <v>395.375</v>
      </c>
      <c r="M407" s="1">
        <f t="shared" si="25"/>
        <v>2</v>
      </c>
      <c r="N407" s="1">
        <f t="shared" si="26"/>
        <v>2015</v>
      </c>
      <c r="O407" s="1" t="str">
        <f t="shared" ca="1" si="27"/>
        <v>mais de 150 dias</v>
      </c>
    </row>
    <row r="408" spans="1:15" ht="15" x14ac:dyDescent="0.2">
      <c r="A408" s="3" t="s">
        <v>8</v>
      </c>
      <c r="B408" s="4" t="s">
        <v>853</v>
      </c>
      <c r="C408" s="3" t="s">
        <v>81</v>
      </c>
      <c r="D408" s="3"/>
      <c r="E408" s="3" t="str">
        <f>VLOOKUP(B408,[1]general_report!$B$1:$I$713,8,0)</f>
        <v xml:space="preserve">Santander </v>
      </c>
      <c r="F408" s="3" t="str">
        <f>VLOOKUP(B408,[1]general_report!$B$1:$J$713,9,0)</f>
        <v xml:space="preserve"> Cartões</v>
      </c>
      <c r="G408" s="3" t="s">
        <v>11</v>
      </c>
      <c r="H408" s="3" t="s">
        <v>272</v>
      </c>
      <c r="I408" s="3" t="s">
        <v>83</v>
      </c>
      <c r="J408" s="5">
        <v>41956.447916666664</v>
      </c>
      <c r="K408" s="3"/>
      <c r="L408" s="11">
        <f t="shared" ca="1" si="24"/>
        <v>476.55208333333576</v>
      </c>
      <c r="M408" s="1">
        <f t="shared" si="25"/>
        <v>11</v>
      </c>
      <c r="N408" s="1">
        <f t="shared" si="26"/>
        <v>2014</v>
      </c>
      <c r="O408" s="1" t="str">
        <f t="shared" ca="1" si="27"/>
        <v>mais de 150 dias</v>
      </c>
    </row>
    <row r="409" spans="1:15" ht="38.25" x14ac:dyDescent="0.2">
      <c r="A409" s="3" t="s">
        <v>8</v>
      </c>
      <c r="B409" s="4" t="s">
        <v>854</v>
      </c>
      <c r="C409" s="3" t="s">
        <v>855</v>
      </c>
      <c r="D409" s="3"/>
      <c r="E409" s="3" t="str">
        <f>VLOOKUP(B409,[1]general_report!$B$1:$I$713,8,0)</f>
        <v xml:space="preserve">Contax </v>
      </c>
      <c r="F409" s="3" t="str">
        <f>VLOOKUP(B409,[1]general_report!$B$1:$J$713,9,0)</f>
        <v xml:space="preserve"> Outro</v>
      </c>
      <c r="G409" s="3" t="s">
        <v>577</v>
      </c>
      <c r="H409" s="3" t="s">
        <v>577</v>
      </c>
      <c r="I409" s="3" t="s">
        <v>27</v>
      </c>
      <c r="J409" s="5">
        <v>42332.602083333331</v>
      </c>
      <c r="K409" s="5">
        <v>42384.663888888892</v>
      </c>
      <c r="L409" s="11">
        <f t="shared" ca="1" si="24"/>
        <v>52.061805555560568</v>
      </c>
      <c r="M409" s="1">
        <f t="shared" si="25"/>
        <v>11</v>
      </c>
      <c r="N409" s="1">
        <f t="shared" si="26"/>
        <v>2015</v>
      </c>
      <c r="O409" s="1" t="str">
        <f t="shared" ca="1" si="27"/>
        <v>entre 30 e 60 dias</v>
      </c>
    </row>
    <row r="410" spans="1:15" ht="15" x14ac:dyDescent="0.2">
      <c r="A410" s="3" t="s">
        <v>8</v>
      </c>
      <c r="B410" s="4" t="s">
        <v>856</v>
      </c>
      <c r="C410" s="3" t="s">
        <v>629</v>
      </c>
      <c r="D410" s="3"/>
      <c r="E410" s="3" t="str">
        <f>VLOOKUP(B410,[1]general_report!$B$1:$I$713,8,0)</f>
        <v xml:space="preserve">Citibank </v>
      </c>
      <c r="F410" s="3" t="str">
        <f>VLOOKUP(B410,[1]general_report!$B$1:$J$713,9,0)</f>
        <v xml:space="preserve"> Televendas PIL</v>
      </c>
      <c r="G410" s="3" t="s">
        <v>199</v>
      </c>
      <c r="H410" s="3" t="s">
        <v>199</v>
      </c>
      <c r="I410" s="3" t="s">
        <v>27</v>
      </c>
      <c r="J410" s="5">
        <v>42360.448611111111</v>
      </c>
      <c r="K410" s="5">
        <v>42360.489583333336</v>
      </c>
      <c r="L410" s="11">
        <f t="shared" ca="1" si="24"/>
        <v>4.0972222224809229E-2</v>
      </c>
      <c r="M410" s="1">
        <f t="shared" si="25"/>
        <v>12</v>
      </c>
      <c r="N410" s="1">
        <f t="shared" si="26"/>
        <v>2015</v>
      </c>
      <c r="O410" s="1" t="str">
        <f t="shared" ca="1" si="27"/>
        <v>menos 1 mês</v>
      </c>
    </row>
    <row r="411" spans="1:15" ht="25.5" x14ac:dyDescent="0.2">
      <c r="A411" s="3" t="s">
        <v>8</v>
      </c>
      <c r="B411" s="4" t="s">
        <v>857</v>
      </c>
      <c r="C411" s="3" t="s">
        <v>858</v>
      </c>
      <c r="D411" s="3"/>
      <c r="E411" s="3" t="str">
        <f>VLOOKUP(B411,[1]general_report!$B$1:$I$713,8,0)</f>
        <v xml:space="preserve">Santander </v>
      </c>
      <c r="F411" s="3" t="str">
        <f>VLOOKUP(B411,[1]general_report!$B$1:$J$713,9,0)</f>
        <v xml:space="preserve"> Santander</v>
      </c>
      <c r="G411" s="3" t="s">
        <v>23</v>
      </c>
      <c r="H411" s="3" t="s">
        <v>23</v>
      </c>
      <c r="I411" s="3" t="s">
        <v>27</v>
      </c>
      <c r="J411" s="5">
        <v>42332.433333333334</v>
      </c>
      <c r="K411" s="5">
        <v>42384.663888888892</v>
      </c>
      <c r="L411" s="11">
        <f t="shared" ca="1" si="24"/>
        <v>52.230555555557657</v>
      </c>
      <c r="M411" s="1">
        <f t="shared" si="25"/>
        <v>11</v>
      </c>
      <c r="N411" s="1">
        <f t="shared" si="26"/>
        <v>2015</v>
      </c>
      <c r="O411" s="1" t="str">
        <f t="shared" ca="1" si="27"/>
        <v>entre 30 e 60 dias</v>
      </c>
    </row>
    <row r="412" spans="1:15" ht="38.25" x14ac:dyDescent="0.2">
      <c r="A412" s="3" t="s">
        <v>8</v>
      </c>
      <c r="B412" s="4" t="s">
        <v>859</v>
      </c>
      <c r="C412" s="3" t="s">
        <v>860</v>
      </c>
      <c r="D412" s="3"/>
      <c r="E412" s="3" t="str">
        <f>VLOOKUP(B412,[1]general_report!$B$1:$I$713,8,0)</f>
        <v xml:space="preserve">Contax </v>
      </c>
      <c r="F412" s="3" t="str">
        <f>VLOOKUP(B412,[1]general_report!$B$1:$J$713,9,0)</f>
        <v xml:space="preserve"> Outro</v>
      </c>
      <c r="G412" s="3" t="s">
        <v>577</v>
      </c>
      <c r="H412" s="3" t="s">
        <v>577</v>
      </c>
      <c r="I412" s="3" t="s">
        <v>27</v>
      </c>
      <c r="J412" s="5">
        <v>42311.767361111109</v>
      </c>
      <c r="K412" s="5">
        <v>42387.384027777778</v>
      </c>
      <c r="L412" s="11">
        <f t="shared" ca="1" si="24"/>
        <v>75.616666666668607</v>
      </c>
      <c r="M412" s="1">
        <f t="shared" si="25"/>
        <v>11</v>
      </c>
      <c r="N412" s="1">
        <f t="shared" si="26"/>
        <v>2015</v>
      </c>
      <c r="O412" s="1" t="str">
        <f t="shared" ca="1" si="27"/>
        <v>entre 60 e 90 dias</v>
      </c>
    </row>
    <row r="413" spans="1:15" ht="25.5" x14ac:dyDescent="0.2">
      <c r="A413" s="3" t="s">
        <v>8</v>
      </c>
      <c r="B413" s="4" t="s">
        <v>861</v>
      </c>
      <c r="C413" s="3" t="s">
        <v>862</v>
      </c>
      <c r="D413" s="3"/>
      <c r="E413" s="3" t="str">
        <f>VLOOKUP(B413,[1]general_report!$B$1:$I$713,8,0)</f>
        <v xml:space="preserve">Contax </v>
      </c>
      <c r="F413" s="3" t="str">
        <f>VLOOKUP(B413,[1]general_report!$B$1:$J$713,9,0)</f>
        <v xml:space="preserve"> Outro</v>
      </c>
      <c r="G413" s="3" t="s">
        <v>577</v>
      </c>
      <c r="H413" s="3" t="s">
        <v>577</v>
      </c>
      <c r="I413" s="3" t="s">
        <v>27</v>
      </c>
      <c r="J413" s="5">
        <v>42296.626388888886</v>
      </c>
      <c r="K413" s="5">
        <v>42387.384027777778</v>
      </c>
      <c r="L413" s="11">
        <f t="shared" ca="1" si="24"/>
        <v>90.757638888891961</v>
      </c>
      <c r="M413" s="1">
        <f t="shared" si="25"/>
        <v>10</v>
      </c>
      <c r="N413" s="1">
        <f t="shared" si="26"/>
        <v>2015</v>
      </c>
      <c r="O413" s="1" t="str">
        <f t="shared" ca="1" si="27"/>
        <v>entre 90 e 150 dias</v>
      </c>
    </row>
    <row r="414" spans="1:15" ht="15" x14ac:dyDescent="0.2">
      <c r="A414" s="3" t="s">
        <v>8</v>
      </c>
      <c r="B414" s="4" t="s">
        <v>863</v>
      </c>
      <c r="C414" s="3" t="s">
        <v>579</v>
      </c>
      <c r="D414" s="3"/>
      <c r="E414" s="3" t="str">
        <f>VLOOKUP(B414,[1]general_report!$B$1:$I$713,8,0)</f>
        <v xml:space="preserve">Contax </v>
      </c>
      <c r="F414" s="3" t="str">
        <f>VLOOKUP(B414,[1]general_report!$B$1:$J$713,9,0)</f>
        <v xml:space="preserve"> Outro</v>
      </c>
      <c r="G414" s="3" t="s">
        <v>199</v>
      </c>
      <c r="H414" s="3" t="s">
        <v>199</v>
      </c>
      <c r="I414" s="3" t="s">
        <v>27</v>
      </c>
      <c r="J414" s="5">
        <v>42291.73541666667</v>
      </c>
      <c r="K414" s="5">
        <v>42387.381944444445</v>
      </c>
      <c r="L414" s="11">
        <f t="shared" ca="1" si="24"/>
        <v>95.646527777775191</v>
      </c>
      <c r="M414" s="1">
        <f t="shared" si="25"/>
        <v>10</v>
      </c>
      <c r="N414" s="1">
        <f t="shared" si="26"/>
        <v>2015</v>
      </c>
      <c r="O414" s="1" t="str">
        <f t="shared" ca="1" si="27"/>
        <v>entre 90 e 150 dias</v>
      </c>
    </row>
    <row r="415" spans="1:15" ht="25.5" x14ac:dyDescent="0.2">
      <c r="A415" s="3" t="s">
        <v>8</v>
      </c>
      <c r="B415" s="4" t="s">
        <v>864</v>
      </c>
      <c r="C415" s="3" t="s">
        <v>581</v>
      </c>
      <c r="D415" s="3"/>
      <c r="E415" s="3" t="str">
        <f>VLOOKUP(B415,[1]general_report!$B$1:$I$713,8,0)</f>
        <v xml:space="preserve">Contax </v>
      </c>
      <c r="F415" s="3" t="str">
        <f>VLOOKUP(B415,[1]general_report!$B$1:$J$713,9,0)</f>
        <v xml:space="preserve"> Outro</v>
      </c>
      <c r="G415" s="3" t="s">
        <v>199</v>
      </c>
      <c r="H415" s="3" t="s">
        <v>199</v>
      </c>
      <c r="I415" s="3" t="s">
        <v>27</v>
      </c>
      <c r="J415" s="5">
        <v>42291.631944444445</v>
      </c>
      <c r="K415" s="5">
        <v>42387.382638888892</v>
      </c>
      <c r="L415" s="11">
        <f t="shared" ca="1" si="24"/>
        <v>95.750694444446708</v>
      </c>
      <c r="M415" s="1">
        <f t="shared" si="25"/>
        <v>10</v>
      </c>
      <c r="N415" s="1">
        <f t="shared" si="26"/>
        <v>2015</v>
      </c>
      <c r="O415" s="1" t="str">
        <f t="shared" ca="1" si="27"/>
        <v>entre 90 e 150 dias</v>
      </c>
    </row>
    <row r="416" spans="1:15" ht="15" x14ac:dyDescent="0.2">
      <c r="A416" s="3" t="s">
        <v>8</v>
      </c>
      <c r="B416" s="4" t="s">
        <v>865</v>
      </c>
      <c r="C416" s="3" t="s">
        <v>81</v>
      </c>
      <c r="D416" s="3"/>
      <c r="E416" s="3" t="str">
        <f>VLOOKUP(B416,[1]general_report!$B$1:$I$713,8,0)</f>
        <v xml:space="preserve">Oi </v>
      </c>
      <c r="F416" s="3" t="str">
        <f>VLOOKUP(B416,[1]general_report!$B$1:$J$713,9,0)</f>
        <v xml:space="preserve"> Oi SAC</v>
      </c>
      <c r="G416" s="3" t="s">
        <v>694</v>
      </c>
      <c r="H416" s="3" t="s">
        <v>694</v>
      </c>
      <c r="I416" s="3" t="s">
        <v>27</v>
      </c>
      <c r="J416" s="5">
        <v>42283.656944444447</v>
      </c>
      <c r="K416" s="5">
        <v>42383.620138888888</v>
      </c>
      <c r="L416" s="11">
        <f t="shared" ca="1" si="24"/>
        <v>99.963194444440887</v>
      </c>
      <c r="M416" s="1">
        <f t="shared" si="25"/>
        <v>10</v>
      </c>
      <c r="N416" s="1">
        <f t="shared" si="26"/>
        <v>2015</v>
      </c>
      <c r="O416" s="1" t="str">
        <f t="shared" ca="1" si="27"/>
        <v>entre 90 e 150 dias</v>
      </c>
    </row>
    <row r="417" spans="1:15" ht="38.25" x14ac:dyDescent="0.2">
      <c r="A417" s="3" t="s">
        <v>8</v>
      </c>
      <c r="B417" s="4" t="s">
        <v>866</v>
      </c>
      <c r="C417" s="3" t="s">
        <v>851</v>
      </c>
      <c r="D417" s="3"/>
      <c r="E417" s="3" t="str">
        <f>VLOOKUP(B417,[1]general_report!$B$1:$I$713,8,0)</f>
        <v xml:space="preserve">Contax </v>
      </c>
      <c r="F417" s="3" t="str">
        <f>VLOOKUP(B417,[1]general_report!$B$1:$J$713,9,0)</f>
        <v xml:space="preserve"> Outro</v>
      </c>
      <c r="G417" s="3" t="s">
        <v>199</v>
      </c>
      <c r="H417" s="3" t="s">
        <v>199</v>
      </c>
      <c r="I417" s="3" t="s">
        <v>27</v>
      </c>
      <c r="J417" s="5">
        <v>42264.713888888888</v>
      </c>
      <c r="K417" s="5">
        <v>42387.383333333331</v>
      </c>
      <c r="L417" s="11">
        <f t="shared" ca="1" si="24"/>
        <v>122.6694444444438</v>
      </c>
      <c r="M417" s="1">
        <f t="shared" si="25"/>
        <v>9</v>
      </c>
      <c r="N417" s="1">
        <f t="shared" si="26"/>
        <v>2015</v>
      </c>
      <c r="O417" s="1" t="str">
        <f t="shared" ca="1" si="27"/>
        <v>entre 90 e 150 dias</v>
      </c>
    </row>
    <row r="418" spans="1:15" ht="38.25" x14ac:dyDescent="0.2">
      <c r="A418" s="3" t="s">
        <v>8</v>
      </c>
      <c r="B418" s="4" t="s">
        <v>867</v>
      </c>
      <c r="C418" s="3" t="s">
        <v>583</v>
      </c>
      <c r="D418" s="3"/>
      <c r="E418" s="3" t="str">
        <f>VLOOKUP(B418,[1]general_report!$B$1:$I$713,8,0)</f>
        <v xml:space="preserve">Contax </v>
      </c>
      <c r="F418" s="3" t="str">
        <f>VLOOKUP(B418,[1]general_report!$B$1:$J$713,9,0)</f>
        <v xml:space="preserve"> Outro</v>
      </c>
      <c r="G418" s="3" t="s">
        <v>199</v>
      </c>
      <c r="H418" s="3" t="s">
        <v>199</v>
      </c>
      <c r="I418" s="3" t="s">
        <v>27</v>
      </c>
      <c r="J418" s="5">
        <v>42264.70208333333</v>
      </c>
      <c r="K418" s="5">
        <v>42387.383333333331</v>
      </c>
      <c r="L418" s="11">
        <f t="shared" ca="1" si="24"/>
        <v>122.68125000000146</v>
      </c>
      <c r="M418" s="1">
        <f t="shared" si="25"/>
        <v>9</v>
      </c>
      <c r="N418" s="1">
        <f t="shared" si="26"/>
        <v>2015</v>
      </c>
      <c r="O418" s="1" t="str">
        <f t="shared" ca="1" si="27"/>
        <v>entre 90 e 150 dias</v>
      </c>
    </row>
    <row r="419" spans="1:15" ht="15" x14ac:dyDescent="0.2">
      <c r="A419" s="3" t="s">
        <v>8</v>
      </c>
      <c r="B419" s="4" t="s">
        <v>868</v>
      </c>
      <c r="C419" s="3" t="s">
        <v>761</v>
      </c>
      <c r="D419" s="3"/>
      <c r="E419" s="3" t="str">
        <f>VLOOKUP(B419,[1]general_report!$B$1:$I$713,8,0)</f>
        <v xml:space="preserve">Contax </v>
      </c>
      <c r="F419" s="3" t="str">
        <f>VLOOKUP(B419,[1]general_report!$B$1:$J$713,9,0)</f>
        <v xml:space="preserve"> Outro</v>
      </c>
      <c r="G419" s="3" t="s">
        <v>199</v>
      </c>
      <c r="H419" s="3" t="s">
        <v>199</v>
      </c>
      <c r="I419" s="3" t="s">
        <v>27</v>
      </c>
      <c r="J419" s="5">
        <v>42223.601388888892</v>
      </c>
      <c r="K419" s="5">
        <v>42387.384722222225</v>
      </c>
      <c r="L419" s="11">
        <f t="shared" ca="1" si="24"/>
        <v>163.78333333333285</v>
      </c>
      <c r="M419" s="1">
        <f t="shared" si="25"/>
        <v>8</v>
      </c>
      <c r="N419" s="1">
        <f t="shared" si="26"/>
        <v>2015</v>
      </c>
      <c r="O419" s="1" t="str">
        <f t="shared" ca="1" si="27"/>
        <v>mais de 150 dias</v>
      </c>
    </row>
    <row r="420" spans="1:15" ht="15" x14ac:dyDescent="0.2">
      <c r="A420" s="3" t="s">
        <v>8</v>
      </c>
      <c r="B420" s="4" t="s">
        <v>869</v>
      </c>
      <c r="C420" s="3" t="s">
        <v>870</v>
      </c>
      <c r="D420" s="3"/>
      <c r="E420" s="3" t="str">
        <f>VLOOKUP(B420,[1]general_report!$B$1:$I$713,8,0)</f>
        <v xml:space="preserve">Itaú </v>
      </c>
      <c r="F420" s="3" t="str">
        <f>VLOOKUP(B420,[1]general_report!$B$1:$J$713,9,0)</f>
        <v xml:space="preserve"> Venda de Cartões</v>
      </c>
      <c r="G420" s="3" t="s">
        <v>199</v>
      </c>
      <c r="H420" s="3" t="s">
        <v>199</v>
      </c>
      <c r="I420" s="3" t="s">
        <v>27</v>
      </c>
      <c r="J420" s="5">
        <v>42137.597222222219</v>
      </c>
      <c r="K420" s="5">
        <v>42387.383333333331</v>
      </c>
      <c r="L420" s="11">
        <f t="shared" ca="1" si="24"/>
        <v>249.7861111111124</v>
      </c>
      <c r="M420" s="1">
        <f t="shared" si="25"/>
        <v>5</v>
      </c>
      <c r="N420" s="1">
        <f t="shared" si="26"/>
        <v>2015</v>
      </c>
      <c r="O420" s="1" t="str">
        <f t="shared" ca="1" si="27"/>
        <v>mais de 150 dias</v>
      </c>
    </row>
    <row r="421" spans="1:15" ht="15" x14ac:dyDescent="0.2">
      <c r="A421" s="3" t="s">
        <v>8</v>
      </c>
      <c r="B421" s="4" t="s">
        <v>871</v>
      </c>
      <c r="C421" s="3" t="s">
        <v>81</v>
      </c>
      <c r="D421" s="3"/>
      <c r="E421" s="3" t="str">
        <f>VLOOKUP(B421,[1]general_report!$B$1:$I$713,8,0)</f>
        <v xml:space="preserve">Contax </v>
      </c>
      <c r="F421" s="3" t="str">
        <f>VLOOKUP(B421,[1]general_report!$B$1:$J$713,9,0)</f>
        <v xml:space="preserve"> Ger Implantação</v>
      </c>
      <c r="G421" s="3" t="s">
        <v>872</v>
      </c>
      <c r="H421" s="3" t="s">
        <v>873</v>
      </c>
      <c r="I421" s="3" t="s">
        <v>13</v>
      </c>
      <c r="J421" s="5">
        <v>42226.624305555553</v>
      </c>
      <c r="K421" s="3"/>
      <c r="L421" s="11">
        <f t="shared" ca="1" si="24"/>
        <v>206.37569444444671</v>
      </c>
      <c r="M421" s="1">
        <f t="shared" si="25"/>
        <v>8</v>
      </c>
      <c r="N421" s="1">
        <f t="shared" si="26"/>
        <v>2015</v>
      </c>
      <c r="O421" s="1" t="str">
        <f t="shared" ca="1" si="27"/>
        <v>mais de 150 dias</v>
      </c>
    </row>
    <row r="422" spans="1:15" ht="25.5" x14ac:dyDescent="0.2">
      <c r="A422" s="3" t="s">
        <v>8</v>
      </c>
      <c r="B422" s="4" t="s">
        <v>874</v>
      </c>
      <c r="C422" s="3" t="s">
        <v>875</v>
      </c>
      <c r="D422" s="3"/>
      <c r="E422" s="3" t="str">
        <f>VLOOKUP(B422,[1]general_report!$B$1:$I$713,8,0)</f>
        <v xml:space="preserve">Contax </v>
      </c>
      <c r="F422" s="3" t="str">
        <f>VLOOKUP(B422,[1]general_report!$B$1:$J$713,9,0)</f>
        <v xml:space="preserve"> Dir. Clientes Premium</v>
      </c>
      <c r="G422" s="3" t="s">
        <v>752</v>
      </c>
      <c r="H422" s="3" t="s">
        <v>752</v>
      </c>
      <c r="I422" s="3" t="s">
        <v>7</v>
      </c>
      <c r="J422" s="5">
        <v>42412.400694444441</v>
      </c>
      <c r="K422" s="5">
        <v>42417.779166666667</v>
      </c>
      <c r="L422" s="11">
        <f t="shared" ca="1" si="24"/>
        <v>5.3784722222262644</v>
      </c>
      <c r="M422" s="1">
        <f t="shared" si="25"/>
        <v>2</v>
      </c>
      <c r="N422" s="1">
        <f t="shared" si="26"/>
        <v>2016</v>
      </c>
      <c r="O422" s="1" t="str">
        <f t="shared" ca="1" si="27"/>
        <v>menos 1 mês</v>
      </c>
    </row>
    <row r="423" spans="1:15" ht="25.5" x14ac:dyDescent="0.2">
      <c r="A423" s="3" t="s">
        <v>8</v>
      </c>
      <c r="B423" s="4" t="s">
        <v>876</v>
      </c>
      <c r="C423" s="3" t="s">
        <v>877</v>
      </c>
      <c r="D423" s="3"/>
      <c r="E423" s="3" t="str">
        <f>VLOOKUP(B423,[1]general_report!$B$1:$I$713,8,0)</f>
        <v xml:space="preserve">Contax </v>
      </c>
      <c r="F423" s="3" t="str">
        <f>VLOOKUP(B423,[1]general_report!$B$1:$J$713,9,0)</f>
        <v xml:space="preserve"> Dir. Clientes Premium</v>
      </c>
      <c r="G423" s="3" t="s">
        <v>11</v>
      </c>
      <c r="H423" s="3" t="s">
        <v>752</v>
      </c>
      <c r="I423" s="3" t="s">
        <v>13</v>
      </c>
      <c r="J423" s="5">
        <v>42403.436805555553</v>
      </c>
      <c r="K423" s="3"/>
      <c r="L423" s="11">
        <f t="shared" ca="1" si="24"/>
        <v>29.563194444446708</v>
      </c>
      <c r="M423" s="1">
        <f t="shared" si="25"/>
        <v>2</v>
      </c>
      <c r="N423" s="1">
        <f t="shared" si="26"/>
        <v>2016</v>
      </c>
      <c r="O423" s="1" t="str">
        <f t="shared" ca="1" si="27"/>
        <v>menos 1 mês</v>
      </c>
    </row>
    <row r="424" spans="1:15" ht="25.5" x14ac:dyDescent="0.2">
      <c r="A424" s="3" t="s">
        <v>8</v>
      </c>
      <c r="B424" s="4" t="s">
        <v>878</v>
      </c>
      <c r="C424" s="3" t="s">
        <v>879</v>
      </c>
      <c r="D424" s="3"/>
      <c r="E424" s="3" t="str">
        <f>VLOOKUP(B424,[1]general_report!$B$1:$I$713,8,0)</f>
        <v xml:space="preserve">Contax </v>
      </c>
      <c r="F424" s="3" t="str">
        <f>VLOOKUP(B424,[1]general_report!$B$1:$J$713,9,0)</f>
        <v xml:space="preserve"> Dir. Clientes Premium</v>
      </c>
      <c r="G424" s="3" t="s">
        <v>11</v>
      </c>
      <c r="H424" s="3" t="s">
        <v>752</v>
      </c>
      <c r="I424" s="3" t="s">
        <v>13</v>
      </c>
      <c r="J424" s="5">
        <v>42398.690972222219</v>
      </c>
      <c r="K424" s="3"/>
      <c r="L424" s="11">
        <f t="shared" ca="1" si="24"/>
        <v>34.309027777781012</v>
      </c>
      <c r="M424" s="1">
        <f t="shared" si="25"/>
        <v>1</v>
      </c>
      <c r="N424" s="1">
        <f t="shared" si="26"/>
        <v>2016</v>
      </c>
      <c r="O424" s="1" t="str">
        <f t="shared" ca="1" si="27"/>
        <v>entre 30 e 60 dias</v>
      </c>
    </row>
    <row r="425" spans="1:15" ht="25.5" x14ac:dyDescent="0.2">
      <c r="A425" s="3" t="s">
        <v>8</v>
      </c>
      <c r="B425" s="4" t="s">
        <v>880</v>
      </c>
      <c r="C425" s="3" t="s">
        <v>881</v>
      </c>
      <c r="D425" s="3"/>
      <c r="E425" s="3" t="str">
        <f>VLOOKUP(B425,[1]general_report!$B$1:$I$713,8,0)</f>
        <v xml:space="preserve">Souza Cruz </v>
      </c>
      <c r="F425" s="3" t="str">
        <f>VLOOKUP(B425,[1]general_report!$B$1:$J$713,9,0)</f>
        <v xml:space="preserve"> Souza Cruz</v>
      </c>
      <c r="G425" s="3" t="s">
        <v>11</v>
      </c>
      <c r="H425" s="3" t="s">
        <v>752</v>
      </c>
      <c r="I425" s="3" t="s">
        <v>13</v>
      </c>
      <c r="J425" s="5">
        <v>42397.425694444442</v>
      </c>
      <c r="K425" s="3"/>
      <c r="L425" s="11">
        <f t="shared" ca="1" si="24"/>
        <v>35.574305555557657</v>
      </c>
      <c r="M425" s="1">
        <f t="shared" si="25"/>
        <v>1</v>
      </c>
      <c r="N425" s="1">
        <f t="shared" si="26"/>
        <v>2016</v>
      </c>
      <c r="O425" s="1" t="str">
        <f t="shared" ca="1" si="27"/>
        <v>entre 30 e 60 dias</v>
      </c>
    </row>
    <row r="426" spans="1:15" ht="25.5" x14ac:dyDescent="0.2">
      <c r="A426" s="3" t="s">
        <v>8</v>
      </c>
      <c r="B426" s="4" t="s">
        <v>882</v>
      </c>
      <c r="C426" s="3" t="s">
        <v>883</v>
      </c>
      <c r="D426" s="3"/>
      <c r="E426" s="3" t="str">
        <f>VLOOKUP(B426,[1]general_report!$B$1:$I$713,8,0)</f>
        <v xml:space="preserve">Souza Cruz </v>
      </c>
      <c r="F426" s="3" t="str">
        <f>VLOOKUP(B426,[1]general_report!$B$1:$J$713,9,0)</f>
        <v xml:space="preserve"> Souza Cruz</v>
      </c>
      <c r="G426" s="3" t="s">
        <v>11</v>
      </c>
      <c r="H426" s="3" t="s">
        <v>752</v>
      </c>
      <c r="I426" s="3" t="s">
        <v>13</v>
      </c>
      <c r="J426" s="5">
        <v>42381.59652777778</v>
      </c>
      <c r="K426" s="3"/>
      <c r="L426" s="11">
        <f t="shared" ca="1" si="24"/>
        <v>51.403472222220444</v>
      </c>
      <c r="M426" s="1">
        <f t="shared" si="25"/>
        <v>1</v>
      </c>
      <c r="N426" s="1">
        <f t="shared" si="26"/>
        <v>2016</v>
      </c>
      <c r="O426" s="1" t="str">
        <f t="shared" ca="1" si="27"/>
        <v>entre 30 e 60 dias</v>
      </c>
    </row>
    <row r="427" spans="1:15" ht="25.5" x14ac:dyDescent="0.2">
      <c r="A427" s="3" t="s">
        <v>8</v>
      </c>
      <c r="B427" s="4" t="s">
        <v>884</v>
      </c>
      <c r="C427" s="3" t="s">
        <v>885</v>
      </c>
      <c r="D427" s="3"/>
      <c r="E427" s="3" t="str">
        <f>VLOOKUP(B427,[1]general_report!$B$1:$I$713,8,0)</f>
        <v xml:space="preserve">Contax </v>
      </c>
      <c r="F427" s="3" t="str">
        <f>VLOOKUP(B427,[1]general_report!$B$1:$J$713,9,0)</f>
        <v xml:space="preserve"> Dir. Clientes Premium</v>
      </c>
      <c r="G427" s="3" t="s">
        <v>752</v>
      </c>
      <c r="H427" s="3" t="s">
        <v>752</v>
      </c>
      <c r="I427" s="3" t="s">
        <v>27</v>
      </c>
      <c r="J427" s="5">
        <v>42276.40625</v>
      </c>
      <c r="K427" s="5">
        <v>42390.71875</v>
      </c>
      <c r="L427" s="11">
        <f t="shared" ca="1" si="24"/>
        <v>114.3125</v>
      </c>
      <c r="M427" s="1">
        <f t="shared" si="25"/>
        <v>9</v>
      </c>
      <c r="N427" s="1">
        <f t="shared" si="26"/>
        <v>2015</v>
      </c>
      <c r="O427" s="1" t="str">
        <f t="shared" ca="1" si="27"/>
        <v>entre 90 e 150 dias</v>
      </c>
    </row>
    <row r="428" spans="1:15" ht="25.5" x14ac:dyDescent="0.2">
      <c r="A428" s="3" t="s">
        <v>8</v>
      </c>
      <c r="B428" s="4" t="s">
        <v>886</v>
      </c>
      <c r="C428" s="3" t="s">
        <v>887</v>
      </c>
      <c r="D428" s="3"/>
      <c r="E428" s="3" t="str">
        <f>VLOOKUP(B428,[1]general_report!$B$1:$I$713,8,0)</f>
        <v xml:space="preserve">Souza Cruz </v>
      </c>
      <c r="F428" s="3" t="str">
        <f>VLOOKUP(B428,[1]general_report!$B$1:$J$713,9,0)</f>
        <v xml:space="preserve"> Souza Cruz</v>
      </c>
      <c r="G428" s="3" t="s">
        <v>419</v>
      </c>
      <c r="H428" s="3" t="s">
        <v>752</v>
      </c>
      <c r="I428" s="3" t="s">
        <v>207</v>
      </c>
      <c r="J428" s="5">
        <v>42250.65347222222</v>
      </c>
      <c r="K428" s="3"/>
      <c r="L428" s="11">
        <f t="shared" ca="1" si="24"/>
        <v>182.34652777777956</v>
      </c>
      <c r="M428" s="1">
        <f t="shared" si="25"/>
        <v>9</v>
      </c>
      <c r="N428" s="1">
        <f t="shared" si="26"/>
        <v>2015</v>
      </c>
      <c r="O428" s="1" t="str">
        <f t="shared" ca="1" si="27"/>
        <v>mais de 150 dias</v>
      </c>
    </row>
    <row r="429" spans="1:15" ht="25.5" x14ac:dyDescent="0.2">
      <c r="A429" s="3" t="s">
        <v>8</v>
      </c>
      <c r="B429" s="4" t="s">
        <v>888</v>
      </c>
      <c r="C429" s="3" t="s">
        <v>889</v>
      </c>
      <c r="D429" s="3"/>
      <c r="E429" s="3" t="str">
        <f>VLOOKUP(B429,[1]general_report!$B$1:$I$713,8,0)</f>
        <v xml:space="preserve">Contax </v>
      </c>
      <c r="F429" s="3" t="str">
        <f>VLOOKUP(B429,[1]general_report!$B$1:$J$713,9,0)</f>
        <v xml:space="preserve"> Dir. Clientes Premium</v>
      </c>
      <c r="G429" s="3" t="s">
        <v>752</v>
      </c>
      <c r="H429" s="3" t="s">
        <v>752</v>
      </c>
      <c r="I429" s="3" t="s">
        <v>27</v>
      </c>
      <c r="J429" s="5">
        <v>42240.420138888891</v>
      </c>
      <c r="K429" s="5">
        <v>42382.652777777781</v>
      </c>
      <c r="L429" s="11">
        <f t="shared" ca="1" si="24"/>
        <v>142.23263888889051</v>
      </c>
      <c r="M429" s="1">
        <f t="shared" si="25"/>
        <v>8</v>
      </c>
      <c r="N429" s="1">
        <f t="shared" si="26"/>
        <v>2015</v>
      </c>
      <c r="O429" s="1" t="str">
        <f t="shared" ca="1" si="27"/>
        <v>entre 90 e 150 dias</v>
      </c>
    </row>
    <row r="430" spans="1:15" ht="25.5" x14ac:dyDescent="0.2">
      <c r="A430" s="3" t="s">
        <v>8</v>
      </c>
      <c r="B430" s="4" t="s">
        <v>890</v>
      </c>
      <c r="C430" s="3" t="s">
        <v>891</v>
      </c>
      <c r="D430" s="3"/>
      <c r="E430" s="3" t="str">
        <f>VLOOKUP(B430,[1]general_report!$B$1:$I$713,8,0)</f>
        <v xml:space="preserve">Contax </v>
      </c>
      <c r="F430" s="3" t="str">
        <f>VLOOKUP(B430,[1]general_report!$B$1:$J$713,9,0)</f>
        <v xml:space="preserve"> Dir. Clientes Premium</v>
      </c>
      <c r="G430" s="3" t="s">
        <v>752</v>
      </c>
      <c r="H430" s="3" t="s">
        <v>752</v>
      </c>
      <c r="I430" s="3" t="s">
        <v>27</v>
      </c>
      <c r="J430" s="5">
        <v>42206.638888888891</v>
      </c>
      <c r="K430" s="5">
        <v>42377.698611111111</v>
      </c>
      <c r="L430" s="11">
        <f t="shared" ca="1" si="24"/>
        <v>171.05972222222044</v>
      </c>
      <c r="M430" s="1">
        <f t="shared" si="25"/>
        <v>7</v>
      </c>
      <c r="N430" s="1">
        <f t="shared" si="26"/>
        <v>2015</v>
      </c>
      <c r="O430" s="1" t="str">
        <f t="shared" ca="1" si="27"/>
        <v>mais de 150 dias</v>
      </c>
    </row>
    <row r="431" spans="1:15" ht="38.25" x14ac:dyDescent="0.2">
      <c r="A431" s="3" t="s">
        <v>8</v>
      </c>
      <c r="B431" s="4" t="s">
        <v>892</v>
      </c>
      <c r="C431" s="3" t="s">
        <v>893</v>
      </c>
      <c r="D431" s="3"/>
      <c r="E431" s="3" t="str">
        <f>VLOOKUP(B431,[1]general_report!$B$1:$I$713,8,0)</f>
        <v xml:space="preserve">Contax </v>
      </c>
      <c r="F431" s="3" t="str">
        <f>VLOOKUP(B431,[1]general_report!$B$1:$J$713,9,0)</f>
        <v xml:space="preserve"> Dir. Clientes Premium</v>
      </c>
      <c r="G431" s="3" t="s">
        <v>752</v>
      </c>
      <c r="H431" s="3" t="s">
        <v>752</v>
      </c>
      <c r="I431" s="3" t="s">
        <v>27</v>
      </c>
      <c r="J431" s="5">
        <v>42205.430555555555</v>
      </c>
      <c r="K431" s="5">
        <v>42377.491666666669</v>
      </c>
      <c r="L431" s="11">
        <f t="shared" ca="1" si="24"/>
        <v>172.06111111111386</v>
      </c>
      <c r="M431" s="1">
        <f t="shared" si="25"/>
        <v>7</v>
      </c>
      <c r="N431" s="1">
        <f t="shared" si="26"/>
        <v>2015</v>
      </c>
      <c r="O431" s="1" t="str">
        <f t="shared" ca="1" si="27"/>
        <v>mais de 150 dias</v>
      </c>
    </row>
    <row r="432" spans="1:15" ht="25.5" x14ac:dyDescent="0.2">
      <c r="A432" s="3" t="s">
        <v>8</v>
      </c>
      <c r="B432" s="4" t="s">
        <v>894</v>
      </c>
      <c r="C432" s="3" t="s">
        <v>895</v>
      </c>
      <c r="D432" s="3"/>
      <c r="E432" s="3" t="str">
        <f>VLOOKUP(B432,[1]general_report!$B$1:$I$713,8,0)</f>
        <v xml:space="preserve">Net </v>
      </c>
      <c r="F432" s="3" t="str">
        <f>VLOOKUP(B432,[1]general_report!$B$1:$J$713,9,0)</f>
        <v xml:space="preserve"> Outras Ocorrências</v>
      </c>
      <c r="G432" s="3" t="s">
        <v>34</v>
      </c>
      <c r="H432" s="3" t="s">
        <v>34</v>
      </c>
      <c r="I432" s="3" t="s">
        <v>27</v>
      </c>
      <c r="J432" s="5">
        <v>42181.831250000003</v>
      </c>
      <c r="K432" s="5">
        <v>42353.486111111109</v>
      </c>
      <c r="L432" s="11">
        <f t="shared" ca="1" si="24"/>
        <v>171.65486111110658</v>
      </c>
      <c r="M432" s="1">
        <f t="shared" si="25"/>
        <v>6</v>
      </c>
      <c r="N432" s="1">
        <f t="shared" si="26"/>
        <v>2015</v>
      </c>
      <c r="O432" s="1" t="str">
        <f t="shared" ca="1" si="27"/>
        <v>mais de 150 dias</v>
      </c>
    </row>
    <row r="433" spans="1:15" ht="15" x14ac:dyDescent="0.2">
      <c r="A433" s="3" t="s">
        <v>8</v>
      </c>
      <c r="B433" s="4" t="s">
        <v>896</v>
      </c>
      <c r="C433" s="3" t="s">
        <v>897</v>
      </c>
      <c r="D433" s="3"/>
      <c r="E433" s="3" t="str">
        <f>VLOOKUP(B433,[1]general_report!$B$1:$I$713,8,0)</f>
        <v xml:space="preserve">Net </v>
      </c>
      <c r="F433" s="3" t="str">
        <f>VLOOKUP(B433,[1]general_report!$B$1:$J$713,9,0)</f>
        <v xml:space="preserve"> Outras Ocorrências</v>
      </c>
      <c r="G433" s="3" t="s">
        <v>419</v>
      </c>
      <c r="H433" s="3" t="s">
        <v>34</v>
      </c>
      <c r="I433" s="3" t="s">
        <v>13</v>
      </c>
      <c r="J433" s="5">
        <v>42178.833333333336</v>
      </c>
      <c r="K433" s="3"/>
      <c r="L433" s="11">
        <f t="shared" ca="1" si="24"/>
        <v>254.16666666666424</v>
      </c>
      <c r="M433" s="1">
        <f t="shared" si="25"/>
        <v>6</v>
      </c>
      <c r="N433" s="1">
        <f t="shared" si="26"/>
        <v>2015</v>
      </c>
      <c r="O433" s="1" t="str">
        <f t="shared" ca="1" si="27"/>
        <v>mais de 150 dias</v>
      </c>
    </row>
    <row r="434" spans="1:15" ht="15" x14ac:dyDescent="0.2">
      <c r="A434" s="3" t="s">
        <v>8</v>
      </c>
      <c r="B434" s="4" t="s">
        <v>898</v>
      </c>
      <c r="C434" s="3" t="s">
        <v>899</v>
      </c>
      <c r="D434" s="3"/>
      <c r="E434" s="3" t="str">
        <f>VLOOKUP(B434,[1]general_report!$B$1:$I$713,8,0)</f>
        <v xml:space="preserve">Net </v>
      </c>
      <c r="F434" s="3" t="str">
        <f>VLOOKUP(B434,[1]general_report!$B$1:$J$713,9,0)</f>
        <v xml:space="preserve"> Outras Ocorrências</v>
      </c>
      <c r="G434" s="3" t="s">
        <v>419</v>
      </c>
      <c r="H434" s="3" t="s">
        <v>34</v>
      </c>
      <c r="I434" s="3" t="s">
        <v>13</v>
      </c>
      <c r="J434" s="5">
        <v>42178.823611111111</v>
      </c>
      <c r="K434" s="3"/>
      <c r="L434" s="11">
        <f t="shared" ca="1" si="24"/>
        <v>254.17638888888905</v>
      </c>
      <c r="M434" s="1">
        <f t="shared" si="25"/>
        <v>6</v>
      </c>
      <c r="N434" s="1">
        <f t="shared" si="26"/>
        <v>2015</v>
      </c>
      <c r="O434" s="1" t="str">
        <f t="shared" ca="1" si="27"/>
        <v>mais de 150 dias</v>
      </c>
    </row>
    <row r="435" spans="1:15" ht="25.5" x14ac:dyDescent="0.2">
      <c r="A435" s="3" t="s">
        <v>8</v>
      </c>
      <c r="B435" s="4" t="s">
        <v>900</v>
      </c>
      <c r="C435" s="3" t="s">
        <v>901</v>
      </c>
      <c r="D435" s="3"/>
      <c r="E435" s="3" t="str">
        <f>VLOOKUP(B435,[1]general_report!$B$1:$I$713,8,0)</f>
        <v xml:space="preserve">Contax </v>
      </c>
      <c r="F435" s="3" t="str">
        <f>VLOOKUP(B435,[1]general_report!$B$1:$J$713,9,0)</f>
        <v xml:space="preserve"> Dir. Clientes Premium</v>
      </c>
      <c r="G435" s="3" t="s">
        <v>902</v>
      </c>
      <c r="H435" s="3" t="s">
        <v>752</v>
      </c>
      <c r="I435" s="3" t="s">
        <v>48</v>
      </c>
      <c r="J435" s="5">
        <v>42117.663194444445</v>
      </c>
      <c r="K435" s="3"/>
      <c r="L435" s="11">
        <f t="shared" ca="1" si="24"/>
        <v>315.33680555555475</v>
      </c>
      <c r="M435" s="1">
        <f t="shared" si="25"/>
        <v>4</v>
      </c>
      <c r="N435" s="1">
        <f t="shared" si="26"/>
        <v>2015</v>
      </c>
      <c r="O435" s="1" t="str">
        <f t="shared" ca="1" si="27"/>
        <v>mais de 150 dias</v>
      </c>
    </row>
    <row r="436" spans="1:15" ht="25.5" x14ac:dyDescent="0.2">
      <c r="A436" s="3" t="s">
        <v>8</v>
      </c>
      <c r="B436" s="4" t="s">
        <v>903</v>
      </c>
      <c r="C436" s="3" t="s">
        <v>904</v>
      </c>
      <c r="D436" s="3"/>
      <c r="E436" s="3" t="str">
        <f>VLOOKUP(B436,[1]general_report!$B$1:$I$713,8,0)</f>
        <v xml:space="preserve">Net </v>
      </c>
      <c r="F436" s="3" t="str">
        <f>VLOOKUP(B436,[1]general_report!$B$1:$J$713,9,0)</f>
        <v xml:space="preserve"> Outras Ocorrências</v>
      </c>
      <c r="G436" s="3" t="s">
        <v>34</v>
      </c>
      <c r="H436" s="3" t="s">
        <v>34</v>
      </c>
      <c r="I436" s="3" t="s">
        <v>27</v>
      </c>
      <c r="J436" s="5">
        <v>42090.722222222219</v>
      </c>
      <c r="K436" s="5">
        <v>42353.536805555559</v>
      </c>
      <c r="L436" s="11">
        <f t="shared" ca="1" si="24"/>
        <v>262.81458333334012</v>
      </c>
      <c r="M436" s="1">
        <f t="shared" si="25"/>
        <v>3</v>
      </c>
      <c r="N436" s="1">
        <f t="shared" si="26"/>
        <v>2015</v>
      </c>
      <c r="O436" s="1" t="str">
        <f t="shared" ca="1" si="27"/>
        <v>mais de 150 dias</v>
      </c>
    </row>
    <row r="437" spans="1:15" ht="25.5" x14ac:dyDescent="0.2">
      <c r="A437" s="3" t="s">
        <v>8</v>
      </c>
      <c r="B437" s="4" t="s">
        <v>905</v>
      </c>
      <c r="C437" s="3" t="s">
        <v>906</v>
      </c>
      <c r="D437" s="3"/>
      <c r="E437" s="3" t="str">
        <f>VLOOKUP(B437,[1]general_report!$B$1:$I$713,8,0)</f>
        <v xml:space="preserve">Net </v>
      </c>
      <c r="F437" s="3" t="str">
        <f>VLOOKUP(B437,[1]general_report!$B$1:$J$713,9,0)</f>
        <v xml:space="preserve"> Outras Ocorrências</v>
      </c>
      <c r="G437" s="3" t="s">
        <v>402</v>
      </c>
      <c r="H437" s="3" t="s">
        <v>34</v>
      </c>
      <c r="I437" s="3" t="s">
        <v>48</v>
      </c>
      <c r="J437" s="5">
        <v>42090.719444444447</v>
      </c>
      <c r="K437" s="3"/>
      <c r="L437" s="11">
        <f t="shared" ca="1" si="24"/>
        <v>342.28055555555329</v>
      </c>
      <c r="M437" s="1">
        <f t="shared" si="25"/>
        <v>3</v>
      </c>
      <c r="N437" s="1">
        <f t="shared" si="26"/>
        <v>2015</v>
      </c>
      <c r="O437" s="1" t="str">
        <f t="shared" ca="1" si="27"/>
        <v>mais de 150 dias</v>
      </c>
    </row>
    <row r="438" spans="1:15" ht="15" x14ac:dyDescent="0.2">
      <c r="A438" s="3" t="s">
        <v>8</v>
      </c>
      <c r="B438" s="4" t="s">
        <v>907</v>
      </c>
      <c r="C438" s="3" t="s">
        <v>908</v>
      </c>
      <c r="D438" s="3"/>
      <c r="E438" s="3" t="str">
        <f>VLOOKUP(B438,[1]general_report!$B$1:$I$713,8,0)</f>
        <v xml:space="preserve">Contax </v>
      </c>
      <c r="F438" s="3" t="str">
        <f>VLOOKUP(B438,[1]general_report!$B$1:$J$713,9,0)</f>
        <v xml:space="preserve"> Dir. Oi</v>
      </c>
      <c r="G438" s="3" t="s">
        <v>11</v>
      </c>
      <c r="H438" s="3" t="s">
        <v>909</v>
      </c>
      <c r="I438" s="3" t="s">
        <v>13</v>
      </c>
      <c r="J438" s="5">
        <v>42418.564583333333</v>
      </c>
      <c r="K438" s="3"/>
      <c r="L438" s="11">
        <f t="shared" ca="1" si="24"/>
        <v>14.435416666667152</v>
      </c>
      <c r="M438" s="1">
        <f t="shared" si="25"/>
        <v>2</v>
      </c>
      <c r="N438" s="1">
        <f t="shared" si="26"/>
        <v>2016</v>
      </c>
      <c r="O438" s="1" t="str">
        <f t="shared" ca="1" si="27"/>
        <v>menos 1 mês</v>
      </c>
    </row>
    <row r="439" spans="1:15" ht="15" x14ac:dyDescent="0.2">
      <c r="A439" s="3" t="s">
        <v>8</v>
      </c>
      <c r="B439" s="4" t="s">
        <v>910</v>
      </c>
      <c r="C439" s="3" t="s">
        <v>911</v>
      </c>
      <c r="D439" s="3"/>
      <c r="E439" s="3" t="str">
        <f>VLOOKUP(B439,[1]general_report!$B$1:$I$713,8,0)</f>
        <v xml:space="preserve">Contax </v>
      </c>
      <c r="F439" s="3" t="str">
        <f>VLOOKUP(B439,[1]general_report!$B$1:$J$713,9,0)</f>
        <v xml:space="preserve"> Dir. Oi</v>
      </c>
      <c r="G439" s="3" t="s">
        <v>11</v>
      </c>
      <c r="H439" s="3" t="s">
        <v>909</v>
      </c>
      <c r="I439" s="3" t="s">
        <v>13</v>
      </c>
      <c r="J439" s="5">
        <v>42418.540277777778</v>
      </c>
      <c r="K439" s="3"/>
      <c r="L439" s="11">
        <f t="shared" ca="1" si="24"/>
        <v>14.459722222221899</v>
      </c>
      <c r="M439" s="1">
        <f t="shared" si="25"/>
        <v>2</v>
      </c>
      <c r="N439" s="1">
        <f t="shared" si="26"/>
        <v>2016</v>
      </c>
      <c r="O439" s="1" t="str">
        <f t="shared" ca="1" si="27"/>
        <v>menos 1 mês</v>
      </c>
    </row>
    <row r="440" spans="1:15" ht="25.5" x14ac:dyDescent="0.2">
      <c r="A440" s="3" t="s">
        <v>8</v>
      </c>
      <c r="B440" s="4" t="s">
        <v>912</v>
      </c>
      <c r="C440" s="3" t="s">
        <v>913</v>
      </c>
      <c r="D440" s="3"/>
      <c r="E440" s="3" t="str">
        <f>VLOOKUP(B440,[1]general_report!$B$1:$I$713,8,0)</f>
        <v xml:space="preserve">Contax </v>
      </c>
      <c r="F440" s="3" t="str">
        <f>VLOOKUP(B440,[1]general_report!$B$1:$J$713,9,0)</f>
        <v xml:space="preserve"> Dir. Oi</v>
      </c>
      <c r="G440" s="3" t="s">
        <v>11</v>
      </c>
      <c r="H440" s="3" t="s">
        <v>704</v>
      </c>
      <c r="I440" s="3" t="s">
        <v>13</v>
      </c>
      <c r="J440" s="5">
        <v>42416.555555555555</v>
      </c>
      <c r="K440" s="3"/>
      <c r="L440" s="11">
        <f t="shared" ca="1" si="24"/>
        <v>16.444444444445253</v>
      </c>
      <c r="M440" s="1">
        <f t="shared" si="25"/>
        <v>2</v>
      </c>
      <c r="N440" s="1">
        <f t="shared" si="26"/>
        <v>2016</v>
      </c>
      <c r="O440" s="1" t="str">
        <f t="shared" ca="1" si="27"/>
        <v>menos 1 mês</v>
      </c>
    </row>
    <row r="441" spans="1:15" ht="15" x14ac:dyDescent="0.2">
      <c r="A441" s="3" t="s">
        <v>8</v>
      </c>
      <c r="B441" s="4" t="s">
        <v>914</v>
      </c>
      <c r="C441" s="3" t="s">
        <v>915</v>
      </c>
      <c r="D441" s="3"/>
      <c r="E441" s="3" t="str">
        <f>VLOOKUP(B441,[1]general_report!$B$1:$I$713,8,0)</f>
        <v xml:space="preserve">Contax </v>
      </c>
      <c r="F441" s="3" t="str">
        <f>VLOOKUP(B441,[1]general_report!$B$1:$J$713,9,0)</f>
        <v xml:space="preserve"> Dir. Oi</v>
      </c>
      <c r="G441" s="3" t="s">
        <v>11</v>
      </c>
      <c r="H441" s="3" t="s">
        <v>704</v>
      </c>
      <c r="I441" s="3" t="s">
        <v>13</v>
      </c>
      <c r="J441" s="5">
        <v>42416.552083333336</v>
      </c>
      <c r="K441" s="3"/>
      <c r="L441" s="11">
        <f t="shared" ca="1" si="24"/>
        <v>16.447916666664241</v>
      </c>
      <c r="M441" s="1">
        <f t="shared" si="25"/>
        <v>2</v>
      </c>
      <c r="N441" s="1">
        <f t="shared" si="26"/>
        <v>2016</v>
      </c>
      <c r="O441" s="1" t="str">
        <f t="shared" ca="1" si="27"/>
        <v>menos 1 mês</v>
      </c>
    </row>
    <row r="442" spans="1:15" ht="25.5" x14ac:dyDescent="0.2">
      <c r="A442" s="3" t="s">
        <v>8</v>
      </c>
      <c r="B442" s="4" t="s">
        <v>916</v>
      </c>
      <c r="C442" s="3" t="s">
        <v>917</v>
      </c>
      <c r="D442" s="3"/>
      <c r="E442" s="3" t="str">
        <f>VLOOKUP(B442,[1]general_report!$B$1:$I$713,8,0)</f>
        <v xml:space="preserve">Contax </v>
      </c>
      <c r="F442" s="3" t="str">
        <f>VLOOKUP(B442,[1]general_report!$B$1:$J$713,9,0)</f>
        <v xml:space="preserve"> Dir. Oi</v>
      </c>
      <c r="G442" s="3" t="s">
        <v>11</v>
      </c>
      <c r="H442" s="3" t="s">
        <v>704</v>
      </c>
      <c r="I442" s="3" t="s">
        <v>13</v>
      </c>
      <c r="J442" s="5">
        <v>42416.544444444444</v>
      </c>
      <c r="K442" s="3"/>
      <c r="L442" s="11">
        <f t="shared" ca="1" si="24"/>
        <v>16.455555555556202</v>
      </c>
      <c r="M442" s="1">
        <f t="shared" si="25"/>
        <v>2</v>
      </c>
      <c r="N442" s="1">
        <f t="shared" si="26"/>
        <v>2016</v>
      </c>
      <c r="O442" s="1" t="str">
        <f t="shared" ca="1" si="27"/>
        <v>menos 1 mês</v>
      </c>
    </row>
    <row r="443" spans="1:15" ht="25.5" x14ac:dyDescent="0.2">
      <c r="A443" s="3" t="s">
        <v>8</v>
      </c>
      <c r="B443" s="4" t="s">
        <v>918</v>
      </c>
      <c r="C443" s="3" t="s">
        <v>919</v>
      </c>
      <c r="D443" s="3"/>
      <c r="E443" s="3" t="str">
        <f>VLOOKUP(B443,[1]general_report!$B$1:$I$713,8,0)</f>
        <v xml:space="preserve">Contax </v>
      </c>
      <c r="F443" s="3" t="str">
        <f>VLOOKUP(B443,[1]general_report!$B$1:$J$713,9,0)</f>
        <v xml:space="preserve"> Dir. Oi</v>
      </c>
      <c r="G443" s="3" t="s">
        <v>11</v>
      </c>
      <c r="H443" s="3" t="s">
        <v>909</v>
      </c>
      <c r="I443" s="3" t="s">
        <v>13</v>
      </c>
      <c r="J443" s="5">
        <v>42412.572916666664</v>
      </c>
      <c r="K443" s="3"/>
      <c r="L443" s="11">
        <f t="shared" ca="1" si="24"/>
        <v>20.427083333335759</v>
      </c>
      <c r="M443" s="1">
        <f t="shared" si="25"/>
        <v>2</v>
      </c>
      <c r="N443" s="1">
        <f t="shared" si="26"/>
        <v>2016</v>
      </c>
      <c r="O443" s="1" t="str">
        <f t="shared" ca="1" si="27"/>
        <v>menos 1 mês</v>
      </c>
    </row>
    <row r="444" spans="1:15" ht="51" x14ac:dyDescent="0.2">
      <c r="A444" s="3" t="s">
        <v>8</v>
      </c>
      <c r="B444" s="4" t="s">
        <v>920</v>
      </c>
      <c r="C444" s="3" t="s">
        <v>921</v>
      </c>
      <c r="D444" s="3"/>
      <c r="E444" s="3" t="str">
        <f>VLOOKUP(B444,[1]general_report!$B$1:$I$713,8,0)</f>
        <v xml:space="preserve">Contax </v>
      </c>
      <c r="F444" s="3" t="str">
        <f>VLOOKUP(B444,[1]general_report!$B$1:$J$713,9,0)</f>
        <v xml:space="preserve"> Dir. Oi</v>
      </c>
      <c r="G444" s="3" t="s">
        <v>11</v>
      </c>
      <c r="H444" s="3" t="s">
        <v>909</v>
      </c>
      <c r="I444" s="3" t="s">
        <v>13</v>
      </c>
      <c r="J444" s="5">
        <v>42402.6875</v>
      </c>
      <c r="K444" s="3"/>
      <c r="L444" s="11">
        <f t="shared" ca="1" si="24"/>
        <v>30.3125</v>
      </c>
      <c r="M444" s="1">
        <f t="shared" si="25"/>
        <v>2</v>
      </c>
      <c r="N444" s="1">
        <f t="shared" si="26"/>
        <v>2016</v>
      </c>
      <c r="O444" s="1" t="str">
        <f t="shared" ca="1" si="27"/>
        <v>entre 30 e 60 dias</v>
      </c>
    </row>
    <row r="445" spans="1:15" ht="38.25" x14ac:dyDescent="0.2">
      <c r="A445" s="3" t="s">
        <v>8</v>
      </c>
      <c r="B445" s="4" t="s">
        <v>922</v>
      </c>
      <c r="C445" s="3" t="s">
        <v>923</v>
      </c>
      <c r="D445" s="3"/>
      <c r="E445" s="3" t="str">
        <f>VLOOKUP(B445,[1]general_report!$B$1:$I$713,8,0)</f>
        <v xml:space="preserve">Contax </v>
      </c>
      <c r="F445" s="3" t="str">
        <f>VLOOKUP(B445,[1]general_report!$B$1:$J$713,9,0)</f>
        <v xml:space="preserve"> Dir. Oi</v>
      </c>
      <c r="G445" s="3" t="s">
        <v>11</v>
      </c>
      <c r="H445" s="3" t="s">
        <v>909</v>
      </c>
      <c r="I445" s="3" t="s">
        <v>13</v>
      </c>
      <c r="J445" s="5">
        <v>42402.663888888892</v>
      </c>
      <c r="K445" s="3"/>
      <c r="L445" s="11">
        <f t="shared" ca="1" si="24"/>
        <v>30.336111111108039</v>
      </c>
      <c r="M445" s="1">
        <f t="shared" si="25"/>
        <v>2</v>
      </c>
      <c r="N445" s="1">
        <f t="shared" si="26"/>
        <v>2016</v>
      </c>
      <c r="O445" s="1" t="str">
        <f t="shared" ca="1" si="27"/>
        <v>entre 30 e 60 dias</v>
      </c>
    </row>
    <row r="446" spans="1:15" ht="38.25" x14ac:dyDescent="0.2">
      <c r="A446" s="3" t="s">
        <v>8</v>
      </c>
      <c r="B446" s="4" t="s">
        <v>924</v>
      </c>
      <c r="C446" s="3" t="s">
        <v>925</v>
      </c>
      <c r="D446" s="3"/>
      <c r="E446" s="3" t="str">
        <f>VLOOKUP(B446,[1]general_report!$B$1:$I$713,8,0)</f>
        <v xml:space="preserve">Contax </v>
      </c>
      <c r="F446" s="3" t="str">
        <f>VLOOKUP(B446,[1]general_report!$B$1:$J$713,9,0)</f>
        <v xml:space="preserve"> Dir. Oi</v>
      </c>
      <c r="G446" s="3" t="s">
        <v>11</v>
      </c>
      <c r="H446" s="3" t="s">
        <v>909</v>
      </c>
      <c r="I446" s="3" t="s">
        <v>13</v>
      </c>
      <c r="J446" s="5">
        <v>42402.662499999999</v>
      </c>
      <c r="K446" s="3"/>
      <c r="L446" s="11">
        <f t="shared" ca="1" si="24"/>
        <v>30.337500000001455</v>
      </c>
      <c r="M446" s="1">
        <f t="shared" si="25"/>
        <v>2</v>
      </c>
      <c r="N446" s="1">
        <f t="shared" si="26"/>
        <v>2016</v>
      </c>
      <c r="O446" s="1" t="str">
        <f t="shared" ca="1" si="27"/>
        <v>entre 30 e 60 dias</v>
      </c>
    </row>
    <row r="447" spans="1:15" ht="15" x14ac:dyDescent="0.2">
      <c r="A447" s="3" t="s">
        <v>8</v>
      </c>
      <c r="B447" s="4" t="s">
        <v>926</v>
      </c>
      <c r="C447" s="3" t="s">
        <v>927</v>
      </c>
      <c r="D447" s="3"/>
      <c r="E447" s="3" t="str">
        <f>VLOOKUP(B447,[1]general_report!$B$1:$I$713,8,0)</f>
        <v xml:space="preserve">Contax </v>
      </c>
      <c r="F447" s="3" t="str">
        <f>VLOOKUP(B447,[1]general_report!$B$1:$J$713,9,0)</f>
        <v xml:space="preserve"> Ger Produtos SAC</v>
      </c>
      <c r="G447" s="3" t="s">
        <v>11</v>
      </c>
      <c r="H447" s="3" t="s">
        <v>928</v>
      </c>
      <c r="I447" s="3" t="s">
        <v>13</v>
      </c>
      <c r="J447" s="5">
        <v>42401.593055555553</v>
      </c>
      <c r="K447" s="3"/>
      <c r="L447" s="11">
        <f t="shared" ca="1" si="24"/>
        <v>31.406944444446708</v>
      </c>
      <c r="M447" s="1">
        <f t="shared" si="25"/>
        <v>2</v>
      </c>
      <c r="N447" s="1">
        <f t="shared" si="26"/>
        <v>2016</v>
      </c>
      <c r="O447" s="1" t="str">
        <f t="shared" ca="1" si="27"/>
        <v>entre 30 e 60 dias</v>
      </c>
    </row>
    <row r="448" spans="1:15" ht="25.5" x14ac:dyDescent="0.2">
      <c r="A448" s="3" t="s">
        <v>8</v>
      </c>
      <c r="B448" s="4" t="s">
        <v>929</v>
      </c>
      <c r="C448" s="3" t="s">
        <v>930</v>
      </c>
      <c r="D448" s="3"/>
      <c r="E448" s="3" t="str">
        <f>VLOOKUP(B448,[1]general_report!$B$1:$I$713,8,0)</f>
        <v xml:space="preserve">Oi </v>
      </c>
      <c r="F448" s="3" t="str">
        <f>VLOOKUP(B448,[1]general_report!$B$1:$J$713,9,0)</f>
        <v xml:space="preserve"> Retenção Empresarial</v>
      </c>
      <c r="G448" s="3" t="s">
        <v>11</v>
      </c>
      <c r="H448" s="3" t="s">
        <v>931</v>
      </c>
      <c r="I448" s="3" t="s">
        <v>13</v>
      </c>
      <c r="J448" s="5">
        <v>42397.463888888888</v>
      </c>
      <c r="K448" s="3"/>
      <c r="L448" s="11">
        <f t="shared" ca="1" si="24"/>
        <v>35.536111111112405</v>
      </c>
      <c r="M448" s="1">
        <f t="shared" si="25"/>
        <v>1</v>
      </c>
      <c r="N448" s="1">
        <f t="shared" si="26"/>
        <v>2016</v>
      </c>
      <c r="O448" s="1" t="str">
        <f t="shared" ca="1" si="27"/>
        <v>entre 30 e 60 dias</v>
      </c>
    </row>
    <row r="449" spans="1:15" ht="25.5" x14ac:dyDescent="0.2">
      <c r="A449" s="3" t="s">
        <v>8</v>
      </c>
      <c r="B449" s="4" t="s">
        <v>932</v>
      </c>
      <c r="C449" s="3" t="s">
        <v>933</v>
      </c>
      <c r="D449" s="3"/>
      <c r="E449" s="3" t="str">
        <f>VLOOKUP(B449,[1]general_report!$B$1:$I$713,8,0)</f>
        <v xml:space="preserve">Oi </v>
      </c>
      <c r="F449" s="3" t="str">
        <f>VLOOKUP(B449,[1]general_report!$B$1:$J$713,9,0)</f>
        <v xml:space="preserve"> Retenção Empresarial</v>
      </c>
      <c r="G449" s="3" t="s">
        <v>603</v>
      </c>
      <c r="H449" s="3" t="s">
        <v>931</v>
      </c>
      <c r="I449" s="3" t="s">
        <v>13</v>
      </c>
      <c r="J449" s="5">
        <v>42396.715277777781</v>
      </c>
      <c r="K449" s="3"/>
      <c r="L449" s="11">
        <f t="shared" ca="1" si="24"/>
        <v>36.284722222218988</v>
      </c>
      <c r="M449" s="1">
        <f t="shared" si="25"/>
        <v>1</v>
      </c>
      <c r="N449" s="1">
        <f t="shared" si="26"/>
        <v>2016</v>
      </c>
      <c r="O449" s="1" t="str">
        <f t="shared" ca="1" si="27"/>
        <v>entre 30 e 60 dias</v>
      </c>
    </row>
    <row r="450" spans="1:15" ht="15" x14ac:dyDescent="0.2">
      <c r="A450" s="3" t="s">
        <v>8</v>
      </c>
      <c r="B450" s="4" t="s">
        <v>934</v>
      </c>
      <c r="C450" s="3" t="s">
        <v>935</v>
      </c>
      <c r="D450" s="3"/>
      <c r="E450" s="3" t="str">
        <f>VLOOKUP(B450,[1]general_report!$B$1:$I$713,8,0)</f>
        <v xml:space="preserve">Contax </v>
      </c>
      <c r="F450" s="3" t="str">
        <f>VLOOKUP(B450,[1]general_report!$B$1:$J$713,9,0)</f>
        <v xml:space="preserve"> Dir. Oi</v>
      </c>
      <c r="G450" s="3" t="s">
        <v>11</v>
      </c>
      <c r="H450" s="3" t="s">
        <v>909</v>
      </c>
      <c r="I450" s="3" t="s">
        <v>13</v>
      </c>
      <c r="J450" s="5">
        <v>42394.665972222225</v>
      </c>
      <c r="K450" s="3"/>
      <c r="L450" s="11">
        <f t="shared" ca="1" si="24"/>
        <v>38.334027777775191</v>
      </c>
      <c r="M450" s="1">
        <f t="shared" si="25"/>
        <v>1</v>
      </c>
      <c r="N450" s="1">
        <f t="shared" si="26"/>
        <v>2016</v>
      </c>
      <c r="O450" s="1" t="str">
        <f t="shared" ca="1" si="27"/>
        <v>entre 30 e 60 dias</v>
      </c>
    </row>
    <row r="451" spans="1:15" ht="25.5" x14ac:dyDescent="0.2">
      <c r="A451" s="3" t="s">
        <v>8</v>
      </c>
      <c r="B451" s="4" t="s">
        <v>936</v>
      </c>
      <c r="C451" s="3" t="s">
        <v>337</v>
      </c>
      <c r="D451" s="3"/>
      <c r="E451" s="3" t="str">
        <f>VLOOKUP(B451,[1]general_report!$B$1:$I$713,8,0)</f>
        <v xml:space="preserve">Contax </v>
      </c>
      <c r="F451" s="3" t="str">
        <f>VLOOKUP(B451,[1]general_report!$B$1:$J$713,9,0)</f>
        <v xml:space="preserve"> Dir. Oi</v>
      </c>
      <c r="G451" s="3" t="s">
        <v>11</v>
      </c>
      <c r="H451" s="3" t="s">
        <v>909</v>
      </c>
      <c r="I451" s="3" t="s">
        <v>13</v>
      </c>
      <c r="J451" s="5">
        <v>42394.663888888892</v>
      </c>
      <c r="K451" s="3"/>
      <c r="L451" s="11">
        <f t="shared" ref="L451:L514" ca="1" si="28">IF(K451="",TODAY()-J451,K451-J451)</f>
        <v>38.336111111108039</v>
      </c>
      <c r="M451" s="1">
        <f t="shared" ref="M451:M514" si="29">MONTH(J451)</f>
        <v>1</v>
      </c>
      <c r="N451" s="1">
        <f t="shared" ref="N451:N514" si="30">YEAR(J451)</f>
        <v>2016</v>
      </c>
      <c r="O451" s="1" t="str">
        <f t="shared" ref="O451:O514" ca="1" si="31">IF(L451&lt;30,"menos 1 mês",IF(L451&lt;60,"entre 30 e 60 dias",IF(L451&lt;90,"entre 60 e 90 dias",IF(L451&lt;150,"entre 90 e 150 dias","mais de 150 dias"))))</f>
        <v>entre 30 e 60 dias</v>
      </c>
    </row>
    <row r="452" spans="1:15" ht="15" x14ac:dyDescent="0.2">
      <c r="A452" s="3" t="s">
        <v>8</v>
      </c>
      <c r="B452" s="4" t="s">
        <v>937</v>
      </c>
      <c r="C452" s="3" t="s">
        <v>938</v>
      </c>
      <c r="D452" s="3"/>
      <c r="E452" s="3" t="str">
        <f>VLOOKUP(B452,[1]general_report!$B$1:$I$713,8,0)</f>
        <v xml:space="preserve">Contax </v>
      </c>
      <c r="F452" s="3" t="str">
        <f>VLOOKUP(B452,[1]general_report!$B$1:$J$713,9,0)</f>
        <v xml:space="preserve"> Dir. Oi</v>
      </c>
      <c r="G452" s="3" t="s">
        <v>11</v>
      </c>
      <c r="H452" s="3" t="s">
        <v>939</v>
      </c>
      <c r="I452" s="3" t="s">
        <v>13</v>
      </c>
      <c r="J452" s="5">
        <v>42384.782638888886</v>
      </c>
      <c r="K452" s="3"/>
      <c r="L452" s="11">
        <f t="shared" ca="1" si="28"/>
        <v>48.21736111111386</v>
      </c>
      <c r="M452" s="1">
        <f t="shared" si="29"/>
        <v>1</v>
      </c>
      <c r="N452" s="1">
        <f t="shared" si="30"/>
        <v>2016</v>
      </c>
      <c r="O452" s="1" t="str">
        <f t="shared" ca="1" si="31"/>
        <v>entre 30 e 60 dias</v>
      </c>
    </row>
    <row r="453" spans="1:15" ht="15" x14ac:dyDescent="0.2">
      <c r="A453" s="3" t="s">
        <v>8</v>
      </c>
      <c r="B453" s="4" t="s">
        <v>940</v>
      </c>
      <c r="C453" s="3" t="s">
        <v>941</v>
      </c>
      <c r="D453" s="3"/>
      <c r="E453" s="3" t="str">
        <f>VLOOKUP(B453,[1]general_report!$B$1:$I$713,8,0)</f>
        <v xml:space="preserve">Contax </v>
      </c>
      <c r="F453" s="3" t="str">
        <f>VLOOKUP(B453,[1]general_report!$B$1:$J$713,9,0)</f>
        <v xml:space="preserve"> Dir. Oi</v>
      </c>
      <c r="G453" s="3" t="s">
        <v>11</v>
      </c>
      <c r="H453" s="3" t="s">
        <v>939</v>
      </c>
      <c r="I453" s="3" t="s">
        <v>13</v>
      </c>
      <c r="J453" s="5">
        <v>42384.724999999999</v>
      </c>
      <c r="K453" s="3"/>
      <c r="L453" s="11">
        <f t="shared" ca="1" si="28"/>
        <v>48.275000000001455</v>
      </c>
      <c r="M453" s="1">
        <f t="shared" si="29"/>
        <v>1</v>
      </c>
      <c r="N453" s="1">
        <f t="shared" si="30"/>
        <v>2016</v>
      </c>
      <c r="O453" s="1" t="str">
        <f t="shared" ca="1" si="31"/>
        <v>entre 30 e 60 dias</v>
      </c>
    </row>
    <row r="454" spans="1:15" ht="15" x14ac:dyDescent="0.2">
      <c r="A454" s="3" t="s">
        <v>8</v>
      </c>
      <c r="B454" s="4" t="s">
        <v>942</v>
      </c>
      <c r="C454" s="3" t="s">
        <v>943</v>
      </c>
      <c r="D454" s="3"/>
      <c r="E454" s="3" t="str">
        <f>VLOOKUP(B454,[1]general_report!$B$1:$I$713,8,0)</f>
        <v xml:space="preserve">Contax </v>
      </c>
      <c r="F454" s="3" t="str">
        <f>VLOOKUP(B454,[1]general_report!$B$1:$J$713,9,0)</f>
        <v xml:space="preserve"> Dir. Oi</v>
      </c>
      <c r="G454" s="3" t="s">
        <v>11</v>
      </c>
      <c r="H454" s="3" t="s">
        <v>939</v>
      </c>
      <c r="I454" s="3" t="s">
        <v>13</v>
      </c>
      <c r="J454" s="5">
        <v>42383.629861111112</v>
      </c>
      <c r="K454" s="3"/>
      <c r="L454" s="11">
        <f t="shared" ca="1" si="28"/>
        <v>49.370138888887595</v>
      </c>
      <c r="M454" s="1">
        <f t="shared" si="29"/>
        <v>1</v>
      </c>
      <c r="N454" s="1">
        <f t="shared" si="30"/>
        <v>2016</v>
      </c>
      <c r="O454" s="1" t="str">
        <f t="shared" ca="1" si="31"/>
        <v>entre 30 e 60 dias</v>
      </c>
    </row>
    <row r="455" spans="1:15" ht="25.5" x14ac:dyDescent="0.2">
      <c r="A455" s="3" t="s">
        <v>8</v>
      </c>
      <c r="B455" s="4" t="s">
        <v>944</v>
      </c>
      <c r="C455" s="3" t="s">
        <v>945</v>
      </c>
      <c r="D455" s="3"/>
      <c r="E455" s="3" t="str">
        <f>VLOOKUP(B455,[1]general_report!$B$1:$I$713,8,0)</f>
        <v xml:space="preserve">Contax </v>
      </c>
      <c r="F455" s="3" t="str">
        <f>VLOOKUP(B455,[1]general_report!$B$1:$J$713,9,0)</f>
        <v xml:space="preserve"> Dir. Oi</v>
      </c>
      <c r="G455" s="3" t="s">
        <v>11</v>
      </c>
      <c r="H455" s="3" t="s">
        <v>704</v>
      </c>
      <c r="I455" s="3" t="s">
        <v>13</v>
      </c>
      <c r="J455" s="5">
        <v>42381.779166666667</v>
      </c>
      <c r="K455" s="3"/>
      <c r="L455" s="11">
        <f t="shared" ca="1" si="28"/>
        <v>51.220833333332848</v>
      </c>
      <c r="M455" s="1">
        <f t="shared" si="29"/>
        <v>1</v>
      </c>
      <c r="N455" s="1">
        <f t="shared" si="30"/>
        <v>2016</v>
      </c>
      <c r="O455" s="1" t="str">
        <f t="shared" ca="1" si="31"/>
        <v>entre 30 e 60 dias</v>
      </c>
    </row>
    <row r="456" spans="1:15" ht="15" x14ac:dyDescent="0.2">
      <c r="A456" s="3" t="s">
        <v>8</v>
      </c>
      <c r="B456" s="4" t="s">
        <v>946</v>
      </c>
      <c r="C456" s="3" t="s">
        <v>947</v>
      </c>
      <c r="D456" s="3"/>
      <c r="E456" s="3" t="str">
        <f>VLOOKUP(B456,[1]general_report!$B$1:$I$713,8,0)</f>
        <v xml:space="preserve">Contax </v>
      </c>
      <c r="F456" s="3" t="str">
        <f>VLOOKUP(B456,[1]general_report!$B$1:$J$713,9,0)</f>
        <v xml:space="preserve"> Dir. Oi</v>
      </c>
      <c r="G456" s="3" t="s">
        <v>11</v>
      </c>
      <c r="H456" s="3" t="s">
        <v>704</v>
      </c>
      <c r="I456" s="3" t="s">
        <v>13</v>
      </c>
      <c r="J456" s="5">
        <v>42381.767361111109</v>
      </c>
      <c r="K456" s="3"/>
      <c r="L456" s="11">
        <f t="shared" ca="1" si="28"/>
        <v>51.232638888890506</v>
      </c>
      <c r="M456" s="1">
        <f t="shared" si="29"/>
        <v>1</v>
      </c>
      <c r="N456" s="1">
        <f t="shared" si="30"/>
        <v>2016</v>
      </c>
      <c r="O456" s="1" t="str">
        <f t="shared" ca="1" si="31"/>
        <v>entre 30 e 60 dias</v>
      </c>
    </row>
    <row r="457" spans="1:15" ht="15" x14ac:dyDescent="0.2">
      <c r="A457" s="3" t="s">
        <v>8</v>
      </c>
      <c r="B457" s="4" t="s">
        <v>948</v>
      </c>
      <c r="C457" s="3" t="s">
        <v>949</v>
      </c>
      <c r="D457" s="3"/>
      <c r="E457" s="3" t="str">
        <f>VLOOKUP(B457,[1]general_report!$B$1:$I$713,8,0)</f>
        <v xml:space="preserve">Contax </v>
      </c>
      <c r="F457" s="3" t="str">
        <f>VLOOKUP(B457,[1]general_report!$B$1:$J$713,9,0)</f>
        <v xml:space="preserve"> Dir. Oi</v>
      </c>
      <c r="G457" s="3" t="s">
        <v>11</v>
      </c>
      <c r="H457" s="3" t="s">
        <v>939</v>
      </c>
      <c r="I457" s="3" t="s">
        <v>13</v>
      </c>
      <c r="J457" s="5">
        <v>42381.753472222219</v>
      </c>
      <c r="K457" s="3"/>
      <c r="L457" s="11">
        <f t="shared" ca="1" si="28"/>
        <v>51.246527777781012</v>
      </c>
      <c r="M457" s="1">
        <f t="shared" si="29"/>
        <v>1</v>
      </c>
      <c r="N457" s="1">
        <f t="shared" si="30"/>
        <v>2016</v>
      </c>
      <c r="O457" s="1" t="str">
        <f t="shared" ca="1" si="31"/>
        <v>entre 30 e 60 dias</v>
      </c>
    </row>
    <row r="458" spans="1:15" ht="15" x14ac:dyDescent="0.2">
      <c r="A458" s="3" t="s">
        <v>8</v>
      </c>
      <c r="B458" s="4" t="s">
        <v>950</v>
      </c>
      <c r="C458" s="3" t="s">
        <v>951</v>
      </c>
      <c r="D458" s="3"/>
      <c r="E458" s="3" t="str">
        <f>VLOOKUP(B458,[1]general_report!$B$1:$I$713,8,0)</f>
        <v xml:space="preserve">Contax </v>
      </c>
      <c r="F458" s="3" t="str">
        <f>VLOOKUP(B458,[1]general_report!$B$1:$J$713,9,0)</f>
        <v xml:space="preserve"> Dir. Oi</v>
      </c>
      <c r="G458" s="3" t="s">
        <v>11</v>
      </c>
      <c r="H458" s="3" t="s">
        <v>939</v>
      </c>
      <c r="I458" s="3" t="s">
        <v>13</v>
      </c>
      <c r="J458" s="5">
        <v>42381.734722222223</v>
      </c>
      <c r="K458" s="3"/>
      <c r="L458" s="11">
        <f t="shared" ca="1" si="28"/>
        <v>51.265277777776646</v>
      </c>
      <c r="M458" s="1">
        <f t="shared" si="29"/>
        <v>1</v>
      </c>
      <c r="N458" s="1">
        <f t="shared" si="30"/>
        <v>2016</v>
      </c>
      <c r="O458" s="1" t="str">
        <f t="shared" ca="1" si="31"/>
        <v>entre 30 e 60 dias</v>
      </c>
    </row>
    <row r="459" spans="1:15" ht="15" x14ac:dyDescent="0.2">
      <c r="A459" s="3" t="s">
        <v>8</v>
      </c>
      <c r="B459" s="4" t="s">
        <v>952</v>
      </c>
      <c r="C459" s="3" t="s">
        <v>953</v>
      </c>
      <c r="D459" s="3"/>
      <c r="E459" s="3" t="str">
        <f>VLOOKUP(B459,[1]general_report!$B$1:$I$713,8,0)</f>
        <v xml:space="preserve">Contax </v>
      </c>
      <c r="F459" s="3" t="str">
        <f>VLOOKUP(B459,[1]general_report!$B$1:$J$713,9,0)</f>
        <v xml:space="preserve"> Dir. Oi</v>
      </c>
      <c r="G459" s="3" t="s">
        <v>11</v>
      </c>
      <c r="H459" s="3" t="s">
        <v>939</v>
      </c>
      <c r="I459" s="3" t="s">
        <v>13</v>
      </c>
      <c r="J459" s="5">
        <v>42381.731944444444</v>
      </c>
      <c r="K459" s="3"/>
      <c r="L459" s="11">
        <f t="shared" ca="1" si="28"/>
        <v>51.268055555556202</v>
      </c>
      <c r="M459" s="1">
        <f t="shared" si="29"/>
        <v>1</v>
      </c>
      <c r="N459" s="1">
        <f t="shared" si="30"/>
        <v>2016</v>
      </c>
      <c r="O459" s="1" t="str">
        <f t="shared" ca="1" si="31"/>
        <v>entre 30 e 60 dias</v>
      </c>
    </row>
    <row r="460" spans="1:15" ht="25.5" x14ac:dyDescent="0.2">
      <c r="A460" s="3" t="s">
        <v>8</v>
      </c>
      <c r="B460" s="4" t="s">
        <v>954</v>
      </c>
      <c r="C460" s="3" t="s">
        <v>955</v>
      </c>
      <c r="D460" s="3"/>
      <c r="E460" s="3" t="str">
        <f>VLOOKUP(B460,[1]general_report!$B$1:$I$713,8,0)</f>
        <v xml:space="preserve">Contax </v>
      </c>
      <c r="F460" s="3" t="str">
        <f>VLOOKUP(B460,[1]general_report!$B$1:$J$713,9,0)</f>
        <v xml:space="preserve"> Ger Oper RH</v>
      </c>
      <c r="G460" s="3" t="s">
        <v>18</v>
      </c>
      <c r="H460" s="3" t="s">
        <v>663</v>
      </c>
      <c r="I460" s="3" t="s">
        <v>48</v>
      </c>
      <c r="J460" s="5">
        <v>42380.448611111111</v>
      </c>
      <c r="K460" s="3"/>
      <c r="L460" s="11">
        <f t="shared" ca="1" si="28"/>
        <v>52.551388888889051</v>
      </c>
      <c r="M460" s="1">
        <f t="shared" si="29"/>
        <v>1</v>
      </c>
      <c r="N460" s="1">
        <f t="shared" si="30"/>
        <v>2016</v>
      </c>
      <c r="O460" s="1" t="str">
        <f t="shared" ca="1" si="31"/>
        <v>entre 30 e 60 dias</v>
      </c>
    </row>
    <row r="461" spans="1:15" ht="25.5" x14ac:dyDescent="0.2">
      <c r="A461" s="3" t="s">
        <v>8</v>
      </c>
      <c r="B461" s="4" t="s">
        <v>956</v>
      </c>
      <c r="C461" s="3" t="s">
        <v>957</v>
      </c>
      <c r="D461" s="3"/>
      <c r="E461" s="3" t="str">
        <f>VLOOKUP(B461,[1]general_report!$B$1:$I$713,8,0)</f>
        <v xml:space="preserve">Contax </v>
      </c>
      <c r="F461" s="3" t="str">
        <f>VLOOKUP(B461,[1]general_report!$B$1:$J$713,9,0)</f>
        <v xml:space="preserve"> Dir. Oi</v>
      </c>
      <c r="G461" s="3" t="s">
        <v>11</v>
      </c>
      <c r="H461" s="3" t="s">
        <v>704</v>
      </c>
      <c r="I461" s="3" t="s">
        <v>13</v>
      </c>
      <c r="J461" s="5">
        <v>42376.509722222225</v>
      </c>
      <c r="K461" s="3"/>
      <c r="L461" s="11">
        <f t="shared" ca="1" si="28"/>
        <v>56.490277777775191</v>
      </c>
      <c r="M461" s="1">
        <f t="shared" si="29"/>
        <v>1</v>
      </c>
      <c r="N461" s="1">
        <f t="shared" si="30"/>
        <v>2016</v>
      </c>
      <c r="O461" s="1" t="str">
        <f t="shared" ca="1" si="31"/>
        <v>entre 30 e 60 dias</v>
      </c>
    </row>
    <row r="462" spans="1:15" ht="15" x14ac:dyDescent="0.2">
      <c r="A462" s="3" t="s">
        <v>8</v>
      </c>
      <c r="B462" s="4" t="s">
        <v>958</v>
      </c>
      <c r="C462" s="3" t="s">
        <v>959</v>
      </c>
      <c r="D462" s="3"/>
      <c r="E462" s="3" t="str">
        <f>VLOOKUP(B462,[1]general_report!$B$1:$I$713,8,0)</f>
        <v xml:space="preserve">Oi </v>
      </c>
      <c r="F462" s="3" t="str">
        <f>VLOOKUP(B462,[1]general_report!$B$1:$J$713,9,0)</f>
        <v xml:space="preserve"> Dealer</v>
      </c>
      <c r="G462" s="3" t="s">
        <v>18</v>
      </c>
      <c r="H462" s="3" t="s">
        <v>960</v>
      </c>
      <c r="I462" s="3" t="s">
        <v>13</v>
      </c>
      <c r="J462" s="5">
        <v>42359.593055555553</v>
      </c>
      <c r="K462" s="3"/>
      <c r="L462" s="11">
        <f t="shared" ca="1" si="28"/>
        <v>73.406944444446708</v>
      </c>
      <c r="M462" s="1">
        <f t="shared" si="29"/>
        <v>12</v>
      </c>
      <c r="N462" s="1">
        <f t="shared" si="30"/>
        <v>2015</v>
      </c>
      <c r="O462" s="1" t="str">
        <f t="shared" ca="1" si="31"/>
        <v>entre 60 e 90 dias</v>
      </c>
    </row>
    <row r="463" spans="1:15" ht="51" x14ac:dyDescent="0.2">
      <c r="A463" s="3" t="s">
        <v>8</v>
      </c>
      <c r="B463" s="4" t="s">
        <v>961</v>
      </c>
      <c r="C463" s="3" t="s">
        <v>962</v>
      </c>
      <c r="D463" s="3"/>
      <c r="E463" s="3" t="str">
        <f>VLOOKUP(B463,[1]general_report!$B$1:$I$713,8,0)</f>
        <v xml:space="preserve">Contax </v>
      </c>
      <c r="F463" s="3" t="str">
        <f>VLOOKUP(B463,[1]general_report!$B$1:$J$713,9,0)</f>
        <v xml:space="preserve"> Dir. Oi</v>
      </c>
      <c r="G463" s="3" t="s">
        <v>18</v>
      </c>
      <c r="H463" s="3" t="s">
        <v>909</v>
      </c>
      <c r="I463" s="3" t="s">
        <v>13</v>
      </c>
      <c r="J463" s="5">
        <v>42332.517361111109</v>
      </c>
      <c r="K463" s="3"/>
      <c r="L463" s="11">
        <f t="shared" ca="1" si="28"/>
        <v>100.48263888889051</v>
      </c>
      <c r="M463" s="1">
        <f t="shared" si="29"/>
        <v>11</v>
      </c>
      <c r="N463" s="1">
        <f t="shared" si="30"/>
        <v>2015</v>
      </c>
      <c r="O463" s="1" t="str">
        <f t="shared" ca="1" si="31"/>
        <v>entre 90 e 150 dias</v>
      </c>
    </row>
    <row r="464" spans="1:15" ht="15" x14ac:dyDescent="0.2">
      <c r="A464" s="3" t="s">
        <v>8</v>
      </c>
      <c r="B464" s="4" t="s">
        <v>963</v>
      </c>
      <c r="C464" s="3" t="s">
        <v>964</v>
      </c>
      <c r="D464" s="3"/>
      <c r="E464" s="3" t="str">
        <f>VLOOKUP(B464,[1]general_report!$B$1:$I$713,8,0)</f>
        <v xml:space="preserve">Oi </v>
      </c>
      <c r="F464" s="3" t="str">
        <f>VLOOKUP(B464,[1]general_report!$B$1:$J$713,9,0)</f>
        <v xml:space="preserve"> Retenção</v>
      </c>
      <c r="G464" s="3" t="s">
        <v>18</v>
      </c>
      <c r="H464" s="3" t="s">
        <v>931</v>
      </c>
      <c r="I464" s="3" t="s">
        <v>13</v>
      </c>
      <c r="J464" s="5">
        <v>42320.61041666667</v>
      </c>
      <c r="K464" s="3"/>
      <c r="L464" s="11">
        <f t="shared" ca="1" si="28"/>
        <v>112.38958333332994</v>
      </c>
      <c r="M464" s="1">
        <f t="shared" si="29"/>
        <v>11</v>
      </c>
      <c r="N464" s="1">
        <f t="shared" si="30"/>
        <v>2015</v>
      </c>
      <c r="O464" s="1" t="str">
        <f t="shared" ca="1" si="31"/>
        <v>entre 90 e 150 dias</v>
      </c>
    </row>
    <row r="465" spans="1:15" ht="25.5" x14ac:dyDescent="0.2">
      <c r="A465" s="3" t="s">
        <v>8</v>
      </c>
      <c r="B465" s="4" t="s">
        <v>965</v>
      </c>
      <c r="C465" s="3" t="s">
        <v>966</v>
      </c>
      <c r="D465" s="3"/>
      <c r="E465" s="3" t="str">
        <f>VLOOKUP(B465,[1]general_report!$B$1:$I$713,8,0)</f>
        <v xml:space="preserve">Oi </v>
      </c>
      <c r="F465" s="3" t="str">
        <f>VLOOKUP(B465,[1]general_report!$B$1:$J$713,9,0)</f>
        <v xml:space="preserve"> Retenção</v>
      </c>
      <c r="G465" s="3" t="s">
        <v>18</v>
      </c>
      <c r="H465" s="3" t="s">
        <v>931</v>
      </c>
      <c r="I465" s="3" t="s">
        <v>13</v>
      </c>
      <c r="J465" s="5">
        <v>42320.609027777777</v>
      </c>
      <c r="K465" s="3"/>
      <c r="L465" s="11">
        <f t="shared" ca="1" si="28"/>
        <v>112.39097222222335</v>
      </c>
      <c r="M465" s="1">
        <f t="shared" si="29"/>
        <v>11</v>
      </c>
      <c r="N465" s="1">
        <f t="shared" si="30"/>
        <v>2015</v>
      </c>
      <c r="O465" s="1" t="str">
        <f t="shared" ca="1" si="31"/>
        <v>entre 90 e 150 dias</v>
      </c>
    </row>
    <row r="466" spans="1:15" ht="15" x14ac:dyDescent="0.2">
      <c r="A466" s="3" t="s">
        <v>8</v>
      </c>
      <c r="B466" s="4" t="s">
        <v>967</v>
      </c>
      <c r="C466" s="3" t="s">
        <v>968</v>
      </c>
      <c r="D466" s="3"/>
      <c r="E466" s="3" t="str">
        <f>VLOOKUP(B466,[1]general_report!$B$1:$I$713,8,0)</f>
        <v xml:space="preserve">Oi </v>
      </c>
      <c r="F466" s="3" t="str">
        <f>VLOOKUP(B466,[1]general_report!$B$1:$J$713,9,0)</f>
        <v xml:space="preserve"> Retenção</v>
      </c>
      <c r="G466" s="3" t="s">
        <v>931</v>
      </c>
      <c r="H466" s="3" t="s">
        <v>931</v>
      </c>
      <c r="I466" s="3" t="s">
        <v>27</v>
      </c>
      <c r="J466" s="5">
        <v>42320.60833333333</v>
      </c>
      <c r="K466" s="5">
        <v>42375.324999999997</v>
      </c>
      <c r="L466" s="11">
        <f t="shared" ca="1" si="28"/>
        <v>54.716666666667152</v>
      </c>
      <c r="M466" s="1">
        <f t="shared" si="29"/>
        <v>11</v>
      </c>
      <c r="N466" s="1">
        <f t="shared" si="30"/>
        <v>2015</v>
      </c>
      <c r="O466" s="1" t="str">
        <f t="shared" ca="1" si="31"/>
        <v>entre 30 e 60 dias</v>
      </c>
    </row>
    <row r="467" spans="1:15" ht="15" x14ac:dyDescent="0.2">
      <c r="A467" s="3" t="s">
        <v>8</v>
      </c>
      <c r="B467" s="4" t="s">
        <v>969</v>
      </c>
      <c r="C467" s="3" t="s">
        <v>970</v>
      </c>
      <c r="D467" s="3"/>
      <c r="E467" s="3" t="str">
        <f>VLOOKUP(B467,[1]general_report!$B$1:$I$713,8,0)</f>
        <v xml:space="preserve">Oi </v>
      </c>
      <c r="F467" s="3" t="str">
        <f>VLOOKUP(B467,[1]general_report!$B$1:$J$713,9,0)</f>
        <v xml:space="preserve"> Retenção</v>
      </c>
      <c r="G467" s="3" t="s">
        <v>18</v>
      </c>
      <c r="H467" s="3" t="s">
        <v>931</v>
      </c>
      <c r="I467" s="3" t="s">
        <v>13</v>
      </c>
      <c r="J467" s="5">
        <v>42320.606249999997</v>
      </c>
      <c r="K467" s="3"/>
      <c r="L467" s="11">
        <f t="shared" ca="1" si="28"/>
        <v>112.39375000000291</v>
      </c>
      <c r="M467" s="1">
        <f t="shared" si="29"/>
        <v>11</v>
      </c>
      <c r="N467" s="1">
        <f t="shared" si="30"/>
        <v>2015</v>
      </c>
      <c r="O467" s="1" t="str">
        <f t="shared" ca="1" si="31"/>
        <v>entre 90 e 150 dias</v>
      </c>
    </row>
    <row r="468" spans="1:15" ht="38.25" x14ac:dyDescent="0.2">
      <c r="A468" s="3" t="s">
        <v>8</v>
      </c>
      <c r="B468" s="4" t="s">
        <v>971</v>
      </c>
      <c r="C468" s="3" t="s">
        <v>972</v>
      </c>
      <c r="D468" s="3"/>
      <c r="E468" s="3" t="str">
        <f>VLOOKUP(B468,[1]general_report!$B$1:$I$713,8,0)</f>
        <v xml:space="preserve">Contax </v>
      </c>
      <c r="F468" s="3" t="str">
        <f>VLOOKUP(B468,[1]general_report!$B$1:$J$713,9,0)</f>
        <v xml:space="preserve"> Dir. Oi</v>
      </c>
      <c r="G468" s="3" t="s">
        <v>603</v>
      </c>
      <c r="H468" s="3" t="s">
        <v>704</v>
      </c>
      <c r="I468" s="3" t="s">
        <v>13</v>
      </c>
      <c r="J468" s="5">
        <v>42317.767361111109</v>
      </c>
      <c r="K468" s="3"/>
      <c r="L468" s="11">
        <f t="shared" ca="1" si="28"/>
        <v>115.23263888889051</v>
      </c>
      <c r="M468" s="1">
        <f t="shared" si="29"/>
        <v>11</v>
      </c>
      <c r="N468" s="1">
        <f t="shared" si="30"/>
        <v>2015</v>
      </c>
      <c r="O468" s="1" t="str">
        <f t="shared" ca="1" si="31"/>
        <v>entre 90 e 150 dias</v>
      </c>
    </row>
    <row r="469" spans="1:15" ht="15" x14ac:dyDescent="0.2">
      <c r="A469" s="3" t="s">
        <v>8</v>
      </c>
      <c r="B469" s="4" t="s">
        <v>973</v>
      </c>
      <c r="C469" s="3" t="s">
        <v>974</v>
      </c>
      <c r="D469" s="3"/>
      <c r="E469" s="3" t="str">
        <f>VLOOKUP(B469,[1]general_report!$B$1:$I$713,8,0)</f>
        <v xml:space="preserve">Oi </v>
      </c>
      <c r="F469" s="3" t="str">
        <f>VLOOKUP(B469,[1]general_report!$B$1:$J$713,9,0)</f>
        <v xml:space="preserve"> Dealer</v>
      </c>
      <c r="G469" s="3" t="s">
        <v>18</v>
      </c>
      <c r="H469" s="3" t="s">
        <v>975</v>
      </c>
      <c r="I469" s="3" t="s">
        <v>13</v>
      </c>
      <c r="J469" s="5">
        <v>42317.752083333333</v>
      </c>
      <c r="K469" s="3"/>
      <c r="L469" s="11">
        <f t="shared" ca="1" si="28"/>
        <v>115.24791666666715</v>
      </c>
      <c r="M469" s="1">
        <f t="shared" si="29"/>
        <v>11</v>
      </c>
      <c r="N469" s="1">
        <f t="shared" si="30"/>
        <v>2015</v>
      </c>
      <c r="O469" s="1" t="str">
        <f t="shared" ca="1" si="31"/>
        <v>entre 90 e 150 dias</v>
      </c>
    </row>
    <row r="470" spans="1:15" ht="25.5" x14ac:dyDescent="0.2">
      <c r="A470" s="3" t="s">
        <v>8</v>
      </c>
      <c r="B470" s="4" t="s">
        <v>976</v>
      </c>
      <c r="C470" s="3" t="s">
        <v>977</v>
      </c>
      <c r="D470" s="3"/>
      <c r="E470" s="3" t="str">
        <f>VLOOKUP(B470,[1]general_report!$B$1:$I$713,8,0)</f>
        <v xml:space="preserve">Oi </v>
      </c>
      <c r="F470" s="3" t="str">
        <f>VLOOKUP(B470,[1]general_report!$B$1:$J$713,9,0)</f>
        <v xml:space="preserve"> Retenção Empresarial</v>
      </c>
      <c r="G470" s="3" t="s">
        <v>603</v>
      </c>
      <c r="H470" s="3" t="s">
        <v>931</v>
      </c>
      <c r="I470" s="3" t="s">
        <v>13</v>
      </c>
      <c r="J470" s="5">
        <v>42317.453472222223</v>
      </c>
      <c r="K470" s="3"/>
      <c r="L470" s="11">
        <f t="shared" ca="1" si="28"/>
        <v>115.54652777777665</v>
      </c>
      <c r="M470" s="1">
        <f t="shared" si="29"/>
        <v>11</v>
      </c>
      <c r="N470" s="1">
        <f t="shared" si="30"/>
        <v>2015</v>
      </c>
      <c r="O470" s="1" t="str">
        <f t="shared" ca="1" si="31"/>
        <v>entre 90 e 150 dias</v>
      </c>
    </row>
    <row r="471" spans="1:15" ht="25.5" x14ac:dyDescent="0.2">
      <c r="A471" s="3" t="s">
        <v>8</v>
      </c>
      <c r="B471" s="4" t="s">
        <v>978</v>
      </c>
      <c r="C471" s="3" t="s">
        <v>979</v>
      </c>
      <c r="D471" s="3"/>
      <c r="E471" s="3" t="str">
        <f>VLOOKUP(B471,[1]general_report!$B$1:$I$713,8,0)</f>
        <v xml:space="preserve">Oi </v>
      </c>
      <c r="F471" s="3" t="str">
        <f>VLOOKUP(B471,[1]general_report!$B$1:$J$713,9,0)</f>
        <v xml:space="preserve"> Retenção Empresarial</v>
      </c>
      <c r="G471" s="3" t="s">
        <v>931</v>
      </c>
      <c r="H471" s="3" t="s">
        <v>931</v>
      </c>
      <c r="I471" s="3" t="s">
        <v>27</v>
      </c>
      <c r="J471" s="5">
        <v>42317.445138888892</v>
      </c>
      <c r="K471" s="5">
        <v>42381.463888888888</v>
      </c>
      <c r="L471" s="11">
        <f t="shared" ca="1" si="28"/>
        <v>64.018749999995634</v>
      </c>
      <c r="M471" s="1">
        <f t="shared" si="29"/>
        <v>11</v>
      </c>
      <c r="N471" s="1">
        <f t="shared" si="30"/>
        <v>2015</v>
      </c>
      <c r="O471" s="1" t="str">
        <f t="shared" ca="1" si="31"/>
        <v>entre 60 e 90 dias</v>
      </c>
    </row>
    <row r="472" spans="1:15" ht="51" x14ac:dyDescent="0.2">
      <c r="A472" s="3" t="s">
        <v>8</v>
      </c>
      <c r="B472" s="4" t="s">
        <v>980</v>
      </c>
      <c r="C472" s="3" t="s">
        <v>981</v>
      </c>
      <c r="D472" s="3"/>
      <c r="E472" s="3" t="str">
        <f>VLOOKUP(B472,[1]general_report!$B$1:$I$713,8,0)</f>
        <v xml:space="preserve">Contax </v>
      </c>
      <c r="F472" s="3" t="str">
        <f>VLOOKUP(B472,[1]general_report!$B$1:$J$713,9,0)</f>
        <v xml:space="preserve"> Dir. Oi</v>
      </c>
      <c r="G472" s="3" t="s">
        <v>441</v>
      </c>
      <c r="H472" s="3" t="s">
        <v>909</v>
      </c>
      <c r="I472" s="3" t="s">
        <v>13</v>
      </c>
      <c r="J472" s="5">
        <v>42314.474999999999</v>
      </c>
      <c r="K472" s="3"/>
      <c r="L472" s="11">
        <f t="shared" ca="1" si="28"/>
        <v>118.52500000000146</v>
      </c>
      <c r="M472" s="1">
        <f t="shared" si="29"/>
        <v>11</v>
      </c>
      <c r="N472" s="1">
        <f t="shared" si="30"/>
        <v>2015</v>
      </c>
      <c r="O472" s="1" t="str">
        <f t="shared" ca="1" si="31"/>
        <v>entre 90 e 150 dias</v>
      </c>
    </row>
    <row r="473" spans="1:15" ht="38.25" x14ac:dyDescent="0.2">
      <c r="A473" s="3" t="s">
        <v>8</v>
      </c>
      <c r="B473" s="4" t="s">
        <v>982</v>
      </c>
      <c r="C473" s="3" t="s">
        <v>983</v>
      </c>
      <c r="D473" s="3"/>
      <c r="E473" s="3" t="str">
        <f>VLOOKUP(B473,[1]general_report!$B$1:$I$713,8,0)</f>
        <v xml:space="preserve">Contax </v>
      </c>
      <c r="F473" s="3" t="str">
        <f>VLOOKUP(B473,[1]general_report!$B$1:$J$713,9,0)</f>
        <v xml:space="preserve"> Dir. Oi</v>
      </c>
      <c r="G473" s="3" t="s">
        <v>18</v>
      </c>
      <c r="H473" s="3" t="s">
        <v>909</v>
      </c>
      <c r="I473" s="3" t="s">
        <v>13</v>
      </c>
      <c r="J473" s="5">
        <v>42314.448611111111</v>
      </c>
      <c r="K473" s="3"/>
      <c r="L473" s="11">
        <f t="shared" ca="1" si="28"/>
        <v>118.55138888888905</v>
      </c>
      <c r="M473" s="1">
        <f t="shared" si="29"/>
        <v>11</v>
      </c>
      <c r="N473" s="1">
        <f t="shared" si="30"/>
        <v>2015</v>
      </c>
      <c r="O473" s="1" t="str">
        <f t="shared" ca="1" si="31"/>
        <v>entre 90 e 150 dias</v>
      </c>
    </row>
    <row r="474" spans="1:15" ht="25.5" x14ac:dyDescent="0.2">
      <c r="A474" s="3" t="s">
        <v>8</v>
      </c>
      <c r="B474" s="4" t="s">
        <v>984</v>
      </c>
      <c r="C474" s="3" t="s">
        <v>337</v>
      </c>
      <c r="D474" s="3"/>
      <c r="E474" s="3" t="str">
        <f>VLOOKUP(B474,[1]general_report!$B$1:$I$713,8,0)</f>
        <v xml:space="preserve">Oi </v>
      </c>
      <c r="F474" s="3" t="str">
        <f>VLOOKUP(B474,[1]general_report!$B$1:$J$713,9,0)</f>
        <v xml:space="preserve"> SAC</v>
      </c>
      <c r="G474" s="3" t="s">
        <v>694</v>
      </c>
      <c r="H474" s="3" t="s">
        <v>694</v>
      </c>
      <c r="I474" s="3" t="s">
        <v>27</v>
      </c>
      <c r="J474" s="5">
        <v>42292.743055555555</v>
      </c>
      <c r="K474" s="5">
        <v>42383.623611111114</v>
      </c>
      <c r="L474" s="11">
        <f t="shared" ca="1" si="28"/>
        <v>90.880555555559113</v>
      </c>
      <c r="M474" s="1">
        <f t="shared" si="29"/>
        <v>10</v>
      </c>
      <c r="N474" s="1">
        <f t="shared" si="30"/>
        <v>2015</v>
      </c>
      <c r="O474" s="1" t="str">
        <f t="shared" ca="1" si="31"/>
        <v>entre 90 e 150 dias</v>
      </c>
    </row>
    <row r="475" spans="1:15" ht="89.25" x14ac:dyDescent="0.2">
      <c r="A475" s="3" t="s">
        <v>8</v>
      </c>
      <c r="B475" s="4" t="s">
        <v>985</v>
      </c>
      <c r="C475" s="3" t="s">
        <v>986</v>
      </c>
      <c r="D475" s="3"/>
      <c r="E475" s="3" t="str">
        <f>VLOOKUP(B475,[1]general_report!$B$1:$I$713,8,0)</f>
        <v xml:space="preserve">Contax </v>
      </c>
      <c r="F475" s="3" t="str">
        <f>VLOOKUP(B475,[1]general_report!$B$1:$J$713,9,0)</f>
        <v xml:space="preserve"> Dir. Oi</v>
      </c>
      <c r="G475" s="3" t="s">
        <v>909</v>
      </c>
      <c r="H475" s="3" t="s">
        <v>909</v>
      </c>
      <c r="I475" s="3" t="s">
        <v>27</v>
      </c>
      <c r="J475" s="5">
        <v>42262.560416666667</v>
      </c>
      <c r="K475" s="5">
        <v>42383.616666666669</v>
      </c>
      <c r="L475" s="11">
        <f t="shared" ca="1" si="28"/>
        <v>121.05625000000146</v>
      </c>
      <c r="M475" s="1">
        <f t="shared" si="29"/>
        <v>9</v>
      </c>
      <c r="N475" s="1">
        <f t="shared" si="30"/>
        <v>2015</v>
      </c>
      <c r="O475" s="1" t="str">
        <f t="shared" ca="1" si="31"/>
        <v>entre 90 e 150 dias</v>
      </c>
    </row>
    <row r="476" spans="1:15" ht="38.25" x14ac:dyDescent="0.2">
      <c r="A476" s="3" t="s">
        <v>8</v>
      </c>
      <c r="B476" s="4" t="s">
        <v>987</v>
      </c>
      <c r="C476" s="3" t="s">
        <v>988</v>
      </c>
      <c r="D476" s="3"/>
      <c r="E476" s="3" t="str">
        <f>VLOOKUP(B476,[1]general_report!$B$1:$I$713,8,0)</f>
        <v xml:space="preserve">Contax </v>
      </c>
      <c r="F476" s="3" t="str">
        <f>VLOOKUP(B476,[1]general_report!$B$1:$J$713,9,0)</f>
        <v xml:space="preserve"> Dir. Oi</v>
      </c>
      <c r="G476" s="3" t="s">
        <v>18</v>
      </c>
      <c r="H476" s="3" t="s">
        <v>909</v>
      </c>
      <c r="I476" s="3" t="s">
        <v>207</v>
      </c>
      <c r="J476" s="5">
        <v>42251.524305555555</v>
      </c>
      <c r="K476" s="3"/>
      <c r="L476" s="11">
        <f t="shared" ca="1" si="28"/>
        <v>181.47569444444525</v>
      </c>
      <c r="M476" s="1">
        <f t="shared" si="29"/>
        <v>9</v>
      </c>
      <c r="N476" s="1">
        <f t="shared" si="30"/>
        <v>2015</v>
      </c>
      <c r="O476" s="1" t="str">
        <f t="shared" ca="1" si="31"/>
        <v>mais de 150 dias</v>
      </c>
    </row>
    <row r="477" spans="1:15" ht="25.5" x14ac:dyDescent="0.2">
      <c r="A477" s="3" t="s">
        <v>8</v>
      </c>
      <c r="B477" s="4" t="s">
        <v>989</v>
      </c>
      <c r="C477" s="3" t="s">
        <v>990</v>
      </c>
      <c r="D477" s="3"/>
      <c r="E477" s="3" t="str">
        <f>VLOOKUP(B477,[1]general_report!$B$1:$I$713,8,0)</f>
        <v xml:space="preserve">Oi </v>
      </c>
      <c r="F477" s="3" t="str">
        <f>VLOOKUP(B477,[1]general_report!$B$1:$J$713,9,0)</f>
        <v xml:space="preserve"> Outras Atividades</v>
      </c>
      <c r="G477" s="3" t="s">
        <v>419</v>
      </c>
      <c r="H477" s="3" t="s">
        <v>991</v>
      </c>
      <c r="I477" s="3" t="s">
        <v>207</v>
      </c>
      <c r="J477" s="5">
        <v>42234.515277777777</v>
      </c>
      <c r="K477" s="3"/>
      <c r="L477" s="11">
        <f t="shared" ca="1" si="28"/>
        <v>198.48472222222335</v>
      </c>
      <c r="M477" s="1">
        <f t="shared" si="29"/>
        <v>8</v>
      </c>
      <c r="N477" s="1">
        <f t="shared" si="30"/>
        <v>2015</v>
      </c>
      <c r="O477" s="1" t="str">
        <f t="shared" ca="1" si="31"/>
        <v>mais de 150 dias</v>
      </c>
    </row>
    <row r="478" spans="1:15" ht="89.25" x14ac:dyDescent="0.2">
      <c r="A478" s="3" t="s">
        <v>8</v>
      </c>
      <c r="B478" s="4" t="s">
        <v>992</v>
      </c>
      <c r="C478" s="3" t="s">
        <v>993</v>
      </c>
      <c r="D478" s="3"/>
      <c r="E478" s="3" t="str">
        <f>VLOOKUP(B478,[1]general_report!$B$1:$I$713,8,0)</f>
        <v xml:space="preserve">Contax </v>
      </c>
      <c r="F478" s="3" t="str">
        <f>VLOOKUP(B478,[1]general_report!$B$1:$J$713,9,0)</f>
        <v xml:space="preserve"> Dir. Oi</v>
      </c>
      <c r="G478" s="3" t="s">
        <v>909</v>
      </c>
      <c r="H478" s="3" t="s">
        <v>909</v>
      </c>
      <c r="I478" s="3" t="s">
        <v>27</v>
      </c>
      <c r="J478" s="5">
        <v>42215.795138888891</v>
      </c>
      <c r="K478" s="5">
        <v>42383.617361111108</v>
      </c>
      <c r="L478" s="11">
        <f t="shared" ca="1" si="28"/>
        <v>167.82222222221753</v>
      </c>
      <c r="M478" s="1">
        <f t="shared" si="29"/>
        <v>7</v>
      </c>
      <c r="N478" s="1">
        <f t="shared" si="30"/>
        <v>2015</v>
      </c>
      <c r="O478" s="1" t="str">
        <f t="shared" ca="1" si="31"/>
        <v>mais de 150 dias</v>
      </c>
    </row>
    <row r="479" spans="1:15" ht="63.75" x14ac:dyDescent="0.2">
      <c r="A479" s="3" t="s">
        <v>8</v>
      </c>
      <c r="B479" s="4" t="s">
        <v>994</v>
      </c>
      <c r="C479" s="3" t="s">
        <v>995</v>
      </c>
      <c r="D479" s="3"/>
      <c r="E479" s="3" t="str">
        <f>VLOOKUP(B479,[1]general_report!$B$1:$I$713,8,0)</f>
        <v xml:space="preserve">Contax </v>
      </c>
      <c r="F479" s="3" t="str">
        <f>VLOOKUP(B479,[1]general_report!$B$1:$J$713,9,0)</f>
        <v xml:space="preserve"> Dir. Oi</v>
      </c>
      <c r="G479" s="3" t="s">
        <v>909</v>
      </c>
      <c r="H479" s="3" t="s">
        <v>909</v>
      </c>
      <c r="I479" s="3" t="s">
        <v>27</v>
      </c>
      <c r="J479" s="5">
        <v>42209.46597222222</v>
      </c>
      <c r="K479" s="5">
        <v>42383.617361111108</v>
      </c>
      <c r="L479" s="11">
        <f t="shared" ca="1" si="28"/>
        <v>174.1513888888876</v>
      </c>
      <c r="M479" s="1">
        <f t="shared" si="29"/>
        <v>7</v>
      </c>
      <c r="N479" s="1">
        <f t="shared" si="30"/>
        <v>2015</v>
      </c>
      <c r="O479" s="1" t="str">
        <f t="shared" ca="1" si="31"/>
        <v>mais de 150 dias</v>
      </c>
    </row>
    <row r="480" spans="1:15" ht="15" x14ac:dyDescent="0.2">
      <c r="A480" s="3" t="s">
        <v>8</v>
      </c>
      <c r="B480" s="4" t="s">
        <v>996</v>
      </c>
      <c r="C480" s="3" t="s">
        <v>997</v>
      </c>
      <c r="D480" s="3"/>
      <c r="E480" s="3" t="str">
        <f>VLOOKUP(B480,[1]general_report!$B$1:$I$713,8,0)</f>
        <v xml:space="preserve">Contax </v>
      </c>
      <c r="F480" s="3" t="str">
        <f>VLOOKUP(B480,[1]general_report!$B$1:$J$713,9,0)</f>
        <v xml:space="preserve"> Dir. Oi</v>
      </c>
      <c r="G480" s="3" t="s">
        <v>419</v>
      </c>
      <c r="H480" s="3" t="s">
        <v>909</v>
      </c>
      <c r="I480" s="3" t="s">
        <v>207</v>
      </c>
      <c r="J480" s="5">
        <v>42205.64166666667</v>
      </c>
      <c r="K480" s="3"/>
      <c r="L480" s="11">
        <f t="shared" ca="1" si="28"/>
        <v>227.35833333332994</v>
      </c>
      <c r="M480" s="1">
        <f t="shared" si="29"/>
        <v>7</v>
      </c>
      <c r="N480" s="1">
        <f t="shared" si="30"/>
        <v>2015</v>
      </c>
      <c r="O480" s="1" t="str">
        <f t="shared" ca="1" si="31"/>
        <v>mais de 150 dias</v>
      </c>
    </row>
    <row r="481" spans="1:15" ht="25.5" x14ac:dyDescent="0.2">
      <c r="A481" s="3" t="s">
        <v>8</v>
      </c>
      <c r="B481" s="4" t="s">
        <v>998</v>
      </c>
      <c r="C481" s="3" t="s">
        <v>999</v>
      </c>
      <c r="D481" s="3"/>
      <c r="E481" s="3" t="str">
        <f>VLOOKUP(B481,[1]general_report!$B$1:$I$713,8,0)</f>
        <v xml:space="preserve">Contax </v>
      </c>
      <c r="F481" s="3" t="str">
        <f>VLOOKUP(B481,[1]general_report!$B$1:$J$713,9,0)</f>
        <v xml:space="preserve"> Dir. Oi</v>
      </c>
      <c r="G481" s="3" t="s">
        <v>603</v>
      </c>
      <c r="H481" s="3" t="s">
        <v>704</v>
      </c>
      <c r="I481" s="3" t="s">
        <v>48</v>
      </c>
      <c r="J481" s="5">
        <v>42202.72152777778</v>
      </c>
      <c r="K481" s="3"/>
      <c r="L481" s="11">
        <f t="shared" ca="1" si="28"/>
        <v>230.27847222222044</v>
      </c>
      <c r="M481" s="1">
        <f t="shared" si="29"/>
        <v>7</v>
      </c>
      <c r="N481" s="1">
        <f t="shared" si="30"/>
        <v>2015</v>
      </c>
      <c r="O481" s="1" t="str">
        <f t="shared" ca="1" si="31"/>
        <v>mais de 150 dias</v>
      </c>
    </row>
    <row r="482" spans="1:15" ht="25.5" x14ac:dyDescent="0.2">
      <c r="A482" s="3" t="s">
        <v>8</v>
      </c>
      <c r="B482" s="4" t="s">
        <v>1000</v>
      </c>
      <c r="C482" s="3" t="s">
        <v>81</v>
      </c>
      <c r="D482" s="3"/>
      <c r="E482" s="3" t="str">
        <f>VLOOKUP(B482,[1]general_report!$B$1:$I$713,8,0)</f>
        <v xml:space="preserve">Contax </v>
      </c>
      <c r="F482" s="3" t="str">
        <f>VLOOKUP(B482,[1]general_report!$B$1:$J$713,9,0)</f>
        <v xml:space="preserve"> Ger Planejamento SAC</v>
      </c>
      <c r="G482" s="3" t="s">
        <v>419</v>
      </c>
      <c r="H482" s="3" t="s">
        <v>1001</v>
      </c>
      <c r="I482" s="3" t="s">
        <v>13</v>
      </c>
      <c r="J482" s="5">
        <v>42193.411805555559</v>
      </c>
      <c r="K482" s="3"/>
      <c r="L482" s="11">
        <f t="shared" ca="1" si="28"/>
        <v>239.58819444444089</v>
      </c>
      <c r="M482" s="1">
        <f t="shared" si="29"/>
        <v>7</v>
      </c>
      <c r="N482" s="1">
        <f t="shared" si="30"/>
        <v>2015</v>
      </c>
      <c r="O482" s="1" t="str">
        <f t="shared" ca="1" si="31"/>
        <v>mais de 150 dias</v>
      </c>
    </row>
    <row r="483" spans="1:15" ht="38.25" x14ac:dyDescent="0.2">
      <c r="A483" s="3" t="s">
        <v>8</v>
      </c>
      <c r="B483" s="4" t="s">
        <v>1002</v>
      </c>
      <c r="C483" s="3" t="s">
        <v>1003</v>
      </c>
      <c r="D483" s="3"/>
      <c r="E483" s="3" t="str">
        <f>VLOOKUP(B483,[1]general_report!$B$1:$I$713,8,0)</f>
        <v xml:space="preserve">Contax </v>
      </c>
      <c r="F483" s="3" t="str">
        <f>VLOOKUP(B483,[1]general_report!$B$1:$J$713,9,0)</f>
        <v xml:space="preserve"> Dir. Oi</v>
      </c>
      <c r="G483" s="3" t="s">
        <v>909</v>
      </c>
      <c r="H483" s="3" t="s">
        <v>909</v>
      </c>
      <c r="I483" s="3" t="s">
        <v>27</v>
      </c>
      <c r="J483" s="5">
        <v>42192.47152777778</v>
      </c>
      <c r="K483" s="5">
        <v>42383.618055555555</v>
      </c>
      <c r="L483" s="11">
        <f t="shared" ca="1" si="28"/>
        <v>191.14652777777519</v>
      </c>
      <c r="M483" s="1">
        <f t="shared" si="29"/>
        <v>7</v>
      </c>
      <c r="N483" s="1">
        <f t="shared" si="30"/>
        <v>2015</v>
      </c>
      <c r="O483" s="1" t="str">
        <f t="shared" ca="1" si="31"/>
        <v>mais de 150 dias</v>
      </c>
    </row>
    <row r="484" spans="1:15" ht="51" x14ac:dyDescent="0.2">
      <c r="A484" s="3" t="s">
        <v>8</v>
      </c>
      <c r="B484" s="4" t="s">
        <v>1004</v>
      </c>
      <c r="C484" s="3" t="s">
        <v>1005</v>
      </c>
      <c r="D484" s="3"/>
      <c r="E484" s="3" t="str">
        <f>VLOOKUP(B484,[1]general_report!$B$1:$I$713,8,0)</f>
        <v xml:space="preserve">Contax </v>
      </c>
      <c r="F484" s="3" t="str">
        <f>VLOOKUP(B484,[1]general_report!$B$1:$J$713,9,0)</f>
        <v xml:space="preserve"> Dir. Oi</v>
      </c>
      <c r="G484" s="3" t="s">
        <v>909</v>
      </c>
      <c r="H484" s="3" t="s">
        <v>909</v>
      </c>
      <c r="I484" s="3" t="s">
        <v>27</v>
      </c>
      <c r="J484" s="5">
        <v>42185.440972222219</v>
      </c>
      <c r="K484" s="5">
        <v>42383.618750000001</v>
      </c>
      <c r="L484" s="11">
        <f t="shared" ca="1" si="28"/>
        <v>198.17777777778247</v>
      </c>
      <c r="M484" s="1">
        <f t="shared" si="29"/>
        <v>6</v>
      </c>
      <c r="N484" s="1">
        <f t="shared" si="30"/>
        <v>2015</v>
      </c>
      <c r="O484" s="1" t="str">
        <f t="shared" ca="1" si="31"/>
        <v>mais de 150 dias</v>
      </c>
    </row>
    <row r="485" spans="1:15" ht="25.5" x14ac:dyDescent="0.2">
      <c r="A485" s="3" t="s">
        <v>8</v>
      </c>
      <c r="B485" s="4" t="s">
        <v>1006</v>
      </c>
      <c r="C485" s="3" t="s">
        <v>1007</v>
      </c>
      <c r="D485" s="3"/>
      <c r="E485" s="3" t="str">
        <f>VLOOKUP(B485,[1]general_report!$B$1:$I$713,8,0)</f>
        <v xml:space="preserve">Contax </v>
      </c>
      <c r="F485" s="3" t="str">
        <f>VLOOKUP(B485,[1]general_report!$B$1:$J$713,9,0)</f>
        <v xml:space="preserve"> Dir. Oi</v>
      </c>
      <c r="G485" s="3" t="s">
        <v>909</v>
      </c>
      <c r="H485" s="3" t="s">
        <v>909</v>
      </c>
      <c r="I485" s="3" t="s">
        <v>27</v>
      </c>
      <c r="J485" s="5">
        <v>42170.738194444442</v>
      </c>
      <c r="K485" s="5">
        <v>42383.618750000001</v>
      </c>
      <c r="L485" s="11">
        <f t="shared" ca="1" si="28"/>
        <v>212.88055555555911</v>
      </c>
      <c r="M485" s="1">
        <f t="shared" si="29"/>
        <v>6</v>
      </c>
      <c r="N485" s="1">
        <f t="shared" si="30"/>
        <v>2015</v>
      </c>
      <c r="O485" s="1" t="str">
        <f t="shared" ca="1" si="31"/>
        <v>mais de 150 dias</v>
      </c>
    </row>
    <row r="486" spans="1:15" ht="25.5" x14ac:dyDescent="0.2">
      <c r="A486" s="3" t="s">
        <v>8</v>
      </c>
      <c r="B486" s="4" t="s">
        <v>1008</v>
      </c>
      <c r="C486" s="3" t="s">
        <v>1009</v>
      </c>
      <c r="D486" s="3"/>
      <c r="E486" s="3" t="str">
        <f>VLOOKUP(B486,[1]general_report!$B$1:$I$713,8,0)</f>
        <v xml:space="preserve">Oi </v>
      </c>
      <c r="F486" s="3" t="str">
        <f>VLOOKUP(B486,[1]general_report!$B$1:$J$713,9,0)</f>
        <v xml:space="preserve"> Outras Atividades</v>
      </c>
      <c r="G486" s="3" t="s">
        <v>33</v>
      </c>
      <c r="H486" s="3" t="s">
        <v>991</v>
      </c>
      <c r="I486" s="3" t="s">
        <v>48</v>
      </c>
      <c r="J486" s="5">
        <v>42164.45</v>
      </c>
      <c r="K486" s="3"/>
      <c r="L486" s="11">
        <f t="shared" ca="1" si="28"/>
        <v>268.55000000000291</v>
      </c>
      <c r="M486" s="1">
        <f t="shared" si="29"/>
        <v>6</v>
      </c>
      <c r="N486" s="1">
        <f t="shared" si="30"/>
        <v>2015</v>
      </c>
      <c r="O486" s="1" t="str">
        <f t="shared" ca="1" si="31"/>
        <v>mais de 150 dias</v>
      </c>
    </row>
    <row r="487" spans="1:15" ht="25.5" x14ac:dyDescent="0.2">
      <c r="A487" s="3" t="s">
        <v>8</v>
      </c>
      <c r="B487" s="4" t="s">
        <v>1010</v>
      </c>
      <c r="C487" s="3" t="s">
        <v>1011</v>
      </c>
      <c r="D487" s="3"/>
      <c r="E487" s="3" t="str">
        <f>VLOOKUP(B487,[1]general_report!$B$1:$I$713,8,0)</f>
        <v xml:space="preserve">Oi </v>
      </c>
      <c r="F487" s="3" t="str">
        <f>VLOOKUP(B487,[1]general_report!$B$1:$J$713,9,0)</f>
        <v xml:space="preserve"> Back Office</v>
      </c>
      <c r="G487" s="3" t="s">
        <v>928</v>
      </c>
      <c r="H487" s="3" t="s">
        <v>928</v>
      </c>
      <c r="I487" s="3" t="s">
        <v>27</v>
      </c>
      <c r="J487" s="5">
        <v>42095.637499999997</v>
      </c>
      <c r="K487" s="5">
        <v>42383.620138888888</v>
      </c>
      <c r="L487" s="11">
        <f t="shared" ca="1" si="28"/>
        <v>287.98263888889051</v>
      </c>
      <c r="M487" s="1">
        <f t="shared" si="29"/>
        <v>4</v>
      </c>
      <c r="N487" s="1">
        <f t="shared" si="30"/>
        <v>2015</v>
      </c>
      <c r="O487" s="1" t="str">
        <f t="shared" ca="1" si="31"/>
        <v>mais de 150 dias</v>
      </c>
    </row>
    <row r="488" spans="1:15" ht="38.25" x14ac:dyDescent="0.2">
      <c r="A488" s="3" t="s">
        <v>8</v>
      </c>
      <c r="B488" s="4" t="s">
        <v>1012</v>
      </c>
      <c r="C488" s="3" t="s">
        <v>1013</v>
      </c>
      <c r="D488" s="3"/>
      <c r="E488" s="3" t="str">
        <f>VLOOKUP(B488,[1]general_report!$B$1:$I$713,8,0)</f>
        <v xml:space="preserve">Contax </v>
      </c>
      <c r="F488" s="3" t="str">
        <f>VLOOKUP(B488,[1]general_report!$B$1:$J$713,9,0)</f>
        <v xml:space="preserve"> Dir. Oi</v>
      </c>
      <c r="G488" s="3" t="s">
        <v>909</v>
      </c>
      <c r="H488" s="3" t="s">
        <v>909</v>
      </c>
      <c r="I488" s="3" t="s">
        <v>27</v>
      </c>
      <c r="J488" s="5">
        <v>42082.507638888892</v>
      </c>
      <c r="K488" s="5">
        <v>42383.618750000001</v>
      </c>
      <c r="L488" s="11">
        <f t="shared" ca="1" si="28"/>
        <v>301.11111111110949</v>
      </c>
      <c r="M488" s="1">
        <f t="shared" si="29"/>
        <v>3</v>
      </c>
      <c r="N488" s="1">
        <f t="shared" si="30"/>
        <v>2015</v>
      </c>
      <c r="O488" s="1" t="str">
        <f t="shared" ca="1" si="31"/>
        <v>mais de 150 dias</v>
      </c>
    </row>
    <row r="489" spans="1:15" ht="15" x14ac:dyDescent="0.2">
      <c r="A489" s="3" t="s">
        <v>8</v>
      </c>
      <c r="B489" s="4" t="s">
        <v>1014</v>
      </c>
      <c r="C489" s="3" t="s">
        <v>1015</v>
      </c>
      <c r="D489" s="3"/>
      <c r="E489" s="3" t="str">
        <f>VLOOKUP(B489,[1]general_report!$B$1:$I$713,8,0)</f>
        <v xml:space="preserve">Oi </v>
      </c>
      <c r="F489" s="3" t="str">
        <f>VLOOKUP(B489,[1]general_report!$B$1:$J$713,9,0)</f>
        <v xml:space="preserve"> SAC</v>
      </c>
      <c r="G489" s="3" t="s">
        <v>419</v>
      </c>
      <c r="H489" s="3" t="s">
        <v>1016</v>
      </c>
      <c r="I489" s="3" t="s">
        <v>234</v>
      </c>
      <c r="J489" s="5">
        <v>42241.495833333334</v>
      </c>
      <c r="K489" s="3"/>
      <c r="L489" s="11">
        <f t="shared" ca="1" si="28"/>
        <v>191.5041666666657</v>
      </c>
      <c r="M489" s="1">
        <f t="shared" si="29"/>
        <v>8</v>
      </c>
      <c r="N489" s="1">
        <f t="shared" si="30"/>
        <v>2015</v>
      </c>
      <c r="O489" s="1" t="str">
        <f t="shared" ca="1" si="31"/>
        <v>mais de 150 dias</v>
      </c>
    </row>
    <row r="490" spans="1:15" ht="38.25" x14ac:dyDescent="0.2">
      <c r="A490" s="3" t="s">
        <v>8</v>
      </c>
      <c r="B490" s="4" t="s">
        <v>1017</v>
      </c>
      <c r="C490" s="3" t="s">
        <v>1018</v>
      </c>
      <c r="D490" s="3"/>
      <c r="E490" s="3" t="str">
        <f>VLOOKUP(B490,[1]general_report!$B$1:$I$713,8,0)</f>
        <v xml:space="preserve">Oi </v>
      </c>
      <c r="F490" s="3" t="str">
        <f>VLOOKUP(B490,[1]general_report!$B$1:$J$713,9,0)</f>
        <v xml:space="preserve"> BO ANATEL</v>
      </c>
      <c r="G490" s="3" t="s">
        <v>402</v>
      </c>
      <c r="H490" s="3" t="s">
        <v>1019</v>
      </c>
      <c r="I490" s="3" t="s">
        <v>207</v>
      </c>
      <c r="J490" s="5">
        <v>42227.752083333333</v>
      </c>
      <c r="K490" s="3"/>
      <c r="L490" s="11">
        <f t="shared" ca="1" si="28"/>
        <v>205.24791666666715</v>
      </c>
      <c r="M490" s="1">
        <f t="shared" si="29"/>
        <v>8</v>
      </c>
      <c r="N490" s="1">
        <f t="shared" si="30"/>
        <v>2015</v>
      </c>
      <c r="O490" s="1" t="str">
        <f t="shared" ca="1" si="31"/>
        <v>mais de 150 dias</v>
      </c>
    </row>
    <row r="491" spans="1:15" ht="38.25" x14ac:dyDescent="0.2">
      <c r="A491" s="3" t="s">
        <v>8</v>
      </c>
      <c r="B491" s="4" t="s">
        <v>1020</v>
      </c>
      <c r="C491" s="3" t="s">
        <v>1021</v>
      </c>
      <c r="D491" s="3"/>
      <c r="E491" s="3" t="str">
        <f>VLOOKUP(B491,[1]general_report!$B$1:$I$713,8,0)</f>
        <v xml:space="preserve">Oi </v>
      </c>
      <c r="F491" s="3" t="str">
        <f>VLOOKUP(B491,[1]general_report!$B$1:$J$713,9,0)</f>
        <v xml:space="preserve"> BO ANATEL</v>
      </c>
      <c r="G491" s="3" t="s">
        <v>1019</v>
      </c>
      <c r="H491" s="3" t="s">
        <v>1019</v>
      </c>
      <c r="I491" s="3" t="s">
        <v>27</v>
      </c>
      <c r="J491" s="5">
        <v>42227.750694444447</v>
      </c>
      <c r="K491" s="5">
        <v>42395.616666666669</v>
      </c>
      <c r="L491" s="11">
        <f t="shared" ca="1" si="28"/>
        <v>167.8659722222219</v>
      </c>
      <c r="M491" s="1">
        <f t="shared" si="29"/>
        <v>8</v>
      </c>
      <c r="N491" s="1">
        <f t="shared" si="30"/>
        <v>2015</v>
      </c>
      <c r="O491" s="1" t="str">
        <f t="shared" ca="1" si="31"/>
        <v>mais de 150 dias</v>
      </c>
    </row>
    <row r="492" spans="1:15" ht="51" x14ac:dyDescent="0.2">
      <c r="A492" s="3" t="s">
        <v>8</v>
      </c>
      <c r="B492" s="4" t="s">
        <v>1022</v>
      </c>
      <c r="C492" s="3" t="s">
        <v>1023</v>
      </c>
      <c r="D492" s="3"/>
      <c r="E492" s="3" t="str">
        <f>VLOOKUP(B492,[1]general_report!$B$1:$I$713,8,0)</f>
        <v xml:space="preserve">Oi </v>
      </c>
      <c r="F492" s="3" t="str">
        <f>VLOOKUP(B492,[1]general_report!$B$1:$J$713,9,0)</f>
        <v xml:space="preserve"> BO ANATEL</v>
      </c>
      <c r="G492" s="3" t="s">
        <v>402</v>
      </c>
      <c r="H492" s="3" t="s">
        <v>1019</v>
      </c>
      <c r="I492" s="3" t="s">
        <v>207</v>
      </c>
      <c r="J492" s="5">
        <v>42227.75</v>
      </c>
      <c r="K492" s="3"/>
      <c r="L492" s="11">
        <f t="shared" ca="1" si="28"/>
        <v>205.25</v>
      </c>
      <c r="M492" s="1">
        <f t="shared" si="29"/>
        <v>8</v>
      </c>
      <c r="N492" s="1">
        <f t="shared" si="30"/>
        <v>2015</v>
      </c>
      <c r="O492" s="1" t="str">
        <f t="shared" ca="1" si="31"/>
        <v>mais de 150 dias</v>
      </c>
    </row>
    <row r="493" spans="1:15" ht="51" x14ac:dyDescent="0.2">
      <c r="A493" s="3" t="s">
        <v>8</v>
      </c>
      <c r="B493" s="4" t="s">
        <v>1024</v>
      </c>
      <c r="C493" s="3" t="s">
        <v>1025</v>
      </c>
      <c r="D493" s="3"/>
      <c r="E493" s="3" t="str">
        <f>VLOOKUP(B493,[1]general_report!$B$1:$I$713,8,0)</f>
        <v xml:space="preserve">Oi </v>
      </c>
      <c r="F493" s="3" t="str">
        <f>VLOOKUP(B493,[1]general_report!$B$1:$J$713,9,0)</f>
        <v xml:space="preserve"> BO ANATEL</v>
      </c>
      <c r="G493" s="3" t="s">
        <v>402</v>
      </c>
      <c r="H493" s="3" t="s">
        <v>1019</v>
      </c>
      <c r="I493" s="3" t="s">
        <v>207</v>
      </c>
      <c r="J493" s="5">
        <v>42227.746527777781</v>
      </c>
      <c r="K493" s="3"/>
      <c r="L493" s="11">
        <f t="shared" ca="1" si="28"/>
        <v>205.25347222221899</v>
      </c>
      <c r="M493" s="1">
        <f t="shared" si="29"/>
        <v>8</v>
      </c>
      <c r="N493" s="1">
        <f t="shared" si="30"/>
        <v>2015</v>
      </c>
      <c r="O493" s="1" t="str">
        <f t="shared" ca="1" si="31"/>
        <v>mais de 150 dias</v>
      </c>
    </row>
    <row r="494" spans="1:15" ht="51" x14ac:dyDescent="0.2">
      <c r="A494" s="3" t="s">
        <v>8</v>
      </c>
      <c r="B494" s="4" t="s">
        <v>1026</v>
      </c>
      <c r="C494" s="3" t="s">
        <v>1027</v>
      </c>
      <c r="D494" s="3"/>
      <c r="E494" s="3" t="str">
        <f>VLOOKUP(B494,[1]general_report!$B$1:$I$713,8,0)</f>
        <v xml:space="preserve">Oi </v>
      </c>
      <c r="F494" s="3" t="str">
        <f>VLOOKUP(B494,[1]general_report!$B$1:$J$713,9,0)</f>
        <v xml:space="preserve"> BO ANATEL</v>
      </c>
      <c r="G494" s="3" t="s">
        <v>402</v>
      </c>
      <c r="H494" s="3" t="s">
        <v>1019</v>
      </c>
      <c r="I494" s="3" t="s">
        <v>207</v>
      </c>
      <c r="J494" s="5">
        <v>42227.745138888888</v>
      </c>
      <c r="K494" s="3"/>
      <c r="L494" s="11">
        <f t="shared" ca="1" si="28"/>
        <v>205.2548611111124</v>
      </c>
      <c r="M494" s="1">
        <f t="shared" si="29"/>
        <v>8</v>
      </c>
      <c r="N494" s="1">
        <f t="shared" si="30"/>
        <v>2015</v>
      </c>
      <c r="O494" s="1" t="str">
        <f t="shared" ca="1" si="31"/>
        <v>mais de 150 dias</v>
      </c>
    </row>
    <row r="495" spans="1:15" ht="25.5" x14ac:dyDescent="0.2">
      <c r="A495" s="3" t="s">
        <v>8</v>
      </c>
      <c r="B495" s="4" t="s">
        <v>1028</v>
      </c>
      <c r="C495" s="3" t="s">
        <v>1029</v>
      </c>
      <c r="D495" s="3"/>
      <c r="E495" s="3" t="str">
        <f>VLOOKUP(B495,[1]general_report!$B$1:$I$713,8,0)</f>
        <v xml:space="preserve">Oi </v>
      </c>
      <c r="F495" s="3" t="str">
        <f>VLOOKUP(B495,[1]general_report!$B$1:$J$713,9,0)</f>
        <v xml:space="preserve"> BO ANATEL</v>
      </c>
      <c r="G495" s="3" t="s">
        <v>441</v>
      </c>
      <c r="H495" s="3" t="s">
        <v>1019</v>
      </c>
      <c r="I495" s="3" t="s">
        <v>207</v>
      </c>
      <c r="J495" s="5">
        <v>42219.756249999999</v>
      </c>
      <c r="K495" s="3"/>
      <c r="L495" s="11">
        <f t="shared" ca="1" si="28"/>
        <v>213.24375000000146</v>
      </c>
      <c r="M495" s="1">
        <f t="shared" si="29"/>
        <v>8</v>
      </c>
      <c r="N495" s="1">
        <f t="shared" si="30"/>
        <v>2015</v>
      </c>
      <c r="O495" s="1" t="str">
        <f t="shared" ca="1" si="31"/>
        <v>mais de 150 dias</v>
      </c>
    </row>
    <row r="496" spans="1:15" ht="38.25" x14ac:dyDescent="0.2">
      <c r="A496" s="3" t="s">
        <v>8</v>
      </c>
      <c r="B496" s="4" t="s">
        <v>1030</v>
      </c>
      <c r="C496" s="3" t="s">
        <v>1031</v>
      </c>
      <c r="D496" s="3"/>
      <c r="E496" s="3" t="str">
        <f>VLOOKUP(B496,[1]general_report!$B$1:$I$713,8,0)</f>
        <v xml:space="preserve">Oi </v>
      </c>
      <c r="F496" s="3" t="str">
        <f>VLOOKUP(B496,[1]general_report!$B$1:$J$713,9,0)</f>
        <v xml:space="preserve"> BO ANATEL</v>
      </c>
      <c r="G496" s="3" t="s">
        <v>1019</v>
      </c>
      <c r="H496" s="3" t="s">
        <v>1019</v>
      </c>
      <c r="I496" s="3" t="s">
        <v>27</v>
      </c>
      <c r="J496" s="5">
        <v>42219.754166666666</v>
      </c>
      <c r="K496" s="5">
        <v>42352.48333333333</v>
      </c>
      <c r="L496" s="11">
        <f t="shared" ca="1" si="28"/>
        <v>132.72916666666424</v>
      </c>
      <c r="M496" s="1">
        <f t="shared" si="29"/>
        <v>8</v>
      </c>
      <c r="N496" s="1">
        <f t="shared" si="30"/>
        <v>2015</v>
      </c>
      <c r="O496" s="1" t="str">
        <f t="shared" ca="1" si="31"/>
        <v>entre 90 e 150 dias</v>
      </c>
    </row>
    <row r="497" spans="1:15" ht="25.5" x14ac:dyDescent="0.2">
      <c r="A497" s="3" t="s">
        <v>8</v>
      </c>
      <c r="B497" s="4" t="s">
        <v>1032</v>
      </c>
      <c r="C497" s="3" t="s">
        <v>1033</v>
      </c>
      <c r="D497" s="3"/>
      <c r="E497" s="3" t="str">
        <f>VLOOKUP(B497,[1]general_report!$B$1:$I$713,8,0)</f>
        <v xml:space="preserve">Oi </v>
      </c>
      <c r="F497" s="3" t="str">
        <f>VLOOKUP(B497,[1]general_report!$B$1:$J$713,9,0)</f>
        <v xml:space="preserve"> BO ANATEL</v>
      </c>
      <c r="G497" s="3" t="s">
        <v>441</v>
      </c>
      <c r="H497" s="3" t="s">
        <v>1019</v>
      </c>
      <c r="I497" s="3" t="s">
        <v>207</v>
      </c>
      <c r="J497" s="5">
        <v>42219.75277777778</v>
      </c>
      <c r="K497" s="3"/>
      <c r="L497" s="11">
        <f t="shared" ca="1" si="28"/>
        <v>213.24722222222044</v>
      </c>
      <c r="M497" s="1">
        <f t="shared" si="29"/>
        <v>8</v>
      </c>
      <c r="N497" s="1">
        <f t="shared" si="30"/>
        <v>2015</v>
      </c>
      <c r="O497" s="1" t="str">
        <f t="shared" ca="1" si="31"/>
        <v>mais de 150 dias</v>
      </c>
    </row>
    <row r="498" spans="1:15" ht="38.25" x14ac:dyDescent="0.2">
      <c r="A498" s="3" t="s">
        <v>8</v>
      </c>
      <c r="B498" s="4" t="s">
        <v>1034</v>
      </c>
      <c r="C498" s="3" t="s">
        <v>1035</v>
      </c>
      <c r="D498" s="3"/>
      <c r="E498" s="3" t="str">
        <f>VLOOKUP(B498,[1]general_report!$B$1:$I$713,8,0)</f>
        <v xml:space="preserve">Contax </v>
      </c>
      <c r="F498" s="3" t="str">
        <f>VLOOKUP(B498,[1]general_report!$B$1:$J$713,9,0)</f>
        <v xml:space="preserve"> Ger Governança de TI</v>
      </c>
      <c r="G498" s="3" t="s">
        <v>419</v>
      </c>
      <c r="H498" s="3" t="s">
        <v>1036</v>
      </c>
      <c r="I498" s="3" t="s">
        <v>234</v>
      </c>
      <c r="J498" s="5">
        <v>42212.618055555555</v>
      </c>
      <c r="K498" s="3"/>
      <c r="L498" s="11">
        <f t="shared" ca="1" si="28"/>
        <v>220.38194444444525</v>
      </c>
      <c r="M498" s="1">
        <f t="shared" si="29"/>
        <v>7</v>
      </c>
      <c r="N498" s="1">
        <f t="shared" si="30"/>
        <v>2015</v>
      </c>
      <c r="O498" s="1" t="str">
        <f t="shared" ca="1" si="31"/>
        <v>mais de 150 dias</v>
      </c>
    </row>
    <row r="499" spans="1:15" ht="25.5" x14ac:dyDescent="0.2">
      <c r="A499" s="3" t="s">
        <v>8</v>
      </c>
      <c r="B499" s="4" t="s">
        <v>1037</v>
      </c>
      <c r="C499" s="3" t="s">
        <v>81</v>
      </c>
      <c r="D499" s="3"/>
      <c r="E499" s="3" t="str">
        <f>VLOOKUP(B499,[1]general_report!$B$1:$I$713,8,0)</f>
        <v xml:space="preserve">Contax </v>
      </c>
      <c r="F499" s="3" t="str">
        <f>VLOOKUP(B499,[1]general_report!$B$1:$J$713,9,0)</f>
        <v xml:space="preserve"> Dir. Clientes Especiais</v>
      </c>
      <c r="G499" s="3" t="s">
        <v>419</v>
      </c>
      <c r="H499" s="3" t="s">
        <v>654</v>
      </c>
      <c r="I499" s="3" t="s">
        <v>13</v>
      </c>
      <c r="J499" s="5">
        <v>42210.645833333336</v>
      </c>
      <c r="K499" s="3"/>
      <c r="L499" s="11">
        <f t="shared" ca="1" si="28"/>
        <v>222.35416666666424</v>
      </c>
      <c r="M499" s="1">
        <f t="shared" si="29"/>
        <v>7</v>
      </c>
      <c r="N499" s="1">
        <f t="shared" si="30"/>
        <v>2015</v>
      </c>
      <c r="O499" s="1" t="str">
        <f t="shared" ca="1" si="31"/>
        <v>mais de 150 dias</v>
      </c>
    </row>
    <row r="500" spans="1:15" ht="25.5" x14ac:dyDescent="0.2">
      <c r="A500" s="3" t="s">
        <v>8</v>
      </c>
      <c r="B500" s="4" t="s">
        <v>1038</v>
      </c>
      <c r="C500" s="3" t="s">
        <v>1039</v>
      </c>
      <c r="D500" s="3"/>
      <c r="E500" s="3" t="str">
        <f>VLOOKUP(B500,[1]general_report!$B$1:$I$713,8,0)</f>
        <v xml:space="preserve">Contax </v>
      </c>
      <c r="F500" s="3" t="str">
        <f>VLOOKUP(B500,[1]general_report!$B$1:$J$713,9,0)</f>
        <v xml:space="preserve"> Outro</v>
      </c>
      <c r="G500" s="3" t="s">
        <v>419</v>
      </c>
      <c r="H500" s="3" t="s">
        <v>1040</v>
      </c>
      <c r="I500" s="3" t="s">
        <v>234</v>
      </c>
      <c r="J500" s="5">
        <v>42205.515972222223</v>
      </c>
      <c r="K500" s="3"/>
      <c r="L500" s="11">
        <f t="shared" ca="1" si="28"/>
        <v>227.48402777777665</v>
      </c>
      <c r="M500" s="1">
        <f t="shared" si="29"/>
        <v>7</v>
      </c>
      <c r="N500" s="1">
        <f t="shared" si="30"/>
        <v>2015</v>
      </c>
      <c r="O500" s="1" t="str">
        <f t="shared" ca="1" si="31"/>
        <v>mais de 150 dias</v>
      </c>
    </row>
    <row r="501" spans="1:15" ht="25.5" x14ac:dyDescent="0.2">
      <c r="A501" s="3" t="s">
        <v>8</v>
      </c>
      <c r="B501" s="4" t="s">
        <v>1041</v>
      </c>
      <c r="C501" s="3" t="s">
        <v>1042</v>
      </c>
      <c r="D501" s="3"/>
      <c r="E501" s="3" t="str">
        <f>VLOOKUP(B501,[1]general_report!$B$1:$I$713,8,0)</f>
        <v xml:space="preserve">Contax </v>
      </c>
      <c r="F501" s="3" t="str">
        <f>VLOOKUP(B501,[1]general_report!$B$1:$J$713,9,0)</f>
        <v xml:space="preserve"> Ger Governança de TI</v>
      </c>
      <c r="G501" s="3" t="s">
        <v>419</v>
      </c>
      <c r="H501" s="3" t="s">
        <v>1036</v>
      </c>
      <c r="I501" s="3" t="s">
        <v>207</v>
      </c>
      <c r="J501" s="5">
        <v>42200.466666666667</v>
      </c>
      <c r="K501" s="3"/>
      <c r="L501" s="11">
        <f t="shared" ca="1" si="28"/>
        <v>232.53333333333285</v>
      </c>
      <c r="M501" s="1">
        <f t="shared" si="29"/>
        <v>7</v>
      </c>
      <c r="N501" s="1">
        <f t="shared" si="30"/>
        <v>2015</v>
      </c>
      <c r="O501" s="1" t="str">
        <f t="shared" ca="1" si="31"/>
        <v>mais de 150 dias</v>
      </c>
    </row>
    <row r="502" spans="1:15" ht="15" x14ac:dyDescent="0.2">
      <c r="A502" s="3" t="s">
        <v>8</v>
      </c>
      <c r="B502" s="4" t="s">
        <v>1043</v>
      </c>
      <c r="C502" s="3" t="s">
        <v>81</v>
      </c>
      <c r="D502" s="3"/>
      <c r="E502" s="3" t="str">
        <f>VLOOKUP(B502,[1]general_report!$B$1:$I$713,8,0)</f>
        <v xml:space="preserve">Contax </v>
      </c>
      <c r="F502" s="3" t="str">
        <f>VLOOKUP(B502,[1]general_report!$B$1:$J$713,9,0)</f>
        <v xml:space="preserve"> Dir. Oi</v>
      </c>
      <c r="G502" s="3" t="s">
        <v>441</v>
      </c>
      <c r="H502" s="3" t="s">
        <v>689</v>
      </c>
      <c r="I502" s="3" t="s">
        <v>207</v>
      </c>
      <c r="J502" s="5">
        <v>42185.619444444441</v>
      </c>
      <c r="K502" s="3"/>
      <c r="L502" s="11">
        <f t="shared" ca="1" si="28"/>
        <v>247.38055555555911</v>
      </c>
      <c r="M502" s="1">
        <f t="shared" si="29"/>
        <v>6</v>
      </c>
      <c r="N502" s="1">
        <f t="shared" si="30"/>
        <v>2015</v>
      </c>
      <c r="O502" s="1" t="str">
        <f t="shared" ca="1" si="31"/>
        <v>mais de 150 dias</v>
      </c>
    </row>
    <row r="503" spans="1:15" ht="15" x14ac:dyDescent="0.2">
      <c r="A503" s="3" t="s">
        <v>8</v>
      </c>
      <c r="B503" s="4" t="s">
        <v>1044</v>
      </c>
      <c r="C503" s="3" t="s">
        <v>81</v>
      </c>
      <c r="D503" s="3"/>
      <c r="E503" s="3" t="str">
        <f>VLOOKUP(B503,[1]general_report!$B$1:$I$713,8,0)</f>
        <v xml:space="preserve">Oi </v>
      </c>
      <c r="F503" s="3" t="str">
        <f>VLOOKUP(B503,[1]general_report!$B$1:$J$713,9,0)</f>
        <v xml:space="preserve"> Outras Atividades</v>
      </c>
      <c r="G503" s="3" t="s">
        <v>11</v>
      </c>
      <c r="H503" s="3" t="s">
        <v>1045</v>
      </c>
      <c r="I503" s="3" t="s">
        <v>13</v>
      </c>
      <c r="J503" s="5">
        <v>42181.461805555555</v>
      </c>
      <c r="K503" s="3"/>
      <c r="L503" s="11">
        <f t="shared" ca="1" si="28"/>
        <v>251.53819444444525</v>
      </c>
      <c r="M503" s="1">
        <f t="shared" si="29"/>
        <v>6</v>
      </c>
      <c r="N503" s="1">
        <f t="shared" si="30"/>
        <v>2015</v>
      </c>
      <c r="O503" s="1" t="str">
        <f t="shared" ca="1" si="31"/>
        <v>mais de 150 dias</v>
      </c>
    </row>
    <row r="504" spans="1:15" ht="25.5" x14ac:dyDescent="0.2">
      <c r="A504" s="3" t="s">
        <v>8</v>
      </c>
      <c r="B504" s="4" t="s">
        <v>1046</v>
      </c>
      <c r="C504" s="3" t="s">
        <v>1047</v>
      </c>
      <c r="D504" s="3"/>
      <c r="E504" s="3" t="str">
        <f>VLOOKUP(B504,[1]general_report!$B$1:$I$713,8,0)</f>
        <v xml:space="preserve">Contax </v>
      </c>
      <c r="F504" s="3" t="str">
        <f>VLOOKUP(B504,[1]general_report!$B$1:$J$713,9,0)</f>
        <v xml:space="preserve"> Dir. Oi</v>
      </c>
      <c r="G504" s="3" t="s">
        <v>18</v>
      </c>
      <c r="H504" s="3" t="s">
        <v>689</v>
      </c>
      <c r="I504" s="3" t="s">
        <v>48</v>
      </c>
      <c r="J504" s="5">
        <v>42166.722222222219</v>
      </c>
      <c r="K504" s="3"/>
      <c r="L504" s="11">
        <f t="shared" ca="1" si="28"/>
        <v>266.27777777778101</v>
      </c>
      <c r="M504" s="1">
        <f t="shared" si="29"/>
        <v>6</v>
      </c>
      <c r="N504" s="1">
        <f t="shared" si="30"/>
        <v>2015</v>
      </c>
      <c r="O504" s="1" t="str">
        <f t="shared" ca="1" si="31"/>
        <v>mais de 150 dias</v>
      </c>
    </row>
    <row r="505" spans="1:15" ht="25.5" x14ac:dyDescent="0.2">
      <c r="A505" s="3" t="s">
        <v>8</v>
      </c>
      <c r="B505" s="4" t="s">
        <v>1048</v>
      </c>
      <c r="C505" s="3" t="s">
        <v>1049</v>
      </c>
      <c r="D505" s="3"/>
      <c r="E505" s="3" t="str">
        <f>VLOOKUP(B505,[1]general_report!$B$1:$I$713,8,0)</f>
        <v xml:space="preserve">Contax </v>
      </c>
      <c r="F505" s="3" t="str">
        <f>VLOOKUP(B505,[1]general_report!$B$1:$J$713,9,0)</f>
        <v xml:space="preserve"> Outro</v>
      </c>
      <c r="G505" s="3" t="s">
        <v>419</v>
      </c>
      <c r="H505" s="3" t="s">
        <v>426</v>
      </c>
      <c r="I505" s="3" t="s">
        <v>48</v>
      </c>
      <c r="J505" s="5">
        <v>42166.679861111108</v>
      </c>
      <c r="K505" s="3"/>
      <c r="L505" s="11">
        <f t="shared" ca="1" si="28"/>
        <v>266.32013888889196</v>
      </c>
      <c r="M505" s="1">
        <f t="shared" si="29"/>
        <v>6</v>
      </c>
      <c r="N505" s="1">
        <f t="shared" si="30"/>
        <v>2015</v>
      </c>
      <c r="O505" s="1" t="str">
        <f t="shared" ca="1" si="31"/>
        <v>mais de 150 dias</v>
      </c>
    </row>
    <row r="506" spans="1:15" ht="25.5" x14ac:dyDescent="0.2">
      <c r="A506" s="3" t="s">
        <v>8</v>
      </c>
      <c r="B506" s="4" t="s">
        <v>1050</v>
      </c>
      <c r="C506" s="3" t="s">
        <v>81</v>
      </c>
      <c r="D506" s="3"/>
      <c r="E506" s="3" t="str">
        <f>VLOOKUP(B506,[1]general_report!$B$1:$I$713,8,0)</f>
        <v xml:space="preserve">Contax </v>
      </c>
      <c r="F506" s="3" t="str">
        <f>VLOOKUP(B506,[1]general_report!$B$1:$J$713,9,0)</f>
        <v xml:space="preserve"> Ger Planejamento SAC</v>
      </c>
      <c r="G506" s="3" t="s">
        <v>419</v>
      </c>
      <c r="H506" s="3" t="s">
        <v>697</v>
      </c>
      <c r="I506" s="3" t="s">
        <v>48</v>
      </c>
      <c r="J506" s="5">
        <v>42165.684027777781</v>
      </c>
      <c r="K506" s="3"/>
      <c r="L506" s="11">
        <f t="shared" ca="1" si="28"/>
        <v>267.31597222221899</v>
      </c>
      <c r="M506" s="1">
        <f t="shared" si="29"/>
        <v>6</v>
      </c>
      <c r="N506" s="1">
        <f t="shared" si="30"/>
        <v>2015</v>
      </c>
      <c r="O506" s="1" t="str">
        <f t="shared" ca="1" si="31"/>
        <v>mais de 150 dias</v>
      </c>
    </row>
    <row r="507" spans="1:15" ht="25.5" x14ac:dyDescent="0.2">
      <c r="A507" s="3" t="s">
        <v>8</v>
      </c>
      <c r="B507" s="4" t="s">
        <v>1051</v>
      </c>
      <c r="C507" s="3" t="s">
        <v>1052</v>
      </c>
      <c r="D507" s="3"/>
      <c r="E507" s="3" t="str">
        <f>VLOOKUP(B507,[1]general_report!$B$1:$I$713,8,0)</f>
        <v xml:space="preserve">Contax </v>
      </c>
      <c r="F507" s="3" t="str">
        <f>VLOOKUP(B507,[1]general_report!$B$1:$J$713,9,0)</f>
        <v xml:space="preserve"> Ger Governança de TI</v>
      </c>
      <c r="G507" s="3" t="s">
        <v>419</v>
      </c>
      <c r="H507" s="3" t="s">
        <v>426</v>
      </c>
      <c r="I507" s="3" t="s">
        <v>48</v>
      </c>
      <c r="J507" s="5">
        <v>42165.427083333336</v>
      </c>
      <c r="K507" s="3"/>
      <c r="L507" s="11">
        <f t="shared" ca="1" si="28"/>
        <v>267.57291666666424</v>
      </c>
      <c r="M507" s="1">
        <f t="shared" si="29"/>
        <v>6</v>
      </c>
      <c r="N507" s="1">
        <f t="shared" si="30"/>
        <v>2015</v>
      </c>
      <c r="O507" s="1" t="str">
        <f t="shared" ca="1" si="31"/>
        <v>mais de 150 dias</v>
      </c>
    </row>
    <row r="508" spans="1:15" ht="15" x14ac:dyDescent="0.2">
      <c r="A508" s="3" t="s">
        <v>8</v>
      </c>
      <c r="B508" s="4" t="s">
        <v>1053</v>
      </c>
      <c r="C508" s="3" t="s">
        <v>1054</v>
      </c>
      <c r="D508" s="3"/>
      <c r="E508" s="3" t="str">
        <f>VLOOKUP(B508,[1]general_report!$B$1:$I$713,8,0)</f>
        <v xml:space="preserve">Contax </v>
      </c>
      <c r="F508" s="3" t="str">
        <f>VLOOKUP(B508,[1]general_report!$B$1:$J$713,9,0)</f>
        <v xml:space="preserve"> Outro</v>
      </c>
      <c r="G508" s="3" t="s">
        <v>419</v>
      </c>
      <c r="H508" s="3" t="s">
        <v>1055</v>
      </c>
      <c r="I508" s="3" t="s">
        <v>48</v>
      </c>
      <c r="J508" s="5">
        <v>42138.508333333331</v>
      </c>
      <c r="K508" s="3"/>
      <c r="L508" s="11">
        <f t="shared" ca="1" si="28"/>
        <v>294.49166666666861</v>
      </c>
      <c r="M508" s="1">
        <f t="shared" si="29"/>
        <v>5</v>
      </c>
      <c r="N508" s="1">
        <f t="shared" si="30"/>
        <v>2015</v>
      </c>
      <c r="O508" s="1" t="str">
        <f t="shared" ca="1" si="31"/>
        <v>mais de 150 dias</v>
      </c>
    </row>
    <row r="509" spans="1:15" ht="15" x14ac:dyDescent="0.2">
      <c r="A509" s="3" t="s">
        <v>8</v>
      </c>
      <c r="B509" s="4" t="s">
        <v>1056</v>
      </c>
      <c r="C509" s="3" t="s">
        <v>1057</v>
      </c>
      <c r="D509" s="3"/>
      <c r="E509" s="3" t="str">
        <f>VLOOKUP(B509,[1]general_report!$B$1:$I$713,8,0)</f>
        <v xml:space="preserve">Contax </v>
      </c>
      <c r="F509" s="3" t="str">
        <f>VLOOKUP(B509,[1]general_report!$B$1:$J$713,9,0)</f>
        <v xml:space="preserve"> Outro</v>
      </c>
      <c r="G509" s="3" t="s">
        <v>419</v>
      </c>
      <c r="H509" s="3" t="s">
        <v>1055</v>
      </c>
      <c r="I509" s="3" t="s">
        <v>48</v>
      </c>
      <c r="J509" s="5">
        <v>42138.500694444447</v>
      </c>
      <c r="K509" s="3"/>
      <c r="L509" s="11">
        <f t="shared" ca="1" si="28"/>
        <v>294.49930555555329</v>
      </c>
      <c r="M509" s="1">
        <f t="shared" si="29"/>
        <v>5</v>
      </c>
      <c r="N509" s="1">
        <f t="shared" si="30"/>
        <v>2015</v>
      </c>
      <c r="O509" s="1" t="str">
        <f t="shared" ca="1" si="31"/>
        <v>mais de 150 dias</v>
      </c>
    </row>
    <row r="510" spans="1:15" ht="15" x14ac:dyDescent="0.2">
      <c r="A510" s="3" t="s">
        <v>8</v>
      </c>
      <c r="B510" s="4" t="s">
        <v>1058</v>
      </c>
      <c r="C510" s="3" t="s">
        <v>81</v>
      </c>
      <c r="D510" s="3"/>
      <c r="E510" s="3" t="str">
        <f>VLOOKUP(B510,[1]general_report!$B$1:$I$713,8,0)</f>
        <v xml:space="preserve">Contax </v>
      </c>
      <c r="F510" s="3" t="str">
        <f>VLOOKUP(B510,[1]general_report!$B$1:$J$713,9,0)</f>
        <v xml:space="preserve"> Dir. Oi</v>
      </c>
      <c r="G510" s="3" t="s">
        <v>1059</v>
      </c>
      <c r="H510" s="3" t="s">
        <v>1059</v>
      </c>
      <c r="I510" s="3" t="s">
        <v>27</v>
      </c>
      <c r="J510" s="5">
        <v>42123.713888888888</v>
      </c>
      <c r="K510" s="5">
        <v>42383.354861111111</v>
      </c>
      <c r="L510" s="11">
        <f t="shared" ca="1" si="28"/>
        <v>259.64097222222335</v>
      </c>
      <c r="M510" s="1">
        <f t="shared" si="29"/>
        <v>4</v>
      </c>
      <c r="N510" s="1">
        <f t="shared" si="30"/>
        <v>2015</v>
      </c>
      <c r="O510" s="1" t="str">
        <f t="shared" ca="1" si="31"/>
        <v>mais de 150 dias</v>
      </c>
    </row>
    <row r="511" spans="1:15" ht="15" x14ac:dyDescent="0.2">
      <c r="A511" s="3" t="s">
        <v>8</v>
      </c>
      <c r="B511" s="4" t="s">
        <v>1060</v>
      </c>
      <c r="C511" s="3" t="s">
        <v>1061</v>
      </c>
      <c r="D511" s="3"/>
      <c r="E511" s="3" t="str">
        <f>VLOOKUP(B511,[1]general_report!$B$1:$I$713,8,0)</f>
        <v xml:space="preserve">Contax </v>
      </c>
      <c r="F511" s="3" t="str">
        <f>VLOOKUP(B511,[1]general_report!$B$1:$J$713,9,0)</f>
        <v xml:space="preserve"> Dir. Oi</v>
      </c>
      <c r="G511" s="3" t="s">
        <v>441</v>
      </c>
      <c r="H511" s="3" t="s">
        <v>689</v>
      </c>
      <c r="I511" s="3" t="s">
        <v>207</v>
      </c>
      <c r="J511" s="5">
        <v>42116.354861111111</v>
      </c>
      <c r="K511" s="3"/>
      <c r="L511" s="11">
        <f t="shared" ca="1" si="28"/>
        <v>316.64513888888905</v>
      </c>
      <c r="M511" s="1">
        <f t="shared" si="29"/>
        <v>4</v>
      </c>
      <c r="N511" s="1">
        <f t="shared" si="30"/>
        <v>2015</v>
      </c>
      <c r="O511" s="1" t="str">
        <f t="shared" ca="1" si="31"/>
        <v>mais de 150 dias</v>
      </c>
    </row>
    <row r="512" spans="1:15" ht="15" x14ac:dyDescent="0.2">
      <c r="A512" s="3" t="s">
        <v>8</v>
      </c>
      <c r="B512" s="4" t="s">
        <v>1062</v>
      </c>
      <c r="C512" s="3" t="s">
        <v>1063</v>
      </c>
      <c r="D512" s="3"/>
      <c r="E512" s="3" t="str">
        <f>VLOOKUP(B512,[1]general_report!$B$1:$I$713,8,0)</f>
        <v xml:space="preserve">Contax </v>
      </c>
      <c r="F512" s="3" t="str">
        <f>VLOOKUP(B512,[1]general_report!$B$1:$J$713,9,0)</f>
        <v xml:space="preserve"> Dir. Oi</v>
      </c>
      <c r="G512" s="3" t="s">
        <v>441</v>
      </c>
      <c r="H512" s="3" t="s">
        <v>689</v>
      </c>
      <c r="I512" s="3" t="s">
        <v>83</v>
      </c>
      <c r="J512" s="5">
        <v>42086.57916666667</v>
      </c>
      <c r="K512" s="3"/>
      <c r="L512" s="11">
        <f t="shared" ca="1" si="28"/>
        <v>346.42083333332994</v>
      </c>
      <c r="M512" s="1">
        <f t="shared" si="29"/>
        <v>3</v>
      </c>
      <c r="N512" s="1">
        <f t="shared" si="30"/>
        <v>2015</v>
      </c>
      <c r="O512" s="1" t="str">
        <f t="shared" ca="1" si="31"/>
        <v>mais de 150 dias</v>
      </c>
    </row>
    <row r="513" spans="1:15" ht="15" x14ac:dyDescent="0.2">
      <c r="A513" s="3" t="s">
        <v>8</v>
      </c>
      <c r="B513" s="4" t="s">
        <v>1064</v>
      </c>
      <c r="C513" s="3" t="s">
        <v>1065</v>
      </c>
      <c r="D513" s="3"/>
      <c r="E513" s="3" t="str">
        <f>VLOOKUP(B513,[1]general_report!$B$1:$I$713,8,0)</f>
        <v xml:space="preserve">Contax </v>
      </c>
      <c r="F513" s="3" t="str">
        <f>VLOOKUP(B513,[1]general_report!$B$1:$J$713,9,0)</f>
        <v xml:space="preserve"> Outro</v>
      </c>
      <c r="G513" s="3" t="s">
        <v>11</v>
      </c>
      <c r="H513" s="3" t="s">
        <v>1055</v>
      </c>
      <c r="I513" s="3" t="s">
        <v>83</v>
      </c>
      <c r="J513" s="5">
        <v>41940.671527777777</v>
      </c>
      <c r="K513" s="3"/>
      <c r="L513" s="11">
        <f t="shared" ca="1" si="28"/>
        <v>492.32847222222335</v>
      </c>
      <c r="M513" s="1">
        <f t="shared" si="29"/>
        <v>10</v>
      </c>
      <c r="N513" s="1">
        <f t="shared" si="30"/>
        <v>2014</v>
      </c>
      <c r="O513" s="1" t="str">
        <f t="shared" ca="1" si="31"/>
        <v>mais de 150 dias</v>
      </c>
    </row>
    <row r="514" spans="1:15" ht="15" x14ac:dyDescent="0.2">
      <c r="A514" s="3" t="s">
        <v>8</v>
      </c>
      <c r="B514" s="4" t="s">
        <v>1066</v>
      </c>
      <c r="C514" s="3" t="s">
        <v>1067</v>
      </c>
      <c r="D514" s="3"/>
      <c r="E514" s="3" t="str">
        <f>VLOOKUP(B514,[1]general_report!$B$1:$I$713,8,0)</f>
        <v xml:space="preserve">Contax </v>
      </c>
      <c r="F514" s="3" t="str">
        <f>VLOOKUP(B514,[1]general_report!$B$1:$J$713,9,0)</f>
        <v xml:space="preserve"> Outro</v>
      </c>
      <c r="G514" s="3" t="s">
        <v>11</v>
      </c>
      <c r="H514" s="3" t="s">
        <v>1055</v>
      </c>
      <c r="I514" s="3" t="s">
        <v>83</v>
      </c>
      <c r="J514" s="5">
        <v>41940.669444444444</v>
      </c>
      <c r="K514" s="3"/>
      <c r="L514" s="11">
        <f t="shared" ca="1" si="28"/>
        <v>492.3305555555562</v>
      </c>
      <c r="M514" s="1">
        <f t="shared" si="29"/>
        <v>10</v>
      </c>
      <c r="N514" s="1">
        <f t="shared" si="30"/>
        <v>2014</v>
      </c>
      <c r="O514" s="1" t="str">
        <f t="shared" ca="1" si="31"/>
        <v>mais de 150 dias</v>
      </c>
    </row>
    <row r="515" spans="1:15" ht="15" x14ac:dyDescent="0.2">
      <c r="A515" s="3" t="s">
        <v>8</v>
      </c>
      <c r="B515" s="4" t="s">
        <v>1068</v>
      </c>
      <c r="C515" s="3" t="s">
        <v>1069</v>
      </c>
      <c r="D515" s="3"/>
      <c r="E515" s="3" t="str">
        <f>VLOOKUP(B515,[1]general_report!$B$1:$I$713,8,0)</f>
        <v xml:space="preserve">Contax </v>
      </c>
      <c r="F515" s="3" t="str">
        <f>VLOOKUP(B515,[1]general_report!$B$1:$J$713,9,0)</f>
        <v xml:space="preserve"> Outro</v>
      </c>
      <c r="G515" s="3" t="s">
        <v>11</v>
      </c>
      <c r="H515" s="3" t="s">
        <v>1055</v>
      </c>
      <c r="I515" s="3" t="s">
        <v>83</v>
      </c>
      <c r="J515" s="5">
        <v>41940.666666666664</v>
      </c>
      <c r="K515" s="3"/>
      <c r="L515" s="11">
        <f t="shared" ref="L515:L578" ca="1" si="32">IF(K515="",TODAY()-J515,K515-J515)</f>
        <v>492.33333333333576</v>
      </c>
      <c r="M515" s="1">
        <f t="shared" ref="M515:M578" si="33">MONTH(J515)</f>
        <v>10</v>
      </c>
      <c r="N515" s="1">
        <f t="shared" ref="N515:N578" si="34">YEAR(J515)</f>
        <v>2014</v>
      </c>
      <c r="O515" s="1" t="str">
        <f t="shared" ref="O515:O578" ca="1" si="35">IF(L515&lt;30,"menos 1 mês",IF(L515&lt;60,"entre 30 e 60 dias",IF(L515&lt;90,"entre 60 e 90 dias",IF(L515&lt;150,"entre 90 e 150 dias","mais de 150 dias"))))</f>
        <v>mais de 150 dias</v>
      </c>
    </row>
    <row r="516" spans="1:15" ht="15" x14ac:dyDescent="0.2">
      <c r="A516" s="3" t="s">
        <v>8</v>
      </c>
      <c r="B516" s="4" t="s">
        <v>1070</v>
      </c>
      <c r="C516" s="3" t="s">
        <v>1071</v>
      </c>
      <c r="D516" s="3"/>
      <c r="E516" s="3" t="str">
        <f>VLOOKUP(B516,[1]general_report!$B$1:$I$713,8,0)</f>
        <v xml:space="preserve">Contax </v>
      </c>
      <c r="F516" s="3" t="str">
        <f>VLOOKUP(B516,[1]general_report!$B$1:$J$713,9,0)</f>
        <v xml:space="preserve"> Outro</v>
      </c>
      <c r="G516" s="3" t="s">
        <v>11</v>
      </c>
      <c r="H516" s="3" t="s">
        <v>1055</v>
      </c>
      <c r="I516" s="3" t="s">
        <v>83</v>
      </c>
      <c r="J516" s="5">
        <v>41940.662499999999</v>
      </c>
      <c r="K516" s="3"/>
      <c r="L516" s="11">
        <f t="shared" ca="1" si="32"/>
        <v>492.33750000000146</v>
      </c>
      <c r="M516" s="1">
        <f t="shared" si="33"/>
        <v>10</v>
      </c>
      <c r="N516" s="1">
        <f t="shared" si="34"/>
        <v>2014</v>
      </c>
      <c r="O516" s="1" t="str">
        <f t="shared" ca="1" si="35"/>
        <v>mais de 150 dias</v>
      </c>
    </row>
    <row r="517" spans="1:15" ht="15" x14ac:dyDescent="0.2">
      <c r="A517" s="3" t="s">
        <v>8</v>
      </c>
      <c r="B517" s="4" t="s">
        <v>1072</v>
      </c>
      <c r="C517" s="3" t="s">
        <v>1073</v>
      </c>
      <c r="D517" s="3"/>
      <c r="E517" s="3" t="str">
        <f>VLOOKUP(B517,[1]general_report!$B$1:$I$713,8,0)</f>
        <v xml:space="preserve">Contax </v>
      </c>
      <c r="F517" s="3" t="str">
        <f>VLOOKUP(B517,[1]general_report!$B$1:$J$713,9,0)</f>
        <v xml:space="preserve"> Outro</v>
      </c>
      <c r="G517" s="3" t="s">
        <v>419</v>
      </c>
      <c r="H517" s="3" t="s">
        <v>1055</v>
      </c>
      <c r="I517" s="3" t="s">
        <v>83</v>
      </c>
      <c r="J517" s="5">
        <v>41940.652083333334</v>
      </c>
      <c r="K517" s="3"/>
      <c r="L517" s="11">
        <f t="shared" ca="1" si="32"/>
        <v>492.3479166666657</v>
      </c>
      <c r="M517" s="1">
        <f t="shared" si="33"/>
        <v>10</v>
      </c>
      <c r="N517" s="1">
        <f t="shared" si="34"/>
        <v>2014</v>
      </c>
      <c r="O517" s="1" t="str">
        <f t="shared" ca="1" si="35"/>
        <v>mais de 150 dias</v>
      </c>
    </row>
    <row r="518" spans="1:15" ht="15" x14ac:dyDescent="0.2">
      <c r="A518" s="3" t="s">
        <v>8</v>
      </c>
      <c r="B518" s="4" t="s">
        <v>1074</v>
      </c>
      <c r="C518" s="3" t="s">
        <v>1075</v>
      </c>
      <c r="D518" s="3"/>
      <c r="E518" s="3" t="str">
        <f>VLOOKUP(B518,[1]general_report!$B$1:$I$713,8,0)</f>
        <v xml:space="preserve">Contax </v>
      </c>
      <c r="F518" s="3" t="str">
        <f>VLOOKUP(B518,[1]general_report!$B$1:$J$713,9,0)</f>
        <v xml:space="preserve"> Outro</v>
      </c>
      <c r="G518" s="3" t="s">
        <v>11</v>
      </c>
      <c r="H518" s="3" t="s">
        <v>1055</v>
      </c>
      <c r="I518" s="3" t="s">
        <v>83</v>
      </c>
      <c r="J518" s="5">
        <v>41940.65</v>
      </c>
      <c r="K518" s="3"/>
      <c r="L518" s="11">
        <f t="shared" ca="1" si="32"/>
        <v>492.34999999999854</v>
      </c>
      <c r="M518" s="1">
        <f t="shared" si="33"/>
        <v>10</v>
      </c>
      <c r="N518" s="1">
        <f t="shared" si="34"/>
        <v>2014</v>
      </c>
      <c r="O518" s="1" t="str">
        <f t="shared" ca="1" si="35"/>
        <v>mais de 150 dias</v>
      </c>
    </row>
    <row r="519" spans="1:15" ht="15" x14ac:dyDescent="0.2">
      <c r="A519" s="3" t="s">
        <v>8</v>
      </c>
      <c r="B519" s="4" t="s">
        <v>1076</v>
      </c>
      <c r="C519" s="3" t="s">
        <v>1077</v>
      </c>
      <c r="D519" s="3"/>
      <c r="E519" s="3" t="str">
        <f>VLOOKUP(B519,[1]general_report!$B$1:$I$713,8,0)</f>
        <v xml:space="preserve">Oi </v>
      </c>
      <c r="F519" s="3" t="str">
        <f>VLOOKUP(B519,[1]general_report!$B$1:$J$713,9,0)</f>
        <v xml:space="preserve"> Suporte Técnico</v>
      </c>
      <c r="G519" s="3" t="s">
        <v>11</v>
      </c>
      <c r="H519" s="3" t="s">
        <v>1078</v>
      </c>
      <c r="I519" s="3" t="s">
        <v>13</v>
      </c>
      <c r="J519" s="5">
        <v>42404.816666666666</v>
      </c>
      <c r="K519" s="3"/>
      <c r="L519" s="11">
        <f t="shared" ca="1" si="32"/>
        <v>28.183333333334303</v>
      </c>
      <c r="M519" s="1">
        <f t="shared" si="33"/>
        <v>2</v>
      </c>
      <c r="N519" s="1">
        <f t="shared" si="34"/>
        <v>2016</v>
      </c>
      <c r="O519" s="1" t="str">
        <f t="shared" ca="1" si="35"/>
        <v>menos 1 mês</v>
      </c>
    </row>
    <row r="520" spans="1:15" ht="25.5" x14ac:dyDescent="0.2">
      <c r="A520" s="3" t="s">
        <v>8</v>
      </c>
      <c r="B520" s="4" t="s">
        <v>1079</v>
      </c>
      <c r="C520" s="3" t="s">
        <v>1080</v>
      </c>
      <c r="D520" s="3"/>
      <c r="E520" s="3" t="str">
        <f>VLOOKUP(B520,[1]general_report!$B$1:$I$713,8,0)</f>
        <v xml:space="preserve">Contax </v>
      </c>
      <c r="F520" s="3" t="str">
        <f>VLOOKUP(B520,[1]general_report!$B$1:$J$713,9,0)</f>
        <v xml:space="preserve"> Ger Planejamento SAC</v>
      </c>
      <c r="G520" s="3" t="s">
        <v>11</v>
      </c>
      <c r="H520" s="3" t="s">
        <v>697</v>
      </c>
      <c r="I520" s="3" t="s">
        <v>13</v>
      </c>
      <c r="J520" s="5">
        <v>42404.728472222225</v>
      </c>
      <c r="K520" s="3"/>
      <c r="L520" s="11">
        <f t="shared" ca="1" si="32"/>
        <v>28.271527777775191</v>
      </c>
      <c r="M520" s="1">
        <f t="shared" si="33"/>
        <v>2</v>
      </c>
      <c r="N520" s="1">
        <f t="shared" si="34"/>
        <v>2016</v>
      </c>
      <c r="O520" s="1" t="str">
        <f t="shared" ca="1" si="35"/>
        <v>menos 1 mês</v>
      </c>
    </row>
    <row r="521" spans="1:15" ht="25.5" x14ac:dyDescent="0.2">
      <c r="A521" s="3" t="s">
        <v>8</v>
      </c>
      <c r="B521" s="4" t="s">
        <v>1081</v>
      </c>
      <c r="C521" s="3" t="s">
        <v>1082</v>
      </c>
      <c r="D521" s="3"/>
      <c r="E521" s="3" t="str">
        <f>VLOOKUP(B521,[1]general_report!$B$1:$I$713,8,0)</f>
        <v xml:space="preserve">Contax </v>
      </c>
      <c r="F521" s="3" t="str">
        <f>VLOOKUP(B521,[1]general_report!$B$1:$J$713,9,0)</f>
        <v xml:space="preserve"> Outro</v>
      </c>
      <c r="G521" s="3" t="s">
        <v>747</v>
      </c>
      <c r="H521" s="3" t="s">
        <v>747</v>
      </c>
      <c r="I521" s="3" t="s">
        <v>27</v>
      </c>
      <c r="J521" s="5">
        <v>42381.722916666666</v>
      </c>
      <c r="K521" s="5">
        <v>42411.579861111109</v>
      </c>
      <c r="L521" s="11">
        <f t="shared" ca="1" si="32"/>
        <v>29.856944444443798</v>
      </c>
      <c r="M521" s="1">
        <f t="shared" si="33"/>
        <v>1</v>
      </c>
      <c r="N521" s="1">
        <f t="shared" si="34"/>
        <v>2016</v>
      </c>
      <c r="O521" s="1" t="str">
        <f t="shared" ca="1" si="35"/>
        <v>menos 1 mês</v>
      </c>
    </row>
    <row r="522" spans="1:15" ht="15" x14ac:dyDescent="0.2">
      <c r="A522" s="3" t="s">
        <v>8</v>
      </c>
      <c r="B522" s="4" t="s">
        <v>1083</v>
      </c>
      <c r="C522" s="3" t="s">
        <v>1084</v>
      </c>
      <c r="D522" s="3"/>
      <c r="E522" s="3" t="str">
        <f>VLOOKUP(B522,[1]general_report!$B$1:$I$713,8,0)</f>
        <v xml:space="preserve">Oi </v>
      </c>
      <c r="F522" s="3" t="str">
        <f>VLOOKUP(B522,[1]general_report!$B$1:$J$713,9,0)</f>
        <v xml:space="preserve"> SAC</v>
      </c>
      <c r="G522" s="3" t="s">
        <v>603</v>
      </c>
      <c r="H522" s="3" t="s">
        <v>1016</v>
      </c>
      <c r="I522" s="3" t="s">
        <v>48</v>
      </c>
      <c r="J522" s="5">
        <v>42341.654861111114</v>
      </c>
      <c r="K522" s="3"/>
      <c r="L522" s="11">
        <f t="shared" ca="1" si="32"/>
        <v>91.34513888888614</v>
      </c>
      <c r="M522" s="1">
        <f t="shared" si="33"/>
        <v>12</v>
      </c>
      <c r="N522" s="1">
        <f t="shared" si="34"/>
        <v>2015</v>
      </c>
      <c r="O522" s="1" t="str">
        <f t="shared" ca="1" si="35"/>
        <v>entre 90 e 150 dias</v>
      </c>
    </row>
    <row r="523" spans="1:15" ht="25.5" x14ac:dyDescent="0.2">
      <c r="A523" s="3" t="s">
        <v>8</v>
      </c>
      <c r="B523" s="4" t="s">
        <v>1085</v>
      </c>
      <c r="C523" s="3" t="s">
        <v>1086</v>
      </c>
      <c r="D523" s="3"/>
      <c r="E523" s="3" t="str">
        <f>VLOOKUP(B523,[1]general_report!$B$1:$I$713,8,0)</f>
        <v xml:space="preserve">Contax </v>
      </c>
      <c r="F523" s="3" t="str">
        <f>VLOOKUP(B523,[1]general_report!$B$1:$J$713,9,0)</f>
        <v xml:space="preserve"> Dir. Oi</v>
      </c>
      <c r="G523" s="3" t="s">
        <v>725</v>
      </c>
      <c r="H523" s="3" t="s">
        <v>725</v>
      </c>
      <c r="I523" s="3" t="s">
        <v>27</v>
      </c>
      <c r="J523" s="5">
        <v>42341.504166666666</v>
      </c>
      <c r="K523" s="5">
        <v>42383.619444444441</v>
      </c>
      <c r="L523" s="11">
        <f t="shared" ca="1" si="32"/>
        <v>42.115277777775191</v>
      </c>
      <c r="M523" s="1">
        <f t="shared" si="33"/>
        <v>12</v>
      </c>
      <c r="N523" s="1">
        <f t="shared" si="34"/>
        <v>2015</v>
      </c>
      <c r="O523" s="1" t="str">
        <f t="shared" ca="1" si="35"/>
        <v>entre 30 e 60 dias</v>
      </c>
    </row>
    <row r="524" spans="1:15" ht="25.5" x14ac:dyDescent="0.2">
      <c r="A524" s="3" t="s">
        <v>8</v>
      </c>
      <c r="B524" s="4" t="s">
        <v>1087</v>
      </c>
      <c r="C524" s="3" t="s">
        <v>1088</v>
      </c>
      <c r="D524" s="3"/>
      <c r="E524" s="3" t="str">
        <f>VLOOKUP(B524,[1]general_report!$B$1:$I$713,8,0)</f>
        <v xml:space="preserve">Contax </v>
      </c>
      <c r="F524" s="3" t="str">
        <f>VLOOKUP(B524,[1]general_report!$B$1:$J$713,9,0)</f>
        <v xml:space="preserve"> Ger Planejamento SAC</v>
      </c>
      <c r="G524" s="3" t="s">
        <v>697</v>
      </c>
      <c r="H524" s="3" t="s">
        <v>697</v>
      </c>
      <c r="I524" s="3" t="s">
        <v>27</v>
      </c>
      <c r="J524" s="5">
        <v>42338.672222222223</v>
      </c>
      <c r="K524" s="5">
        <v>42402.503472222219</v>
      </c>
      <c r="L524" s="11">
        <f t="shared" ca="1" si="32"/>
        <v>63.831249999995634</v>
      </c>
      <c r="M524" s="1">
        <f t="shared" si="33"/>
        <v>11</v>
      </c>
      <c r="N524" s="1">
        <f t="shared" si="34"/>
        <v>2015</v>
      </c>
      <c r="O524" s="1" t="str">
        <f t="shared" ca="1" si="35"/>
        <v>entre 60 e 90 dias</v>
      </c>
    </row>
    <row r="525" spans="1:15" ht="25.5" x14ac:dyDescent="0.2">
      <c r="A525" s="3" t="s">
        <v>8</v>
      </c>
      <c r="B525" s="4" t="s">
        <v>1089</v>
      </c>
      <c r="C525" s="3" t="s">
        <v>1090</v>
      </c>
      <c r="D525" s="3"/>
      <c r="E525" s="3" t="str">
        <f>VLOOKUP(B525,[1]general_report!$B$1:$I$713,8,0)</f>
        <v xml:space="preserve">Contax </v>
      </c>
      <c r="F525" s="3" t="str">
        <f>VLOOKUP(B525,[1]general_report!$B$1:$J$713,9,0)</f>
        <v xml:space="preserve"> Ger Planejamento SAC</v>
      </c>
      <c r="G525" s="3" t="s">
        <v>18</v>
      </c>
      <c r="H525" s="3" t="s">
        <v>697</v>
      </c>
      <c r="I525" s="3" t="s">
        <v>13</v>
      </c>
      <c r="J525" s="5">
        <v>42335.427777777775</v>
      </c>
      <c r="K525" s="3"/>
      <c r="L525" s="11">
        <f t="shared" ca="1" si="32"/>
        <v>97.572222222224809</v>
      </c>
      <c r="M525" s="1">
        <f t="shared" si="33"/>
        <v>11</v>
      </c>
      <c r="N525" s="1">
        <f t="shared" si="34"/>
        <v>2015</v>
      </c>
      <c r="O525" s="1" t="str">
        <f t="shared" ca="1" si="35"/>
        <v>entre 90 e 150 dias</v>
      </c>
    </row>
    <row r="526" spans="1:15" ht="25.5" x14ac:dyDescent="0.2">
      <c r="A526" s="3" t="s">
        <v>8</v>
      </c>
      <c r="B526" s="4" t="s">
        <v>1091</v>
      </c>
      <c r="C526" s="3" t="s">
        <v>1092</v>
      </c>
      <c r="D526" s="3"/>
      <c r="E526" s="3" t="str">
        <f>VLOOKUP(B526,[1]general_report!$B$1:$I$713,8,0)</f>
        <v xml:space="preserve">Contax </v>
      </c>
      <c r="F526" s="3" t="str">
        <f>VLOOKUP(B526,[1]general_report!$B$1:$J$713,9,0)</f>
        <v xml:space="preserve"> Ger Planejamento SAC</v>
      </c>
      <c r="G526" s="3" t="s">
        <v>18</v>
      </c>
      <c r="H526" s="3" t="s">
        <v>697</v>
      </c>
      <c r="I526" s="3" t="s">
        <v>13</v>
      </c>
      <c r="J526" s="5">
        <v>42325.489583333336</v>
      </c>
      <c r="K526" s="3"/>
      <c r="L526" s="11">
        <f t="shared" ca="1" si="32"/>
        <v>107.51041666666424</v>
      </c>
      <c r="M526" s="1">
        <f t="shared" si="33"/>
        <v>11</v>
      </c>
      <c r="N526" s="1">
        <f t="shared" si="34"/>
        <v>2015</v>
      </c>
      <c r="O526" s="1" t="str">
        <f t="shared" ca="1" si="35"/>
        <v>entre 90 e 150 dias</v>
      </c>
    </row>
    <row r="527" spans="1:15" ht="25.5" x14ac:dyDescent="0.2">
      <c r="A527" s="3" t="s">
        <v>8</v>
      </c>
      <c r="B527" s="4" t="s">
        <v>1093</v>
      </c>
      <c r="C527" s="3" t="s">
        <v>1094</v>
      </c>
      <c r="D527" s="3"/>
      <c r="E527" s="3" t="str">
        <f>VLOOKUP(B527,[1]general_report!$B$1:$I$713,8,0)</f>
        <v xml:space="preserve">Oi </v>
      </c>
      <c r="F527" s="3" t="str">
        <f>VLOOKUP(B527,[1]general_report!$B$1:$J$713,9,0)</f>
        <v xml:space="preserve"> SAC</v>
      </c>
      <c r="G527" s="3" t="s">
        <v>18</v>
      </c>
      <c r="H527" s="3" t="s">
        <v>1095</v>
      </c>
      <c r="I527" s="3" t="s">
        <v>13</v>
      </c>
      <c r="J527" s="5">
        <v>42317.71597222222</v>
      </c>
      <c r="K527" s="3"/>
      <c r="L527" s="11">
        <f t="shared" ca="1" si="32"/>
        <v>115.28402777777956</v>
      </c>
      <c r="M527" s="1">
        <f t="shared" si="33"/>
        <v>11</v>
      </c>
      <c r="N527" s="1">
        <f t="shared" si="34"/>
        <v>2015</v>
      </c>
      <c r="O527" s="1" t="str">
        <f t="shared" ca="1" si="35"/>
        <v>entre 90 e 150 dias</v>
      </c>
    </row>
    <row r="528" spans="1:15" ht="25.5" x14ac:dyDescent="0.2">
      <c r="A528" s="3" t="s">
        <v>8</v>
      </c>
      <c r="B528" s="4" t="s">
        <v>1096</v>
      </c>
      <c r="C528" s="3" t="s">
        <v>1097</v>
      </c>
      <c r="D528" s="3"/>
      <c r="E528" s="3" t="str">
        <f>VLOOKUP(B528,[1]general_report!$B$1:$I$713,8,0)</f>
        <v xml:space="preserve">Contax </v>
      </c>
      <c r="F528" s="3" t="str">
        <f>VLOOKUP(B528,[1]general_report!$B$1:$J$713,9,0)</f>
        <v xml:space="preserve"> Ger Planejamento SAC</v>
      </c>
      <c r="G528" s="3" t="s">
        <v>18</v>
      </c>
      <c r="H528" s="3" t="s">
        <v>697</v>
      </c>
      <c r="I528" s="3" t="s">
        <v>13</v>
      </c>
      <c r="J528" s="5">
        <v>42306.821527777778</v>
      </c>
      <c r="K528" s="3"/>
      <c r="L528" s="11">
        <f t="shared" ca="1" si="32"/>
        <v>126.1784722222219</v>
      </c>
      <c r="M528" s="1">
        <f t="shared" si="33"/>
        <v>10</v>
      </c>
      <c r="N528" s="1">
        <f t="shared" si="34"/>
        <v>2015</v>
      </c>
      <c r="O528" s="1" t="str">
        <f t="shared" ca="1" si="35"/>
        <v>entre 90 e 150 dias</v>
      </c>
    </row>
    <row r="529" spans="1:15" ht="25.5" x14ac:dyDescent="0.2">
      <c r="A529" s="3" t="s">
        <v>8</v>
      </c>
      <c r="B529" s="4" t="s">
        <v>1098</v>
      </c>
      <c r="C529" s="3" t="s">
        <v>1099</v>
      </c>
      <c r="D529" s="3"/>
      <c r="E529" s="3" t="str">
        <f>VLOOKUP(B529,[1]general_report!$B$1:$I$713,8,0)</f>
        <v xml:space="preserve">Contax </v>
      </c>
      <c r="F529" s="3" t="str">
        <f>VLOOKUP(B529,[1]general_report!$B$1:$J$713,9,0)</f>
        <v xml:space="preserve"> Ger Planejamento SAC</v>
      </c>
      <c r="G529" s="3" t="s">
        <v>1100</v>
      </c>
      <c r="H529" s="3" t="s">
        <v>697</v>
      </c>
      <c r="I529" s="3" t="s">
        <v>13</v>
      </c>
      <c r="J529" s="5">
        <v>42299.67291666667</v>
      </c>
      <c r="K529" s="3"/>
      <c r="L529" s="11">
        <f t="shared" ca="1" si="32"/>
        <v>133.32708333332994</v>
      </c>
      <c r="M529" s="1">
        <f t="shared" si="33"/>
        <v>10</v>
      </c>
      <c r="N529" s="1">
        <f t="shared" si="34"/>
        <v>2015</v>
      </c>
      <c r="O529" s="1" t="str">
        <f t="shared" ca="1" si="35"/>
        <v>entre 90 e 150 dias</v>
      </c>
    </row>
    <row r="530" spans="1:15" ht="15" x14ac:dyDescent="0.2">
      <c r="A530" s="3" t="s">
        <v>8</v>
      </c>
      <c r="B530" s="4" t="s">
        <v>1101</v>
      </c>
      <c r="C530" s="3" t="s">
        <v>81</v>
      </c>
      <c r="D530" s="3"/>
      <c r="E530" s="3" t="str">
        <f>VLOOKUP(B530,[1]general_report!$B$1:$I$713,8,0)</f>
        <v xml:space="preserve">Contax </v>
      </c>
      <c r="F530" s="3" t="str">
        <f>VLOOKUP(B530,[1]general_report!$B$1:$J$713,9,0)</f>
        <v xml:space="preserve"> Dir. Oi</v>
      </c>
      <c r="G530" s="3" t="s">
        <v>18</v>
      </c>
      <c r="H530" s="3" t="s">
        <v>689</v>
      </c>
      <c r="I530" s="3" t="s">
        <v>13</v>
      </c>
      <c r="J530" s="5">
        <v>42292.416666666664</v>
      </c>
      <c r="K530" s="3"/>
      <c r="L530" s="11">
        <f t="shared" ca="1" si="32"/>
        <v>140.58333333333576</v>
      </c>
      <c r="M530" s="1">
        <f t="shared" si="33"/>
        <v>10</v>
      </c>
      <c r="N530" s="1">
        <f t="shared" si="34"/>
        <v>2015</v>
      </c>
      <c r="O530" s="1" t="str">
        <f t="shared" ca="1" si="35"/>
        <v>entre 90 e 150 dias</v>
      </c>
    </row>
    <row r="531" spans="1:15" ht="25.5" x14ac:dyDescent="0.2">
      <c r="A531" s="3" t="s">
        <v>8</v>
      </c>
      <c r="B531" s="4" t="s">
        <v>1102</v>
      </c>
      <c r="C531" s="3" t="s">
        <v>1103</v>
      </c>
      <c r="D531" s="3"/>
      <c r="E531" s="3" t="str">
        <f>VLOOKUP(B531,[1]general_report!$B$1:$I$713,8,0)</f>
        <v xml:space="preserve">Contax </v>
      </c>
      <c r="F531" s="3" t="str">
        <f>VLOOKUP(B531,[1]general_report!$B$1:$J$713,9,0)</f>
        <v xml:space="preserve"> Ger Planejamento SAC</v>
      </c>
      <c r="G531" s="3" t="s">
        <v>402</v>
      </c>
      <c r="H531" s="3" t="s">
        <v>697</v>
      </c>
      <c r="I531" s="3" t="s">
        <v>207</v>
      </c>
      <c r="J531" s="5">
        <v>42269.647222222222</v>
      </c>
      <c r="K531" s="3"/>
      <c r="L531" s="11">
        <f t="shared" ca="1" si="32"/>
        <v>163.3527777777781</v>
      </c>
      <c r="M531" s="1">
        <f t="shared" si="33"/>
        <v>9</v>
      </c>
      <c r="N531" s="1">
        <f t="shared" si="34"/>
        <v>2015</v>
      </c>
      <c r="O531" s="1" t="str">
        <f t="shared" ca="1" si="35"/>
        <v>mais de 150 dias</v>
      </c>
    </row>
    <row r="532" spans="1:15" ht="25.5" x14ac:dyDescent="0.2">
      <c r="A532" s="3" t="s">
        <v>8</v>
      </c>
      <c r="B532" s="4" t="s">
        <v>1104</v>
      </c>
      <c r="C532" s="3" t="s">
        <v>1105</v>
      </c>
      <c r="D532" s="3"/>
      <c r="E532" s="3" t="str">
        <f>VLOOKUP(B532,[1]general_report!$B$1:$I$713,8,0)</f>
        <v xml:space="preserve">Contax </v>
      </c>
      <c r="F532" s="3" t="str">
        <f>VLOOKUP(B532,[1]general_report!$B$1:$J$713,9,0)</f>
        <v xml:space="preserve"> Ger Planejamento SAC</v>
      </c>
      <c r="G532" s="3" t="s">
        <v>419</v>
      </c>
      <c r="H532" s="3" t="s">
        <v>697</v>
      </c>
      <c r="I532" s="3" t="s">
        <v>207</v>
      </c>
      <c r="J532" s="5">
        <v>42265.478472222225</v>
      </c>
      <c r="K532" s="3"/>
      <c r="L532" s="11">
        <f t="shared" ca="1" si="32"/>
        <v>167.52152777777519</v>
      </c>
      <c r="M532" s="1">
        <f t="shared" si="33"/>
        <v>9</v>
      </c>
      <c r="N532" s="1">
        <f t="shared" si="34"/>
        <v>2015</v>
      </c>
      <c r="O532" s="1" t="str">
        <f t="shared" ca="1" si="35"/>
        <v>mais de 150 dias</v>
      </c>
    </row>
    <row r="533" spans="1:15" ht="25.5" x14ac:dyDescent="0.2">
      <c r="A533" s="3" t="s">
        <v>8</v>
      </c>
      <c r="B533" s="4" t="s">
        <v>1106</v>
      </c>
      <c r="C533" s="3" t="s">
        <v>1107</v>
      </c>
      <c r="D533" s="3"/>
      <c r="E533" s="3" t="str">
        <f>VLOOKUP(B533,[1]general_report!$B$1:$I$713,8,0)</f>
        <v xml:space="preserve">Oi </v>
      </c>
      <c r="F533" s="3" t="str">
        <f>VLOOKUP(B533,[1]general_report!$B$1:$J$713,9,0)</f>
        <v xml:space="preserve"> SAC</v>
      </c>
      <c r="G533" s="3" t="s">
        <v>18</v>
      </c>
      <c r="H533" s="3" t="s">
        <v>1016</v>
      </c>
      <c r="I533" s="3" t="s">
        <v>207</v>
      </c>
      <c r="J533" s="5">
        <v>42251.717361111114</v>
      </c>
      <c r="K533" s="3"/>
      <c r="L533" s="11">
        <f t="shared" ca="1" si="32"/>
        <v>181.28263888888614</v>
      </c>
      <c r="M533" s="1">
        <f t="shared" si="33"/>
        <v>9</v>
      </c>
      <c r="N533" s="1">
        <f t="shared" si="34"/>
        <v>2015</v>
      </c>
      <c r="O533" s="1" t="str">
        <f t="shared" ca="1" si="35"/>
        <v>mais de 150 dias</v>
      </c>
    </row>
    <row r="534" spans="1:15" ht="25.5" x14ac:dyDescent="0.2">
      <c r="A534" s="3" t="s">
        <v>8</v>
      </c>
      <c r="B534" s="4" t="s">
        <v>1108</v>
      </c>
      <c r="C534" s="3" t="s">
        <v>1109</v>
      </c>
      <c r="D534" s="3"/>
      <c r="E534" s="3" t="str">
        <f>VLOOKUP(B534,[1]general_report!$B$1:$I$713,8,0)</f>
        <v xml:space="preserve">Contax </v>
      </c>
      <c r="F534" s="3" t="str">
        <f>VLOOKUP(B534,[1]general_report!$B$1:$J$713,9,0)</f>
        <v xml:space="preserve"> Ger Planejamento SAC</v>
      </c>
      <c r="G534" s="3" t="s">
        <v>402</v>
      </c>
      <c r="H534" s="3" t="s">
        <v>697</v>
      </c>
      <c r="I534" s="3" t="s">
        <v>207</v>
      </c>
      <c r="J534" s="5">
        <v>42250.814583333333</v>
      </c>
      <c r="K534" s="3"/>
      <c r="L534" s="11">
        <f t="shared" ca="1" si="32"/>
        <v>182.18541666666715</v>
      </c>
      <c r="M534" s="1">
        <f t="shared" si="33"/>
        <v>9</v>
      </c>
      <c r="N534" s="1">
        <f t="shared" si="34"/>
        <v>2015</v>
      </c>
      <c r="O534" s="1" t="str">
        <f t="shared" ca="1" si="35"/>
        <v>mais de 150 dias</v>
      </c>
    </row>
    <row r="535" spans="1:15" ht="25.5" x14ac:dyDescent="0.2">
      <c r="A535" s="3" t="s">
        <v>8</v>
      </c>
      <c r="B535" s="4" t="s">
        <v>1110</v>
      </c>
      <c r="C535" s="3" t="s">
        <v>1111</v>
      </c>
      <c r="D535" s="3"/>
      <c r="E535" s="3" t="str">
        <f>VLOOKUP(B535,[1]general_report!$B$1:$I$713,8,0)</f>
        <v xml:space="preserve">Contax </v>
      </c>
      <c r="F535" s="3" t="str">
        <f>VLOOKUP(B535,[1]general_report!$B$1:$J$713,9,0)</f>
        <v xml:space="preserve"> Ger Governança de TI</v>
      </c>
      <c r="G535" s="3" t="s">
        <v>419</v>
      </c>
      <c r="H535" s="3" t="s">
        <v>1036</v>
      </c>
      <c r="I535" s="3" t="s">
        <v>207</v>
      </c>
      <c r="J535" s="5">
        <v>42244.704861111109</v>
      </c>
      <c r="K535" s="3"/>
      <c r="L535" s="11">
        <f t="shared" ca="1" si="32"/>
        <v>188.29513888889051</v>
      </c>
      <c r="M535" s="1">
        <f t="shared" si="33"/>
        <v>8</v>
      </c>
      <c r="N535" s="1">
        <f t="shared" si="34"/>
        <v>2015</v>
      </c>
      <c r="O535" s="1" t="str">
        <f t="shared" ca="1" si="35"/>
        <v>mais de 150 dias</v>
      </c>
    </row>
    <row r="536" spans="1:15" ht="25.5" x14ac:dyDescent="0.2">
      <c r="A536" s="3" t="s">
        <v>8</v>
      </c>
      <c r="B536" s="4" t="s">
        <v>1112</v>
      </c>
      <c r="C536" s="3" t="s">
        <v>1113</v>
      </c>
      <c r="D536" s="3"/>
      <c r="E536" s="3" t="str">
        <f>VLOOKUP(B536,[1]general_report!$B$1:$I$713,8,0)</f>
        <v xml:space="preserve">Contax </v>
      </c>
      <c r="F536" s="3" t="str">
        <f>VLOOKUP(B536,[1]general_report!$B$1:$J$713,9,0)</f>
        <v xml:space="preserve"> Outro</v>
      </c>
      <c r="G536" s="3" t="s">
        <v>18</v>
      </c>
      <c r="H536" s="3" t="s">
        <v>931</v>
      </c>
      <c r="I536" s="3" t="s">
        <v>207</v>
      </c>
      <c r="J536" s="5">
        <v>42222.581250000003</v>
      </c>
      <c r="K536" s="3"/>
      <c r="L536" s="11">
        <f t="shared" ca="1" si="32"/>
        <v>210.41874999999709</v>
      </c>
      <c r="M536" s="1">
        <f t="shared" si="33"/>
        <v>8</v>
      </c>
      <c r="N536" s="1">
        <f t="shared" si="34"/>
        <v>2015</v>
      </c>
      <c r="O536" s="1" t="str">
        <f t="shared" ca="1" si="35"/>
        <v>mais de 150 dias</v>
      </c>
    </row>
    <row r="537" spans="1:15" ht="25.5" x14ac:dyDescent="0.2">
      <c r="A537" s="3" t="s">
        <v>8</v>
      </c>
      <c r="B537" s="4" t="s">
        <v>1114</v>
      </c>
      <c r="C537" s="3" t="s">
        <v>1115</v>
      </c>
      <c r="D537" s="3"/>
      <c r="E537" s="3" t="str">
        <f>VLOOKUP(B537,[1]general_report!$B$1:$I$713,8,0)</f>
        <v xml:space="preserve">Oi </v>
      </c>
      <c r="F537" s="3" t="str">
        <f>VLOOKUP(B537,[1]general_report!$B$1:$J$713,9,0)</f>
        <v xml:space="preserve"> Oi Movél</v>
      </c>
      <c r="G537" s="3" t="s">
        <v>11</v>
      </c>
      <c r="H537" s="3" t="s">
        <v>1116</v>
      </c>
      <c r="I537" s="3" t="s">
        <v>13</v>
      </c>
      <c r="J537" s="5">
        <v>42412.431944444441</v>
      </c>
      <c r="K537" s="3"/>
      <c r="L537" s="11">
        <f t="shared" ca="1" si="32"/>
        <v>20.568055555559113</v>
      </c>
      <c r="M537" s="1">
        <f t="shared" si="33"/>
        <v>2</v>
      </c>
      <c r="N537" s="1">
        <f t="shared" si="34"/>
        <v>2016</v>
      </c>
      <c r="O537" s="1" t="str">
        <f t="shared" ca="1" si="35"/>
        <v>menos 1 mês</v>
      </c>
    </row>
    <row r="538" spans="1:15" ht="25.5" x14ac:dyDescent="0.2">
      <c r="A538" s="3" t="s">
        <v>8</v>
      </c>
      <c r="B538" s="4" t="s">
        <v>1117</v>
      </c>
      <c r="C538" s="3" t="s">
        <v>1118</v>
      </c>
      <c r="D538" s="3"/>
      <c r="E538" s="3" t="str">
        <f>VLOOKUP(B538,[1]general_report!$B$1:$I$713,8,0)</f>
        <v xml:space="preserve">Souza Cruz </v>
      </c>
      <c r="F538" s="3" t="str">
        <f>VLOOKUP(B538,[1]general_report!$B$1:$J$713,9,0)</f>
        <v xml:space="preserve"> Souza Cruz</v>
      </c>
      <c r="G538" s="3" t="s">
        <v>11</v>
      </c>
      <c r="H538" s="3" t="s">
        <v>1119</v>
      </c>
      <c r="I538" s="3" t="s">
        <v>13</v>
      </c>
      <c r="J538" s="5">
        <v>42391.652083333334</v>
      </c>
      <c r="K538" s="3"/>
      <c r="L538" s="11">
        <f t="shared" ca="1" si="32"/>
        <v>41.347916666665697</v>
      </c>
      <c r="M538" s="1">
        <f t="shared" si="33"/>
        <v>1</v>
      </c>
      <c r="N538" s="1">
        <f t="shared" si="34"/>
        <v>2016</v>
      </c>
      <c r="O538" s="1" t="str">
        <f t="shared" ca="1" si="35"/>
        <v>entre 30 e 60 dias</v>
      </c>
    </row>
    <row r="539" spans="1:15" ht="25.5" x14ac:dyDescent="0.2">
      <c r="A539" s="3" t="s">
        <v>8</v>
      </c>
      <c r="B539" s="4" t="s">
        <v>1120</v>
      </c>
      <c r="C539" s="3" t="s">
        <v>1121</v>
      </c>
      <c r="D539" s="3"/>
      <c r="E539" s="3" t="str">
        <f>VLOOKUP(B539,[1]general_report!$B$1:$I$713,8,0)</f>
        <v xml:space="preserve">Contax </v>
      </c>
      <c r="F539" s="3" t="str">
        <f>VLOOKUP(B539,[1]general_report!$B$1:$J$713,9,0)</f>
        <v xml:space="preserve"> Ger Soluções e Processos RH</v>
      </c>
      <c r="G539" s="3" t="s">
        <v>18</v>
      </c>
      <c r="H539" s="3" t="s">
        <v>525</v>
      </c>
      <c r="I539" s="3" t="s">
        <v>13</v>
      </c>
      <c r="J539" s="5">
        <v>42332.765972222223</v>
      </c>
      <c r="K539" s="3"/>
      <c r="L539" s="11">
        <f t="shared" ca="1" si="32"/>
        <v>100.23402777777665</v>
      </c>
      <c r="M539" s="1">
        <f t="shared" si="33"/>
        <v>11</v>
      </c>
      <c r="N539" s="1">
        <f t="shared" si="34"/>
        <v>2015</v>
      </c>
      <c r="O539" s="1" t="str">
        <f t="shared" ca="1" si="35"/>
        <v>entre 90 e 150 dias</v>
      </c>
    </row>
    <row r="540" spans="1:15" ht="25.5" x14ac:dyDescent="0.2">
      <c r="A540" s="3" t="s">
        <v>8</v>
      </c>
      <c r="B540" s="4" t="s">
        <v>1122</v>
      </c>
      <c r="C540" s="3" t="s">
        <v>1123</v>
      </c>
      <c r="D540" s="3"/>
      <c r="E540" s="3" t="str">
        <f>VLOOKUP(B540,[1]general_report!$B$1:$I$713,8,0)</f>
        <v xml:space="preserve">Oi </v>
      </c>
      <c r="F540" s="3" t="str">
        <f>VLOOKUP(B540,[1]general_report!$B$1:$J$713,9,0)</f>
        <v xml:space="preserve"> Ura</v>
      </c>
      <c r="G540" s="3" t="s">
        <v>18</v>
      </c>
      <c r="H540" s="3" t="s">
        <v>1116</v>
      </c>
      <c r="I540" s="3" t="s">
        <v>13</v>
      </c>
      <c r="J540" s="5">
        <v>42307.788888888892</v>
      </c>
      <c r="K540" s="3"/>
      <c r="L540" s="11">
        <f t="shared" ca="1" si="32"/>
        <v>125.21111111110804</v>
      </c>
      <c r="M540" s="1">
        <f t="shared" si="33"/>
        <v>10</v>
      </c>
      <c r="N540" s="1">
        <f t="shared" si="34"/>
        <v>2015</v>
      </c>
      <c r="O540" s="1" t="str">
        <f t="shared" ca="1" si="35"/>
        <v>entre 90 e 150 dias</v>
      </c>
    </row>
    <row r="541" spans="1:15" ht="25.5" x14ac:dyDescent="0.2">
      <c r="A541" s="3" t="s">
        <v>8</v>
      </c>
      <c r="B541" s="4" t="s">
        <v>1124</v>
      </c>
      <c r="C541" s="3" t="s">
        <v>1125</v>
      </c>
      <c r="D541" s="3"/>
      <c r="E541" s="3" t="str">
        <f>VLOOKUP(B541,[1]general_report!$B$1:$I$713,8,0)</f>
        <v xml:space="preserve">Itaú </v>
      </c>
      <c r="F541" s="3" t="str">
        <f>VLOOKUP(B541,[1]general_report!$B$1:$J$713,9,0)</f>
        <v xml:space="preserve"> Ação Conta Corrente</v>
      </c>
      <c r="G541" s="3" t="s">
        <v>1126</v>
      </c>
      <c r="H541" s="3" t="s">
        <v>1119</v>
      </c>
      <c r="I541" s="3" t="s">
        <v>13</v>
      </c>
      <c r="J541" s="5">
        <v>42297.643750000003</v>
      </c>
      <c r="K541" s="3"/>
      <c r="L541" s="11">
        <f t="shared" ca="1" si="32"/>
        <v>135.35624999999709</v>
      </c>
      <c r="M541" s="1">
        <f t="shared" si="33"/>
        <v>10</v>
      </c>
      <c r="N541" s="1">
        <f t="shared" si="34"/>
        <v>2015</v>
      </c>
      <c r="O541" s="1" t="str">
        <f t="shared" ca="1" si="35"/>
        <v>entre 90 e 150 dias</v>
      </c>
    </row>
    <row r="542" spans="1:15" ht="25.5" x14ac:dyDescent="0.2">
      <c r="A542" s="3" t="s">
        <v>8</v>
      </c>
      <c r="B542" s="4" t="s">
        <v>1127</v>
      </c>
      <c r="C542" s="3" t="s">
        <v>1128</v>
      </c>
      <c r="D542" s="3"/>
      <c r="E542" s="3" t="str">
        <f>VLOOKUP(B542,[1]general_report!$B$1:$I$713,8,0)</f>
        <v xml:space="preserve">Orbitall </v>
      </c>
      <c r="F542" s="3" t="str">
        <f>VLOOKUP(B542,[1]general_report!$B$1:$J$713,9,0)</f>
        <v xml:space="preserve"> Bonsucesso (C)</v>
      </c>
      <c r="G542" s="3" t="s">
        <v>1126</v>
      </c>
      <c r="H542" s="3" t="s">
        <v>1119</v>
      </c>
      <c r="I542" s="3" t="s">
        <v>13</v>
      </c>
      <c r="J542" s="5">
        <v>42297.63958333333</v>
      </c>
      <c r="K542" s="3"/>
      <c r="L542" s="11">
        <f t="shared" ca="1" si="32"/>
        <v>135.36041666667006</v>
      </c>
      <c r="M542" s="1">
        <f t="shared" si="33"/>
        <v>10</v>
      </c>
      <c r="N542" s="1">
        <f t="shared" si="34"/>
        <v>2015</v>
      </c>
      <c r="O542" s="1" t="str">
        <f t="shared" ca="1" si="35"/>
        <v>entre 90 e 150 dias</v>
      </c>
    </row>
    <row r="543" spans="1:15" ht="25.5" x14ac:dyDescent="0.2">
      <c r="A543" s="3" t="s">
        <v>8</v>
      </c>
      <c r="B543" s="4" t="s">
        <v>1129</v>
      </c>
      <c r="C543" s="3" t="s">
        <v>1130</v>
      </c>
      <c r="D543" s="3"/>
      <c r="E543" s="3" t="str">
        <f>VLOOKUP(B543,[1]general_report!$B$1:$I$713,8,0)</f>
        <v xml:space="preserve">Oi </v>
      </c>
      <c r="F543" s="3" t="str">
        <f>VLOOKUP(B543,[1]general_report!$B$1:$J$713,9,0)</f>
        <v xml:space="preserve"> Oi Movél</v>
      </c>
      <c r="G543" s="3" t="s">
        <v>1116</v>
      </c>
      <c r="H543" s="3" t="s">
        <v>1116</v>
      </c>
      <c r="I543" s="3" t="s">
        <v>27</v>
      </c>
      <c r="J543" s="5">
        <v>42292.734722222223</v>
      </c>
      <c r="K543" s="5">
        <v>42415.4</v>
      </c>
      <c r="L543" s="11">
        <f t="shared" ca="1" si="32"/>
        <v>122.6652777777781</v>
      </c>
      <c r="M543" s="1">
        <f t="shared" si="33"/>
        <v>10</v>
      </c>
      <c r="N543" s="1">
        <f t="shared" si="34"/>
        <v>2015</v>
      </c>
      <c r="O543" s="1" t="str">
        <f t="shared" ca="1" si="35"/>
        <v>entre 90 e 150 dias</v>
      </c>
    </row>
    <row r="544" spans="1:15" ht="15" x14ac:dyDescent="0.2">
      <c r="A544" s="3" t="s">
        <v>8</v>
      </c>
      <c r="B544" s="4" t="s">
        <v>1131</v>
      </c>
      <c r="C544" s="3" t="s">
        <v>81</v>
      </c>
      <c r="D544" s="3"/>
      <c r="E544" s="3" t="str">
        <f>VLOOKUP(B544,[1]general_report!$B$1:$I$713,8,0)</f>
        <v xml:space="preserve">Orbitall </v>
      </c>
      <c r="F544" s="3" t="str">
        <f>VLOOKUP(B544,[1]general_report!$B$1:$J$713,9,0)</f>
        <v xml:space="preserve"> Central Bancos</v>
      </c>
      <c r="G544" s="3" t="s">
        <v>419</v>
      </c>
      <c r="H544" s="3" t="s">
        <v>1132</v>
      </c>
      <c r="I544" s="3" t="s">
        <v>13</v>
      </c>
      <c r="J544" s="5">
        <v>42285.775694444441</v>
      </c>
      <c r="K544" s="3"/>
      <c r="L544" s="11">
        <f t="shared" ca="1" si="32"/>
        <v>147.22430555555911</v>
      </c>
      <c r="M544" s="1">
        <f t="shared" si="33"/>
        <v>10</v>
      </c>
      <c r="N544" s="1">
        <f t="shared" si="34"/>
        <v>2015</v>
      </c>
      <c r="O544" s="1" t="str">
        <f t="shared" ca="1" si="35"/>
        <v>entre 90 e 150 dias</v>
      </c>
    </row>
    <row r="545" spans="1:15" ht="25.5" x14ac:dyDescent="0.2">
      <c r="A545" s="3" t="s">
        <v>8</v>
      </c>
      <c r="B545" s="4" t="s">
        <v>1133</v>
      </c>
      <c r="C545" s="3" t="s">
        <v>81</v>
      </c>
      <c r="D545" s="3"/>
      <c r="E545" s="3" t="str">
        <f>VLOOKUP(B545,[1]general_report!$B$1:$I$713,8,0)</f>
        <v xml:space="preserve">Contax </v>
      </c>
      <c r="F545" s="3" t="str">
        <f>VLOOKUP(B545,[1]general_report!$B$1:$J$713,9,0)</f>
        <v xml:space="preserve"> Ger Soluções e Processos RH</v>
      </c>
      <c r="G545" s="3" t="s">
        <v>18</v>
      </c>
      <c r="H545" s="3" t="s">
        <v>525</v>
      </c>
      <c r="I545" s="3" t="s">
        <v>13</v>
      </c>
      <c r="J545" s="5">
        <v>42282.387499999997</v>
      </c>
      <c r="K545" s="3"/>
      <c r="L545" s="11">
        <f t="shared" ca="1" si="32"/>
        <v>150.61250000000291</v>
      </c>
      <c r="M545" s="1">
        <f t="shared" si="33"/>
        <v>10</v>
      </c>
      <c r="N545" s="1">
        <f t="shared" si="34"/>
        <v>2015</v>
      </c>
      <c r="O545" s="1" t="str">
        <f t="shared" ca="1" si="35"/>
        <v>mais de 150 dias</v>
      </c>
    </row>
    <row r="546" spans="1:15" ht="25.5" x14ac:dyDescent="0.2">
      <c r="A546" s="3" t="s">
        <v>8</v>
      </c>
      <c r="B546" s="4" t="s">
        <v>1134</v>
      </c>
      <c r="C546" s="3" t="s">
        <v>1135</v>
      </c>
      <c r="D546" s="3"/>
      <c r="E546" s="3" t="str">
        <f>VLOOKUP(B546,[1]general_report!$B$1:$I$713,8,0)</f>
        <v xml:space="preserve">Contax </v>
      </c>
      <c r="F546" s="3" t="str">
        <f>VLOOKUP(B546,[1]general_report!$B$1:$J$713,9,0)</f>
        <v xml:space="preserve"> Ger Adm RH</v>
      </c>
      <c r="G546" s="3" t="s">
        <v>419</v>
      </c>
      <c r="H546" s="3" t="s">
        <v>525</v>
      </c>
      <c r="I546" s="3" t="s">
        <v>234</v>
      </c>
      <c r="J546" s="5">
        <v>42276.699305555558</v>
      </c>
      <c r="K546" s="3"/>
      <c r="L546" s="11">
        <f t="shared" ca="1" si="32"/>
        <v>156.30069444444234</v>
      </c>
      <c r="M546" s="1">
        <f t="shared" si="33"/>
        <v>9</v>
      </c>
      <c r="N546" s="1">
        <f t="shared" si="34"/>
        <v>2015</v>
      </c>
      <c r="O546" s="1" t="str">
        <f t="shared" ca="1" si="35"/>
        <v>mais de 150 dias</v>
      </c>
    </row>
    <row r="547" spans="1:15" ht="15" x14ac:dyDescent="0.2">
      <c r="A547" s="3" t="s">
        <v>8</v>
      </c>
      <c r="B547" s="4" t="s">
        <v>1136</v>
      </c>
      <c r="C547" s="3" t="s">
        <v>81</v>
      </c>
      <c r="D547" s="3"/>
      <c r="E547" s="3" t="str">
        <f>VLOOKUP(B547,[1]general_report!$B$1:$I$713,8,0)</f>
        <v xml:space="preserve">Orbitall </v>
      </c>
      <c r="F547" s="3" t="str">
        <f>VLOOKUP(B547,[1]general_report!$B$1:$J$713,9,0)</f>
        <v xml:space="preserve"> Central Bancos</v>
      </c>
      <c r="G547" s="3" t="s">
        <v>419</v>
      </c>
      <c r="H547" s="3" t="s">
        <v>1132</v>
      </c>
      <c r="I547" s="3" t="s">
        <v>207</v>
      </c>
      <c r="J547" s="5">
        <v>42262.448611111111</v>
      </c>
      <c r="K547" s="3"/>
      <c r="L547" s="11">
        <f t="shared" ca="1" si="32"/>
        <v>170.55138888888905</v>
      </c>
      <c r="M547" s="1">
        <f t="shared" si="33"/>
        <v>9</v>
      </c>
      <c r="N547" s="1">
        <f t="shared" si="34"/>
        <v>2015</v>
      </c>
      <c r="O547" s="1" t="str">
        <f t="shared" ca="1" si="35"/>
        <v>mais de 150 dias</v>
      </c>
    </row>
    <row r="548" spans="1:15" ht="15" x14ac:dyDescent="0.2">
      <c r="A548" s="3" t="s">
        <v>8</v>
      </c>
      <c r="B548" s="4" t="s">
        <v>1137</v>
      </c>
      <c r="C548" s="3" t="s">
        <v>81</v>
      </c>
      <c r="D548" s="3"/>
      <c r="E548" s="3" t="str">
        <f>VLOOKUP(B548,[1]general_report!$B$1:$I$713,8,0)</f>
        <v xml:space="preserve">Oi </v>
      </c>
      <c r="F548" s="3" t="str">
        <f>VLOOKUP(B548,[1]general_report!$B$1:$J$713,9,0)</f>
        <v xml:space="preserve"> SAC Pré Pago</v>
      </c>
      <c r="G548" s="3" t="s">
        <v>419</v>
      </c>
      <c r="H548" s="3" t="s">
        <v>783</v>
      </c>
      <c r="I548" s="3" t="s">
        <v>13</v>
      </c>
      <c r="J548" s="5">
        <v>42191.689583333333</v>
      </c>
      <c r="K548" s="3"/>
      <c r="L548" s="11">
        <f t="shared" ca="1" si="32"/>
        <v>241.31041666666715</v>
      </c>
      <c r="M548" s="1">
        <f t="shared" si="33"/>
        <v>7</v>
      </c>
      <c r="N548" s="1">
        <f t="shared" si="34"/>
        <v>2015</v>
      </c>
      <c r="O548" s="1" t="str">
        <f t="shared" ca="1" si="35"/>
        <v>mais de 150 dias</v>
      </c>
    </row>
    <row r="549" spans="1:15" ht="15" x14ac:dyDescent="0.2">
      <c r="A549" s="3" t="s">
        <v>8</v>
      </c>
      <c r="B549" s="4" t="s">
        <v>1138</v>
      </c>
      <c r="C549" s="3" t="s">
        <v>81</v>
      </c>
      <c r="D549" s="3"/>
      <c r="E549" s="3" t="str">
        <f>VLOOKUP(B549,[1]general_report!$B$1:$I$713,8,0)</f>
        <v xml:space="preserve">Oi </v>
      </c>
      <c r="F549" s="3" t="str">
        <f>VLOOKUP(B549,[1]general_report!$B$1:$J$713,9,0)</f>
        <v xml:space="preserve"> SAC</v>
      </c>
      <c r="G549" s="3" t="s">
        <v>11</v>
      </c>
      <c r="H549" s="3" t="s">
        <v>783</v>
      </c>
      <c r="I549" s="3" t="s">
        <v>13</v>
      </c>
      <c r="J549" s="5">
        <v>42185.709722222222</v>
      </c>
      <c r="K549" s="3"/>
      <c r="L549" s="11">
        <f t="shared" ca="1" si="32"/>
        <v>247.2902777777781</v>
      </c>
      <c r="M549" s="1">
        <f t="shared" si="33"/>
        <v>6</v>
      </c>
      <c r="N549" s="1">
        <f t="shared" si="34"/>
        <v>2015</v>
      </c>
      <c r="O549" s="1" t="str">
        <f t="shared" ca="1" si="35"/>
        <v>mais de 150 dias</v>
      </c>
    </row>
    <row r="550" spans="1:15" ht="15" x14ac:dyDescent="0.2">
      <c r="A550" s="3" t="s">
        <v>8</v>
      </c>
      <c r="B550" s="4" t="s">
        <v>1139</v>
      </c>
      <c r="C550" s="3" t="s">
        <v>81</v>
      </c>
      <c r="D550" s="3"/>
      <c r="E550" s="3" t="str">
        <f>VLOOKUP(B550,[1]general_report!$B$1:$I$713,8,0)</f>
        <v xml:space="preserve">Contax </v>
      </c>
      <c r="F550" s="3" t="str">
        <f>VLOOKUP(B550,[1]general_report!$B$1:$J$713,9,0)</f>
        <v xml:space="preserve"> Ambulatório</v>
      </c>
      <c r="G550" s="3" t="s">
        <v>11</v>
      </c>
      <c r="H550" s="3" t="s">
        <v>525</v>
      </c>
      <c r="I550" s="3" t="s">
        <v>83</v>
      </c>
      <c r="J550" s="5">
        <v>42123.64166666667</v>
      </c>
      <c r="K550" s="3"/>
      <c r="L550" s="11">
        <f t="shared" ca="1" si="32"/>
        <v>309.35833333332994</v>
      </c>
      <c r="M550" s="1">
        <f t="shared" si="33"/>
        <v>4</v>
      </c>
      <c r="N550" s="1">
        <f t="shared" si="34"/>
        <v>2015</v>
      </c>
      <c r="O550" s="1" t="str">
        <f t="shared" ca="1" si="35"/>
        <v>mais de 150 dias</v>
      </c>
    </row>
    <row r="551" spans="1:15" ht="15" x14ac:dyDescent="0.2">
      <c r="A551" s="3" t="s">
        <v>8</v>
      </c>
      <c r="B551" s="4" t="s">
        <v>1140</v>
      </c>
      <c r="C551" s="3" t="s">
        <v>1141</v>
      </c>
      <c r="D551" s="3"/>
      <c r="E551" s="3" t="str">
        <f>VLOOKUP(B551,[1]general_report!$B$1:$I$713,8,0)</f>
        <v xml:space="preserve">Contax </v>
      </c>
      <c r="F551" s="3" t="str">
        <f>VLOOKUP(B551,[1]general_report!$B$1:$J$713,9,0)</f>
        <v xml:space="preserve"> Outro</v>
      </c>
      <c r="G551" s="3" t="s">
        <v>11</v>
      </c>
      <c r="H551" s="3" t="s">
        <v>1142</v>
      </c>
      <c r="I551" s="3" t="s">
        <v>83</v>
      </c>
      <c r="J551" s="5">
        <v>42103.656944444447</v>
      </c>
      <c r="K551" s="3"/>
      <c r="L551" s="11">
        <f t="shared" ca="1" si="32"/>
        <v>329.34305555555329</v>
      </c>
      <c r="M551" s="1">
        <f t="shared" si="33"/>
        <v>4</v>
      </c>
      <c r="N551" s="1">
        <f t="shared" si="34"/>
        <v>2015</v>
      </c>
      <c r="O551" s="1" t="str">
        <f t="shared" ca="1" si="35"/>
        <v>mais de 150 dias</v>
      </c>
    </row>
    <row r="552" spans="1:15" ht="25.5" x14ac:dyDescent="0.2">
      <c r="A552" s="3" t="s">
        <v>8</v>
      </c>
      <c r="B552" s="4" t="s">
        <v>1143</v>
      </c>
      <c r="C552" s="3" t="s">
        <v>81</v>
      </c>
      <c r="D552" s="3"/>
      <c r="E552" s="3" t="str">
        <f>VLOOKUP(B552,[1]general_report!$B$1:$I$713,8,0)</f>
        <v xml:space="preserve">Contax </v>
      </c>
      <c r="F552" s="3" t="str">
        <f>VLOOKUP(B552,[1]general_report!$B$1:$J$713,9,0)</f>
        <v xml:space="preserve"> Ger Sistemas Corporativos</v>
      </c>
      <c r="G552" s="3" t="s">
        <v>419</v>
      </c>
      <c r="H552" s="3" t="s">
        <v>525</v>
      </c>
      <c r="I552" s="3" t="s">
        <v>48</v>
      </c>
      <c r="J552" s="5">
        <v>42095.65347222222</v>
      </c>
      <c r="K552" s="3"/>
      <c r="L552" s="11">
        <f t="shared" ca="1" si="32"/>
        <v>337.34652777777956</v>
      </c>
      <c r="M552" s="1">
        <f t="shared" si="33"/>
        <v>4</v>
      </c>
      <c r="N552" s="1">
        <f t="shared" si="34"/>
        <v>2015</v>
      </c>
      <c r="O552" s="1" t="str">
        <f t="shared" ca="1" si="35"/>
        <v>mais de 150 dias</v>
      </c>
    </row>
    <row r="553" spans="1:15" ht="25.5" x14ac:dyDescent="0.2">
      <c r="A553" s="3" t="s">
        <v>8</v>
      </c>
      <c r="B553" s="4" t="s">
        <v>1144</v>
      </c>
      <c r="C553" s="3" t="s">
        <v>1145</v>
      </c>
      <c r="D553" s="3"/>
      <c r="E553" s="3" t="str">
        <f>VLOOKUP(B553,[1]general_report!$B$1:$I$713,8,0)</f>
        <v xml:space="preserve">Oi </v>
      </c>
      <c r="F553" s="3">
        <f>VLOOKUP(B553,[1]general_report!$B$1:$J$713,9,0)</f>
        <v>102</v>
      </c>
      <c r="G553" s="3" t="s">
        <v>1142</v>
      </c>
      <c r="H553" s="3" t="s">
        <v>1142</v>
      </c>
      <c r="I553" s="3" t="s">
        <v>27</v>
      </c>
      <c r="J553" s="5">
        <v>41978.511805555558</v>
      </c>
      <c r="K553" s="5">
        <v>42383.620138888888</v>
      </c>
      <c r="L553" s="11">
        <f t="shared" ca="1" si="32"/>
        <v>405.10833333332994</v>
      </c>
      <c r="M553" s="1">
        <f t="shared" si="33"/>
        <v>12</v>
      </c>
      <c r="N553" s="1">
        <f t="shared" si="34"/>
        <v>2014</v>
      </c>
      <c r="O553" s="1" t="str">
        <f t="shared" ca="1" si="35"/>
        <v>mais de 150 dias</v>
      </c>
    </row>
    <row r="554" spans="1:15" ht="25.5" x14ac:dyDescent="0.2">
      <c r="A554" s="3" t="s">
        <v>8</v>
      </c>
      <c r="B554" s="4" t="s">
        <v>1146</v>
      </c>
      <c r="C554" s="3" t="s">
        <v>1147</v>
      </c>
      <c r="D554" s="3"/>
      <c r="E554" s="3" t="str">
        <f>VLOOKUP(B554,[1]general_report!$B$1:$I$713,8,0)</f>
        <v xml:space="preserve">Vivo </v>
      </c>
      <c r="F554" s="3" t="str">
        <f>VLOOKUP(B554,[1]general_report!$B$1:$J$713,9,0)</f>
        <v xml:space="preserve"> Vivo</v>
      </c>
      <c r="G554" s="3" t="s">
        <v>94</v>
      </c>
      <c r="H554" s="3" t="s">
        <v>94</v>
      </c>
      <c r="I554" s="3" t="s">
        <v>27</v>
      </c>
      <c r="J554" s="5">
        <v>42314.681944444441</v>
      </c>
      <c r="K554" s="5">
        <v>42353.395833333336</v>
      </c>
      <c r="L554" s="11">
        <f t="shared" ca="1" si="32"/>
        <v>38.713888888894871</v>
      </c>
      <c r="M554" s="1">
        <f t="shared" si="33"/>
        <v>11</v>
      </c>
      <c r="N554" s="1">
        <f t="shared" si="34"/>
        <v>2015</v>
      </c>
      <c r="O554" s="1" t="str">
        <f t="shared" ca="1" si="35"/>
        <v>entre 30 e 60 dias</v>
      </c>
    </row>
    <row r="555" spans="1:15" ht="25.5" x14ac:dyDescent="0.2">
      <c r="A555" s="3" t="s">
        <v>8</v>
      </c>
      <c r="B555" s="4" t="s">
        <v>1148</v>
      </c>
      <c r="C555" s="3" t="s">
        <v>1149</v>
      </c>
      <c r="D555" s="3"/>
      <c r="E555" s="3" t="str">
        <f>VLOOKUP(B555,[1]general_report!$B$1:$I$713,8,0)</f>
        <v xml:space="preserve">Vivo </v>
      </c>
      <c r="F555" s="3" t="str">
        <f>VLOOKUP(B555,[1]general_report!$B$1:$J$713,9,0)</f>
        <v xml:space="preserve"> Vivo</v>
      </c>
      <c r="G555" s="3" t="s">
        <v>94</v>
      </c>
      <c r="H555" s="3" t="s">
        <v>94</v>
      </c>
      <c r="I555" s="3" t="s">
        <v>27</v>
      </c>
      <c r="J555" s="5">
        <v>42313.736805555556</v>
      </c>
      <c r="K555" s="5">
        <v>42353.405555555553</v>
      </c>
      <c r="L555" s="11">
        <f t="shared" ca="1" si="32"/>
        <v>39.66874999999709</v>
      </c>
      <c r="M555" s="1">
        <f t="shared" si="33"/>
        <v>11</v>
      </c>
      <c r="N555" s="1">
        <f t="shared" si="34"/>
        <v>2015</v>
      </c>
      <c r="O555" s="1" t="str">
        <f t="shared" ca="1" si="35"/>
        <v>entre 30 e 60 dias</v>
      </c>
    </row>
    <row r="556" spans="1:15" ht="25.5" x14ac:dyDescent="0.2">
      <c r="A556" s="3" t="s">
        <v>8</v>
      </c>
      <c r="B556" s="4" t="s">
        <v>1150</v>
      </c>
      <c r="C556" s="3" t="s">
        <v>1151</v>
      </c>
      <c r="D556" s="3"/>
      <c r="E556" s="3" t="str">
        <f>VLOOKUP(B556,[1]general_report!$B$1:$I$713,8,0)</f>
        <v xml:space="preserve">Vivo </v>
      </c>
      <c r="F556" s="3" t="str">
        <f>VLOOKUP(B556,[1]general_report!$B$1:$J$713,9,0)</f>
        <v xml:space="preserve"> Vivo</v>
      </c>
      <c r="G556" s="3" t="s">
        <v>94</v>
      </c>
      <c r="H556" s="3" t="s">
        <v>94</v>
      </c>
      <c r="I556" s="3" t="s">
        <v>27</v>
      </c>
      <c r="J556" s="5">
        <v>42313.732638888891</v>
      </c>
      <c r="K556" s="5">
        <v>42353.397916666669</v>
      </c>
      <c r="L556" s="11">
        <f t="shared" ca="1" si="32"/>
        <v>39.665277777778101</v>
      </c>
      <c r="M556" s="1">
        <f t="shared" si="33"/>
        <v>11</v>
      </c>
      <c r="N556" s="1">
        <f t="shared" si="34"/>
        <v>2015</v>
      </c>
      <c r="O556" s="1" t="str">
        <f t="shared" ca="1" si="35"/>
        <v>entre 30 e 60 dias</v>
      </c>
    </row>
    <row r="557" spans="1:15" ht="25.5" x14ac:dyDescent="0.2">
      <c r="A557" s="3" t="s">
        <v>8</v>
      </c>
      <c r="B557" s="4" t="s">
        <v>1152</v>
      </c>
      <c r="C557" s="3" t="s">
        <v>1153</v>
      </c>
      <c r="D557" s="3"/>
      <c r="E557" s="3" t="str">
        <f>VLOOKUP(B557,[1]general_report!$B$1:$I$713,8,0)</f>
        <v xml:space="preserve">Vivo </v>
      </c>
      <c r="F557" s="3" t="str">
        <f>VLOOKUP(B557,[1]general_report!$B$1:$J$713,9,0)</f>
        <v xml:space="preserve"> Vivo</v>
      </c>
      <c r="G557" s="3" t="s">
        <v>94</v>
      </c>
      <c r="H557" s="3" t="s">
        <v>94</v>
      </c>
      <c r="I557" s="3" t="s">
        <v>27</v>
      </c>
      <c r="J557" s="5">
        <v>42313.544444444444</v>
      </c>
      <c r="K557" s="5">
        <v>42353.4</v>
      </c>
      <c r="L557" s="11">
        <f t="shared" ca="1" si="32"/>
        <v>39.855555555557657</v>
      </c>
      <c r="M557" s="1">
        <f t="shared" si="33"/>
        <v>11</v>
      </c>
      <c r="N557" s="1">
        <f t="shared" si="34"/>
        <v>2015</v>
      </c>
      <c r="O557" s="1" t="str">
        <f t="shared" ca="1" si="35"/>
        <v>entre 30 e 60 dias</v>
      </c>
    </row>
    <row r="558" spans="1:15" ht="25.5" x14ac:dyDescent="0.2">
      <c r="A558" s="3" t="s">
        <v>8</v>
      </c>
      <c r="B558" s="4" t="s">
        <v>1154</v>
      </c>
      <c r="C558" s="3" t="s">
        <v>1155</v>
      </c>
      <c r="D558" s="3"/>
      <c r="E558" s="3" t="str">
        <f>VLOOKUP(B558,[1]general_report!$B$1:$I$713,8,0)</f>
        <v xml:space="preserve">Vivo </v>
      </c>
      <c r="F558" s="3" t="str">
        <f>VLOOKUP(B558,[1]general_report!$B$1:$J$713,9,0)</f>
        <v xml:space="preserve"> Vivo</v>
      </c>
      <c r="G558" s="3" t="s">
        <v>94</v>
      </c>
      <c r="H558" s="3" t="s">
        <v>94</v>
      </c>
      <c r="I558" s="3" t="s">
        <v>27</v>
      </c>
      <c r="J558" s="5">
        <v>42313.543055555558</v>
      </c>
      <c r="K558" s="5">
        <v>42353.401388888888</v>
      </c>
      <c r="L558" s="11">
        <f t="shared" ca="1" si="32"/>
        <v>39.858333333329938</v>
      </c>
      <c r="M558" s="1">
        <f t="shared" si="33"/>
        <v>11</v>
      </c>
      <c r="N558" s="1">
        <f t="shared" si="34"/>
        <v>2015</v>
      </c>
      <c r="O558" s="1" t="str">
        <f t="shared" ca="1" si="35"/>
        <v>entre 30 e 60 dias</v>
      </c>
    </row>
    <row r="559" spans="1:15" ht="25.5" x14ac:dyDescent="0.2">
      <c r="A559" s="3" t="s">
        <v>8</v>
      </c>
      <c r="B559" s="4" t="s">
        <v>1156</v>
      </c>
      <c r="C559" s="3" t="s">
        <v>1157</v>
      </c>
      <c r="D559" s="3"/>
      <c r="E559" s="3" t="str">
        <f>VLOOKUP(B559,[1]general_report!$B$1:$I$713,8,0)</f>
        <v xml:space="preserve">Vivo </v>
      </c>
      <c r="F559" s="3" t="str">
        <f>VLOOKUP(B559,[1]general_report!$B$1:$J$713,9,0)</f>
        <v xml:space="preserve"> Vivo</v>
      </c>
      <c r="G559" s="3" t="s">
        <v>94</v>
      </c>
      <c r="H559" s="3" t="s">
        <v>94</v>
      </c>
      <c r="I559" s="3" t="s">
        <v>27</v>
      </c>
      <c r="J559" s="5">
        <v>42313.538888888892</v>
      </c>
      <c r="K559" s="5">
        <v>42353.402777777781</v>
      </c>
      <c r="L559" s="11">
        <f t="shared" ca="1" si="32"/>
        <v>39.863888888889051</v>
      </c>
      <c r="M559" s="1">
        <f t="shared" si="33"/>
        <v>11</v>
      </c>
      <c r="N559" s="1">
        <f t="shared" si="34"/>
        <v>2015</v>
      </c>
      <c r="O559" s="1" t="str">
        <f t="shared" ca="1" si="35"/>
        <v>entre 30 e 60 dias</v>
      </c>
    </row>
    <row r="560" spans="1:15" ht="25.5" x14ac:dyDescent="0.2">
      <c r="A560" s="3" t="s">
        <v>8</v>
      </c>
      <c r="B560" s="4" t="s">
        <v>1158</v>
      </c>
      <c r="C560" s="3" t="s">
        <v>1159</v>
      </c>
      <c r="D560" s="3"/>
      <c r="E560" s="3" t="str">
        <f>VLOOKUP(B560,[1]general_report!$B$1:$I$713,8,0)</f>
        <v xml:space="preserve">Vivo </v>
      </c>
      <c r="F560" s="3" t="str">
        <f>VLOOKUP(B560,[1]general_report!$B$1:$J$713,9,0)</f>
        <v xml:space="preserve"> Vivo</v>
      </c>
      <c r="G560" s="3" t="s">
        <v>94</v>
      </c>
      <c r="H560" s="3" t="s">
        <v>94</v>
      </c>
      <c r="I560" s="3" t="s">
        <v>27</v>
      </c>
      <c r="J560" s="5">
        <v>42312.782638888886</v>
      </c>
      <c r="K560" s="5">
        <v>42353.40347222222</v>
      </c>
      <c r="L560" s="11">
        <f t="shared" ca="1" si="32"/>
        <v>40.620833333334303</v>
      </c>
      <c r="M560" s="1">
        <f t="shared" si="33"/>
        <v>11</v>
      </c>
      <c r="N560" s="1">
        <f t="shared" si="34"/>
        <v>2015</v>
      </c>
      <c r="O560" s="1" t="str">
        <f t="shared" ca="1" si="35"/>
        <v>entre 30 e 60 dias</v>
      </c>
    </row>
    <row r="561" spans="1:15" ht="15" x14ac:dyDescent="0.2">
      <c r="A561" s="3" t="s">
        <v>8</v>
      </c>
      <c r="B561" s="4" t="s">
        <v>1160</v>
      </c>
      <c r="C561" s="3" t="s">
        <v>1161</v>
      </c>
      <c r="D561" s="3"/>
      <c r="E561" s="3" t="str">
        <f>VLOOKUP(B561,[1]general_report!$B$1:$I$713,8,0)</f>
        <v xml:space="preserve">Vivo </v>
      </c>
      <c r="F561" s="3" t="str">
        <f>VLOOKUP(B561,[1]general_report!$B$1:$J$713,9,0)</f>
        <v xml:space="preserve"> Vivo</v>
      </c>
      <c r="G561" s="3" t="s">
        <v>206</v>
      </c>
      <c r="H561" s="3" t="s">
        <v>94</v>
      </c>
      <c r="I561" s="3" t="s">
        <v>13</v>
      </c>
      <c r="J561" s="5">
        <v>42269.792361111111</v>
      </c>
      <c r="K561" s="3"/>
      <c r="L561" s="11">
        <f t="shared" ca="1" si="32"/>
        <v>163.20763888888905</v>
      </c>
      <c r="M561" s="1">
        <f t="shared" si="33"/>
        <v>9</v>
      </c>
      <c r="N561" s="1">
        <f t="shared" si="34"/>
        <v>2015</v>
      </c>
      <c r="O561" s="1" t="str">
        <f t="shared" ca="1" si="35"/>
        <v>mais de 150 dias</v>
      </c>
    </row>
    <row r="562" spans="1:15" ht="15" x14ac:dyDescent="0.2">
      <c r="A562" s="3" t="s">
        <v>8</v>
      </c>
      <c r="B562" s="4" t="s">
        <v>1162</v>
      </c>
      <c r="C562" s="3" t="s">
        <v>81</v>
      </c>
      <c r="D562" s="3"/>
      <c r="E562" s="3" t="str">
        <f>VLOOKUP(B562,[1]general_report!$B$1:$I$713,8,0)</f>
        <v xml:space="preserve">Vivo </v>
      </c>
      <c r="F562" s="3" t="str">
        <f>VLOOKUP(B562,[1]general_report!$B$1:$J$713,9,0)</f>
        <v xml:space="preserve"> Vivo</v>
      </c>
      <c r="G562" s="3" t="s">
        <v>11</v>
      </c>
      <c r="H562" s="3" t="s">
        <v>94</v>
      </c>
      <c r="I562" s="3" t="s">
        <v>83</v>
      </c>
      <c r="J562" s="5">
        <v>42059.683333333334</v>
      </c>
      <c r="K562" s="3"/>
      <c r="L562" s="11">
        <f t="shared" ca="1" si="32"/>
        <v>373.3166666666657</v>
      </c>
      <c r="M562" s="1">
        <f t="shared" si="33"/>
        <v>2</v>
      </c>
      <c r="N562" s="1">
        <f t="shared" si="34"/>
        <v>2015</v>
      </c>
      <c r="O562" s="1" t="str">
        <f t="shared" ca="1" si="35"/>
        <v>mais de 150 dias</v>
      </c>
    </row>
    <row r="563" spans="1:15" ht="15" x14ac:dyDescent="0.2">
      <c r="A563" s="3" t="s">
        <v>8</v>
      </c>
      <c r="B563" s="4" t="s">
        <v>1163</v>
      </c>
      <c r="C563" s="3" t="s">
        <v>1164</v>
      </c>
      <c r="D563" s="3"/>
      <c r="E563" s="3" t="str">
        <f>VLOOKUP(B563,[1]general_report!$B$1:$I$713,8,0)</f>
        <v xml:space="preserve">Vivo </v>
      </c>
      <c r="F563" s="3" t="str">
        <f>VLOOKUP(B563,[1]general_report!$B$1:$J$713,9,0)</f>
        <v xml:space="preserve"> Vivo</v>
      </c>
      <c r="G563" s="3" t="s">
        <v>11</v>
      </c>
      <c r="H563" s="3" t="s">
        <v>12</v>
      </c>
      <c r="I563" s="3" t="s">
        <v>83</v>
      </c>
      <c r="J563" s="5">
        <v>42059.382638888892</v>
      </c>
      <c r="K563" s="3"/>
      <c r="L563" s="11">
        <f t="shared" ca="1" si="32"/>
        <v>373.61736111110804</v>
      </c>
      <c r="M563" s="1">
        <f t="shared" si="33"/>
        <v>2</v>
      </c>
      <c r="N563" s="1">
        <f t="shared" si="34"/>
        <v>2015</v>
      </c>
      <c r="O563" s="1" t="str">
        <f t="shared" ca="1" si="35"/>
        <v>mais de 150 dias</v>
      </c>
    </row>
    <row r="564" spans="1:15" ht="25.5" x14ac:dyDescent="0.2">
      <c r="A564" s="3" t="s">
        <v>8</v>
      </c>
      <c r="B564" s="4" t="s">
        <v>1165</v>
      </c>
      <c r="C564" s="3" t="s">
        <v>1166</v>
      </c>
      <c r="D564" s="3"/>
      <c r="E564" s="3" t="str">
        <f>VLOOKUP(B564,[1]general_report!$B$1:$I$713,8,0)</f>
        <v xml:space="preserve">Contax </v>
      </c>
      <c r="F564" s="3" t="str">
        <f>VLOOKUP(B564,[1]general_report!$B$1:$J$713,9,0)</f>
        <v xml:space="preserve"> Outro</v>
      </c>
      <c r="G564" s="3" t="s">
        <v>11</v>
      </c>
      <c r="H564" s="3" t="s">
        <v>577</v>
      </c>
      <c r="I564" s="3" t="s">
        <v>13</v>
      </c>
      <c r="J564" s="5">
        <v>42416.75277777778</v>
      </c>
      <c r="K564" s="3"/>
      <c r="L564" s="11">
        <f t="shared" ca="1" si="32"/>
        <v>16.247222222220444</v>
      </c>
      <c r="M564" s="1">
        <f t="shared" si="33"/>
        <v>2</v>
      </c>
      <c r="N564" s="1">
        <f t="shared" si="34"/>
        <v>2016</v>
      </c>
      <c r="O564" s="1" t="str">
        <f t="shared" ca="1" si="35"/>
        <v>menos 1 mês</v>
      </c>
    </row>
    <row r="565" spans="1:15" ht="38.25" x14ac:dyDescent="0.2">
      <c r="A565" s="3" t="s">
        <v>8</v>
      </c>
      <c r="B565" s="4" t="s">
        <v>1167</v>
      </c>
      <c r="C565" s="3" t="s">
        <v>1168</v>
      </c>
      <c r="D565" s="3"/>
      <c r="E565" s="3" t="str">
        <f>VLOOKUP(B565,[1]general_report!$B$1:$I$713,8,0)</f>
        <v xml:space="preserve">Contax </v>
      </c>
      <c r="F565" s="3" t="str">
        <f>VLOOKUP(B565,[1]general_report!$B$1:$J$713,9,0)</f>
        <v xml:space="preserve"> Outro</v>
      </c>
      <c r="G565" s="3" t="s">
        <v>577</v>
      </c>
      <c r="H565" s="3" t="s">
        <v>577</v>
      </c>
      <c r="I565" s="3" t="s">
        <v>27</v>
      </c>
      <c r="J565" s="5">
        <v>42383.666666666664</v>
      </c>
      <c r="K565" s="5">
        <v>42390.397916666669</v>
      </c>
      <c r="L565" s="11">
        <f t="shared" ca="1" si="32"/>
        <v>6.7312500000043656</v>
      </c>
      <c r="M565" s="1">
        <f t="shared" si="33"/>
        <v>1</v>
      </c>
      <c r="N565" s="1">
        <f t="shared" si="34"/>
        <v>2016</v>
      </c>
      <c r="O565" s="1" t="str">
        <f t="shared" ca="1" si="35"/>
        <v>menos 1 mês</v>
      </c>
    </row>
    <row r="566" spans="1:15" ht="25.5" x14ac:dyDescent="0.2">
      <c r="A566" s="3" t="s">
        <v>8</v>
      </c>
      <c r="B566" s="4" t="s">
        <v>1169</v>
      </c>
      <c r="C566" s="3" t="s">
        <v>1170</v>
      </c>
      <c r="D566" s="3"/>
      <c r="E566" s="3" t="str">
        <f>VLOOKUP(B566,[1]general_report!$B$1:$I$713,8,0)</f>
        <v xml:space="preserve">Contax </v>
      </c>
      <c r="F566" s="3" t="str">
        <f>VLOOKUP(B566,[1]general_report!$B$1:$J$713,9,0)</f>
        <v xml:space="preserve"> Outro</v>
      </c>
      <c r="G566" s="3" t="s">
        <v>18</v>
      </c>
      <c r="H566" s="3" t="s">
        <v>577</v>
      </c>
      <c r="I566" s="3" t="s">
        <v>13</v>
      </c>
      <c r="J566" s="5">
        <v>42298.490277777775</v>
      </c>
      <c r="K566" s="3"/>
      <c r="L566" s="11">
        <f t="shared" ca="1" si="32"/>
        <v>134.50972222222481</v>
      </c>
      <c r="M566" s="1">
        <f t="shared" si="33"/>
        <v>10</v>
      </c>
      <c r="N566" s="1">
        <f t="shared" si="34"/>
        <v>2015</v>
      </c>
      <c r="O566" s="1" t="str">
        <f t="shared" ca="1" si="35"/>
        <v>entre 90 e 150 dias</v>
      </c>
    </row>
    <row r="567" spans="1:15" ht="25.5" x14ac:dyDescent="0.2">
      <c r="A567" s="3" t="s">
        <v>8</v>
      </c>
      <c r="B567" s="4" t="s">
        <v>1171</v>
      </c>
      <c r="C567" s="3" t="s">
        <v>1172</v>
      </c>
      <c r="D567" s="3"/>
      <c r="E567" s="3" t="str">
        <f>VLOOKUP(B567,[1]general_report!$B$1:$I$713,8,0)</f>
        <v xml:space="preserve">Leader Magazine </v>
      </c>
      <c r="F567" s="3" t="str">
        <f>VLOOKUP(B567,[1]general_report!$B$1:$J$713,9,0)</f>
        <v xml:space="preserve"> Cobrança Leader</v>
      </c>
      <c r="G567" s="3" t="s">
        <v>206</v>
      </c>
      <c r="H567" s="3" t="s">
        <v>56</v>
      </c>
      <c r="I567" s="3" t="s">
        <v>48</v>
      </c>
      <c r="J567" s="5">
        <v>42234.445833333331</v>
      </c>
      <c r="K567" s="3"/>
      <c r="L567" s="11">
        <f t="shared" ca="1" si="32"/>
        <v>198.55416666666861</v>
      </c>
      <c r="M567" s="1">
        <f t="shared" si="33"/>
        <v>8</v>
      </c>
      <c r="N567" s="1">
        <f t="shared" si="34"/>
        <v>2015</v>
      </c>
      <c r="O567" s="1" t="str">
        <f t="shared" ca="1" si="35"/>
        <v>mais de 150 dias</v>
      </c>
    </row>
    <row r="568" spans="1:15" ht="25.5" x14ac:dyDescent="0.2">
      <c r="A568" s="3" t="s">
        <v>8</v>
      </c>
      <c r="B568" s="4" t="s">
        <v>1173</v>
      </c>
      <c r="C568" s="3" t="s">
        <v>1174</v>
      </c>
      <c r="D568" s="3"/>
      <c r="E568" s="3" t="str">
        <f>VLOOKUP(B568,[1]general_report!$B$1:$I$713,8,0)</f>
        <v xml:space="preserve">Oi </v>
      </c>
      <c r="F568" s="3" t="str">
        <f>VLOOKUP(B568,[1]general_report!$B$1:$J$713,9,0)</f>
        <v xml:space="preserve"> Retenção</v>
      </c>
      <c r="G568" s="3" t="s">
        <v>11</v>
      </c>
      <c r="H568" s="3" t="s">
        <v>1175</v>
      </c>
      <c r="I568" s="3" t="s">
        <v>13</v>
      </c>
      <c r="J568" s="5">
        <v>42417.71597222222</v>
      </c>
      <c r="K568" s="3"/>
      <c r="L568" s="11">
        <f t="shared" ca="1" si="32"/>
        <v>15.284027777779556</v>
      </c>
      <c r="M568" s="1">
        <f t="shared" si="33"/>
        <v>2</v>
      </c>
      <c r="N568" s="1">
        <f t="shared" si="34"/>
        <v>2016</v>
      </c>
      <c r="O568" s="1" t="str">
        <f t="shared" ca="1" si="35"/>
        <v>menos 1 mês</v>
      </c>
    </row>
    <row r="569" spans="1:15" ht="25.5" x14ac:dyDescent="0.2">
      <c r="A569" s="3" t="s">
        <v>8</v>
      </c>
      <c r="B569" s="4" t="s">
        <v>1176</v>
      </c>
      <c r="C569" s="3" t="s">
        <v>1177</v>
      </c>
      <c r="D569" s="3"/>
      <c r="E569" s="3" t="str">
        <f>VLOOKUP(B569,[1]general_report!$B$1:$I$713,8,0)</f>
        <v xml:space="preserve">Oi </v>
      </c>
      <c r="F569" s="3" t="str">
        <f>VLOOKUP(B569,[1]general_report!$B$1:$J$713,9,0)</f>
        <v xml:space="preserve"> Retenção</v>
      </c>
      <c r="G569" s="3" t="s">
        <v>11</v>
      </c>
      <c r="H569" s="3" t="s">
        <v>1178</v>
      </c>
      <c r="I569" s="3" t="s">
        <v>13</v>
      </c>
      <c r="J569" s="5">
        <v>42416.817361111112</v>
      </c>
      <c r="K569" s="3"/>
      <c r="L569" s="11">
        <f t="shared" ca="1" si="32"/>
        <v>16.182638888887595</v>
      </c>
      <c r="M569" s="1">
        <f t="shared" si="33"/>
        <v>2</v>
      </c>
      <c r="N569" s="1">
        <f t="shared" si="34"/>
        <v>2016</v>
      </c>
      <c r="O569" s="1" t="str">
        <f t="shared" ca="1" si="35"/>
        <v>menos 1 mês</v>
      </c>
    </row>
    <row r="570" spans="1:15" ht="25.5" x14ac:dyDescent="0.2">
      <c r="A570" s="3" t="s">
        <v>8</v>
      </c>
      <c r="B570" s="4" t="s">
        <v>1179</v>
      </c>
      <c r="C570" s="3" t="s">
        <v>1180</v>
      </c>
      <c r="D570" s="3"/>
      <c r="E570" s="3" t="str">
        <f>VLOOKUP(B570,[1]general_report!$B$1:$I$713,8,0)</f>
        <v xml:space="preserve">Oi </v>
      </c>
      <c r="F570" s="3" t="str">
        <f>VLOOKUP(B570,[1]general_report!$B$1:$J$713,9,0)</f>
        <v xml:space="preserve"> Retenção</v>
      </c>
      <c r="G570" s="3" t="s">
        <v>11</v>
      </c>
      <c r="H570" s="3" t="s">
        <v>1181</v>
      </c>
      <c r="I570" s="3" t="s">
        <v>13</v>
      </c>
      <c r="J570" s="5">
        <v>42412.474305555559</v>
      </c>
      <c r="K570" s="3"/>
      <c r="L570" s="11">
        <f t="shared" ca="1" si="32"/>
        <v>20.525694444440887</v>
      </c>
      <c r="M570" s="1">
        <f t="shared" si="33"/>
        <v>2</v>
      </c>
      <c r="N570" s="1">
        <f t="shared" si="34"/>
        <v>2016</v>
      </c>
      <c r="O570" s="1" t="str">
        <f t="shared" ca="1" si="35"/>
        <v>menos 1 mês</v>
      </c>
    </row>
    <row r="571" spans="1:15" ht="25.5" x14ac:dyDescent="0.2">
      <c r="A571" s="3" t="s">
        <v>8</v>
      </c>
      <c r="B571" s="4" t="s">
        <v>1182</v>
      </c>
      <c r="C571" s="3" t="s">
        <v>1183</v>
      </c>
      <c r="D571" s="3"/>
      <c r="E571" s="3" t="str">
        <f>VLOOKUP(B571,[1]general_report!$B$1:$I$713,8,0)</f>
        <v xml:space="preserve">Oi </v>
      </c>
      <c r="F571" s="3" t="str">
        <f>VLOOKUP(B571,[1]general_report!$B$1:$J$713,9,0)</f>
        <v xml:space="preserve"> Retenção</v>
      </c>
      <c r="G571" s="3" t="s">
        <v>11</v>
      </c>
      <c r="H571" s="3" t="s">
        <v>1184</v>
      </c>
      <c r="I571" s="3" t="s">
        <v>13</v>
      </c>
      <c r="J571" s="5">
        <v>42411.847222222219</v>
      </c>
      <c r="K571" s="3"/>
      <c r="L571" s="11">
        <f t="shared" ca="1" si="32"/>
        <v>21.152777777781012</v>
      </c>
      <c r="M571" s="1">
        <f t="shared" si="33"/>
        <v>2</v>
      </c>
      <c r="N571" s="1">
        <f t="shared" si="34"/>
        <v>2016</v>
      </c>
      <c r="O571" s="1" t="str">
        <f t="shared" ca="1" si="35"/>
        <v>menos 1 mês</v>
      </c>
    </row>
    <row r="572" spans="1:15" ht="25.5" x14ac:dyDescent="0.2">
      <c r="A572" s="3" t="s">
        <v>8</v>
      </c>
      <c r="B572" s="4" t="s">
        <v>1185</v>
      </c>
      <c r="C572" s="3" t="s">
        <v>1186</v>
      </c>
      <c r="D572" s="3"/>
      <c r="E572" s="3" t="str">
        <f>VLOOKUP(B572,[1]general_report!$B$1:$I$713,8,0)</f>
        <v xml:space="preserve">Oi </v>
      </c>
      <c r="F572" s="3" t="str">
        <f>VLOOKUP(B572,[1]general_report!$B$1:$J$713,9,0)</f>
        <v xml:space="preserve"> Retenção</v>
      </c>
      <c r="G572" s="3" t="s">
        <v>11</v>
      </c>
      <c r="H572" s="3" t="s">
        <v>1184</v>
      </c>
      <c r="I572" s="3" t="s">
        <v>13</v>
      </c>
      <c r="J572" s="5">
        <v>42411.844444444447</v>
      </c>
      <c r="K572" s="3"/>
      <c r="L572" s="11">
        <f t="shared" ca="1" si="32"/>
        <v>21.155555555553292</v>
      </c>
      <c r="M572" s="1">
        <f t="shared" si="33"/>
        <v>2</v>
      </c>
      <c r="N572" s="1">
        <f t="shared" si="34"/>
        <v>2016</v>
      </c>
      <c r="O572" s="1" t="str">
        <f t="shared" ca="1" si="35"/>
        <v>menos 1 mês</v>
      </c>
    </row>
    <row r="573" spans="1:15" ht="25.5" x14ac:dyDescent="0.2">
      <c r="A573" s="3" t="s">
        <v>8</v>
      </c>
      <c r="B573" s="4" t="s">
        <v>1187</v>
      </c>
      <c r="C573" s="3" t="s">
        <v>1188</v>
      </c>
      <c r="D573" s="3"/>
      <c r="E573" s="3" t="str">
        <f>VLOOKUP(B573,[1]general_report!$B$1:$I$713,8,0)</f>
        <v xml:space="preserve">Oi </v>
      </c>
      <c r="F573" s="3" t="str">
        <f>VLOOKUP(B573,[1]general_report!$B$1:$J$713,9,0)</f>
        <v xml:space="preserve"> Retenção</v>
      </c>
      <c r="G573" s="3" t="s">
        <v>11</v>
      </c>
      <c r="H573" s="3" t="s">
        <v>1184</v>
      </c>
      <c r="I573" s="3" t="s">
        <v>13</v>
      </c>
      <c r="J573" s="5">
        <v>42411.838888888888</v>
      </c>
      <c r="K573" s="3"/>
      <c r="L573" s="11">
        <f t="shared" ca="1" si="32"/>
        <v>21.161111111112405</v>
      </c>
      <c r="M573" s="1">
        <f t="shared" si="33"/>
        <v>2</v>
      </c>
      <c r="N573" s="1">
        <f t="shared" si="34"/>
        <v>2016</v>
      </c>
      <c r="O573" s="1" t="str">
        <f t="shared" ca="1" si="35"/>
        <v>menos 1 mês</v>
      </c>
    </row>
    <row r="574" spans="1:15" ht="25.5" x14ac:dyDescent="0.2">
      <c r="A574" s="3" t="s">
        <v>8</v>
      </c>
      <c r="B574" s="4" t="s">
        <v>1189</v>
      </c>
      <c r="C574" s="3" t="s">
        <v>1190</v>
      </c>
      <c r="D574" s="3"/>
      <c r="E574" s="3" t="str">
        <f>VLOOKUP(B574,[1]general_report!$B$1:$I$713,8,0)</f>
        <v xml:space="preserve">Oi </v>
      </c>
      <c r="F574" s="3" t="str">
        <f>VLOOKUP(B574,[1]general_report!$B$1:$J$713,9,0)</f>
        <v xml:space="preserve"> Retenção</v>
      </c>
      <c r="G574" s="3" t="s">
        <v>11</v>
      </c>
      <c r="H574" s="3" t="s">
        <v>1184</v>
      </c>
      <c r="I574" s="3" t="s">
        <v>13</v>
      </c>
      <c r="J574" s="5">
        <v>42411.834027777775</v>
      </c>
      <c r="K574" s="3"/>
      <c r="L574" s="11">
        <f t="shared" ca="1" si="32"/>
        <v>21.165972222224809</v>
      </c>
      <c r="M574" s="1">
        <f t="shared" si="33"/>
        <v>2</v>
      </c>
      <c r="N574" s="1">
        <f t="shared" si="34"/>
        <v>2016</v>
      </c>
      <c r="O574" s="1" t="str">
        <f t="shared" ca="1" si="35"/>
        <v>menos 1 mês</v>
      </c>
    </row>
    <row r="575" spans="1:15" ht="25.5" x14ac:dyDescent="0.2">
      <c r="A575" s="3" t="s">
        <v>8</v>
      </c>
      <c r="B575" s="4" t="s">
        <v>1191</v>
      </c>
      <c r="C575" s="3" t="s">
        <v>1192</v>
      </c>
      <c r="D575" s="3"/>
      <c r="E575" s="3" t="str">
        <f>VLOOKUP(B575,[1]general_report!$B$1:$I$713,8,0)</f>
        <v xml:space="preserve">Oi </v>
      </c>
      <c r="F575" s="3" t="str">
        <f>VLOOKUP(B575,[1]general_report!$B$1:$J$713,9,0)</f>
        <v xml:space="preserve"> Retenção</v>
      </c>
      <c r="G575" s="3" t="s">
        <v>11</v>
      </c>
      <c r="H575" s="3" t="s">
        <v>1184</v>
      </c>
      <c r="I575" s="3" t="s">
        <v>13</v>
      </c>
      <c r="J575" s="5">
        <v>42411.82708333333</v>
      </c>
      <c r="K575" s="3"/>
      <c r="L575" s="11">
        <f t="shared" ca="1" si="32"/>
        <v>21.172916666670062</v>
      </c>
      <c r="M575" s="1">
        <f t="shared" si="33"/>
        <v>2</v>
      </c>
      <c r="N575" s="1">
        <f t="shared" si="34"/>
        <v>2016</v>
      </c>
      <c r="O575" s="1" t="str">
        <f t="shared" ca="1" si="35"/>
        <v>menos 1 mês</v>
      </c>
    </row>
    <row r="576" spans="1:15" ht="25.5" x14ac:dyDescent="0.2">
      <c r="A576" s="3" t="s">
        <v>8</v>
      </c>
      <c r="B576" s="4" t="s">
        <v>1193</v>
      </c>
      <c r="C576" s="3" t="s">
        <v>1194</v>
      </c>
      <c r="D576" s="3"/>
      <c r="E576" s="3" t="str">
        <f>VLOOKUP(B576,[1]general_report!$B$1:$I$713,8,0)</f>
        <v xml:space="preserve">Oi </v>
      </c>
      <c r="F576" s="3" t="str">
        <f>VLOOKUP(B576,[1]general_report!$B$1:$J$713,9,0)</f>
        <v xml:space="preserve"> Retenção</v>
      </c>
      <c r="G576" s="3" t="s">
        <v>11</v>
      </c>
      <c r="H576" s="3" t="s">
        <v>1184</v>
      </c>
      <c r="I576" s="3" t="s">
        <v>13</v>
      </c>
      <c r="J576" s="5">
        <v>42411.822916666664</v>
      </c>
      <c r="K576" s="3"/>
      <c r="L576" s="11">
        <f t="shared" ca="1" si="32"/>
        <v>21.177083333335759</v>
      </c>
      <c r="M576" s="1">
        <f t="shared" si="33"/>
        <v>2</v>
      </c>
      <c r="N576" s="1">
        <f t="shared" si="34"/>
        <v>2016</v>
      </c>
      <c r="O576" s="1" t="str">
        <f t="shared" ca="1" si="35"/>
        <v>menos 1 mês</v>
      </c>
    </row>
    <row r="577" spans="1:15" ht="25.5" x14ac:dyDescent="0.2">
      <c r="A577" s="3" t="s">
        <v>8</v>
      </c>
      <c r="B577" s="4" t="s">
        <v>1195</v>
      </c>
      <c r="C577" s="3" t="s">
        <v>1196</v>
      </c>
      <c r="D577" s="3"/>
      <c r="E577" s="3" t="str">
        <f>VLOOKUP(B577,[1]general_report!$B$1:$I$713,8,0)</f>
        <v xml:space="preserve">Oi </v>
      </c>
      <c r="F577" s="3" t="str">
        <f>VLOOKUP(B577,[1]general_report!$B$1:$J$713,9,0)</f>
        <v xml:space="preserve"> Retenção</v>
      </c>
      <c r="G577" s="3" t="s">
        <v>11</v>
      </c>
      <c r="H577" s="3" t="s">
        <v>1184</v>
      </c>
      <c r="I577" s="3" t="s">
        <v>13</v>
      </c>
      <c r="J577" s="5">
        <v>42411.8125</v>
      </c>
      <c r="K577" s="3"/>
      <c r="L577" s="11">
        <f t="shared" ca="1" si="32"/>
        <v>21.1875</v>
      </c>
      <c r="M577" s="1">
        <f t="shared" si="33"/>
        <v>2</v>
      </c>
      <c r="N577" s="1">
        <f t="shared" si="34"/>
        <v>2016</v>
      </c>
      <c r="O577" s="1" t="str">
        <f t="shared" ca="1" si="35"/>
        <v>menos 1 mês</v>
      </c>
    </row>
    <row r="578" spans="1:15" ht="25.5" x14ac:dyDescent="0.2">
      <c r="A578" s="3" t="s">
        <v>8</v>
      </c>
      <c r="B578" s="4" t="s">
        <v>1197</v>
      </c>
      <c r="C578" s="3" t="s">
        <v>1198</v>
      </c>
      <c r="D578" s="3"/>
      <c r="E578" s="3" t="str">
        <f>VLOOKUP(B578,[1]general_report!$B$1:$I$713,8,0)</f>
        <v xml:space="preserve">Oi </v>
      </c>
      <c r="F578" s="3" t="str">
        <f>VLOOKUP(B578,[1]general_report!$B$1:$J$713,9,0)</f>
        <v xml:space="preserve"> Retenção</v>
      </c>
      <c r="G578" s="3" t="s">
        <v>11</v>
      </c>
      <c r="H578" s="3" t="s">
        <v>1184</v>
      </c>
      <c r="I578" s="3" t="s">
        <v>13</v>
      </c>
      <c r="J578" s="5">
        <v>42411.806250000001</v>
      </c>
      <c r="K578" s="3"/>
      <c r="L578" s="11">
        <f t="shared" ca="1" si="32"/>
        <v>21.193749999998545</v>
      </c>
      <c r="M578" s="1">
        <f t="shared" si="33"/>
        <v>2</v>
      </c>
      <c r="N578" s="1">
        <f t="shared" si="34"/>
        <v>2016</v>
      </c>
      <c r="O578" s="1" t="str">
        <f t="shared" ca="1" si="35"/>
        <v>menos 1 mês</v>
      </c>
    </row>
    <row r="579" spans="1:15" ht="25.5" x14ac:dyDescent="0.2">
      <c r="A579" s="3" t="s">
        <v>8</v>
      </c>
      <c r="B579" s="4" t="s">
        <v>1199</v>
      </c>
      <c r="C579" s="3" t="s">
        <v>1200</v>
      </c>
      <c r="D579" s="3"/>
      <c r="E579" s="3" t="str">
        <f>VLOOKUP(B579,[1]general_report!$B$1:$I$713,8,0)</f>
        <v xml:space="preserve">Oi </v>
      </c>
      <c r="F579" s="3" t="str">
        <f>VLOOKUP(B579,[1]general_report!$B$1:$J$713,9,0)</f>
        <v xml:space="preserve"> Retenção</v>
      </c>
      <c r="G579" s="3" t="s">
        <v>11</v>
      </c>
      <c r="H579" s="3" t="s">
        <v>1184</v>
      </c>
      <c r="I579" s="3" t="s">
        <v>13</v>
      </c>
      <c r="J579" s="5">
        <v>42411.788888888892</v>
      </c>
      <c r="K579" s="3"/>
      <c r="L579" s="11">
        <f t="shared" ref="L579:L642" ca="1" si="36">IF(K579="",TODAY()-J579,K579-J579)</f>
        <v>21.211111111108039</v>
      </c>
      <c r="M579" s="1">
        <f t="shared" ref="M579:M642" si="37">MONTH(J579)</f>
        <v>2</v>
      </c>
      <c r="N579" s="1">
        <f t="shared" ref="N579:N642" si="38">YEAR(J579)</f>
        <v>2016</v>
      </c>
      <c r="O579" s="1" t="str">
        <f t="shared" ref="O579:O642" ca="1" si="39">IF(L579&lt;30,"menos 1 mês",IF(L579&lt;60,"entre 30 e 60 dias",IF(L579&lt;90,"entre 60 e 90 dias",IF(L579&lt;150,"entre 90 e 150 dias","mais de 150 dias"))))</f>
        <v>menos 1 mês</v>
      </c>
    </row>
    <row r="580" spans="1:15" ht="25.5" x14ac:dyDescent="0.2">
      <c r="A580" s="3" t="s">
        <v>8</v>
      </c>
      <c r="B580" s="4" t="s">
        <v>1201</v>
      </c>
      <c r="C580" s="3" t="s">
        <v>1202</v>
      </c>
      <c r="D580" s="3"/>
      <c r="E580" s="3" t="str">
        <f>VLOOKUP(B580,[1]general_report!$B$1:$I$713,8,0)</f>
        <v xml:space="preserve">Oi </v>
      </c>
      <c r="F580" s="3" t="str">
        <f>VLOOKUP(B580,[1]general_report!$B$1:$J$713,9,0)</f>
        <v xml:space="preserve"> Retenção</v>
      </c>
      <c r="G580" s="3" t="s">
        <v>11</v>
      </c>
      <c r="H580" s="3" t="s">
        <v>1184</v>
      </c>
      <c r="I580" s="3" t="s">
        <v>13</v>
      </c>
      <c r="J580" s="5">
        <v>42411.772916666669</v>
      </c>
      <c r="K580" s="3"/>
      <c r="L580" s="11">
        <f t="shared" ca="1" si="36"/>
        <v>21.227083333331393</v>
      </c>
      <c r="M580" s="1">
        <f t="shared" si="37"/>
        <v>2</v>
      </c>
      <c r="N580" s="1">
        <f t="shared" si="38"/>
        <v>2016</v>
      </c>
      <c r="O580" s="1" t="str">
        <f t="shared" ca="1" si="39"/>
        <v>menos 1 mês</v>
      </c>
    </row>
    <row r="581" spans="1:15" ht="25.5" x14ac:dyDescent="0.2">
      <c r="A581" s="3" t="s">
        <v>8</v>
      </c>
      <c r="B581" s="4" t="s">
        <v>1203</v>
      </c>
      <c r="C581" s="3" t="s">
        <v>1204</v>
      </c>
      <c r="D581" s="3"/>
      <c r="E581" s="3" t="str">
        <f>VLOOKUP(B581,[1]general_report!$B$1:$I$713,8,0)</f>
        <v xml:space="preserve">Oi </v>
      </c>
      <c r="F581" s="3" t="str">
        <f>VLOOKUP(B581,[1]general_report!$B$1:$J$713,9,0)</f>
        <v xml:space="preserve"> Retenção</v>
      </c>
      <c r="G581" s="3" t="s">
        <v>11</v>
      </c>
      <c r="H581" s="3" t="s">
        <v>1181</v>
      </c>
      <c r="I581" s="3" t="s">
        <v>13</v>
      </c>
      <c r="J581" s="5">
        <v>42411.508333333331</v>
      </c>
      <c r="K581" s="3"/>
      <c r="L581" s="11">
        <f t="shared" ca="1" si="36"/>
        <v>21.491666666668607</v>
      </c>
      <c r="M581" s="1">
        <f t="shared" si="37"/>
        <v>2</v>
      </c>
      <c r="N581" s="1">
        <f t="shared" si="38"/>
        <v>2016</v>
      </c>
      <c r="O581" s="1" t="str">
        <f t="shared" ca="1" si="39"/>
        <v>menos 1 mês</v>
      </c>
    </row>
    <row r="582" spans="1:15" ht="25.5" x14ac:dyDescent="0.2">
      <c r="A582" s="3" t="s">
        <v>8</v>
      </c>
      <c r="B582" s="4" t="s">
        <v>1205</v>
      </c>
      <c r="C582" s="3" t="s">
        <v>1206</v>
      </c>
      <c r="D582" s="3"/>
      <c r="E582" s="3" t="str">
        <f>VLOOKUP(B582,[1]general_report!$B$1:$I$713,8,0)</f>
        <v xml:space="preserve">Oi </v>
      </c>
      <c r="F582" s="3" t="str">
        <f>VLOOKUP(B582,[1]general_report!$B$1:$J$713,9,0)</f>
        <v xml:space="preserve"> Retenção</v>
      </c>
      <c r="G582" s="3" t="s">
        <v>1207</v>
      </c>
      <c r="H582" s="3" t="s">
        <v>1181</v>
      </c>
      <c r="I582" s="3" t="s">
        <v>13</v>
      </c>
      <c r="J582" s="5">
        <v>42410.758333333331</v>
      </c>
      <c r="K582" s="3"/>
      <c r="L582" s="11">
        <f t="shared" ca="1" si="36"/>
        <v>22.241666666668607</v>
      </c>
      <c r="M582" s="1">
        <f t="shared" si="37"/>
        <v>2</v>
      </c>
      <c r="N582" s="1">
        <f t="shared" si="38"/>
        <v>2016</v>
      </c>
      <c r="O582" s="1" t="str">
        <f t="shared" ca="1" si="39"/>
        <v>menos 1 mês</v>
      </c>
    </row>
    <row r="583" spans="1:15" ht="25.5" x14ac:dyDescent="0.2">
      <c r="A583" s="3" t="s">
        <v>8</v>
      </c>
      <c r="B583" s="4" t="s">
        <v>1208</v>
      </c>
      <c r="C583" s="3" t="s">
        <v>1209</v>
      </c>
      <c r="D583" s="3"/>
      <c r="E583" s="3" t="str">
        <f>VLOOKUP(B583,[1]general_report!$B$1:$I$713,8,0)</f>
        <v xml:space="preserve">Oi </v>
      </c>
      <c r="F583" s="3" t="str">
        <f>VLOOKUP(B583,[1]general_report!$B$1:$J$713,9,0)</f>
        <v xml:space="preserve"> Retenção</v>
      </c>
      <c r="G583" s="3" t="s">
        <v>11</v>
      </c>
      <c r="H583" s="3" t="s">
        <v>1181</v>
      </c>
      <c r="I583" s="3" t="s">
        <v>13</v>
      </c>
      <c r="J583" s="5">
        <v>42403.65625</v>
      </c>
      <c r="K583" s="3"/>
      <c r="L583" s="11">
        <f t="shared" ca="1" si="36"/>
        <v>29.34375</v>
      </c>
      <c r="M583" s="1">
        <f t="shared" si="37"/>
        <v>2</v>
      </c>
      <c r="N583" s="1">
        <f t="shared" si="38"/>
        <v>2016</v>
      </c>
      <c r="O583" s="1" t="str">
        <f t="shared" ca="1" si="39"/>
        <v>menos 1 mês</v>
      </c>
    </row>
    <row r="584" spans="1:15" ht="25.5" x14ac:dyDescent="0.2">
      <c r="A584" s="3" t="s">
        <v>8</v>
      </c>
      <c r="B584" s="4" t="s">
        <v>1210</v>
      </c>
      <c r="C584" s="3" t="s">
        <v>1211</v>
      </c>
      <c r="D584" s="3"/>
      <c r="E584" s="3" t="str">
        <f>VLOOKUP(B584,[1]general_report!$B$1:$I$713,8,0)</f>
        <v xml:space="preserve">Oi </v>
      </c>
      <c r="F584" s="3" t="str">
        <f>VLOOKUP(B584,[1]general_report!$B$1:$J$713,9,0)</f>
        <v xml:space="preserve"> Retenção</v>
      </c>
      <c r="G584" s="3" t="s">
        <v>1181</v>
      </c>
      <c r="H584" s="3" t="s">
        <v>1181</v>
      </c>
      <c r="I584" s="3" t="s">
        <v>27</v>
      </c>
      <c r="J584" s="5">
        <v>42402.48333333333</v>
      </c>
      <c r="K584" s="5">
        <v>42404.856249999997</v>
      </c>
      <c r="L584" s="11">
        <f t="shared" ca="1" si="36"/>
        <v>2.3729166666671517</v>
      </c>
      <c r="M584" s="1">
        <f t="shared" si="37"/>
        <v>2</v>
      </c>
      <c r="N584" s="1">
        <f t="shared" si="38"/>
        <v>2016</v>
      </c>
      <c r="O584" s="1" t="str">
        <f t="shared" ca="1" si="39"/>
        <v>menos 1 mês</v>
      </c>
    </row>
    <row r="585" spans="1:15" ht="25.5" x14ac:dyDescent="0.2">
      <c r="A585" s="3" t="s">
        <v>8</v>
      </c>
      <c r="B585" s="4" t="s">
        <v>1212</v>
      </c>
      <c r="C585" s="3" t="s">
        <v>1213</v>
      </c>
      <c r="D585" s="3"/>
      <c r="E585" s="3" t="str">
        <f>VLOOKUP(B585,[1]general_report!$B$1:$I$713,8,0)</f>
        <v xml:space="preserve">Oi </v>
      </c>
      <c r="F585" s="3" t="str">
        <f>VLOOKUP(B585,[1]general_report!$B$1:$J$713,9,0)</f>
        <v xml:space="preserve"> Retenção</v>
      </c>
      <c r="G585" s="3" t="s">
        <v>1184</v>
      </c>
      <c r="H585" s="3" t="s">
        <v>1184</v>
      </c>
      <c r="I585" s="3" t="s">
        <v>27</v>
      </c>
      <c r="J585" s="5">
        <v>42391.807638888888</v>
      </c>
      <c r="K585" s="5">
        <v>42398.493055555555</v>
      </c>
      <c r="L585" s="11">
        <f t="shared" ca="1" si="36"/>
        <v>6.6854166666671517</v>
      </c>
      <c r="M585" s="1">
        <f t="shared" si="37"/>
        <v>1</v>
      </c>
      <c r="N585" s="1">
        <f t="shared" si="38"/>
        <v>2016</v>
      </c>
      <c r="O585" s="1" t="str">
        <f t="shared" ca="1" si="39"/>
        <v>menos 1 mês</v>
      </c>
    </row>
    <row r="586" spans="1:15" ht="25.5" x14ac:dyDescent="0.2">
      <c r="A586" s="3" t="s">
        <v>8</v>
      </c>
      <c r="B586" s="4" t="s">
        <v>1214</v>
      </c>
      <c r="C586" s="3" t="s">
        <v>1215</v>
      </c>
      <c r="D586" s="3"/>
      <c r="E586" s="3" t="str">
        <f>VLOOKUP(B586,[1]general_report!$B$1:$I$713,8,0)</f>
        <v xml:space="preserve">Leader Magazine </v>
      </c>
      <c r="F586" s="3" t="str">
        <f>VLOOKUP(B586,[1]general_report!$B$1:$J$713,9,0)</f>
        <v xml:space="preserve"> Cobrança Leader</v>
      </c>
      <c r="G586" s="3" t="s">
        <v>11</v>
      </c>
      <c r="H586" s="3" t="s">
        <v>1216</v>
      </c>
      <c r="I586" s="3" t="s">
        <v>13</v>
      </c>
      <c r="J586" s="5">
        <v>42391.7</v>
      </c>
      <c r="K586" s="3"/>
      <c r="L586" s="11">
        <f t="shared" ca="1" si="36"/>
        <v>41.30000000000291</v>
      </c>
      <c r="M586" s="1">
        <f t="shared" si="37"/>
        <v>1</v>
      </c>
      <c r="N586" s="1">
        <f t="shared" si="38"/>
        <v>2016</v>
      </c>
      <c r="O586" s="1" t="str">
        <f t="shared" ca="1" si="39"/>
        <v>entre 30 e 60 dias</v>
      </c>
    </row>
    <row r="587" spans="1:15" ht="25.5" x14ac:dyDescent="0.2">
      <c r="A587" s="3" t="s">
        <v>8</v>
      </c>
      <c r="B587" s="4" t="s">
        <v>1217</v>
      </c>
      <c r="C587" s="3" t="s">
        <v>337</v>
      </c>
      <c r="D587" s="3"/>
      <c r="E587" s="3" t="str">
        <f>VLOOKUP(B587,[1]general_report!$B$1:$I$713,8,0)</f>
        <v xml:space="preserve">Leader Magazine </v>
      </c>
      <c r="F587" s="3" t="str">
        <f>VLOOKUP(B587,[1]general_report!$B$1:$J$713,9,0)</f>
        <v xml:space="preserve"> Cobrança Leader</v>
      </c>
      <c r="G587" s="3" t="s">
        <v>11</v>
      </c>
      <c r="H587" s="3" t="s">
        <v>1216</v>
      </c>
      <c r="I587" s="3" t="s">
        <v>13</v>
      </c>
      <c r="J587" s="5">
        <v>42391.697916666664</v>
      </c>
      <c r="K587" s="3"/>
      <c r="L587" s="11">
        <f t="shared" ca="1" si="36"/>
        <v>41.302083333335759</v>
      </c>
      <c r="M587" s="1">
        <f t="shared" si="37"/>
        <v>1</v>
      </c>
      <c r="N587" s="1">
        <f t="shared" si="38"/>
        <v>2016</v>
      </c>
      <c r="O587" s="1" t="str">
        <f t="shared" ca="1" si="39"/>
        <v>entre 30 e 60 dias</v>
      </c>
    </row>
    <row r="588" spans="1:15" ht="15" x14ac:dyDescent="0.2">
      <c r="A588" s="3" t="s">
        <v>8</v>
      </c>
      <c r="B588" s="4" t="s">
        <v>1218</v>
      </c>
      <c r="C588" s="3" t="s">
        <v>1219</v>
      </c>
      <c r="D588" s="3"/>
      <c r="E588" s="3" t="str">
        <f>VLOOKUP(B588,[1]general_report!$B$1:$I$713,8,0)</f>
        <v xml:space="preserve">Oi </v>
      </c>
      <c r="F588" s="3" t="str">
        <f>VLOOKUP(B588,[1]general_report!$B$1:$J$713,9,0)</f>
        <v xml:space="preserve"> Retenção</v>
      </c>
      <c r="G588" s="3" t="s">
        <v>603</v>
      </c>
      <c r="H588" s="3" t="s">
        <v>1184</v>
      </c>
      <c r="I588" s="3" t="s">
        <v>13</v>
      </c>
      <c r="J588" s="5">
        <v>42389.438194444447</v>
      </c>
      <c r="K588" s="3"/>
      <c r="L588" s="11">
        <f t="shared" ca="1" si="36"/>
        <v>43.561805555553292</v>
      </c>
      <c r="M588" s="1">
        <f t="shared" si="37"/>
        <v>1</v>
      </c>
      <c r="N588" s="1">
        <f t="shared" si="38"/>
        <v>2016</v>
      </c>
      <c r="O588" s="1" t="str">
        <f t="shared" ca="1" si="39"/>
        <v>entre 30 e 60 dias</v>
      </c>
    </row>
    <row r="589" spans="1:15" ht="15" x14ac:dyDescent="0.2">
      <c r="A589" s="3" t="s">
        <v>8</v>
      </c>
      <c r="B589" s="4" t="s">
        <v>1220</v>
      </c>
      <c r="C589" s="3" t="s">
        <v>1221</v>
      </c>
      <c r="D589" s="3"/>
      <c r="E589" s="3" t="str">
        <f>VLOOKUP(B589,[1]general_report!$B$1:$I$713,8,0)</f>
        <v xml:space="preserve">Oi </v>
      </c>
      <c r="F589" s="3" t="str">
        <f>VLOOKUP(B589,[1]general_report!$B$1:$J$713,9,0)</f>
        <v xml:space="preserve"> Suporte Técnico</v>
      </c>
      <c r="G589" s="3" t="s">
        <v>11</v>
      </c>
      <c r="H589" s="3" t="s">
        <v>783</v>
      </c>
      <c r="I589" s="3" t="s">
        <v>13</v>
      </c>
      <c r="J589" s="5">
        <v>42384.454861111109</v>
      </c>
      <c r="K589" s="3"/>
      <c r="L589" s="11">
        <f t="shared" ca="1" si="36"/>
        <v>48.545138888890506</v>
      </c>
      <c r="M589" s="1">
        <f t="shared" si="37"/>
        <v>1</v>
      </c>
      <c r="N589" s="1">
        <f t="shared" si="38"/>
        <v>2016</v>
      </c>
      <c r="O589" s="1" t="str">
        <f t="shared" ca="1" si="39"/>
        <v>entre 30 e 60 dias</v>
      </c>
    </row>
    <row r="590" spans="1:15" ht="25.5" x14ac:dyDescent="0.2">
      <c r="A590" s="3" t="s">
        <v>8</v>
      </c>
      <c r="B590" s="4" t="s">
        <v>1222</v>
      </c>
      <c r="C590" s="3" t="s">
        <v>1223</v>
      </c>
      <c r="D590" s="3"/>
      <c r="E590" s="3" t="str">
        <f>VLOOKUP(B590,[1]general_report!$B$1:$I$713,8,0)</f>
        <v xml:space="preserve">Oi </v>
      </c>
      <c r="F590" s="3" t="str">
        <f>VLOOKUP(B590,[1]general_report!$B$1:$J$713,9,0)</f>
        <v xml:space="preserve"> Retenção</v>
      </c>
      <c r="G590" s="3" t="s">
        <v>11</v>
      </c>
      <c r="H590" s="3" t="s">
        <v>1184</v>
      </c>
      <c r="I590" s="3" t="s">
        <v>13</v>
      </c>
      <c r="J590" s="5">
        <v>42383.863194444442</v>
      </c>
      <c r="K590" s="3"/>
      <c r="L590" s="11">
        <f t="shared" ca="1" si="36"/>
        <v>49.136805555557657</v>
      </c>
      <c r="M590" s="1">
        <f t="shared" si="37"/>
        <v>1</v>
      </c>
      <c r="N590" s="1">
        <f t="shared" si="38"/>
        <v>2016</v>
      </c>
      <c r="O590" s="1" t="str">
        <f t="shared" ca="1" si="39"/>
        <v>entre 30 e 60 dias</v>
      </c>
    </row>
    <row r="591" spans="1:15" ht="15" x14ac:dyDescent="0.2">
      <c r="A591" s="3" t="s">
        <v>8</v>
      </c>
      <c r="B591" s="4" t="s">
        <v>1224</v>
      </c>
      <c r="C591" s="3" t="s">
        <v>1225</v>
      </c>
      <c r="D591" s="3"/>
      <c r="E591" s="3" t="str">
        <f>VLOOKUP(B591,[1]general_report!$B$1:$I$713,8,0)</f>
        <v xml:space="preserve">Oi </v>
      </c>
      <c r="F591" s="3" t="str">
        <f>VLOOKUP(B591,[1]general_report!$B$1:$J$713,9,0)</f>
        <v xml:space="preserve"> Retenção</v>
      </c>
      <c r="G591" s="3" t="s">
        <v>1184</v>
      </c>
      <c r="H591" s="3" t="s">
        <v>1184</v>
      </c>
      <c r="I591" s="3" t="s">
        <v>7</v>
      </c>
      <c r="J591" s="5">
        <v>42383.775694444441</v>
      </c>
      <c r="K591" s="5">
        <v>42418.407638888886</v>
      </c>
      <c r="L591" s="11">
        <f t="shared" ca="1" si="36"/>
        <v>34.631944444445253</v>
      </c>
      <c r="M591" s="1">
        <f t="shared" si="37"/>
        <v>1</v>
      </c>
      <c r="N591" s="1">
        <f t="shared" si="38"/>
        <v>2016</v>
      </c>
      <c r="O591" s="1" t="str">
        <f t="shared" ca="1" si="39"/>
        <v>entre 30 e 60 dias</v>
      </c>
    </row>
    <row r="592" spans="1:15" ht="15" x14ac:dyDescent="0.2">
      <c r="A592" s="3" t="s">
        <v>8</v>
      </c>
      <c r="B592" s="4" t="s">
        <v>1226</v>
      </c>
      <c r="C592" s="3" t="s">
        <v>1227</v>
      </c>
      <c r="D592" s="3"/>
      <c r="E592" s="3" t="str">
        <f>VLOOKUP(B592,[1]general_report!$B$1:$I$713,8,0)</f>
        <v xml:space="preserve">Oi </v>
      </c>
      <c r="F592" s="3" t="str">
        <f>VLOOKUP(B592,[1]general_report!$B$1:$J$713,9,0)</f>
        <v xml:space="preserve"> Retenção</v>
      </c>
      <c r="G592" s="3" t="s">
        <v>18</v>
      </c>
      <c r="H592" s="3" t="s">
        <v>1228</v>
      </c>
      <c r="I592" s="3" t="s">
        <v>48</v>
      </c>
      <c r="J592" s="5">
        <v>42383.739583333336</v>
      </c>
      <c r="K592" s="3"/>
      <c r="L592" s="11">
        <f t="shared" ca="1" si="36"/>
        <v>49.260416666664241</v>
      </c>
      <c r="M592" s="1">
        <f t="shared" si="37"/>
        <v>1</v>
      </c>
      <c r="N592" s="1">
        <f t="shared" si="38"/>
        <v>2016</v>
      </c>
      <c r="O592" s="1" t="str">
        <f t="shared" ca="1" si="39"/>
        <v>entre 30 e 60 dias</v>
      </c>
    </row>
    <row r="593" spans="1:15" ht="25.5" x14ac:dyDescent="0.2">
      <c r="A593" s="3" t="s">
        <v>8</v>
      </c>
      <c r="B593" s="4" t="s">
        <v>1229</v>
      </c>
      <c r="C593" s="3" t="s">
        <v>1230</v>
      </c>
      <c r="D593" s="3"/>
      <c r="E593" s="3" t="str">
        <f>VLOOKUP(B593,[1]general_report!$B$1:$I$713,8,0)</f>
        <v xml:space="preserve">Oi </v>
      </c>
      <c r="F593" s="3" t="str">
        <f>VLOOKUP(B593,[1]general_report!$B$1:$J$713,9,0)</f>
        <v xml:space="preserve"> Retenção</v>
      </c>
      <c r="G593" s="3" t="s">
        <v>603</v>
      </c>
      <c r="H593" s="3" t="s">
        <v>1181</v>
      </c>
      <c r="I593" s="3" t="s">
        <v>13</v>
      </c>
      <c r="J593" s="5">
        <v>42383.726388888892</v>
      </c>
      <c r="K593" s="3"/>
      <c r="L593" s="11">
        <f t="shared" ca="1" si="36"/>
        <v>49.273611111108039</v>
      </c>
      <c r="M593" s="1">
        <f t="shared" si="37"/>
        <v>1</v>
      </c>
      <c r="N593" s="1">
        <f t="shared" si="38"/>
        <v>2016</v>
      </c>
      <c r="O593" s="1" t="str">
        <f t="shared" ca="1" si="39"/>
        <v>entre 30 e 60 dias</v>
      </c>
    </row>
    <row r="594" spans="1:15" ht="25.5" x14ac:dyDescent="0.2">
      <c r="A594" s="3" t="s">
        <v>8</v>
      </c>
      <c r="B594" s="4" t="s">
        <v>1231</v>
      </c>
      <c r="C594" s="3" t="s">
        <v>1232</v>
      </c>
      <c r="D594" s="3"/>
      <c r="E594" s="3" t="str">
        <f>VLOOKUP(B594,[1]general_report!$B$1:$I$713,8,0)</f>
        <v xml:space="preserve">Oi </v>
      </c>
      <c r="F594" s="3" t="str">
        <f>VLOOKUP(B594,[1]general_report!$B$1:$J$713,9,0)</f>
        <v xml:space="preserve"> Retenção</v>
      </c>
      <c r="G594" s="3" t="s">
        <v>18</v>
      </c>
      <c r="H594" s="3" t="s">
        <v>1178</v>
      </c>
      <c r="I594" s="3" t="s">
        <v>13</v>
      </c>
      <c r="J594" s="5">
        <v>42382.638888888891</v>
      </c>
      <c r="K594" s="3"/>
      <c r="L594" s="11">
        <f t="shared" ca="1" si="36"/>
        <v>50.361111111109494</v>
      </c>
      <c r="M594" s="1">
        <f t="shared" si="37"/>
        <v>1</v>
      </c>
      <c r="N594" s="1">
        <f t="shared" si="38"/>
        <v>2016</v>
      </c>
      <c r="O594" s="1" t="str">
        <f t="shared" ca="1" si="39"/>
        <v>entre 30 e 60 dias</v>
      </c>
    </row>
    <row r="595" spans="1:15" ht="25.5" x14ac:dyDescent="0.2">
      <c r="A595" s="3" t="s">
        <v>8</v>
      </c>
      <c r="B595" s="4" t="s">
        <v>1233</v>
      </c>
      <c r="C595" s="3" t="s">
        <v>1234</v>
      </c>
      <c r="D595" s="3"/>
      <c r="E595" s="3" t="str">
        <f>VLOOKUP(B595,[1]general_report!$B$1:$I$713,8,0)</f>
        <v xml:space="preserve">Oi </v>
      </c>
      <c r="F595" s="3" t="str">
        <f>VLOOKUP(B595,[1]general_report!$B$1:$J$713,9,0)</f>
        <v xml:space="preserve"> Retenção</v>
      </c>
      <c r="G595" s="3" t="s">
        <v>1184</v>
      </c>
      <c r="H595" s="3" t="s">
        <v>1184</v>
      </c>
      <c r="I595" s="3" t="s">
        <v>7</v>
      </c>
      <c r="J595" s="5">
        <v>42381.512499999997</v>
      </c>
      <c r="K595" s="5">
        <v>42418.40347222222</v>
      </c>
      <c r="L595" s="11">
        <f t="shared" ca="1" si="36"/>
        <v>36.890972222223354</v>
      </c>
      <c r="M595" s="1">
        <f t="shared" si="37"/>
        <v>1</v>
      </c>
      <c r="N595" s="1">
        <f t="shared" si="38"/>
        <v>2016</v>
      </c>
      <c r="O595" s="1" t="str">
        <f t="shared" ca="1" si="39"/>
        <v>entre 30 e 60 dias</v>
      </c>
    </row>
    <row r="596" spans="1:15" ht="25.5" x14ac:dyDescent="0.2">
      <c r="A596" s="3" t="s">
        <v>8</v>
      </c>
      <c r="B596" s="4" t="s">
        <v>1235</v>
      </c>
      <c r="C596" s="3" t="s">
        <v>1236</v>
      </c>
      <c r="D596" s="3"/>
      <c r="E596" s="3" t="str">
        <f>VLOOKUP(B596,[1]general_report!$B$1:$I$713,8,0)</f>
        <v xml:space="preserve">Oi </v>
      </c>
      <c r="F596" s="3" t="str">
        <f>VLOOKUP(B596,[1]general_report!$B$1:$J$713,9,0)</f>
        <v xml:space="preserve"> Retenção</v>
      </c>
      <c r="G596" s="3" t="s">
        <v>1184</v>
      </c>
      <c r="H596" s="3" t="s">
        <v>1184</v>
      </c>
      <c r="I596" s="3" t="s">
        <v>7</v>
      </c>
      <c r="J596" s="5">
        <v>42380.740277777775</v>
      </c>
      <c r="K596" s="5">
        <v>42418.40625</v>
      </c>
      <c r="L596" s="11">
        <f t="shared" ca="1" si="36"/>
        <v>37.665972222224809</v>
      </c>
      <c r="M596" s="1">
        <f t="shared" si="37"/>
        <v>1</v>
      </c>
      <c r="N596" s="1">
        <f t="shared" si="38"/>
        <v>2016</v>
      </c>
      <c r="O596" s="1" t="str">
        <f t="shared" ca="1" si="39"/>
        <v>entre 30 e 60 dias</v>
      </c>
    </row>
    <row r="597" spans="1:15" ht="25.5" x14ac:dyDescent="0.2">
      <c r="A597" s="3" t="s">
        <v>8</v>
      </c>
      <c r="B597" s="4" t="s">
        <v>1237</v>
      </c>
      <c r="C597" s="3" t="s">
        <v>1238</v>
      </c>
      <c r="D597" s="3"/>
      <c r="E597" s="3" t="str">
        <f>VLOOKUP(B597,[1]general_report!$B$1:$I$713,8,0)</f>
        <v xml:space="preserve">Oi </v>
      </c>
      <c r="F597" s="3" t="str">
        <f>VLOOKUP(B597,[1]general_report!$B$1:$J$713,9,0)</f>
        <v xml:space="preserve"> Retenção</v>
      </c>
      <c r="G597" s="3" t="s">
        <v>1184</v>
      </c>
      <c r="H597" s="3" t="s">
        <v>1184</v>
      </c>
      <c r="I597" s="3" t="s">
        <v>7</v>
      </c>
      <c r="J597" s="5">
        <v>42380.729861111111</v>
      </c>
      <c r="K597" s="5">
        <v>42418.404861111114</v>
      </c>
      <c r="L597" s="11">
        <f t="shared" ca="1" si="36"/>
        <v>37.67500000000291</v>
      </c>
      <c r="M597" s="1">
        <f t="shared" si="37"/>
        <v>1</v>
      </c>
      <c r="N597" s="1">
        <f t="shared" si="38"/>
        <v>2016</v>
      </c>
      <c r="O597" s="1" t="str">
        <f t="shared" ca="1" si="39"/>
        <v>entre 30 e 60 dias</v>
      </c>
    </row>
    <row r="598" spans="1:15" ht="25.5" x14ac:dyDescent="0.2">
      <c r="A598" s="3" t="s">
        <v>8</v>
      </c>
      <c r="B598" s="4" t="s">
        <v>1239</v>
      </c>
      <c r="C598" s="3" t="s">
        <v>1240</v>
      </c>
      <c r="D598" s="3"/>
      <c r="E598" s="3" t="str">
        <f>VLOOKUP(B598,[1]general_report!$B$1:$I$713,8,0)</f>
        <v xml:space="preserve">Oi </v>
      </c>
      <c r="F598" s="3" t="str">
        <f>VLOOKUP(B598,[1]general_report!$B$1:$J$713,9,0)</f>
        <v xml:space="preserve"> Retenção</v>
      </c>
      <c r="G598" s="3" t="s">
        <v>1184</v>
      </c>
      <c r="H598" s="3" t="s">
        <v>1184</v>
      </c>
      <c r="I598" s="3" t="s">
        <v>7</v>
      </c>
      <c r="J598" s="5">
        <v>42380.719444444447</v>
      </c>
      <c r="K598" s="5">
        <v>42418.402083333334</v>
      </c>
      <c r="L598" s="11">
        <f t="shared" ca="1" si="36"/>
        <v>37.682638888887595</v>
      </c>
      <c r="M598" s="1">
        <f t="shared" si="37"/>
        <v>1</v>
      </c>
      <c r="N598" s="1">
        <f t="shared" si="38"/>
        <v>2016</v>
      </c>
      <c r="O598" s="1" t="str">
        <f t="shared" ca="1" si="39"/>
        <v>entre 30 e 60 dias</v>
      </c>
    </row>
    <row r="599" spans="1:15" ht="25.5" x14ac:dyDescent="0.2">
      <c r="A599" s="3" t="s">
        <v>8</v>
      </c>
      <c r="B599" s="4" t="s">
        <v>1241</v>
      </c>
      <c r="C599" s="3" t="s">
        <v>1242</v>
      </c>
      <c r="D599" s="3"/>
      <c r="E599" s="3" t="str">
        <f>VLOOKUP(B599,[1]general_report!$B$1:$I$713,8,0)</f>
        <v xml:space="preserve">Oi </v>
      </c>
      <c r="F599" s="3" t="str">
        <f>VLOOKUP(B599,[1]general_report!$B$1:$J$713,9,0)</f>
        <v xml:space="preserve"> Retenção</v>
      </c>
      <c r="G599" s="3" t="s">
        <v>1184</v>
      </c>
      <c r="H599" s="3" t="s">
        <v>1184</v>
      </c>
      <c r="I599" s="3" t="s">
        <v>7</v>
      </c>
      <c r="J599" s="5">
        <v>42380.71875</v>
      </c>
      <c r="K599" s="5">
        <v>42418.395138888889</v>
      </c>
      <c r="L599" s="11">
        <f t="shared" ca="1" si="36"/>
        <v>37.676388888889051</v>
      </c>
      <c r="M599" s="1">
        <f t="shared" si="37"/>
        <v>1</v>
      </c>
      <c r="N599" s="1">
        <f t="shared" si="38"/>
        <v>2016</v>
      </c>
      <c r="O599" s="1" t="str">
        <f t="shared" ca="1" si="39"/>
        <v>entre 30 e 60 dias</v>
      </c>
    </row>
    <row r="600" spans="1:15" ht="25.5" x14ac:dyDescent="0.2">
      <c r="A600" s="3" t="s">
        <v>8</v>
      </c>
      <c r="B600" s="4" t="s">
        <v>1243</v>
      </c>
      <c r="C600" s="3" t="s">
        <v>1244</v>
      </c>
      <c r="D600" s="3"/>
      <c r="E600" s="3" t="str">
        <f>VLOOKUP(B600,[1]general_report!$B$1:$I$713,8,0)</f>
        <v xml:space="preserve">Oi </v>
      </c>
      <c r="F600" s="3" t="str">
        <f>VLOOKUP(B600,[1]general_report!$B$1:$J$713,9,0)</f>
        <v xml:space="preserve"> Retenção</v>
      </c>
      <c r="G600" s="3" t="s">
        <v>11</v>
      </c>
      <c r="H600" s="3" t="s">
        <v>1181</v>
      </c>
      <c r="I600" s="3" t="s">
        <v>13</v>
      </c>
      <c r="J600" s="5">
        <v>42374.701388888891</v>
      </c>
      <c r="K600" s="3"/>
      <c r="L600" s="11">
        <f t="shared" ca="1" si="36"/>
        <v>58.298611111109494</v>
      </c>
      <c r="M600" s="1">
        <f t="shared" si="37"/>
        <v>1</v>
      </c>
      <c r="N600" s="1">
        <f t="shared" si="38"/>
        <v>2016</v>
      </c>
      <c r="O600" s="1" t="str">
        <f t="shared" ca="1" si="39"/>
        <v>entre 30 e 60 dias</v>
      </c>
    </row>
    <row r="601" spans="1:15" ht="15" x14ac:dyDescent="0.2">
      <c r="A601" s="3" t="s">
        <v>8</v>
      </c>
      <c r="B601" s="4" t="s">
        <v>1245</v>
      </c>
      <c r="C601" s="3" t="s">
        <v>1246</v>
      </c>
      <c r="D601" s="3"/>
      <c r="E601" s="3" t="str">
        <f>VLOOKUP(B601,[1]general_report!$B$1:$I$713,8,0)</f>
        <v xml:space="preserve">Oi </v>
      </c>
      <c r="F601" s="3" t="str">
        <f>VLOOKUP(B601,[1]general_report!$B$1:$J$713,9,0)</f>
        <v xml:space="preserve"> Retenção</v>
      </c>
      <c r="G601" s="3" t="s">
        <v>603</v>
      </c>
      <c r="H601" s="3" t="s">
        <v>1178</v>
      </c>
      <c r="I601" s="3" t="s">
        <v>13</v>
      </c>
      <c r="J601" s="5">
        <v>42368.716666666667</v>
      </c>
      <c r="K601" s="3"/>
      <c r="L601" s="11">
        <f t="shared" ca="1" si="36"/>
        <v>64.283333333332848</v>
      </c>
      <c r="M601" s="1">
        <f t="shared" si="37"/>
        <v>12</v>
      </c>
      <c r="N601" s="1">
        <f t="shared" si="38"/>
        <v>2015</v>
      </c>
      <c r="O601" s="1" t="str">
        <f t="shared" ca="1" si="39"/>
        <v>entre 60 e 90 dias</v>
      </c>
    </row>
    <row r="602" spans="1:15" ht="25.5" x14ac:dyDescent="0.2">
      <c r="A602" s="3" t="s">
        <v>8</v>
      </c>
      <c r="B602" s="4" t="s">
        <v>1247</v>
      </c>
      <c r="C602" s="3" t="s">
        <v>1248</v>
      </c>
      <c r="D602" s="3"/>
      <c r="E602" s="3" t="str">
        <f>VLOOKUP(B602,[1]general_report!$B$1:$I$713,8,0)</f>
        <v xml:space="preserve">Oi </v>
      </c>
      <c r="F602" s="3" t="str">
        <f>VLOOKUP(B602,[1]general_report!$B$1:$J$713,9,0)</f>
        <v xml:space="preserve"> Retenção</v>
      </c>
      <c r="G602" s="3" t="s">
        <v>603</v>
      </c>
      <c r="H602" s="3" t="s">
        <v>1181</v>
      </c>
      <c r="I602" s="3" t="s">
        <v>13</v>
      </c>
      <c r="J602" s="5">
        <v>42367.765972222223</v>
      </c>
      <c r="K602" s="3"/>
      <c r="L602" s="11">
        <f t="shared" ca="1" si="36"/>
        <v>65.234027777776646</v>
      </c>
      <c r="M602" s="1">
        <f t="shared" si="37"/>
        <v>12</v>
      </c>
      <c r="N602" s="1">
        <f t="shared" si="38"/>
        <v>2015</v>
      </c>
      <c r="O602" s="1" t="str">
        <f t="shared" ca="1" si="39"/>
        <v>entre 60 e 90 dias</v>
      </c>
    </row>
    <row r="603" spans="1:15" ht="25.5" x14ac:dyDescent="0.2">
      <c r="A603" s="3" t="s">
        <v>8</v>
      </c>
      <c r="B603" s="4" t="s">
        <v>1249</v>
      </c>
      <c r="C603" s="3" t="s">
        <v>1250</v>
      </c>
      <c r="D603" s="3"/>
      <c r="E603" s="3" t="str">
        <f>VLOOKUP(B603,[1]general_report!$B$1:$I$713,8,0)</f>
        <v xml:space="preserve">Oi </v>
      </c>
      <c r="F603" s="3" t="str">
        <f>VLOOKUP(B603,[1]general_report!$B$1:$J$713,9,0)</f>
        <v xml:space="preserve"> Retenção</v>
      </c>
      <c r="G603" s="3" t="s">
        <v>1184</v>
      </c>
      <c r="H603" s="3" t="s">
        <v>1184</v>
      </c>
      <c r="I603" s="3" t="s">
        <v>27</v>
      </c>
      <c r="J603" s="5">
        <v>42356.648611111108</v>
      </c>
      <c r="K603" s="5">
        <v>42376.491666666669</v>
      </c>
      <c r="L603" s="11">
        <f t="shared" ca="1" si="36"/>
        <v>19.843055555560568</v>
      </c>
      <c r="M603" s="1">
        <f t="shared" si="37"/>
        <v>12</v>
      </c>
      <c r="N603" s="1">
        <f t="shared" si="38"/>
        <v>2015</v>
      </c>
      <c r="O603" s="1" t="str">
        <f t="shared" ca="1" si="39"/>
        <v>menos 1 mês</v>
      </c>
    </row>
    <row r="604" spans="1:15" ht="25.5" x14ac:dyDescent="0.2">
      <c r="A604" s="3" t="s">
        <v>8</v>
      </c>
      <c r="B604" s="4" t="s">
        <v>1251</v>
      </c>
      <c r="C604" s="3" t="s">
        <v>1252</v>
      </c>
      <c r="D604" s="3"/>
      <c r="E604" s="3" t="str">
        <f>VLOOKUP(B604,[1]general_report!$B$1:$I$713,8,0)</f>
        <v xml:space="preserve">Oi </v>
      </c>
      <c r="F604" s="3" t="str">
        <f>VLOOKUP(B604,[1]general_report!$B$1:$J$713,9,0)</f>
        <v xml:space="preserve"> Retenção</v>
      </c>
      <c r="G604" s="3" t="s">
        <v>1184</v>
      </c>
      <c r="H604" s="3" t="s">
        <v>1184</v>
      </c>
      <c r="I604" s="3" t="s">
        <v>27</v>
      </c>
      <c r="J604" s="5">
        <v>42356.647916666669</v>
      </c>
      <c r="K604" s="5">
        <v>42376.476388888892</v>
      </c>
      <c r="L604" s="11">
        <f t="shared" ca="1" si="36"/>
        <v>19.828472222223354</v>
      </c>
      <c r="M604" s="1">
        <f t="shared" si="37"/>
        <v>12</v>
      </c>
      <c r="N604" s="1">
        <f t="shared" si="38"/>
        <v>2015</v>
      </c>
      <c r="O604" s="1" t="str">
        <f t="shared" ca="1" si="39"/>
        <v>menos 1 mês</v>
      </c>
    </row>
    <row r="605" spans="1:15" ht="25.5" x14ac:dyDescent="0.2">
      <c r="A605" s="3" t="s">
        <v>8</v>
      </c>
      <c r="B605" s="4" t="s">
        <v>1253</v>
      </c>
      <c r="C605" s="3" t="s">
        <v>1254</v>
      </c>
      <c r="D605" s="3"/>
      <c r="E605" s="3" t="str">
        <f>VLOOKUP(B605,[1]general_report!$B$1:$I$713,8,0)</f>
        <v xml:space="preserve">Oi </v>
      </c>
      <c r="F605" s="3" t="str">
        <f>VLOOKUP(B605,[1]general_report!$B$1:$J$713,9,0)</f>
        <v xml:space="preserve"> Retenção</v>
      </c>
      <c r="G605" s="3" t="s">
        <v>1184</v>
      </c>
      <c r="H605" s="3" t="s">
        <v>1184</v>
      </c>
      <c r="I605" s="3" t="s">
        <v>27</v>
      </c>
      <c r="J605" s="5">
        <v>42356.647222222222</v>
      </c>
      <c r="K605" s="5">
        <v>42376.473611111112</v>
      </c>
      <c r="L605" s="11">
        <f t="shared" ca="1" si="36"/>
        <v>19.826388888890506</v>
      </c>
      <c r="M605" s="1">
        <f t="shared" si="37"/>
        <v>12</v>
      </c>
      <c r="N605" s="1">
        <f t="shared" si="38"/>
        <v>2015</v>
      </c>
      <c r="O605" s="1" t="str">
        <f t="shared" ca="1" si="39"/>
        <v>menos 1 mês</v>
      </c>
    </row>
    <row r="606" spans="1:15" ht="25.5" x14ac:dyDescent="0.2">
      <c r="A606" s="3" t="s">
        <v>8</v>
      </c>
      <c r="B606" s="4" t="s">
        <v>1255</v>
      </c>
      <c r="C606" s="3" t="s">
        <v>1256</v>
      </c>
      <c r="D606" s="3"/>
      <c r="E606" s="3" t="str">
        <f>VLOOKUP(B606,[1]general_report!$B$1:$I$713,8,0)</f>
        <v xml:space="preserve">Oi </v>
      </c>
      <c r="F606" s="3" t="str">
        <f>VLOOKUP(B606,[1]general_report!$B$1:$J$713,9,0)</f>
        <v xml:space="preserve"> Retenção</v>
      </c>
      <c r="G606" s="3" t="s">
        <v>1184</v>
      </c>
      <c r="H606" s="3" t="s">
        <v>1184</v>
      </c>
      <c r="I606" s="3" t="s">
        <v>27</v>
      </c>
      <c r="J606" s="5">
        <v>42356.645138888889</v>
      </c>
      <c r="K606" s="5">
        <v>42376.470138888886</v>
      </c>
      <c r="L606" s="11">
        <f t="shared" ca="1" si="36"/>
        <v>19.82499999999709</v>
      </c>
      <c r="M606" s="1">
        <f t="shared" si="37"/>
        <v>12</v>
      </c>
      <c r="N606" s="1">
        <f t="shared" si="38"/>
        <v>2015</v>
      </c>
      <c r="O606" s="1" t="str">
        <f t="shared" ca="1" si="39"/>
        <v>menos 1 mês</v>
      </c>
    </row>
    <row r="607" spans="1:15" ht="25.5" x14ac:dyDescent="0.2">
      <c r="A607" s="3" t="s">
        <v>8</v>
      </c>
      <c r="B607" s="4" t="s">
        <v>1257</v>
      </c>
      <c r="C607" s="3" t="s">
        <v>1258</v>
      </c>
      <c r="D607" s="3"/>
      <c r="E607" s="3" t="str">
        <f>VLOOKUP(B607,[1]general_report!$B$1:$I$713,8,0)</f>
        <v xml:space="preserve">Oi </v>
      </c>
      <c r="F607" s="3" t="str">
        <f>VLOOKUP(B607,[1]general_report!$B$1:$J$713,9,0)</f>
        <v xml:space="preserve"> Retenção</v>
      </c>
      <c r="G607" s="3" t="s">
        <v>1184</v>
      </c>
      <c r="H607" s="3" t="s">
        <v>1184</v>
      </c>
      <c r="I607" s="3" t="s">
        <v>27</v>
      </c>
      <c r="J607" s="5">
        <v>42356.644444444442</v>
      </c>
      <c r="K607" s="5">
        <v>42376.467361111114</v>
      </c>
      <c r="L607" s="11">
        <f t="shared" ca="1" si="36"/>
        <v>19.822916666671517</v>
      </c>
      <c r="M607" s="1">
        <f t="shared" si="37"/>
        <v>12</v>
      </c>
      <c r="N607" s="1">
        <f t="shared" si="38"/>
        <v>2015</v>
      </c>
      <c r="O607" s="1" t="str">
        <f t="shared" ca="1" si="39"/>
        <v>menos 1 mês</v>
      </c>
    </row>
    <row r="608" spans="1:15" ht="25.5" x14ac:dyDescent="0.2">
      <c r="A608" s="3" t="s">
        <v>8</v>
      </c>
      <c r="B608" s="4" t="s">
        <v>1259</v>
      </c>
      <c r="C608" s="3" t="s">
        <v>1260</v>
      </c>
      <c r="D608" s="3"/>
      <c r="E608" s="3" t="str">
        <f>VLOOKUP(B608,[1]general_report!$B$1:$I$713,8,0)</f>
        <v xml:space="preserve">Oi </v>
      </c>
      <c r="F608" s="3" t="str">
        <f>VLOOKUP(B608,[1]general_report!$B$1:$J$713,9,0)</f>
        <v xml:space="preserve"> Retenção</v>
      </c>
      <c r="G608" s="3" t="s">
        <v>1184</v>
      </c>
      <c r="H608" s="3" t="s">
        <v>1184</v>
      </c>
      <c r="I608" s="3" t="s">
        <v>27</v>
      </c>
      <c r="J608" s="5">
        <v>42356.643055555556</v>
      </c>
      <c r="K608" s="5">
        <v>42376.453472222223</v>
      </c>
      <c r="L608" s="11">
        <f t="shared" ca="1" si="36"/>
        <v>19.810416666667152</v>
      </c>
      <c r="M608" s="1">
        <f t="shared" si="37"/>
        <v>12</v>
      </c>
      <c r="N608" s="1">
        <f t="shared" si="38"/>
        <v>2015</v>
      </c>
      <c r="O608" s="1" t="str">
        <f t="shared" ca="1" si="39"/>
        <v>menos 1 mês</v>
      </c>
    </row>
    <row r="609" spans="1:15" ht="25.5" x14ac:dyDescent="0.2">
      <c r="A609" s="3" t="s">
        <v>8</v>
      </c>
      <c r="B609" s="4" t="s">
        <v>1261</v>
      </c>
      <c r="C609" s="3" t="s">
        <v>1262</v>
      </c>
      <c r="D609" s="3"/>
      <c r="E609" s="3" t="str">
        <f>VLOOKUP(B609,[1]general_report!$B$1:$I$713,8,0)</f>
        <v xml:space="preserve">Contax </v>
      </c>
      <c r="F609" s="3" t="str">
        <f>VLOOKUP(B609,[1]general_report!$B$1:$J$713,9,0)</f>
        <v xml:space="preserve"> Dir. Oi</v>
      </c>
      <c r="G609" s="3" t="s">
        <v>1184</v>
      </c>
      <c r="H609" s="3" t="s">
        <v>1184</v>
      </c>
      <c r="I609" s="3" t="s">
        <v>27</v>
      </c>
      <c r="J609" s="5">
        <v>42356.642361111109</v>
      </c>
      <c r="K609" s="5">
        <v>42376.451388888891</v>
      </c>
      <c r="L609" s="11">
        <f t="shared" ca="1" si="36"/>
        <v>19.809027777781012</v>
      </c>
      <c r="M609" s="1">
        <f t="shared" si="37"/>
        <v>12</v>
      </c>
      <c r="N609" s="1">
        <f t="shared" si="38"/>
        <v>2015</v>
      </c>
      <c r="O609" s="1" t="str">
        <f t="shared" ca="1" si="39"/>
        <v>menos 1 mês</v>
      </c>
    </row>
    <row r="610" spans="1:15" ht="25.5" x14ac:dyDescent="0.2">
      <c r="A610" s="3" t="s">
        <v>8</v>
      </c>
      <c r="B610" s="4" t="s">
        <v>1263</v>
      </c>
      <c r="C610" s="3" t="s">
        <v>1264</v>
      </c>
      <c r="D610" s="3"/>
      <c r="E610" s="3" t="str">
        <f>VLOOKUP(B610,[1]general_report!$B$1:$I$713,8,0)</f>
        <v xml:space="preserve">Oi </v>
      </c>
      <c r="F610" s="3" t="str">
        <f>VLOOKUP(B610,[1]general_report!$B$1:$J$713,9,0)</f>
        <v xml:space="preserve"> Retenção</v>
      </c>
      <c r="G610" s="3" t="s">
        <v>1184</v>
      </c>
      <c r="H610" s="3" t="s">
        <v>1184</v>
      </c>
      <c r="I610" s="3" t="s">
        <v>27</v>
      </c>
      <c r="J610" s="5">
        <v>42356.64166666667</v>
      </c>
      <c r="K610" s="5">
        <v>42376.448611111111</v>
      </c>
      <c r="L610" s="11">
        <f t="shared" ca="1" si="36"/>
        <v>19.806944444440887</v>
      </c>
      <c r="M610" s="1">
        <f t="shared" si="37"/>
        <v>12</v>
      </c>
      <c r="N610" s="1">
        <f t="shared" si="38"/>
        <v>2015</v>
      </c>
      <c r="O610" s="1" t="str">
        <f t="shared" ca="1" si="39"/>
        <v>menos 1 mês</v>
      </c>
    </row>
    <row r="611" spans="1:15" ht="25.5" x14ac:dyDescent="0.2">
      <c r="A611" s="3" t="s">
        <v>8</v>
      </c>
      <c r="B611" s="4" t="s">
        <v>1265</v>
      </c>
      <c r="C611" s="3" t="s">
        <v>1266</v>
      </c>
      <c r="D611" s="3"/>
      <c r="E611" s="3" t="str">
        <f>VLOOKUP(B611,[1]general_report!$B$1:$I$713,8,0)</f>
        <v xml:space="preserve">Oi </v>
      </c>
      <c r="F611" s="3" t="str">
        <f>VLOOKUP(B611,[1]general_report!$B$1:$J$713,9,0)</f>
        <v xml:space="preserve"> Retenção</v>
      </c>
      <c r="G611" s="3" t="s">
        <v>1184</v>
      </c>
      <c r="H611" s="3" t="s">
        <v>1184</v>
      </c>
      <c r="I611" s="3" t="s">
        <v>27</v>
      </c>
      <c r="J611" s="5">
        <v>42356.640277777777</v>
      </c>
      <c r="K611" s="5">
        <v>42376.447222222225</v>
      </c>
      <c r="L611" s="11">
        <f t="shared" ca="1" si="36"/>
        <v>19.806944444448163</v>
      </c>
      <c r="M611" s="1">
        <f t="shared" si="37"/>
        <v>12</v>
      </c>
      <c r="N611" s="1">
        <f t="shared" si="38"/>
        <v>2015</v>
      </c>
      <c r="O611" s="1" t="str">
        <f t="shared" ca="1" si="39"/>
        <v>menos 1 mês</v>
      </c>
    </row>
    <row r="612" spans="1:15" ht="25.5" x14ac:dyDescent="0.2">
      <c r="A612" s="3" t="s">
        <v>8</v>
      </c>
      <c r="B612" s="4" t="s">
        <v>1267</v>
      </c>
      <c r="C612" s="3" t="s">
        <v>1268</v>
      </c>
      <c r="D612" s="3"/>
      <c r="E612" s="3" t="str">
        <f>VLOOKUP(B612,[1]general_report!$B$1:$I$713,8,0)</f>
        <v xml:space="preserve">Oi </v>
      </c>
      <c r="F612" s="3" t="str">
        <f>VLOOKUP(B612,[1]general_report!$B$1:$J$713,9,0)</f>
        <v xml:space="preserve"> Retenção</v>
      </c>
      <c r="G612" s="3" t="s">
        <v>1181</v>
      </c>
      <c r="H612" s="3" t="s">
        <v>1181</v>
      </c>
      <c r="I612" s="3" t="s">
        <v>27</v>
      </c>
      <c r="J612" s="5">
        <v>42354.790277777778</v>
      </c>
      <c r="K612" s="5">
        <v>42383.621527777781</v>
      </c>
      <c r="L612" s="11">
        <f t="shared" ca="1" si="36"/>
        <v>28.83125000000291</v>
      </c>
      <c r="M612" s="1">
        <f t="shared" si="37"/>
        <v>12</v>
      </c>
      <c r="N612" s="1">
        <f t="shared" si="38"/>
        <v>2015</v>
      </c>
      <c r="O612" s="1" t="str">
        <f t="shared" ca="1" si="39"/>
        <v>menos 1 mês</v>
      </c>
    </row>
    <row r="613" spans="1:15" ht="25.5" x14ac:dyDescent="0.2">
      <c r="A613" s="3" t="s">
        <v>8</v>
      </c>
      <c r="B613" s="4" t="s">
        <v>1269</v>
      </c>
      <c r="C613" s="3" t="s">
        <v>1270</v>
      </c>
      <c r="D613" s="3"/>
      <c r="E613" s="3" t="str">
        <f>VLOOKUP(B613,[1]general_report!$B$1:$I$713,8,0)</f>
        <v xml:space="preserve">Oi </v>
      </c>
      <c r="F613" s="3" t="str">
        <f>VLOOKUP(B613,[1]general_report!$B$1:$J$713,9,0)</f>
        <v xml:space="preserve"> Retenção</v>
      </c>
      <c r="G613" s="3" t="s">
        <v>1271</v>
      </c>
      <c r="H613" s="3" t="s">
        <v>1271</v>
      </c>
      <c r="I613" s="3" t="s">
        <v>27</v>
      </c>
      <c r="J613" s="5">
        <v>42346.801388888889</v>
      </c>
      <c r="K613" s="5">
        <v>42383.615972222222</v>
      </c>
      <c r="L613" s="11">
        <f t="shared" ca="1" si="36"/>
        <v>36.814583333332848</v>
      </c>
      <c r="M613" s="1">
        <f t="shared" si="37"/>
        <v>12</v>
      </c>
      <c r="N613" s="1">
        <f t="shared" si="38"/>
        <v>2015</v>
      </c>
      <c r="O613" s="1" t="str">
        <f t="shared" ca="1" si="39"/>
        <v>entre 30 e 60 dias</v>
      </c>
    </row>
    <row r="614" spans="1:15" ht="15" x14ac:dyDescent="0.2">
      <c r="A614" s="3" t="s">
        <v>8</v>
      </c>
      <c r="B614" s="4" t="s">
        <v>1272</v>
      </c>
      <c r="C614" s="3" t="s">
        <v>1273</v>
      </c>
      <c r="D614" s="3"/>
      <c r="E614" s="3" t="str">
        <f>VLOOKUP(B614,[1]general_report!$B$1:$I$713,8,0)</f>
        <v xml:space="preserve">Oi </v>
      </c>
      <c r="F614" s="3" t="str">
        <f>VLOOKUP(B614,[1]general_report!$B$1:$J$713,9,0)</f>
        <v xml:space="preserve"> Retenção</v>
      </c>
      <c r="G614" s="3" t="s">
        <v>1178</v>
      </c>
      <c r="H614" s="3" t="s">
        <v>1178</v>
      </c>
      <c r="I614" s="3" t="s">
        <v>27</v>
      </c>
      <c r="J614" s="5">
        <v>42328.74722222222</v>
      </c>
      <c r="K614" s="5">
        <v>42352.772222222222</v>
      </c>
      <c r="L614" s="11">
        <f t="shared" ca="1" si="36"/>
        <v>24.025000000001455</v>
      </c>
      <c r="M614" s="1">
        <f t="shared" si="37"/>
        <v>11</v>
      </c>
      <c r="N614" s="1">
        <f t="shared" si="38"/>
        <v>2015</v>
      </c>
      <c r="O614" s="1" t="str">
        <f t="shared" ca="1" si="39"/>
        <v>menos 1 mês</v>
      </c>
    </row>
    <row r="615" spans="1:15" ht="15" x14ac:dyDescent="0.2">
      <c r="A615" s="3" t="s">
        <v>8</v>
      </c>
      <c r="B615" s="4" t="s">
        <v>1274</v>
      </c>
      <c r="C615" s="3" t="s">
        <v>1275</v>
      </c>
      <c r="D615" s="3"/>
      <c r="E615" s="3" t="str">
        <f>VLOOKUP(B615,[1]general_report!$B$1:$I$713,8,0)</f>
        <v xml:space="preserve">Oi </v>
      </c>
      <c r="F615" s="3" t="str">
        <f>VLOOKUP(B615,[1]general_report!$B$1:$J$713,9,0)</f>
        <v xml:space="preserve"> Retenção</v>
      </c>
      <c r="G615" s="3" t="s">
        <v>18</v>
      </c>
      <c r="H615" s="3" t="s">
        <v>1178</v>
      </c>
      <c r="I615" s="3" t="s">
        <v>13</v>
      </c>
      <c r="J615" s="5">
        <v>42328.742361111108</v>
      </c>
      <c r="K615" s="3"/>
      <c r="L615" s="11">
        <f t="shared" ca="1" si="36"/>
        <v>104.25763888889196</v>
      </c>
      <c r="M615" s="1">
        <f t="shared" si="37"/>
        <v>11</v>
      </c>
      <c r="N615" s="1">
        <f t="shared" si="38"/>
        <v>2015</v>
      </c>
      <c r="O615" s="1" t="str">
        <f t="shared" ca="1" si="39"/>
        <v>entre 90 e 150 dias</v>
      </c>
    </row>
    <row r="616" spans="1:15" ht="15" x14ac:dyDescent="0.2">
      <c r="A616" s="3" t="s">
        <v>8</v>
      </c>
      <c r="B616" s="4" t="s">
        <v>1276</v>
      </c>
      <c r="C616" s="3" t="s">
        <v>1277</v>
      </c>
      <c r="D616" s="3"/>
      <c r="E616" s="3" t="str">
        <f>VLOOKUP(B616,[1]general_report!$B$1:$I$713,8,0)</f>
        <v xml:space="preserve">Oi </v>
      </c>
      <c r="F616" s="3" t="str">
        <f>VLOOKUP(B616,[1]general_report!$B$1:$J$713,9,0)</f>
        <v xml:space="preserve"> Retenção</v>
      </c>
      <c r="G616" s="3" t="s">
        <v>1228</v>
      </c>
      <c r="H616" s="3" t="s">
        <v>1228</v>
      </c>
      <c r="I616" s="3" t="s">
        <v>27</v>
      </c>
      <c r="J616" s="5">
        <v>42328.356944444444</v>
      </c>
      <c r="K616" s="5">
        <v>42383.621527777781</v>
      </c>
      <c r="L616" s="11">
        <f t="shared" ca="1" si="36"/>
        <v>55.264583333337214</v>
      </c>
      <c r="M616" s="1">
        <f t="shared" si="37"/>
        <v>11</v>
      </c>
      <c r="N616" s="1">
        <f t="shared" si="38"/>
        <v>2015</v>
      </c>
      <c r="O616" s="1" t="str">
        <f t="shared" ca="1" si="39"/>
        <v>entre 30 e 60 dias</v>
      </c>
    </row>
    <row r="617" spans="1:15" ht="25.5" x14ac:dyDescent="0.2">
      <c r="A617" s="3" t="s">
        <v>8</v>
      </c>
      <c r="B617" s="4" t="s">
        <v>1278</v>
      </c>
      <c r="C617" s="3" t="s">
        <v>1279</v>
      </c>
      <c r="D617" s="3"/>
      <c r="E617" s="3" t="str">
        <f>VLOOKUP(B617,[1]general_report!$B$1:$I$713,8,0)</f>
        <v xml:space="preserve">Oi </v>
      </c>
      <c r="F617" s="3" t="str">
        <f>VLOOKUP(B617,[1]general_report!$B$1:$J$713,9,0)</f>
        <v xml:space="preserve"> Retenção</v>
      </c>
      <c r="G617" s="3" t="s">
        <v>1178</v>
      </c>
      <c r="H617" s="3" t="s">
        <v>1178</v>
      </c>
      <c r="I617" s="3" t="s">
        <v>27</v>
      </c>
      <c r="J617" s="5">
        <v>42324.404861111114</v>
      </c>
      <c r="K617" s="5">
        <v>42381.525000000001</v>
      </c>
      <c r="L617" s="11">
        <f t="shared" ca="1" si="36"/>
        <v>57.120138888887595</v>
      </c>
      <c r="M617" s="1">
        <f t="shared" si="37"/>
        <v>11</v>
      </c>
      <c r="N617" s="1">
        <f t="shared" si="38"/>
        <v>2015</v>
      </c>
      <c r="O617" s="1" t="str">
        <f t="shared" ca="1" si="39"/>
        <v>entre 30 e 60 dias</v>
      </c>
    </row>
    <row r="618" spans="1:15" ht="15" x14ac:dyDescent="0.2">
      <c r="A618" s="3" t="s">
        <v>8</v>
      </c>
      <c r="B618" s="4" t="s">
        <v>1280</v>
      </c>
      <c r="C618" s="3" t="s">
        <v>1281</v>
      </c>
      <c r="D618" s="3"/>
      <c r="E618" s="3" t="str">
        <f>VLOOKUP(B618,[1]general_report!$B$1:$I$713,8,0)</f>
        <v xml:space="preserve">Oi </v>
      </c>
      <c r="F618" s="3" t="str">
        <f>VLOOKUP(B618,[1]general_report!$B$1:$J$713,9,0)</f>
        <v xml:space="preserve"> Retenção</v>
      </c>
      <c r="G618" s="3" t="s">
        <v>1178</v>
      </c>
      <c r="H618" s="3" t="s">
        <v>1178</v>
      </c>
      <c r="I618" s="3" t="s">
        <v>27</v>
      </c>
      <c r="J618" s="5">
        <v>42318.54791666667</v>
      </c>
      <c r="K618" s="5">
        <v>42383.623611111114</v>
      </c>
      <c r="L618" s="11">
        <f t="shared" ca="1" si="36"/>
        <v>65.075694444443798</v>
      </c>
      <c r="M618" s="1">
        <f t="shared" si="37"/>
        <v>11</v>
      </c>
      <c r="N618" s="1">
        <f t="shared" si="38"/>
        <v>2015</v>
      </c>
      <c r="O618" s="1" t="str">
        <f t="shared" ca="1" si="39"/>
        <v>entre 60 e 90 dias</v>
      </c>
    </row>
    <row r="619" spans="1:15" ht="25.5" x14ac:dyDescent="0.2">
      <c r="A619" s="3" t="s">
        <v>8</v>
      </c>
      <c r="B619" s="4" t="s">
        <v>1282</v>
      </c>
      <c r="C619" s="3" t="s">
        <v>1283</v>
      </c>
      <c r="D619" s="3"/>
      <c r="E619" s="3" t="str">
        <f>VLOOKUP(B619,[1]general_report!$B$1:$I$713,8,0)</f>
        <v xml:space="preserve">Oi </v>
      </c>
      <c r="F619" s="3" t="str">
        <f>VLOOKUP(B619,[1]general_report!$B$1:$J$713,9,0)</f>
        <v xml:space="preserve"> Retenção</v>
      </c>
      <c r="G619" s="3" t="s">
        <v>603</v>
      </c>
      <c r="H619" s="3" t="s">
        <v>1175</v>
      </c>
      <c r="I619" s="3" t="s">
        <v>13</v>
      </c>
      <c r="J619" s="5">
        <v>42314.630555555559</v>
      </c>
      <c r="K619" s="3"/>
      <c r="L619" s="11">
        <f t="shared" ca="1" si="36"/>
        <v>118.36944444444089</v>
      </c>
      <c r="M619" s="1">
        <f t="shared" si="37"/>
        <v>11</v>
      </c>
      <c r="N619" s="1">
        <f t="shared" si="38"/>
        <v>2015</v>
      </c>
      <c r="O619" s="1" t="str">
        <f t="shared" ca="1" si="39"/>
        <v>entre 90 e 150 dias</v>
      </c>
    </row>
    <row r="620" spans="1:15" ht="38.25" x14ac:dyDescent="0.2">
      <c r="A620" s="3" t="s">
        <v>8</v>
      </c>
      <c r="B620" s="4" t="s">
        <v>1284</v>
      </c>
      <c r="C620" s="3" t="s">
        <v>1285</v>
      </c>
      <c r="D620" s="3"/>
      <c r="E620" s="3" t="str">
        <f>VLOOKUP(B620,[1]general_report!$B$1:$I$713,8,0)</f>
        <v xml:space="preserve">Oi </v>
      </c>
      <c r="F620" s="3" t="str">
        <f>VLOOKUP(B620,[1]general_report!$B$1:$J$713,9,0)</f>
        <v xml:space="preserve"> Retenção</v>
      </c>
      <c r="G620" s="3" t="s">
        <v>1181</v>
      </c>
      <c r="H620" s="3" t="s">
        <v>1181</v>
      </c>
      <c r="I620" s="3" t="s">
        <v>27</v>
      </c>
      <c r="J620" s="5">
        <v>42291.60833333333</v>
      </c>
      <c r="K620" s="5">
        <v>42383.62222222222</v>
      </c>
      <c r="L620" s="11">
        <f t="shared" ca="1" si="36"/>
        <v>92.013888888890506</v>
      </c>
      <c r="M620" s="1">
        <f t="shared" si="37"/>
        <v>10</v>
      </c>
      <c r="N620" s="1">
        <f t="shared" si="38"/>
        <v>2015</v>
      </c>
      <c r="O620" s="1" t="str">
        <f t="shared" ca="1" si="39"/>
        <v>entre 90 e 150 dias</v>
      </c>
    </row>
    <row r="621" spans="1:15" ht="25.5" x14ac:dyDescent="0.2">
      <c r="A621" s="3" t="s">
        <v>8</v>
      </c>
      <c r="B621" s="4" t="s">
        <v>1286</v>
      </c>
      <c r="C621" s="3" t="s">
        <v>1287</v>
      </c>
      <c r="D621" s="3"/>
      <c r="E621" s="3" t="str">
        <f>VLOOKUP(B621,[1]general_report!$B$1:$I$713,8,0)</f>
        <v xml:space="preserve">Contax </v>
      </c>
      <c r="F621" s="3" t="str">
        <f>VLOOKUP(B621,[1]general_report!$B$1:$J$713,9,0)</f>
        <v xml:space="preserve"> Ger Produtos SAC</v>
      </c>
      <c r="G621" s="3" t="s">
        <v>419</v>
      </c>
      <c r="H621" s="3" t="s">
        <v>928</v>
      </c>
      <c r="I621" s="3" t="s">
        <v>13</v>
      </c>
      <c r="J621" s="5">
        <v>42291.433333333334</v>
      </c>
      <c r="K621" s="3"/>
      <c r="L621" s="11">
        <f t="shared" ca="1" si="36"/>
        <v>141.5666666666657</v>
      </c>
      <c r="M621" s="1">
        <f t="shared" si="37"/>
        <v>10</v>
      </c>
      <c r="N621" s="1">
        <f t="shared" si="38"/>
        <v>2015</v>
      </c>
      <c r="O621" s="1" t="str">
        <f t="shared" ca="1" si="39"/>
        <v>entre 90 e 150 dias</v>
      </c>
    </row>
    <row r="622" spans="1:15" ht="25.5" x14ac:dyDescent="0.2">
      <c r="A622" s="3" t="s">
        <v>8</v>
      </c>
      <c r="B622" s="4" t="s">
        <v>1288</v>
      </c>
      <c r="C622" s="3" t="s">
        <v>1289</v>
      </c>
      <c r="D622" s="3"/>
      <c r="E622" s="3" t="str">
        <f>VLOOKUP(B622,[1]general_report!$B$1:$I$713,8,0)</f>
        <v xml:space="preserve">Oi </v>
      </c>
      <c r="F622" s="3" t="str">
        <f>VLOOKUP(B622,[1]general_report!$B$1:$J$713,9,0)</f>
        <v xml:space="preserve"> Retenção</v>
      </c>
      <c r="G622" s="3" t="s">
        <v>33</v>
      </c>
      <c r="H622" s="3" t="s">
        <v>1181</v>
      </c>
      <c r="I622" s="3" t="s">
        <v>48</v>
      </c>
      <c r="J622" s="5">
        <v>42290.74722222222</v>
      </c>
      <c r="K622" s="3"/>
      <c r="L622" s="11">
        <f t="shared" ca="1" si="36"/>
        <v>142.25277777777956</v>
      </c>
      <c r="M622" s="1">
        <f t="shared" si="37"/>
        <v>10</v>
      </c>
      <c r="N622" s="1">
        <f t="shared" si="38"/>
        <v>2015</v>
      </c>
      <c r="O622" s="1" t="str">
        <f t="shared" ca="1" si="39"/>
        <v>entre 90 e 150 dias</v>
      </c>
    </row>
    <row r="623" spans="1:15" ht="15" x14ac:dyDescent="0.2">
      <c r="A623" s="3" t="s">
        <v>8</v>
      </c>
      <c r="B623" s="4" t="s">
        <v>1290</v>
      </c>
      <c r="C623" s="3" t="s">
        <v>1291</v>
      </c>
      <c r="D623" s="3"/>
      <c r="E623" s="3" t="str">
        <f>VLOOKUP(B623,[1]general_report!$B$1:$I$713,8,0)</f>
        <v xml:space="preserve">Oi </v>
      </c>
      <c r="F623" s="3" t="str">
        <f>VLOOKUP(B623,[1]general_report!$B$1:$J$713,9,0)</f>
        <v xml:space="preserve"> Retenção</v>
      </c>
      <c r="G623" s="3" t="s">
        <v>1271</v>
      </c>
      <c r="H623" s="3" t="s">
        <v>1271</v>
      </c>
      <c r="I623" s="3" t="s">
        <v>27</v>
      </c>
      <c r="J623" s="5">
        <v>42286.62222222222</v>
      </c>
      <c r="K623" s="5">
        <v>42383.62222222222</v>
      </c>
      <c r="L623" s="11">
        <f t="shared" ca="1" si="36"/>
        <v>97</v>
      </c>
      <c r="M623" s="1">
        <f t="shared" si="37"/>
        <v>10</v>
      </c>
      <c r="N623" s="1">
        <f t="shared" si="38"/>
        <v>2015</v>
      </c>
      <c r="O623" s="1" t="str">
        <f t="shared" ca="1" si="39"/>
        <v>entre 90 e 150 dias</v>
      </c>
    </row>
    <row r="624" spans="1:15" ht="25.5" x14ac:dyDescent="0.2">
      <c r="A624" s="3" t="s">
        <v>8</v>
      </c>
      <c r="B624" s="4" t="s">
        <v>1292</v>
      </c>
      <c r="C624" s="3" t="s">
        <v>1293</v>
      </c>
      <c r="D624" s="3"/>
      <c r="E624" s="3" t="str">
        <f>VLOOKUP(B624,[1]general_report!$B$1:$I$713,8,0)</f>
        <v xml:space="preserve">Oi </v>
      </c>
      <c r="F624" s="3" t="str">
        <f>VLOOKUP(B624,[1]general_report!$B$1:$J$713,9,0)</f>
        <v xml:space="preserve"> Retenção</v>
      </c>
      <c r="G624" s="3" t="s">
        <v>419</v>
      </c>
      <c r="H624" s="3" t="s">
        <v>1271</v>
      </c>
      <c r="I624" s="3" t="s">
        <v>13</v>
      </c>
      <c r="J624" s="5">
        <v>42282.428472222222</v>
      </c>
      <c r="K624" s="3"/>
      <c r="L624" s="11">
        <f t="shared" ca="1" si="36"/>
        <v>150.5715277777781</v>
      </c>
      <c r="M624" s="1">
        <f t="shared" si="37"/>
        <v>10</v>
      </c>
      <c r="N624" s="1">
        <f t="shared" si="38"/>
        <v>2015</v>
      </c>
      <c r="O624" s="1" t="str">
        <f t="shared" ca="1" si="39"/>
        <v>mais de 150 dias</v>
      </c>
    </row>
    <row r="625" spans="1:15" ht="15" x14ac:dyDescent="0.2">
      <c r="A625" s="3" t="s">
        <v>8</v>
      </c>
      <c r="B625" s="4" t="s">
        <v>1294</v>
      </c>
      <c r="C625" s="3" t="s">
        <v>81</v>
      </c>
      <c r="D625" s="3"/>
      <c r="E625" s="3" t="str">
        <f>VLOOKUP(B625,[1]general_report!$B$1:$I$713,8,0)</f>
        <v xml:space="preserve">Oi </v>
      </c>
      <c r="F625" s="3" t="str">
        <f>VLOOKUP(B625,[1]general_report!$B$1:$J$713,9,0)</f>
        <v xml:space="preserve"> Retenção</v>
      </c>
      <c r="G625" s="3" t="s">
        <v>419</v>
      </c>
      <c r="H625" s="3" t="s">
        <v>1271</v>
      </c>
      <c r="I625" s="3" t="s">
        <v>207</v>
      </c>
      <c r="J625" s="5">
        <v>42276.458333333336</v>
      </c>
      <c r="K625" s="3"/>
      <c r="L625" s="11">
        <f t="shared" ca="1" si="36"/>
        <v>156.54166666666424</v>
      </c>
      <c r="M625" s="1">
        <f t="shared" si="37"/>
        <v>9</v>
      </c>
      <c r="N625" s="1">
        <f t="shared" si="38"/>
        <v>2015</v>
      </c>
      <c r="O625" s="1" t="str">
        <f t="shared" ca="1" si="39"/>
        <v>mais de 150 dias</v>
      </c>
    </row>
    <row r="626" spans="1:15" ht="25.5" x14ac:dyDescent="0.2">
      <c r="A626" s="3" t="s">
        <v>8</v>
      </c>
      <c r="B626" s="4" t="s">
        <v>1295</v>
      </c>
      <c r="C626" s="3" t="s">
        <v>1296</v>
      </c>
      <c r="D626" s="3"/>
      <c r="E626" s="3" t="str">
        <f>VLOOKUP(B626,[1]general_report!$B$1:$I$713,8,0)</f>
        <v xml:space="preserve">Oi </v>
      </c>
      <c r="F626" s="3" t="str">
        <f>VLOOKUP(B626,[1]general_report!$B$1:$J$713,9,0)</f>
        <v xml:space="preserve"> Retenção</v>
      </c>
      <c r="G626" s="3" t="s">
        <v>1181</v>
      </c>
      <c r="H626" s="3" t="s">
        <v>1181</v>
      </c>
      <c r="I626" s="3" t="s">
        <v>27</v>
      </c>
      <c r="J626" s="5">
        <v>42270.744444444441</v>
      </c>
      <c r="K626" s="5">
        <v>42396.434027777781</v>
      </c>
      <c r="L626" s="11">
        <f t="shared" ca="1" si="36"/>
        <v>125.68958333334012</v>
      </c>
      <c r="M626" s="1">
        <f t="shared" si="37"/>
        <v>9</v>
      </c>
      <c r="N626" s="1">
        <f t="shared" si="38"/>
        <v>2015</v>
      </c>
      <c r="O626" s="1" t="str">
        <f t="shared" ca="1" si="39"/>
        <v>entre 90 e 150 dias</v>
      </c>
    </row>
    <row r="627" spans="1:15" ht="25.5" x14ac:dyDescent="0.2">
      <c r="A627" s="3" t="s">
        <v>8</v>
      </c>
      <c r="B627" s="4" t="s">
        <v>1297</v>
      </c>
      <c r="C627" s="3" t="s">
        <v>1298</v>
      </c>
      <c r="D627" s="3"/>
      <c r="E627" s="3" t="str">
        <f>VLOOKUP(B627,[1]general_report!$B$1:$I$713,8,0)</f>
        <v xml:space="preserve">Oi </v>
      </c>
      <c r="F627" s="3" t="str">
        <f>VLOOKUP(B627,[1]general_report!$B$1:$J$713,9,0)</f>
        <v xml:space="preserve"> Retenção</v>
      </c>
      <c r="G627" s="3" t="s">
        <v>419</v>
      </c>
      <c r="H627" s="3" t="s">
        <v>594</v>
      </c>
      <c r="I627" s="3" t="s">
        <v>234</v>
      </c>
      <c r="J627" s="5">
        <v>42269.786111111112</v>
      </c>
      <c r="K627" s="3"/>
      <c r="L627" s="11">
        <f t="shared" ca="1" si="36"/>
        <v>163.2138888888876</v>
      </c>
      <c r="M627" s="1">
        <f t="shared" si="37"/>
        <v>9</v>
      </c>
      <c r="N627" s="1">
        <f t="shared" si="38"/>
        <v>2015</v>
      </c>
      <c r="O627" s="1" t="str">
        <f t="shared" ca="1" si="39"/>
        <v>mais de 150 dias</v>
      </c>
    </row>
    <row r="628" spans="1:15" ht="25.5" x14ac:dyDescent="0.2">
      <c r="A628" s="3" t="s">
        <v>8</v>
      </c>
      <c r="B628" s="4" t="s">
        <v>1299</v>
      </c>
      <c r="C628" s="3" t="s">
        <v>1300</v>
      </c>
      <c r="D628" s="3"/>
      <c r="E628" s="3" t="str">
        <f>VLOOKUP(B628,[1]general_report!$B$1:$I$713,8,0)</f>
        <v xml:space="preserve">Contax </v>
      </c>
      <c r="F628" s="3" t="str">
        <f>VLOOKUP(B628,[1]general_report!$B$1:$J$713,9,0)</f>
        <v xml:space="preserve"> Dir. Oi</v>
      </c>
      <c r="G628" s="3" t="s">
        <v>1184</v>
      </c>
      <c r="H628" s="3" t="s">
        <v>1184</v>
      </c>
      <c r="I628" s="3" t="s">
        <v>27</v>
      </c>
      <c r="J628" s="5">
        <v>42265.76458333333</v>
      </c>
      <c r="K628" s="5">
        <v>42381.881249999999</v>
      </c>
      <c r="L628" s="11">
        <f t="shared" ca="1" si="36"/>
        <v>116.11666666666861</v>
      </c>
      <c r="M628" s="1">
        <f t="shared" si="37"/>
        <v>9</v>
      </c>
      <c r="N628" s="1">
        <f t="shared" si="38"/>
        <v>2015</v>
      </c>
      <c r="O628" s="1" t="str">
        <f t="shared" ca="1" si="39"/>
        <v>entre 90 e 150 dias</v>
      </c>
    </row>
    <row r="629" spans="1:15" ht="15" x14ac:dyDescent="0.2">
      <c r="A629" s="3" t="s">
        <v>8</v>
      </c>
      <c r="B629" s="4" t="s">
        <v>1301</v>
      </c>
      <c r="C629" s="3" t="s">
        <v>1302</v>
      </c>
      <c r="D629" s="3"/>
      <c r="E629" s="3" t="str">
        <f>VLOOKUP(B629,[1]general_report!$B$1:$I$713,8,0)</f>
        <v xml:space="preserve">Contax </v>
      </c>
      <c r="F629" s="3" t="str">
        <f>VLOOKUP(B629,[1]general_report!$B$1:$J$713,9,0)</f>
        <v xml:space="preserve"> Ger Produtos SAC</v>
      </c>
      <c r="G629" s="3" t="s">
        <v>419</v>
      </c>
      <c r="H629" s="3" t="s">
        <v>928</v>
      </c>
      <c r="I629" s="3" t="s">
        <v>48</v>
      </c>
      <c r="J629" s="5">
        <v>42265.57916666667</v>
      </c>
      <c r="K629" s="3"/>
      <c r="L629" s="11">
        <f t="shared" ca="1" si="36"/>
        <v>167.42083333332994</v>
      </c>
      <c r="M629" s="1">
        <f t="shared" si="37"/>
        <v>9</v>
      </c>
      <c r="N629" s="1">
        <f t="shared" si="38"/>
        <v>2015</v>
      </c>
      <c r="O629" s="1" t="str">
        <f t="shared" ca="1" si="39"/>
        <v>mais de 150 dias</v>
      </c>
    </row>
    <row r="630" spans="1:15" ht="25.5" x14ac:dyDescent="0.2">
      <c r="A630" s="3" t="s">
        <v>8</v>
      </c>
      <c r="B630" s="4" t="s">
        <v>1303</v>
      </c>
      <c r="C630" s="3" t="s">
        <v>1304</v>
      </c>
      <c r="D630" s="3"/>
      <c r="E630" s="3" t="str">
        <f>VLOOKUP(B630,[1]general_report!$B$1:$I$713,8,0)</f>
        <v xml:space="preserve">Oi </v>
      </c>
      <c r="F630" s="3" t="str">
        <f>VLOOKUP(B630,[1]general_report!$B$1:$J$713,9,0)</f>
        <v xml:space="preserve"> Retenção</v>
      </c>
      <c r="G630" s="3" t="s">
        <v>419</v>
      </c>
      <c r="H630" s="3" t="s">
        <v>1175</v>
      </c>
      <c r="I630" s="3" t="s">
        <v>13</v>
      </c>
      <c r="J630" s="5">
        <v>42263.517361111109</v>
      </c>
      <c r="K630" s="3"/>
      <c r="L630" s="11">
        <f t="shared" ca="1" si="36"/>
        <v>169.48263888889051</v>
      </c>
      <c r="M630" s="1">
        <f t="shared" si="37"/>
        <v>9</v>
      </c>
      <c r="N630" s="1">
        <f t="shared" si="38"/>
        <v>2015</v>
      </c>
      <c r="O630" s="1" t="str">
        <f t="shared" ca="1" si="39"/>
        <v>mais de 150 dias</v>
      </c>
    </row>
    <row r="631" spans="1:15" ht="25.5" x14ac:dyDescent="0.2">
      <c r="A631" s="3" t="s">
        <v>8</v>
      </c>
      <c r="B631" s="4" t="s">
        <v>1305</v>
      </c>
      <c r="C631" s="3" t="s">
        <v>1306</v>
      </c>
      <c r="D631" s="3"/>
      <c r="E631" s="3" t="e">
        <f>VLOOKUP(B631,[1]general_report!$B$1:$I$713,8,0)</f>
        <v>#N/A</v>
      </c>
      <c r="F631" s="3" t="e">
        <f>VLOOKUP(B631,[1]general_report!$B$1:$J$713,9,0)</f>
        <v>#N/A</v>
      </c>
      <c r="G631" s="3" t="s">
        <v>1181</v>
      </c>
      <c r="H631" s="3" t="s">
        <v>1181</v>
      </c>
      <c r="I631" s="3" t="s">
        <v>27</v>
      </c>
      <c r="J631" s="5">
        <v>42263.495833333334</v>
      </c>
      <c r="K631" s="5">
        <v>42352.773611111108</v>
      </c>
      <c r="L631" s="11">
        <f t="shared" ca="1" si="36"/>
        <v>89.277777777773736</v>
      </c>
      <c r="M631" s="1">
        <f t="shared" si="37"/>
        <v>9</v>
      </c>
      <c r="N631" s="1">
        <f t="shared" si="38"/>
        <v>2015</v>
      </c>
      <c r="O631" s="1" t="str">
        <f t="shared" ca="1" si="39"/>
        <v>entre 60 e 90 dias</v>
      </c>
    </row>
    <row r="632" spans="1:15" ht="15" x14ac:dyDescent="0.2">
      <c r="A632" s="3" t="s">
        <v>8</v>
      </c>
      <c r="B632" s="4" t="s">
        <v>1307</v>
      </c>
      <c r="C632" s="3" t="s">
        <v>81</v>
      </c>
      <c r="D632" s="3"/>
      <c r="E632" s="3" t="str">
        <f>VLOOKUP(B632,[1]general_report!$B$1:$I$713,8,0)</f>
        <v xml:space="preserve">Oi </v>
      </c>
      <c r="F632" s="3" t="str">
        <f>VLOOKUP(B632,[1]general_report!$B$1:$J$713,9,0)</f>
        <v xml:space="preserve"> Retenção</v>
      </c>
      <c r="G632" s="3" t="s">
        <v>1271</v>
      </c>
      <c r="H632" s="3" t="s">
        <v>1271</v>
      </c>
      <c r="I632" s="3" t="s">
        <v>27</v>
      </c>
      <c r="J632" s="5">
        <v>42261.426388888889</v>
      </c>
      <c r="K632" s="5">
        <v>42383.62222222222</v>
      </c>
      <c r="L632" s="11">
        <f t="shared" ca="1" si="36"/>
        <v>122.19583333333139</v>
      </c>
      <c r="M632" s="1">
        <f t="shared" si="37"/>
        <v>9</v>
      </c>
      <c r="N632" s="1">
        <f t="shared" si="38"/>
        <v>2015</v>
      </c>
      <c r="O632" s="1" t="str">
        <f t="shared" ca="1" si="39"/>
        <v>entre 90 e 150 dias</v>
      </c>
    </row>
    <row r="633" spans="1:15" ht="25.5" x14ac:dyDescent="0.2">
      <c r="A633" s="3" t="s">
        <v>8</v>
      </c>
      <c r="B633" s="4" t="s">
        <v>1308</v>
      </c>
      <c r="C633" s="3" t="s">
        <v>1309</v>
      </c>
      <c r="D633" s="3"/>
      <c r="E633" s="3" t="str">
        <f>VLOOKUP(B633,[1]general_report!$B$1:$I$713,8,0)</f>
        <v xml:space="preserve">Oi </v>
      </c>
      <c r="F633" s="3" t="str">
        <f>VLOOKUP(B633,[1]general_report!$B$1:$J$713,9,0)</f>
        <v xml:space="preserve"> Retenção</v>
      </c>
      <c r="G633" s="3" t="s">
        <v>33</v>
      </c>
      <c r="H633" s="3" t="s">
        <v>1175</v>
      </c>
      <c r="I633" s="3" t="s">
        <v>48</v>
      </c>
      <c r="J633" s="5">
        <v>42257.736111111109</v>
      </c>
      <c r="K633" s="3"/>
      <c r="L633" s="11">
        <f t="shared" ca="1" si="36"/>
        <v>175.26388888889051</v>
      </c>
      <c r="M633" s="1">
        <f t="shared" si="37"/>
        <v>9</v>
      </c>
      <c r="N633" s="1">
        <f t="shared" si="38"/>
        <v>2015</v>
      </c>
      <c r="O633" s="1" t="str">
        <f t="shared" ca="1" si="39"/>
        <v>mais de 150 dias</v>
      </c>
    </row>
    <row r="634" spans="1:15" ht="25.5" x14ac:dyDescent="0.2">
      <c r="A634" s="3" t="s">
        <v>8</v>
      </c>
      <c r="B634" s="4" t="s">
        <v>1310</v>
      </c>
      <c r="C634" s="3" t="s">
        <v>1311</v>
      </c>
      <c r="D634" s="3"/>
      <c r="E634" s="3" t="str">
        <f>VLOOKUP(B634,[1]general_report!$B$1:$I$713,8,0)</f>
        <v xml:space="preserve">Oi </v>
      </c>
      <c r="F634" s="3" t="str">
        <f>VLOOKUP(B634,[1]general_report!$B$1:$J$713,9,0)</f>
        <v xml:space="preserve"> Retenção</v>
      </c>
      <c r="G634" s="3" t="s">
        <v>419</v>
      </c>
      <c r="H634" s="3" t="s">
        <v>594</v>
      </c>
      <c r="I634" s="3" t="s">
        <v>207</v>
      </c>
      <c r="J634" s="5">
        <v>42234.852777777778</v>
      </c>
      <c r="K634" s="3"/>
      <c r="L634" s="11">
        <f t="shared" ca="1" si="36"/>
        <v>198.1472222222219</v>
      </c>
      <c r="M634" s="1">
        <f t="shared" si="37"/>
        <v>8</v>
      </c>
      <c r="N634" s="1">
        <f t="shared" si="38"/>
        <v>2015</v>
      </c>
      <c r="O634" s="1" t="str">
        <f t="shared" ca="1" si="39"/>
        <v>mais de 150 dias</v>
      </c>
    </row>
    <row r="635" spans="1:15" ht="15" x14ac:dyDescent="0.2">
      <c r="A635" s="3" t="s">
        <v>8</v>
      </c>
      <c r="B635" s="4" t="s">
        <v>1312</v>
      </c>
      <c r="C635" s="3" t="s">
        <v>1313</v>
      </c>
      <c r="D635" s="3"/>
      <c r="E635" s="3" t="str">
        <f>VLOOKUP(B635,[1]general_report!$B$1:$I$713,8,0)</f>
        <v xml:space="preserve">Contax </v>
      </c>
      <c r="F635" s="3" t="str">
        <f>VLOOKUP(B635,[1]general_report!$B$1:$J$713,9,0)</f>
        <v xml:space="preserve"> Dir. Oi</v>
      </c>
      <c r="G635" s="3" t="s">
        <v>1184</v>
      </c>
      <c r="H635" s="3" t="s">
        <v>1184</v>
      </c>
      <c r="I635" s="3" t="s">
        <v>27</v>
      </c>
      <c r="J635" s="5">
        <v>42227.668055555558</v>
      </c>
      <c r="K635" s="5">
        <v>42356.447916666664</v>
      </c>
      <c r="L635" s="11">
        <f t="shared" ca="1" si="36"/>
        <v>128.77986111110658</v>
      </c>
      <c r="M635" s="1">
        <f t="shared" si="37"/>
        <v>8</v>
      </c>
      <c r="N635" s="1">
        <f t="shared" si="38"/>
        <v>2015</v>
      </c>
      <c r="O635" s="1" t="str">
        <f t="shared" ca="1" si="39"/>
        <v>entre 90 e 150 dias</v>
      </c>
    </row>
    <row r="636" spans="1:15" ht="15" x14ac:dyDescent="0.2">
      <c r="A636" s="3" t="s">
        <v>8</v>
      </c>
      <c r="B636" s="4" t="s">
        <v>1314</v>
      </c>
      <c r="C636" s="3" t="s">
        <v>1315</v>
      </c>
      <c r="D636" s="3"/>
      <c r="E636" s="3" t="str">
        <f>VLOOKUP(B636,[1]general_report!$B$1:$I$713,8,0)</f>
        <v xml:space="preserve">Contax </v>
      </c>
      <c r="F636" s="3" t="str">
        <f>VLOOKUP(B636,[1]general_report!$B$1:$J$713,9,0)</f>
        <v xml:space="preserve"> Dir. Oi</v>
      </c>
      <c r="G636" s="3" t="s">
        <v>18</v>
      </c>
      <c r="H636" s="3" t="s">
        <v>1184</v>
      </c>
      <c r="I636" s="3" t="s">
        <v>207</v>
      </c>
      <c r="J636" s="5">
        <v>42202.702777777777</v>
      </c>
      <c r="K636" s="3"/>
      <c r="L636" s="11">
        <f t="shared" ca="1" si="36"/>
        <v>230.29722222222335</v>
      </c>
      <c r="M636" s="1">
        <f t="shared" si="37"/>
        <v>7</v>
      </c>
      <c r="N636" s="1">
        <f t="shared" si="38"/>
        <v>2015</v>
      </c>
      <c r="O636" s="1" t="str">
        <f t="shared" ca="1" si="39"/>
        <v>mais de 150 dias</v>
      </c>
    </row>
    <row r="637" spans="1:15" ht="15" x14ac:dyDescent="0.2">
      <c r="A637" s="3" t="s">
        <v>8</v>
      </c>
      <c r="B637" s="4" t="s">
        <v>1316</v>
      </c>
      <c r="C637" s="3" t="s">
        <v>1317</v>
      </c>
      <c r="D637" s="3"/>
      <c r="E637" s="3" t="str">
        <f>VLOOKUP(B637,[1]general_report!$B$1:$I$713,8,0)</f>
        <v xml:space="preserve">Oi </v>
      </c>
      <c r="F637" s="3" t="str">
        <f>VLOOKUP(B637,[1]general_report!$B$1:$J$713,9,0)</f>
        <v xml:space="preserve"> Retenção</v>
      </c>
      <c r="G637" s="3" t="s">
        <v>1178</v>
      </c>
      <c r="H637" s="3" t="s">
        <v>1178</v>
      </c>
      <c r="I637" s="3" t="s">
        <v>27</v>
      </c>
      <c r="J637" s="5">
        <v>42193.609027777777</v>
      </c>
      <c r="K637" s="5">
        <v>42384.711111111108</v>
      </c>
      <c r="L637" s="11">
        <f t="shared" ca="1" si="36"/>
        <v>191.10208333333139</v>
      </c>
      <c r="M637" s="1">
        <f t="shared" si="37"/>
        <v>7</v>
      </c>
      <c r="N637" s="1">
        <f t="shared" si="38"/>
        <v>2015</v>
      </c>
      <c r="O637" s="1" t="str">
        <f t="shared" ca="1" si="39"/>
        <v>mais de 150 dias</v>
      </c>
    </row>
    <row r="638" spans="1:15" ht="25.5" x14ac:dyDescent="0.2">
      <c r="A638" s="3" t="s">
        <v>8</v>
      </c>
      <c r="B638" s="4" t="s">
        <v>1318</v>
      </c>
      <c r="C638" s="3" t="s">
        <v>1319</v>
      </c>
      <c r="D638" s="3"/>
      <c r="E638" s="3" t="str">
        <f>VLOOKUP(B638,[1]general_report!$B$1:$I$713,8,0)</f>
        <v xml:space="preserve">Contax </v>
      </c>
      <c r="F638" s="3" t="str">
        <f>VLOOKUP(B638,[1]general_report!$B$1:$J$713,9,0)</f>
        <v xml:space="preserve"> Ger Produtos SAC</v>
      </c>
      <c r="G638" s="3" t="s">
        <v>419</v>
      </c>
      <c r="H638" s="3" t="s">
        <v>928</v>
      </c>
      <c r="I638" s="3" t="s">
        <v>234</v>
      </c>
      <c r="J638" s="5">
        <v>42185.738888888889</v>
      </c>
      <c r="K638" s="3"/>
      <c r="L638" s="11">
        <f t="shared" ca="1" si="36"/>
        <v>247.26111111111095</v>
      </c>
      <c r="M638" s="1">
        <f t="shared" si="37"/>
        <v>6</v>
      </c>
      <c r="N638" s="1">
        <f t="shared" si="38"/>
        <v>2015</v>
      </c>
      <c r="O638" s="1" t="str">
        <f t="shared" ca="1" si="39"/>
        <v>mais de 150 dias</v>
      </c>
    </row>
    <row r="639" spans="1:15" ht="15" x14ac:dyDescent="0.2">
      <c r="A639" s="3" t="s">
        <v>8</v>
      </c>
      <c r="B639" s="4" t="s">
        <v>1320</v>
      </c>
      <c r="C639" s="3" t="s">
        <v>1321</v>
      </c>
      <c r="D639" s="3"/>
      <c r="E639" s="3" t="str">
        <f>VLOOKUP(B639,[1]general_report!$B$1:$I$713,8,0)</f>
        <v xml:space="preserve">Oi </v>
      </c>
      <c r="F639" s="3" t="str">
        <f>VLOOKUP(B639,[1]general_report!$B$1:$J$713,9,0)</f>
        <v xml:space="preserve"> Retenção</v>
      </c>
      <c r="G639" s="3" t="s">
        <v>1271</v>
      </c>
      <c r="H639" s="3" t="s">
        <v>1271</v>
      </c>
      <c r="I639" s="3" t="s">
        <v>27</v>
      </c>
      <c r="J639" s="5">
        <v>42178.65902777778</v>
      </c>
      <c r="K639" s="5">
        <v>42383.622916666667</v>
      </c>
      <c r="L639" s="11">
        <f t="shared" ca="1" si="36"/>
        <v>204.9638888888876</v>
      </c>
      <c r="M639" s="1">
        <f t="shared" si="37"/>
        <v>6</v>
      </c>
      <c r="N639" s="1">
        <f t="shared" si="38"/>
        <v>2015</v>
      </c>
      <c r="O639" s="1" t="str">
        <f t="shared" ca="1" si="39"/>
        <v>mais de 150 dias</v>
      </c>
    </row>
    <row r="640" spans="1:15" ht="25.5" x14ac:dyDescent="0.2">
      <c r="A640" s="3" t="s">
        <v>8</v>
      </c>
      <c r="B640" s="4" t="s">
        <v>1322</v>
      </c>
      <c r="C640" s="3" t="s">
        <v>1323</v>
      </c>
      <c r="D640" s="3"/>
      <c r="E640" s="3" t="str">
        <f>VLOOKUP(B640,[1]general_report!$B$1:$I$713,8,0)</f>
        <v xml:space="preserve">Oi </v>
      </c>
      <c r="F640" s="3" t="str">
        <f>VLOOKUP(B640,[1]general_report!$B$1:$J$713,9,0)</f>
        <v xml:space="preserve"> Retenção</v>
      </c>
      <c r="G640" s="3" t="s">
        <v>594</v>
      </c>
      <c r="H640" s="3" t="s">
        <v>594</v>
      </c>
      <c r="I640" s="3" t="s">
        <v>27</v>
      </c>
      <c r="J640" s="5">
        <v>42172.65625</v>
      </c>
      <c r="K640" s="5">
        <v>42402.424305555556</v>
      </c>
      <c r="L640" s="11">
        <f t="shared" ca="1" si="36"/>
        <v>229.7680555555562</v>
      </c>
      <c r="M640" s="1">
        <f t="shared" si="37"/>
        <v>6</v>
      </c>
      <c r="N640" s="1">
        <f t="shared" si="38"/>
        <v>2015</v>
      </c>
      <c r="O640" s="1" t="str">
        <f t="shared" ca="1" si="39"/>
        <v>mais de 150 dias</v>
      </c>
    </row>
    <row r="641" spans="1:15" ht="25.5" x14ac:dyDescent="0.2">
      <c r="A641" s="3" t="s">
        <v>8</v>
      </c>
      <c r="B641" s="4" t="s">
        <v>1324</v>
      </c>
      <c r="C641" s="3" t="s">
        <v>1325</v>
      </c>
      <c r="D641" s="3"/>
      <c r="E641" s="3" t="str">
        <f>VLOOKUP(B641,[1]general_report!$B$1:$I$713,8,0)</f>
        <v xml:space="preserve">Itaú </v>
      </c>
      <c r="F641" s="3" t="str">
        <f>VLOOKUP(B641,[1]general_report!$B$1:$J$713,9,0)</f>
        <v xml:space="preserve"> Atendimento Financeiras</v>
      </c>
      <c r="G641" s="3" t="s">
        <v>419</v>
      </c>
      <c r="H641" s="3" t="s">
        <v>272</v>
      </c>
      <c r="I641" s="3" t="s">
        <v>48</v>
      </c>
      <c r="J641" s="5">
        <v>42152.71597222222</v>
      </c>
      <c r="K641" s="3"/>
      <c r="L641" s="11">
        <f t="shared" ca="1" si="36"/>
        <v>280.28402777777956</v>
      </c>
      <c r="M641" s="1">
        <f t="shared" si="37"/>
        <v>5</v>
      </c>
      <c r="N641" s="1">
        <f t="shared" si="38"/>
        <v>2015</v>
      </c>
      <c r="O641" s="1" t="str">
        <f t="shared" ca="1" si="39"/>
        <v>mais de 150 dias</v>
      </c>
    </row>
    <row r="642" spans="1:15" ht="38.25" x14ac:dyDescent="0.2">
      <c r="A642" s="3" t="s">
        <v>8</v>
      </c>
      <c r="B642" s="4" t="s">
        <v>1326</v>
      </c>
      <c r="C642" s="3" t="s">
        <v>1327</v>
      </c>
      <c r="D642" s="3"/>
      <c r="E642" s="3" t="str">
        <f>VLOOKUP(B642,[1]general_report!$B$1:$I$713,8,0)</f>
        <v xml:space="preserve">Oi </v>
      </c>
      <c r="F642" s="3" t="str">
        <f>VLOOKUP(B642,[1]general_report!$B$1:$J$713,9,0)</f>
        <v xml:space="preserve"> Retenção</v>
      </c>
      <c r="G642" s="3" t="s">
        <v>11</v>
      </c>
      <c r="H642" s="3" t="s">
        <v>1181</v>
      </c>
      <c r="I642" s="3" t="s">
        <v>83</v>
      </c>
      <c r="J642" s="5">
        <v>42146.634722222225</v>
      </c>
      <c r="K642" s="3"/>
      <c r="L642" s="11">
        <f t="shared" ca="1" si="36"/>
        <v>286.36527777777519</v>
      </c>
      <c r="M642" s="1">
        <f t="shared" si="37"/>
        <v>5</v>
      </c>
      <c r="N642" s="1">
        <f t="shared" si="38"/>
        <v>2015</v>
      </c>
      <c r="O642" s="1" t="str">
        <f t="shared" ca="1" si="39"/>
        <v>mais de 150 dias</v>
      </c>
    </row>
    <row r="643" spans="1:15" ht="15" x14ac:dyDescent="0.2">
      <c r="A643" s="3" t="s">
        <v>8</v>
      </c>
      <c r="B643" s="4" t="s">
        <v>1328</v>
      </c>
      <c r="C643" s="3" t="s">
        <v>1329</v>
      </c>
      <c r="D643" s="3"/>
      <c r="E643" s="3" t="str">
        <f>VLOOKUP(B643,[1]general_report!$B$1:$I$713,8,0)</f>
        <v xml:space="preserve">Oi </v>
      </c>
      <c r="F643" s="3" t="str">
        <f>VLOOKUP(B643,[1]general_report!$B$1:$J$713,9,0)</f>
        <v xml:space="preserve"> Retenção</v>
      </c>
      <c r="G643" s="3" t="s">
        <v>419</v>
      </c>
      <c r="H643" s="3" t="s">
        <v>1271</v>
      </c>
      <c r="I643" s="3" t="s">
        <v>48</v>
      </c>
      <c r="J643" s="5">
        <v>42142.630555555559</v>
      </c>
      <c r="K643" s="3"/>
      <c r="L643" s="11">
        <f t="shared" ref="L643:L680" ca="1" si="40">IF(K643="",TODAY()-J643,K643-J643)</f>
        <v>290.36944444444089</v>
      </c>
      <c r="M643" s="1">
        <f t="shared" ref="M643:M680" si="41">MONTH(J643)</f>
        <v>5</v>
      </c>
      <c r="N643" s="1">
        <f t="shared" ref="N643:N680" si="42">YEAR(J643)</f>
        <v>2015</v>
      </c>
      <c r="O643" s="1" t="str">
        <f t="shared" ref="O643:O680" ca="1" si="43">IF(L643&lt;30,"menos 1 mês",IF(L643&lt;60,"entre 30 e 60 dias",IF(L643&lt;90,"entre 60 e 90 dias",IF(L643&lt;150,"entre 90 e 150 dias","mais de 150 dias"))))</f>
        <v>mais de 150 dias</v>
      </c>
    </row>
    <row r="644" spans="1:15" ht="15" x14ac:dyDescent="0.2">
      <c r="A644" s="3" t="s">
        <v>8</v>
      </c>
      <c r="B644" s="4" t="s">
        <v>1330</v>
      </c>
      <c r="C644" s="3" t="s">
        <v>81</v>
      </c>
      <c r="D644" s="3"/>
      <c r="E644" s="3" t="str">
        <f>VLOOKUP(B644,[1]general_report!$B$1:$I$713,8,0)</f>
        <v xml:space="preserve">Oi </v>
      </c>
      <c r="F644" s="3" t="str">
        <f>VLOOKUP(B644,[1]general_report!$B$1:$J$713,9,0)</f>
        <v xml:space="preserve"> Retenção</v>
      </c>
      <c r="G644" s="3" t="s">
        <v>1331</v>
      </c>
      <c r="H644" s="3" t="s">
        <v>1228</v>
      </c>
      <c r="I644" s="3" t="s">
        <v>83</v>
      </c>
      <c r="J644" s="5">
        <v>42124.572222222225</v>
      </c>
      <c r="K644" s="3"/>
      <c r="L644" s="11">
        <f t="shared" ca="1" si="40"/>
        <v>308.42777777777519</v>
      </c>
      <c r="M644" s="1">
        <f t="shared" si="41"/>
        <v>4</v>
      </c>
      <c r="N644" s="1">
        <f t="shared" si="42"/>
        <v>2015</v>
      </c>
      <c r="O644" s="1" t="str">
        <f t="shared" ca="1" si="43"/>
        <v>mais de 150 dias</v>
      </c>
    </row>
    <row r="645" spans="1:15" ht="25.5" x14ac:dyDescent="0.2">
      <c r="A645" s="3" t="s">
        <v>8</v>
      </c>
      <c r="B645" s="4" t="s">
        <v>1332</v>
      </c>
      <c r="C645" s="3" t="s">
        <v>1333</v>
      </c>
      <c r="D645" s="3"/>
      <c r="E645" s="3" t="str">
        <f>VLOOKUP(B645,[1]general_report!$B$1:$I$713,8,0)</f>
        <v xml:space="preserve">Oi </v>
      </c>
      <c r="F645" s="3" t="str">
        <f>VLOOKUP(B645,[1]general_report!$B$1:$J$713,9,0)</f>
        <v xml:space="preserve"> Retenção</v>
      </c>
      <c r="G645" s="3" t="s">
        <v>1175</v>
      </c>
      <c r="H645" s="3" t="s">
        <v>1175</v>
      </c>
      <c r="I645" s="3" t="s">
        <v>27</v>
      </c>
      <c r="J645" s="5">
        <v>42124.526388888888</v>
      </c>
      <c r="K645" s="5">
        <v>42383.622916666667</v>
      </c>
      <c r="L645" s="11">
        <f t="shared" ca="1" si="40"/>
        <v>259.09652777777956</v>
      </c>
      <c r="M645" s="1">
        <f t="shared" si="41"/>
        <v>4</v>
      </c>
      <c r="N645" s="1">
        <f t="shared" si="42"/>
        <v>2015</v>
      </c>
      <c r="O645" s="1" t="str">
        <f t="shared" ca="1" si="43"/>
        <v>mais de 150 dias</v>
      </c>
    </row>
    <row r="646" spans="1:15" ht="15" x14ac:dyDescent="0.2">
      <c r="A646" s="3" t="s">
        <v>8</v>
      </c>
      <c r="B646" s="4" t="s">
        <v>1334</v>
      </c>
      <c r="C646" s="3" t="s">
        <v>1335</v>
      </c>
      <c r="D646" s="3"/>
      <c r="E646" s="3" t="str">
        <f>VLOOKUP(B646,[1]general_report!$B$1:$I$713,8,0)</f>
        <v xml:space="preserve">Oi </v>
      </c>
      <c r="F646" s="3" t="str">
        <f>VLOOKUP(B646,[1]general_report!$B$1:$J$713,9,0)</f>
        <v xml:space="preserve"> Retenção</v>
      </c>
      <c r="G646" s="3" t="s">
        <v>419</v>
      </c>
      <c r="H646" s="3" t="s">
        <v>1175</v>
      </c>
      <c r="I646" s="3" t="s">
        <v>48</v>
      </c>
      <c r="J646" s="5">
        <v>42123.438888888886</v>
      </c>
      <c r="K646" s="3"/>
      <c r="L646" s="11">
        <f t="shared" ca="1" si="40"/>
        <v>309.56111111111386</v>
      </c>
      <c r="M646" s="1">
        <f t="shared" si="41"/>
        <v>4</v>
      </c>
      <c r="N646" s="1">
        <f t="shared" si="42"/>
        <v>2015</v>
      </c>
      <c r="O646" s="1" t="str">
        <f t="shared" ca="1" si="43"/>
        <v>mais de 150 dias</v>
      </c>
    </row>
    <row r="647" spans="1:15" ht="15" x14ac:dyDescent="0.2">
      <c r="A647" s="3" t="s">
        <v>8</v>
      </c>
      <c r="B647" s="4" t="s">
        <v>1336</v>
      </c>
      <c r="C647" s="3" t="s">
        <v>81</v>
      </c>
      <c r="D647" s="3"/>
      <c r="E647" s="3" t="str">
        <f>VLOOKUP(B647,[1]general_report!$B$1:$I$713,8,0)</f>
        <v xml:space="preserve">Oi </v>
      </c>
      <c r="F647" s="3" t="str">
        <f>VLOOKUP(B647,[1]general_report!$B$1:$J$713,9,0)</f>
        <v xml:space="preserve"> Retenção Oi Controle</v>
      </c>
      <c r="G647" s="3" t="s">
        <v>441</v>
      </c>
      <c r="H647" s="3" t="s">
        <v>594</v>
      </c>
      <c r="I647" s="3" t="s">
        <v>207</v>
      </c>
      <c r="J647" s="5">
        <v>42055.634027777778</v>
      </c>
      <c r="K647" s="3"/>
      <c r="L647" s="11">
        <f t="shared" ca="1" si="40"/>
        <v>377.3659722222219</v>
      </c>
      <c r="M647" s="1">
        <f t="shared" si="41"/>
        <v>2</v>
      </c>
      <c r="N647" s="1">
        <f t="shared" si="42"/>
        <v>2015</v>
      </c>
      <c r="O647" s="1" t="str">
        <f t="shared" ca="1" si="43"/>
        <v>mais de 150 dias</v>
      </c>
    </row>
    <row r="648" spans="1:15" ht="15" x14ac:dyDescent="0.2">
      <c r="A648" s="3" t="s">
        <v>8</v>
      </c>
      <c r="B648" s="4" t="s">
        <v>1337</v>
      </c>
      <c r="C648" s="3" t="s">
        <v>1338</v>
      </c>
      <c r="D648" s="3"/>
      <c r="E648" s="3" t="str">
        <f>VLOOKUP(B648,[1]general_report!$B$1:$I$713,8,0)</f>
        <v xml:space="preserve">Oi </v>
      </c>
      <c r="F648" s="3" t="str">
        <f>VLOOKUP(B648,[1]general_report!$B$1:$J$713,9,0)</f>
        <v xml:space="preserve"> Retenção</v>
      </c>
      <c r="G648" s="3" t="s">
        <v>33</v>
      </c>
      <c r="H648" s="3" t="s">
        <v>1339</v>
      </c>
      <c r="I648" s="3" t="s">
        <v>48</v>
      </c>
      <c r="J648" s="5">
        <v>41899.708333333336</v>
      </c>
      <c r="K648" s="3"/>
      <c r="L648" s="11">
        <f t="shared" ca="1" si="40"/>
        <v>533.29166666666424</v>
      </c>
      <c r="M648" s="1">
        <f t="shared" si="41"/>
        <v>9</v>
      </c>
      <c r="N648" s="1">
        <f t="shared" si="42"/>
        <v>2014</v>
      </c>
      <c r="O648" s="1" t="str">
        <f t="shared" ca="1" si="43"/>
        <v>mais de 150 dias</v>
      </c>
    </row>
    <row r="649" spans="1:15" ht="15" x14ac:dyDescent="0.2">
      <c r="A649" s="3" t="s">
        <v>8</v>
      </c>
      <c r="B649" s="4" t="s">
        <v>1340</v>
      </c>
      <c r="C649" s="3" t="s">
        <v>81</v>
      </c>
      <c r="D649" s="3"/>
      <c r="E649" s="3" t="str">
        <f>VLOOKUP(B649,[1]general_report!$B$1:$I$713,8,0)</f>
        <v xml:space="preserve">TAM </v>
      </c>
      <c r="F649" s="3" t="str">
        <f>VLOOKUP(B649,[1]general_report!$B$1:$J$713,9,0)</f>
        <v xml:space="preserve"> Reservas</v>
      </c>
      <c r="G649" s="3" t="s">
        <v>1341</v>
      </c>
      <c r="H649" s="3" t="s">
        <v>1341</v>
      </c>
      <c r="I649" s="3" t="s">
        <v>27</v>
      </c>
      <c r="J649" s="5">
        <v>42206.390277777777</v>
      </c>
      <c r="K649" s="5">
        <v>42396.62222222222</v>
      </c>
      <c r="L649" s="11">
        <f t="shared" ca="1" si="40"/>
        <v>190.2319444444438</v>
      </c>
      <c r="M649" s="1">
        <f t="shared" si="41"/>
        <v>7</v>
      </c>
      <c r="N649" s="1">
        <f t="shared" si="42"/>
        <v>2015</v>
      </c>
      <c r="O649" s="1" t="str">
        <f t="shared" ca="1" si="43"/>
        <v>mais de 150 dias</v>
      </c>
    </row>
    <row r="650" spans="1:15" ht="38.25" x14ac:dyDescent="0.2">
      <c r="A650" s="3" t="s">
        <v>8</v>
      </c>
      <c r="B650" s="4" t="s">
        <v>1342</v>
      </c>
      <c r="C650" s="3" t="s">
        <v>1343</v>
      </c>
      <c r="D650" s="3"/>
      <c r="E650" s="3" t="str">
        <f>VLOOKUP(B650,[1]general_report!$B$1:$I$713,8,0)</f>
        <v xml:space="preserve">ELEKTRO </v>
      </c>
      <c r="F650" s="3" t="str">
        <f>VLOOKUP(B650,[1]general_report!$B$1:$J$713,9,0)</f>
        <v xml:space="preserve"> ELEKTRO</v>
      </c>
      <c r="G650" s="3" t="s">
        <v>18</v>
      </c>
      <c r="H650" s="3" t="s">
        <v>1344</v>
      </c>
      <c r="I650" s="3" t="s">
        <v>13</v>
      </c>
      <c r="J650" s="5">
        <v>42342.477083333331</v>
      </c>
      <c r="K650" s="3"/>
      <c r="L650" s="11">
        <f t="shared" ca="1" si="40"/>
        <v>90.522916666668607</v>
      </c>
      <c r="M650" s="1">
        <f t="shared" si="41"/>
        <v>12</v>
      </c>
      <c r="N650" s="1">
        <f t="shared" si="42"/>
        <v>2015</v>
      </c>
      <c r="O650" s="1" t="str">
        <f t="shared" ca="1" si="43"/>
        <v>entre 90 e 150 dias</v>
      </c>
    </row>
    <row r="651" spans="1:15" ht="25.5" x14ac:dyDescent="0.2">
      <c r="A651" s="3" t="s">
        <v>8</v>
      </c>
      <c r="B651" s="4" t="s">
        <v>1345</v>
      </c>
      <c r="C651" s="3" t="s">
        <v>1346</v>
      </c>
      <c r="D651" s="3"/>
      <c r="E651" s="3" t="str">
        <f>VLOOKUP(B651,[1]general_report!$B$1:$I$713,8,0)</f>
        <v xml:space="preserve">ELEKTRO </v>
      </c>
      <c r="F651" s="3" t="str">
        <f>VLOOKUP(B651,[1]general_report!$B$1:$J$713,9,0)</f>
        <v xml:space="preserve"> ELEKTRO</v>
      </c>
      <c r="G651" s="3" t="s">
        <v>18</v>
      </c>
      <c r="H651" s="3" t="s">
        <v>1344</v>
      </c>
      <c r="I651" s="3" t="s">
        <v>13</v>
      </c>
      <c r="J651" s="5">
        <v>42342.466666666667</v>
      </c>
      <c r="K651" s="3"/>
      <c r="L651" s="11">
        <f t="shared" ca="1" si="40"/>
        <v>90.533333333332848</v>
      </c>
      <c r="M651" s="1">
        <f t="shared" si="41"/>
        <v>12</v>
      </c>
      <c r="N651" s="1">
        <f t="shared" si="42"/>
        <v>2015</v>
      </c>
      <c r="O651" s="1" t="str">
        <f t="shared" ca="1" si="43"/>
        <v>entre 90 e 150 dias</v>
      </c>
    </row>
    <row r="652" spans="1:15" ht="25.5" x14ac:dyDescent="0.2">
      <c r="A652" s="3" t="s">
        <v>8</v>
      </c>
      <c r="B652" s="4" t="s">
        <v>1347</v>
      </c>
      <c r="C652" s="3" t="s">
        <v>337</v>
      </c>
      <c r="D652" s="3"/>
      <c r="E652" s="3" t="str">
        <f>VLOOKUP(B652,[1]general_report!$B$1:$I$713,8,0)</f>
        <v xml:space="preserve">ELEKTRO </v>
      </c>
      <c r="F652" s="3" t="str">
        <f>VLOOKUP(B652,[1]general_report!$B$1:$J$713,9,0)</f>
        <v xml:space="preserve"> ELEKTRO</v>
      </c>
      <c r="G652" s="3" t="s">
        <v>18</v>
      </c>
      <c r="H652" s="3" t="s">
        <v>1344</v>
      </c>
      <c r="I652" s="3" t="s">
        <v>13</v>
      </c>
      <c r="J652" s="5">
        <v>42312.462500000001</v>
      </c>
      <c r="K652" s="3"/>
      <c r="L652" s="11">
        <f t="shared" ca="1" si="40"/>
        <v>120.53749999999854</v>
      </c>
      <c r="M652" s="1">
        <f t="shared" si="41"/>
        <v>11</v>
      </c>
      <c r="N652" s="1">
        <f t="shared" si="42"/>
        <v>2015</v>
      </c>
      <c r="O652" s="1" t="str">
        <f t="shared" ca="1" si="43"/>
        <v>entre 90 e 150 dias</v>
      </c>
    </row>
    <row r="653" spans="1:15" ht="25.5" x14ac:dyDescent="0.2">
      <c r="A653" s="3" t="s">
        <v>8</v>
      </c>
      <c r="B653" s="4" t="s">
        <v>1348</v>
      </c>
      <c r="C653" s="3" t="s">
        <v>1349</v>
      </c>
      <c r="D653" s="3"/>
      <c r="E653" s="3" t="str">
        <f>VLOOKUP(B653,[1]general_report!$B$1:$I$713,8,0)</f>
        <v xml:space="preserve">ELEKTRO </v>
      </c>
      <c r="F653" s="3" t="str">
        <f>VLOOKUP(B653,[1]general_report!$B$1:$J$713,9,0)</f>
        <v xml:space="preserve"> ELEKTRO</v>
      </c>
      <c r="G653" s="3" t="s">
        <v>419</v>
      </c>
      <c r="H653" s="3" t="s">
        <v>1344</v>
      </c>
      <c r="I653" s="3" t="s">
        <v>48</v>
      </c>
      <c r="J653" s="5">
        <v>42173.709027777775</v>
      </c>
      <c r="K653" s="3"/>
      <c r="L653" s="11">
        <f t="shared" ca="1" si="40"/>
        <v>259.29097222222481</v>
      </c>
      <c r="M653" s="1">
        <f t="shared" si="41"/>
        <v>6</v>
      </c>
      <c r="N653" s="1">
        <f t="shared" si="42"/>
        <v>2015</v>
      </c>
      <c r="O653" s="1" t="str">
        <f t="shared" ca="1" si="43"/>
        <v>mais de 150 dias</v>
      </c>
    </row>
    <row r="654" spans="1:15" ht="15" x14ac:dyDescent="0.2">
      <c r="A654" s="3" t="s">
        <v>8</v>
      </c>
      <c r="B654" s="4" t="s">
        <v>1350</v>
      </c>
      <c r="C654" s="3" t="s">
        <v>1351</v>
      </c>
      <c r="D654" s="3"/>
      <c r="E654" s="3" t="str">
        <f>VLOOKUP(B654,[1]general_report!$B$1:$I$713,8,0)</f>
        <v xml:space="preserve">ELEKTRO </v>
      </c>
      <c r="F654" s="3" t="str">
        <f>VLOOKUP(B654,[1]general_report!$B$1:$J$713,9,0)</f>
        <v xml:space="preserve"> ELEKTRO</v>
      </c>
      <c r="G654" s="3" t="s">
        <v>18</v>
      </c>
      <c r="H654" s="3" t="s">
        <v>1344</v>
      </c>
      <c r="I654" s="3" t="s">
        <v>48</v>
      </c>
      <c r="J654" s="5">
        <v>42152.689583333333</v>
      </c>
      <c r="K654" s="3"/>
      <c r="L654" s="11">
        <f t="shared" ca="1" si="40"/>
        <v>280.31041666666715</v>
      </c>
      <c r="M654" s="1">
        <f t="shared" si="41"/>
        <v>5</v>
      </c>
      <c r="N654" s="1">
        <f t="shared" si="42"/>
        <v>2015</v>
      </c>
      <c r="O654" s="1" t="str">
        <f t="shared" ca="1" si="43"/>
        <v>mais de 150 dias</v>
      </c>
    </row>
    <row r="655" spans="1:15" ht="25.5" x14ac:dyDescent="0.2">
      <c r="A655" s="3" t="s">
        <v>8</v>
      </c>
      <c r="B655" s="4" t="s">
        <v>1352</v>
      </c>
      <c r="C655" s="3" t="s">
        <v>1353</v>
      </c>
      <c r="D655" s="3"/>
      <c r="E655" s="3" t="str">
        <f>VLOOKUP(B655,[1]general_report!$B$1:$I$713,8,0)</f>
        <v xml:space="preserve">Contax </v>
      </c>
      <c r="F655" s="3" t="str">
        <f>VLOOKUP(B655,[1]general_report!$B$1:$J$713,9,0)</f>
        <v xml:space="preserve"> Dir. Oi</v>
      </c>
      <c r="G655" s="3" t="s">
        <v>402</v>
      </c>
      <c r="H655" s="3" t="s">
        <v>26</v>
      </c>
      <c r="I655" s="3" t="s">
        <v>207</v>
      </c>
      <c r="J655" s="5">
        <v>42403.615972222222</v>
      </c>
      <c r="K655" s="3"/>
      <c r="L655" s="11">
        <f t="shared" ca="1" si="40"/>
        <v>29.384027777778101</v>
      </c>
      <c r="M655" s="1">
        <f t="shared" si="41"/>
        <v>2</v>
      </c>
      <c r="N655" s="1">
        <f t="shared" si="42"/>
        <v>2016</v>
      </c>
      <c r="O655" s="1" t="str">
        <f t="shared" ca="1" si="43"/>
        <v>menos 1 mês</v>
      </c>
    </row>
    <row r="656" spans="1:15" ht="25.5" x14ac:dyDescent="0.2">
      <c r="A656" s="3" t="s">
        <v>8</v>
      </c>
      <c r="B656" s="4" t="s">
        <v>1354</v>
      </c>
      <c r="C656" s="3" t="s">
        <v>337</v>
      </c>
      <c r="D656" s="3"/>
      <c r="E656" s="3" t="str">
        <f>VLOOKUP(B656,[1]general_report!$B$1:$I$713,8,0)</f>
        <v xml:space="preserve">Contax </v>
      </c>
      <c r="F656" s="3" t="str">
        <f>VLOOKUP(B656,[1]general_report!$B$1:$J$713,9,0)</f>
        <v xml:space="preserve"> Dir. Oi</v>
      </c>
      <c r="G656" s="3" t="s">
        <v>603</v>
      </c>
      <c r="H656" s="3" t="s">
        <v>725</v>
      </c>
      <c r="I656" s="3" t="s">
        <v>13</v>
      </c>
      <c r="J656" s="5">
        <v>42320.402083333334</v>
      </c>
      <c r="K656" s="3"/>
      <c r="L656" s="11">
        <f t="shared" ca="1" si="40"/>
        <v>112.5979166666657</v>
      </c>
      <c r="M656" s="1">
        <f t="shared" si="41"/>
        <v>11</v>
      </c>
      <c r="N656" s="1">
        <f t="shared" si="42"/>
        <v>2015</v>
      </c>
      <c r="O656" s="1" t="str">
        <f t="shared" ca="1" si="43"/>
        <v>entre 90 e 150 dias</v>
      </c>
    </row>
    <row r="657" spans="1:15" ht="25.5" x14ac:dyDescent="0.2">
      <c r="A657" s="3" t="s">
        <v>8</v>
      </c>
      <c r="B657" s="4" t="s">
        <v>1355</v>
      </c>
      <c r="C657" s="3" t="s">
        <v>1356</v>
      </c>
      <c r="D657" s="3"/>
      <c r="E657" s="3" t="str">
        <f>VLOOKUP(B657,[1]general_report!$B$1:$I$713,8,0)</f>
        <v xml:space="preserve">Oi </v>
      </c>
      <c r="F657" s="3" t="str">
        <f>VLOOKUP(B657,[1]general_report!$B$1:$J$713,9,0)</f>
        <v xml:space="preserve"> Cobrança</v>
      </c>
      <c r="G657" s="3" t="s">
        <v>11</v>
      </c>
      <c r="H657" s="3" t="s">
        <v>931</v>
      </c>
      <c r="I657" s="3" t="s">
        <v>13</v>
      </c>
      <c r="J657" s="5">
        <v>42412.481249999997</v>
      </c>
      <c r="K657" s="3"/>
      <c r="L657" s="11">
        <f t="shared" ca="1" si="40"/>
        <v>20.51875000000291</v>
      </c>
      <c r="M657" s="1">
        <f t="shared" si="41"/>
        <v>2</v>
      </c>
      <c r="N657" s="1">
        <f t="shared" si="42"/>
        <v>2016</v>
      </c>
      <c r="O657" s="1" t="str">
        <f t="shared" ca="1" si="43"/>
        <v>menos 1 mês</v>
      </c>
    </row>
    <row r="658" spans="1:15" ht="25.5" x14ac:dyDescent="0.2">
      <c r="A658" s="3" t="s">
        <v>8</v>
      </c>
      <c r="B658" s="4" t="s">
        <v>1357</v>
      </c>
      <c r="C658" s="3" t="s">
        <v>1358</v>
      </c>
      <c r="D658" s="3"/>
      <c r="E658" s="3" t="str">
        <f>VLOOKUP(B658,[1]general_report!$B$1:$I$713,8,0)</f>
        <v xml:space="preserve">Oi </v>
      </c>
      <c r="F658" s="3" t="str">
        <f>VLOOKUP(B658,[1]general_report!$B$1:$J$713,9,0)</f>
        <v xml:space="preserve"> Cobrança</v>
      </c>
      <c r="G658" s="3" t="s">
        <v>11</v>
      </c>
      <c r="H658" s="3" t="s">
        <v>689</v>
      </c>
      <c r="I658" s="3" t="s">
        <v>13</v>
      </c>
      <c r="J658" s="5">
        <v>42411.398611111108</v>
      </c>
      <c r="K658" s="3"/>
      <c r="L658" s="11">
        <f t="shared" ca="1" si="40"/>
        <v>21.601388888891961</v>
      </c>
      <c r="M658" s="1">
        <f t="shared" si="41"/>
        <v>2</v>
      </c>
      <c r="N658" s="1">
        <f t="shared" si="42"/>
        <v>2016</v>
      </c>
      <c r="O658" s="1" t="str">
        <f t="shared" ca="1" si="43"/>
        <v>menos 1 mês</v>
      </c>
    </row>
    <row r="659" spans="1:15" ht="25.5" x14ac:dyDescent="0.2">
      <c r="A659" s="3" t="s">
        <v>8</v>
      </c>
      <c r="B659" s="4" t="s">
        <v>1359</v>
      </c>
      <c r="C659" s="3" t="s">
        <v>1360</v>
      </c>
      <c r="D659" s="3"/>
      <c r="E659" s="3" t="str">
        <f>VLOOKUP(B659,[1]general_report!$B$1:$I$713,8,0)</f>
        <v xml:space="preserve">Oi </v>
      </c>
      <c r="F659" s="3" t="str">
        <f>VLOOKUP(B659,[1]general_report!$B$1:$J$713,9,0)</f>
        <v xml:space="preserve"> Cobrança</v>
      </c>
      <c r="G659" s="3" t="s">
        <v>11</v>
      </c>
      <c r="H659" s="3" t="s">
        <v>689</v>
      </c>
      <c r="I659" s="3" t="s">
        <v>13</v>
      </c>
      <c r="J659" s="5">
        <v>42411.397222222222</v>
      </c>
      <c r="K659" s="3"/>
      <c r="L659" s="11">
        <f t="shared" ca="1" si="40"/>
        <v>21.602777777778101</v>
      </c>
      <c r="M659" s="1">
        <f t="shared" si="41"/>
        <v>2</v>
      </c>
      <c r="N659" s="1">
        <f t="shared" si="42"/>
        <v>2016</v>
      </c>
      <c r="O659" s="1" t="str">
        <f t="shared" ca="1" si="43"/>
        <v>menos 1 mês</v>
      </c>
    </row>
    <row r="660" spans="1:15" ht="25.5" x14ac:dyDescent="0.2">
      <c r="A660" s="3" t="s">
        <v>8</v>
      </c>
      <c r="B660" s="4" t="s">
        <v>1361</v>
      </c>
      <c r="C660" s="3" t="s">
        <v>337</v>
      </c>
      <c r="D660" s="3"/>
      <c r="E660" s="3" t="str">
        <f>VLOOKUP(B660,[1]general_report!$B$1:$I$713,8,0)</f>
        <v xml:space="preserve">Oi </v>
      </c>
      <c r="F660" s="3" t="str">
        <f>VLOOKUP(B660,[1]general_report!$B$1:$J$713,9,0)</f>
        <v xml:space="preserve"> Cobrança</v>
      </c>
      <c r="G660" s="3" t="s">
        <v>11</v>
      </c>
      <c r="H660" s="3" t="s">
        <v>689</v>
      </c>
      <c r="I660" s="3" t="s">
        <v>13</v>
      </c>
      <c r="J660" s="5">
        <v>42411.395138888889</v>
      </c>
      <c r="K660" s="3"/>
      <c r="L660" s="11">
        <f t="shared" ca="1" si="40"/>
        <v>21.604861111110949</v>
      </c>
      <c r="M660" s="1">
        <f t="shared" si="41"/>
        <v>2</v>
      </c>
      <c r="N660" s="1">
        <f t="shared" si="42"/>
        <v>2016</v>
      </c>
      <c r="O660" s="1" t="str">
        <f t="shared" ca="1" si="43"/>
        <v>menos 1 mês</v>
      </c>
    </row>
    <row r="661" spans="1:15" ht="25.5" x14ac:dyDescent="0.2">
      <c r="A661" s="3" t="s">
        <v>8</v>
      </c>
      <c r="B661" s="4" t="s">
        <v>1362</v>
      </c>
      <c r="C661" s="3" t="s">
        <v>1363</v>
      </c>
      <c r="D661" s="3"/>
      <c r="E661" s="3" t="str">
        <f>VLOOKUP(B661,[1]general_report!$B$1:$I$713,8,0)</f>
        <v xml:space="preserve">Oi </v>
      </c>
      <c r="F661" s="3" t="str">
        <f>VLOOKUP(B661,[1]general_report!$B$1:$J$713,9,0)</f>
        <v xml:space="preserve"> Retenção Empresarial</v>
      </c>
      <c r="G661" s="3" t="s">
        <v>11</v>
      </c>
      <c r="H661" s="3" t="s">
        <v>931</v>
      </c>
      <c r="I661" s="3" t="s">
        <v>13</v>
      </c>
      <c r="J661" s="5">
        <v>42397.600694444445</v>
      </c>
      <c r="K661" s="3"/>
      <c r="L661" s="11">
        <f t="shared" ca="1" si="40"/>
        <v>35.399305555554747</v>
      </c>
      <c r="M661" s="1">
        <f t="shared" si="41"/>
        <v>1</v>
      </c>
      <c r="N661" s="1">
        <f t="shared" si="42"/>
        <v>2016</v>
      </c>
      <c r="O661" s="1" t="str">
        <f t="shared" ca="1" si="43"/>
        <v>entre 30 e 60 dias</v>
      </c>
    </row>
    <row r="662" spans="1:15" ht="15" x14ac:dyDescent="0.2">
      <c r="A662" s="3" t="s">
        <v>8</v>
      </c>
      <c r="B662" s="4" t="s">
        <v>1364</v>
      </c>
      <c r="C662" s="3" t="s">
        <v>1365</v>
      </c>
      <c r="D662" s="3"/>
      <c r="E662" s="3" t="str">
        <f>VLOOKUP(B662,[1]general_report!$B$1:$I$713,8,0)</f>
        <v xml:space="preserve">Contax </v>
      </c>
      <c r="F662" s="3" t="str">
        <f>VLOOKUP(B662,[1]general_report!$B$1:$J$713,9,0)</f>
        <v xml:space="preserve"> Dir. Oi</v>
      </c>
      <c r="G662" s="3" t="s">
        <v>18</v>
      </c>
      <c r="H662" s="3" t="s">
        <v>939</v>
      </c>
      <c r="I662" s="3" t="s">
        <v>13</v>
      </c>
      <c r="J662" s="5">
        <v>42356.761111111111</v>
      </c>
      <c r="K662" s="3"/>
      <c r="L662" s="11">
        <f t="shared" ca="1" si="40"/>
        <v>76.238888888889051</v>
      </c>
      <c r="M662" s="1">
        <f t="shared" si="41"/>
        <v>12</v>
      </c>
      <c r="N662" s="1">
        <f t="shared" si="42"/>
        <v>2015</v>
      </c>
      <c r="O662" s="1" t="str">
        <f t="shared" ca="1" si="43"/>
        <v>entre 60 e 90 dias</v>
      </c>
    </row>
    <row r="663" spans="1:15" ht="15" x14ac:dyDescent="0.2">
      <c r="A663" s="3" t="s">
        <v>8</v>
      </c>
      <c r="B663" s="4" t="s">
        <v>1366</v>
      </c>
      <c r="C663" s="3" t="s">
        <v>1367</v>
      </c>
      <c r="D663" s="3"/>
      <c r="E663" s="3" t="str">
        <f>VLOOKUP(B663,[1]general_report!$B$1:$I$713,8,0)</f>
        <v xml:space="preserve">Contax </v>
      </c>
      <c r="F663" s="3" t="str">
        <f>VLOOKUP(B663,[1]general_report!$B$1:$J$713,9,0)</f>
        <v xml:space="preserve"> Dir. Oi</v>
      </c>
      <c r="G663" s="3" t="s">
        <v>18</v>
      </c>
      <c r="H663" s="3" t="s">
        <v>939</v>
      </c>
      <c r="I663" s="3" t="s">
        <v>13</v>
      </c>
      <c r="J663" s="5">
        <v>42340.847916666666</v>
      </c>
      <c r="K663" s="3"/>
      <c r="L663" s="11">
        <f t="shared" ca="1" si="40"/>
        <v>92.152083333334303</v>
      </c>
      <c r="M663" s="1">
        <f t="shared" si="41"/>
        <v>12</v>
      </c>
      <c r="N663" s="1">
        <f t="shared" si="42"/>
        <v>2015</v>
      </c>
      <c r="O663" s="1" t="str">
        <f t="shared" ca="1" si="43"/>
        <v>entre 90 e 150 dias</v>
      </c>
    </row>
    <row r="664" spans="1:15" ht="25.5" x14ac:dyDescent="0.2">
      <c r="A664" s="3" t="s">
        <v>8</v>
      </c>
      <c r="B664" s="4" t="s">
        <v>1368</v>
      </c>
      <c r="C664" s="3" t="s">
        <v>1369</v>
      </c>
      <c r="D664" s="3"/>
      <c r="E664" s="3" t="str">
        <f>VLOOKUP(B664,[1]general_report!$B$1:$I$713,8,0)</f>
        <v xml:space="preserve">Oi </v>
      </c>
      <c r="F664" s="3" t="str">
        <f>VLOOKUP(B664,[1]general_report!$B$1:$J$713,9,0)</f>
        <v xml:space="preserve"> Back Office</v>
      </c>
      <c r="G664" s="3" t="s">
        <v>1370</v>
      </c>
      <c r="H664" s="3" t="s">
        <v>1370</v>
      </c>
      <c r="I664" s="3" t="s">
        <v>27</v>
      </c>
      <c r="J664" s="5">
        <v>42321.507638888892</v>
      </c>
      <c r="K664" s="5">
        <v>42355.584027777775</v>
      </c>
      <c r="L664" s="11">
        <f t="shared" ca="1" si="40"/>
        <v>34.07638888888323</v>
      </c>
      <c r="M664" s="1">
        <f t="shared" si="41"/>
        <v>11</v>
      </c>
      <c r="N664" s="1">
        <f t="shared" si="42"/>
        <v>2015</v>
      </c>
      <c r="O664" s="1" t="str">
        <f t="shared" ca="1" si="43"/>
        <v>entre 30 e 60 dias</v>
      </c>
    </row>
    <row r="665" spans="1:15" ht="25.5" x14ac:dyDescent="0.2">
      <c r="A665" s="3" t="s">
        <v>8</v>
      </c>
      <c r="B665" s="4" t="s">
        <v>1371</v>
      </c>
      <c r="C665" s="3" t="s">
        <v>1372</v>
      </c>
      <c r="D665" s="3"/>
      <c r="E665" s="3" t="str">
        <f>VLOOKUP(B665,[1]general_report!$B$1:$I$713,8,0)</f>
        <v xml:space="preserve">Contax </v>
      </c>
      <c r="F665" s="3" t="str">
        <f>VLOOKUP(B665,[1]general_report!$B$1:$J$713,9,0)</f>
        <v xml:space="preserve"> Dir. Oi</v>
      </c>
      <c r="G665" s="3" t="s">
        <v>603</v>
      </c>
      <c r="H665" s="3" t="s">
        <v>720</v>
      </c>
      <c r="I665" s="3" t="s">
        <v>13</v>
      </c>
      <c r="J665" s="5">
        <v>42318.784722222219</v>
      </c>
      <c r="K665" s="3"/>
      <c r="L665" s="11">
        <f t="shared" ca="1" si="40"/>
        <v>114.21527777778101</v>
      </c>
      <c r="M665" s="1">
        <f t="shared" si="41"/>
        <v>11</v>
      </c>
      <c r="N665" s="1">
        <f t="shared" si="42"/>
        <v>2015</v>
      </c>
      <c r="O665" s="1" t="str">
        <f t="shared" ca="1" si="43"/>
        <v>entre 90 e 150 dias</v>
      </c>
    </row>
    <row r="666" spans="1:15" ht="38.25" x14ac:dyDescent="0.2">
      <c r="A666" s="3" t="s">
        <v>8</v>
      </c>
      <c r="B666" s="4" t="s">
        <v>1373</v>
      </c>
      <c r="C666" s="3" t="s">
        <v>1374</v>
      </c>
      <c r="D666" s="3"/>
      <c r="E666" s="3" t="str">
        <f>VLOOKUP(B666,[1]general_report!$B$1:$I$713,8,0)</f>
        <v xml:space="preserve">Contax </v>
      </c>
      <c r="F666" s="3" t="str">
        <f>VLOOKUP(B666,[1]general_report!$B$1:$J$713,9,0)</f>
        <v xml:space="preserve"> Dir. Oi</v>
      </c>
      <c r="G666" s="3" t="s">
        <v>603</v>
      </c>
      <c r="H666" s="3" t="s">
        <v>704</v>
      </c>
      <c r="I666" s="3" t="s">
        <v>13</v>
      </c>
      <c r="J666" s="5">
        <v>42318.497916666667</v>
      </c>
      <c r="K666" s="3"/>
      <c r="L666" s="11">
        <f t="shared" ca="1" si="40"/>
        <v>114.50208333333285</v>
      </c>
      <c r="M666" s="1">
        <f t="shared" si="41"/>
        <v>11</v>
      </c>
      <c r="N666" s="1">
        <f t="shared" si="42"/>
        <v>2015</v>
      </c>
      <c r="O666" s="1" t="str">
        <f t="shared" ca="1" si="43"/>
        <v>entre 90 e 150 dias</v>
      </c>
    </row>
    <row r="667" spans="1:15" ht="25.5" x14ac:dyDescent="0.2">
      <c r="A667" s="3" t="s">
        <v>8</v>
      </c>
      <c r="B667" s="4" t="s">
        <v>1375</v>
      </c>
      <c r="C667" s="3" t="s">
        <v>1376</v>
      </c>
      <c r="D667" s="3"/>
      <c r="E667" s="3" t="str">
        <f>VLOOKUP(B667,[1]general_report!$B$1:$I$713,8,0)</f>
        <v xml:space="preserve">Contax </v>
      </c>
      <c r="F667" s="3" t="str">
        <f>VLOOKUP(B667,[1]general_report!$B$1:$J$713,9,0)</f>
        <v xml:space="preserve"> Ger Estratégia e Análise</v>
      </c>
      <c r="G667" s="3" t="s">
        <v>419</v>
      </c>
      <c r="H667" s="3" t="s">
        <v>1377</v>
      </c>
      <c r="I667" s="3" t="s">
        <v>207</v>
      </c>
      <c r="J667" s="5">
        <v>42276.376388888886</v>
      </c>
      <c r="K667" s="3"/>
      <c r="L667" s="11">
        <f t="shared" ca="1" si="40"/>
        <v>156.62361111111386</v>
      </c>
      <c r="M667" s="1">
        <f t="shared" si="41"/>
        <v>9</v>
      </c>
      <c r="N667" s="1">
        <f t="shared" si="42"/>
        <v>2015</v>
      </c>
      <c r="O667" s="1" t="str">
        <f t="shared" ca="1" si="43"/>
        <v>mais de 150 dias</v>
      </c>
    </row>
    <row r="668" spans="1:15" ht="15" x14ac:dyDescent="0.2">
      <c r="A668" s="3" t="s">
        <v>8</v>
      </c>
      <c r="B668" s="4" t="s">
        <v>1378</v>
      </c>
      <c r="C668" s="3" t="s">
        <v>81</v>
      </c>
      <c r="D668" s="3"/>
      <c r="E668" s="3" t="str">
        <f>VLOOKUP(B668,[1]general_report!$B$1:$I$713,8,0)</f>
        <v xml:space="preserve">Contax </v>
      </c>
      <c r="F668" s="3" t="str">
        <f>VLOOKUP(B668,[1]general_report!$B$1:$J$713,9,0)</f>
        <v xml:space="preserve"> Dir. Oi</v>
      </c>
      <c r="G668" s="3" t="s">
        <v>704</v>
      </c>
      <c r="H668" s="3" t="s">
        <v>704</v>
      </c>
      <c r="I668" s="3" t="s">
        <v>27</v>
      </c>
      <c r="J668" s="5">
        <v>42237.763194444444</v>
      </c>
      <c r="K668" s="5">
        <v>42401.560416666667</v>
      </c>
      <c r="L668" s="11">
        <f t="shared" ca="1" si="40"/>
        <v>163.79722222222335</v>
      </c>
      <c r="M668" s="1">
        <f t="shared" si="41"/>
        <v>8</v>
      </c>
      <c r="N668" s="1">
        <f t="shared" si="42"/>
        <v>2015</v>
      </c>
      <c r="O668" s="1" t="str">
        <f t="shared" ca="1" si="43"/>
        <v>mais de 150 dias</v>
      </c>
    </row>
    <row r="669" spans="1:15" ht="25.5" x14ac:dyDescent="0.2">
      <c r="A669" s="3" t="s">
        <v>8</v>
      </c>
      <c r="B669" s="4" t="s">
        <v>1379</v>
      </c>
      <c r="C669" s="3" t="s">
        <v>1380</v>
      </c>
      <c r="D669" s="3"/>
      <c r="E669" s="3" t="str">
        <f>VLOOKUP(B669,[1]general_report!$B$1:$I$713,8,0)</f>
        <v xml:space="preserve">Oi </v>
      </c>
      <c r="F669" s="3" t="str">
        <f>VLOOKUP(B669,[1]general_report!$B$1:$J$713,9,0)</f>
        <v xml:space="preserve"> Cobrança</v>
      </c>
      <c r="G669" s="3" t="s">
        <v>931</v>
      </c>
      <c r="H669" s="3" t="s">
        <v>931</v>
      </c>
      <c r="I669" s="3" t="s">
        <v>27</v>
      </c>
      <c r="J669" s="5">
        <v>42186.739583333336</v>
      </c>
      <c r="K669" s="5">
        <v>42398.484027777777</v>
      </c>
      <c r="L669" s="11">
        <f t="shared" ca="1" si="40"/>
        <v>211.74444444444089</v>
      </c>
      <c r="M669" s="1">
        <f t="shared" si="41"/>
        <v>7</v>
      </c>
      <c r="N669" s="1">
        <f t="shared" si="42"/>
        <v>2015</v>
      </c>
      <c r="O669" s="1" t="str">
        <f t="shared" ca="1" si="43"/>
        <v>mais de 150 dias</v>
      </c>
    </row>
    <row r="670" spans="1:15" ht="25.5" x14ac:dyDescent="0.2">
      <c r="A670" s="3" t="s">
        <v>8</v>
      </c>
      <c r="B670" s="4" t="s">
        <v>1381</v>
      </c>
      <c r="C670" s="3" t="s">
        <v>81</v>
      </c>
      <c r="D670" s="3"/>
      <c r="E670" s="3" t="str">
        <f>VLOOKUP(B670,[1]general_report!$B$1:$I$713,8,0)</f>
        <v xml:space="preserve">Contax </v>
      </c>
      <c r="F670" s="3" t="str">
        <f>VLOOKUP(B670,[1]general_report!$B$1:$J$713,9,0)</f>
        <v xml:space="preserve"> Ger Segurança Patrimonial</v>
      </c>
      <c r="G670" s="3" t="s">
        <v>419</v>
      </c>
      <c r="H670" s="3" t="s">
        <v>1382</v>
      </c>
      <c r="I670" s="3" t="s">
        <v>48</v>
      </c>
      <c r="J670" s="5">
        <v>42142.704861111109</v>
      </c>
      <c r="K670" s="3"/>
      <c r="L670" s="11">
        <f t="shared" ca="1" si="40"/>
        <v>290.29513888889051</v>
      </c>
      <c r="M670" s="1">
        <f t="shared" si="41"/>
        <v>5</v>
      </c>
      <c r="N670" s="1">
        <f t="shared" si="42"/>
        <v>2015</v>
      </c>
      <c r="O670" s="1" t="str">
        <f t="shared" ca="1" si="43"/>
        <v>mais de 150 dias</v>
      </c>
    </row>
    <row r="671" spans="1:15" ht="15" x14ac:dyDescent="0.2">
      <c r="A671" s="3" t="s">
        <v>8</v>
      </c>
      <c r="B671" s="4" t="s">
        <v>1383</v>
      </c>
      <c r="C671" s="3" t="s">
        <v>81</v>
      </c>
      <c r="D671" s="3"/>
      <c r="E671" s="3" t="str">
        <f>VLOOKUP(B671,[1]general_report!$B$1:$I$713,8,0)</f>
        <v xml:space="preserve">Contax </v>
      </c>
      <c r="F671" s="3" t="str">
        <f>VLOOKUP(B671,[1]general_report!$B$1:$J$713,9,0)</f>
        <v xml:space="preserve"> Ger Governança de TI</v>
      </c>
      <c r="G671" s="3" t="s">
        <v>206</v>
      </c>
      <c r="H671" s="3" t="s">
        <v>267</v>
      </c>
      <c r="I671" s="3" t="s">
        <v>48</v>
      </c>
      <c r="J671" s="5">
        <v>42136.785416666666</v>
      </c>
      <c r="K671" s="3"/>
      <c r="L671" s="11">
        <f t="shared" ca="1" si="40"/>
        <v>296.2145833333343</v>
      </c>
      <c r="M671" s="1">
        <f t="shared" si="41"/>
        <v>5</v>
      </c>
      <c r="N671" s="1">
        <f t="shared" si="42"/>
        <v>2015</v>
      </c>
      <c r="O671" s="1" t="str">
        <f t="shared" ca="1" si="43"/>
        <v>mais de 150 dias</v>
      </c>
    </row>
    <row r="672" spans="1:15" ht="15" x14ac:dyDescent="0.2">
      <c r="A672" s="3" t="s">
        <v>8</v>
      </c>
      <c r="B672" s="4" t="s">
        <v>1384</v>
      </c>
      <c r="C672" s="3" t="s">
        <v>81</v>
      </c>
      <c r="D672" s="3"/>
      <c r="E672" s="3" t="str">
        <f>VLOOKUP(B672,[1]general_report!$B$1:$I$713,8,0)</f>
        <v xml:space="preserve">Oi </v>
      </c>
      <c r="F672" s="3" t="str">
        <f>VLOOKUP(B672,[1]general_report!$B$1:$J$713,9,0)</f>
        <v xml:space="preserve"> Outras Atividades</v>
      </c>
      <c r="G672" s="3" t="s">
        <v>1385</v>
      </c>
      <c r="H672" s="3" t="s">
        <v>1385</v>
      </c>
      <c r="I672" s="3" t="s">
        <v>27</v>
      </c>
      <c r="J672" s="5">
        <v>42076.447916666664</v>
      </c>
      <c r="K672" s="5">
        <v>42355.570138888892</v>
      </c>
      <c r="L672" s="11">
        <f t="shared" ca="1" si="40"/>
        <v>279.12222222222772</v>
      </c>
      <c r="M672" s="1">
        <f t="shared" si="41"/>
        <v>3</v>
      </c>
      <c r="N672" s="1">
        <f t="shared" si="42"/>
        <v>2015</v>
      </c>
      <c r="O672" s="1" t="str">
        <f t="shared" ca="1" si="43"/>
        <v>mais de 150 dias</v>
      </c>
    </row>
    <row r="673" spans="1:15" ht="25.5" x14ac:dyDescent="0.2">
      <c r="A673" s="3" t="s">
        <v>8</v>
      </c>
      <c r="B673" s="4" t="s">
        <v>1386</v>
      </c>
      <c r="C673" s="3" t="s">
        <v>1387</v>
      </c>
      <c r="D673" s="3"/>
      <c r="E673" s="3" t="str">
        <f>VLOOKUP(B673,[1]general_report!$B$1:$I$713,8,0)</f>
        <v xml:space="preserve">Oi </v>
      </c>
      <c r="F673" s="3" t="str">
        <f>VLOOKUP(B673,[1]general_report!$B$1:$J$713,9,0)</f>
        <v xml:space="preserve"> Outras Atividades</v>
      </c>
      <c r="G673" s="3" t="s">
        <v>1385</v>
      </c>
      <c r="H673" s="3" t="s">
        <v>1385</v>
      </c>
      <c r="I673" s="3" t="s">
        <v>27</v>
      </c>
      <c r="J673" s="5">
        <v>42031.676388888889</v>
      </c>
      <c r="K673" s="5">
        <v>42355.589583333334</v>
      </c>
      <c r="L673" s="11">
        <f t="shared" ca="1" si="40"/>
        <v>323.91319444444525</v>
      </c>
      <c r="M673" s="1">
        <f t="shared" si="41"/>
        <v>1</v>
      </c>
      <c r="N673" s="1">
        <f t="shared" si="42"/>
        <v>2015</v>
      </c>
      <c r="O673" s="1" t="str">
        <f t="shared" ca="1" si="43"/>
        <v>mais de 150 dias</v>
      </c>
    </row>
    <row r="674" spans="1:15" ht="15" x14ac:dyDescent="0.2">
      <c r="A674" s="3" t="s">
        <v>8</v>
      </c>
      <c r="B674" s="4" t="s">
        <v>1388</v>
      </c>
      <c r="C674" s="3" t="s">
        <v>1389</v>
      </c>
      <c r="D674" s="3"/>
      <c r="E674" s="3" t="str">
        <f>VLOOKUP(B674,[1]general_report!$B$1:$I$713,8,0)</f>
        <v xml:space="preserve">Oi </v>
      </c>
      <c r="F674" s="3" t="str">
        <f>VLOOKUP(B674,[1]general_report!$B$1:$J$713,9,0)</f>
        <v xml:space="preserve"> Outras Atividades</v>
      </c>
      <c r="G674" s="3" t="s">
        <v>33</v>
      </c>
      <c r="H674" s="3" t="s">
        <v>1385</v>
      </c>
      <c r="I674" s="3" t="s">
        <v>83</v>
      </c>
      <c r="J674" s="5">
        <v>42030.73541666667</v>
      </c>
      <c r="K674" s="3"/>
      <c r="L674" s="11">
        <f t="shared" ca="1" si="40"/>
        <v>402.26458333332994</v>
      </c>
      <c r="M674" s="1">
        <f t="shared" si="41"/>
        <v>1</v>
      </c>
      <c r="N674" s="1">
        <f t="shared" si="42"/>
        <v>2015</v>
      </c>
      <c r="O674" s="1" t="str">
        <f t="shared" ca="1" si="43"/>
        <v>mais de 150 dias</v>
      </c>
    </row>
    <row r="675" spans="1:15" ht="15" x14ac:dyDescent="0.2">
      <c r="A675" s="3" t="s">
        <v>8</v>
      </c>
      <c r="B675" s="4" t="s">
        <v>1390</v>
      </c>
      <c r="C675" s="3" t="s">
        <v>1391</v>
      </c>
      <c r="D675" s="3"/>
      <c r="E675" s="3" t="str">
        <f>VLOOKUP(B675,[1]general_report!$B$1:$I$713,8,0)</f>
        <v xml:space="preserve">Oi </v>
      </c>
      <c r="F675" s="3" t="str">
        <f>VLOOKUP(B675,[1]general_report!$B$1:$J$713,9,0)</f>
        <v xml:space="preserve"> Varejo</v>
      </c>
      <c r="G675" s="3" t="s">
        <v>1385</v>
      </c>
      <c r="H675" s="3" t="s">
        <v>1385</v>
      </c>
      <c r="I675" s="3" t="s">
        <v>27</v>
      </c>
      <c r="J675" s="5">
        <v>41862.582638888889</v>
      </c>
      <c r="K675" s="5">
        <v>42355.584722222222</v>
      </c>
      <c r="L675" s="11">
        <f t="shared" ca="1" si="40"/>
        <v>493.00208333333285</v>
      </c>
      <c r="M675" s="1">
        <f t="shared" si="41"/>
        <v>8</v>
      </c>
      <c r="N675" s="1">
        <f t="shared" si="42"/>
        <v>2014</v>
      </c>
      <c r="O675" s="1" t="str">
        <f t="shared" ca="1" si="43"/>
        <v>mais de 150 dias</v>
      </c>
    </row>
    <row r="676" spans="1:15" ht="25.5" x14ac:dyDescent="0.2">
      <c r="A676" s="3" t="s">
        <v>8</v>
      </c>
      <c r="B676" s="4" t="s">
        <v>1392</v>
      </c>
      <c r="C676" s="3" t="s">
        <v>1393</v>
      </c>
      <c r="D676" s="3"/>
      <c r="E676" s="3" t="str">
        <f>VLOOKUP(B676,[1]general_report!$B$1:$I$713,8,0)</f>
        <v xml:space="preserve">Orbitall </v>
      </c>
      <c r="F676" s="3" t="str">
        <f>VLOOKUP(B676,[1]general_report!$B$1:$J$713,9,0)</f>
        <v xml:space="preserve"> Caixa Cobrança SP</v>
      </c>
      <c r="G676" s="3" t="s">
        <v>872</v>
      </c>
      <c r="H676" s="3" t="s">
        <v>1394</v>
      </c>
      <c r="I676" s="3" t="s">
        <v>13</v>
      </c>
      <c r="J676" s="5">
        <v>42412.636111111111</v>
      </c>
      <c r="K676" s="3"/>
      <c r="L676" s="11">
        <f t="shared" ca="1" si="40"/>
        <v>20.363888888889051</v>
      </c>
      <c r="M676" s="1">
        <f t="shared" si="41"/>
        <v>2</v>
      </c>
      <c r="N676" s="1">
        <f t="shared" si="42"/>
        <v>2016</v>
      </c>
      <c r="O676" s="1" t="str">
        <f t="shared" ca="1" si="43"/>
        <v>menos 1 mês</v>
      </c>
    </row>
    <row r="677" spans="1:15" ht="25.5" x14ac:dyDescent="0.2">
      <c r="A677" s="3" t="s">
        <v>8</v>
      </c>
      <c r="B677" s="4" t="s">
        <v>1395</v>
      </c>
      <c r="C677" s="3" t="s">
        <v>1396</v>
      </c>
      <c r="D677" s="3"/>
      <c r="E677" s="3" t="str">
        <f>VLOOKUP(B677,[1]general_report!$B$1:$I$713,8,0)</f>
        <v xml:space="preserve">Orbitall </v>
      </c>
      <c r="F677" s="3" t="str">
        <f>VLOOKUP(B677,[1]general_report!$B$1:$J$713,9,0)</f>
        <v xml:space="preserve"> Bonsucesso</v>
      </c>
      <c r="G677" s="3" t="s">
        <v>872</v>
      </c>
      <c r="H677" s="3" t="s">
        <v>1132</v>
      </c>
      <c r="I677" s="3" t="s">
        <v>13</v>
      </c>
      <c r="J677" s="5">
        <v>42341.749305555553</v>
      </c>
      <c r="K677" s="3"/>
      <c r="L677" s="11">
        <f t="shared" ca="1" si="40"/>
        <v>91.250694444446708</v>
      </c>
      <c r="M677" s="1">
        <f t="shared" si="41"/>
        <v>12</v>
      </c>
      <c r="N677" s="1">
        <f t="shared" si="42"/>
        <v>2015</v>
      </c>
      <c r="O677" s="1" t="str">
        <f t="shared" ca="1" si="43"/>
        <v>entre 90 e 150 dias</v>
      </c>
    </row>
    <row r="678" spans="1:15" ht="15" x14ac:dyDescent="0.2">
      <c r="A678" s="3" t="s">
        <v>8</v>
      </c>
      <c r="B678" s="4" t="s">
        <v>1397</v>
      </c>
      <c r="C678" s="3" t="s">
        <v>81</v>
      </c>
      <c r="D678" s="3"/>
      <c r="E678" s="3" t="str">
        <f>VLOOKUP(B678,[1]general_report!$B$1:$I$713,8,0)</f>
        <v xml:space="preserve">Orbitall </v>
      </c>
      <c r="F678" s="3" t="str">
        <f>VLOOKUP(B678,[1]general_report!$B$1:$J$713,9,0)</f>
        <v xml:space="preserve"> Bonsucesso</v>
      </c>
      <c r="G678" s="3" t="s">
        <v>872</v>
      </c>
      <c r="H678" s="3" t="s">
        <v>1394</v>
      </c>
      <c r="I678" s="3" t="s">
        <v>13</v>
      </c>
      <c r="J678" s="5">
        <v>42214.507638888892</v>
      </c>
      <c r="K678" s="3"/>
      <c r="L678" s="11">
        <f t="shared" ca="1" si="40"/>
        <v>218.49236111110804</v>
      </c>
      <c r="M678" s="1">
        <f t="shared" si="41"/>
        <v>7</v>
      </c>
      <c r="N678" s="1">
        <f t="shared" si="42"/>
        <v>2015</v>
      </c>
      <c r="O678" s="1" t="str">
        <f t="shared" ca="1" si="43"/>
        <v>mais de 150 dias</v>
      </c>
    </row>
    <row r="679" spans="1:15" ht="15" x14ac:dyDescent="0.2">
      <c r="A679" s="3" t="s">
        <v>8</v>
      </c>
      <c r="B679" s="4" t="s">
        <v>1398</v>
      </c>
      <c r="C679" s="3" t="s">
        <v>81</v>
      </c>
      <c r="D679" s="3"/>
      <c r="E679" s="3" t="str">
        <f>VLOOKUP(B679,[1]general_report!$B$1:$I$713,8,0)</f>
        <v xml:space="preserve">Orbitall </v>
      </c>
      <c r="F679" s="3" t="str">
        <f>VLOOKUP(B679,[1]general_report!$B$1:$J$713,9,0)</f>
        <v xml:space="preserve"> Bonsucesso</v>
      </c>
      <c r="G679" s="3" t="s">
        <v>11</v>
      </c>
      <c r="H679" s="3" t="s">
        <v>1394</v>
      </c>
      <c r="I679" s="3" t="s">
        <v>48</v>
      </c>
      <c r="J679" s="5">
        <v>42158.784722222219</v>
      </c>
      <c r="K679" s="3"/>
      <c r="L679" s="11">
        <f t="shared" ca="1" si="40"/>
        <v>274.21527777778101</v>
      </c>
      <c r="M679" s="1">
        <f t="shared" si="41"/>
        <v>6</v>
      </c>
      <c r="N679" s="1">
        <f t="shared" si="42"/>
        <v>2015</v>
      </c>
      <c r="O679" s="1" t="str">
        <f t="shared" ca="1" si="43"/>
        <v>mais de 150 dias</v>
      </c>
    </row>
    <row r="680" spans="1:15" ht="15" x14ac:dyDescent="0.2">
      <c r="A680" s="3" t="s">
        <v>8</v>
      </c>
      <c r="B680" s="4" t="s">
        <v>1399</v>
      </c>
      <c r="C680" s="3" t="s">
        <v>81</v>
      </c>
      <c r="D680" s="3"/>
      <c r="E680" s="3" t="str">
        <f>VLOOKUP(B680,[1]general_report!$B$1:$I$713,8,0)</f>
        <v xml:space="preserve">Orbitall </v>
      </c>
      <c r="F680" s="3" t="str">
        <f>VLOOKUP(B680,[1]general_report!$B$1:$J$713,9,0)</f>
        <v xml:space="preserve"> Bonsucesso</v>
      </c>
      <c r="G680" s="3" t="s">
        <v>11</v>
      </c>
      <c r="H680" s="3" t="s">
        <v>1132</v>
      </c>
      <c r="I680" s="3" t="s">
        <v>83</v>
      </c>
      <c r="J680" s="5">
        <v>42151.512499999997</v>
      </c>
      <c r="K680" s="3"/>
      <c r="L680" s="11">
        <f t="shared" ca="1" si="40"/>
        <v>281.48750000000291</v>
      </c>
      <c r="M680" s="1">
        <f t="shared" si="41"/>
        <v>5</v>
      </c>
      <c r="N680" s="1">
        <f t="shared" si="42"/>
        <v>2015</v>
      </c>
      <c r="O680" s="1" t="str">
        <f t="shared" ca="1" si="43"/>
        <v>mais de 150 dias</v>
      </c>
    </row>
  </sheetData>
  <hyperlinks>
    <hyperlink ref="B2" r:id="rId1" display="http://tprocess-contax/browse/CTXSPOLP-116961"/>
    <hyperlink ref="B3" r:id="rId2" display="http://tprocess-contax/browse/CTXSPOLP-116960"/>
    <hyperlink ref="B4" r:id="rId3" display="http://tprocess-contax/browse/CTXSPOLP-116016"/>
    <hyperlink ref="B5" r:id="rId4" display="http://tprocess-contax/browse/CTXSPOLP-115869"/>
    <hyperlink ref="B6" r:id="rId5" display="http://tprocess-contax/browse/CTXSPOLP-115727"/>
    <hyperlink ref="B7" r:id="rId6" display="http://tprocess-contax/browse/CTXSPOLP-115444"/>
    <hyperlink ref="B8" r:id="rId7" display="http://tprocess-contax/browse/CTXSPOLP-115119"/>
    <hyperlink ref="B9" r:id="rId8" display="http://tprocess-contax/browse/CTXSPOLP-115117"/>
    <hyperlink ref="B10" r:id="rId9" display="http://tprocess-contax/browse/CTXSPOLP-115114"/>
    <hyperlink ref="B11" r:id="rId10" display="http://tprocess-contax/browse/CTXSPOLP-113720"/>
    <hyperlink ref="B12" r:id="rId11" display="http://tprocess-contax/browse/CTXSPOLP-112537"/>
    <hyperlink ref="B13" r:id="rId12" display="http://tprocess-contax/browse/CTXSPOLP-111956"/>
    <hyperlink ref="B14" r:id="rId13" display="http://tprocess-contax/browse/CTXSPOLP-111381"/>
    <hyperlink ref="B15" r:id="rId14" display="http://tprocess-contax/browse/CTXSPOLP-111246"/>
    <hyperlink ref="B16" r:id="rId15" display="http://tprocess-contax/browse/CTXSPOLP-111079"/>
    <hyperlink ref="B17" r:id="rId16" display="http://tprocess-contax/browse/CTXSPOLP-110901"/>
    <hyperlink ref="B18" r:id="rId17" display="http://tprocess-contax/browse/CTXSPOLP-110890"/>
    <hyperlink ref="B19" r:id="rId18" display="http://tprocess-contax/browse/CTXSPOLP-110808"/>
    <hyperlink ref="B20" r:id="rId19" display="http://tprocess-contax/browse/CTXSPOLP-108931"/>
    <hyperlink ref="B21" r:id="rId20" display="http://tprocess-contax/browse/CTXSPOLP-108376"/>
    <hyperlink ref="B22" r:id="rId21" display="http://tprocess-contax/browse/CTXSPOLP-108012"/>
    <hyperlink ref="B23" r:id="rId22" display="http://tprocess-contax/browse/CTXSPOLP-106246"/>
    <hyperlink ref="B24" r:id="rId23" display="http://tprocess-contax/browse/CTXSPOLP-105680"/>
    <hyperlink ref="B25" r:id="rId24" display="http://tprocess-contax/browse/CTXSPOLP-104419"/>
    <hyperlink ref="B26" r:id="rId25" display="http://tprocess-contax/browse/CTXSPOLP-102656"/>
    <hyperlink ref="B27" r:id="rId26" display="http://tprocess-contax/browse/CTXSPOLP-97254"/>
    <hyperlink ref="B28" r:id="rId27" display="http://tprocess-contax/browse/CTXSPODP-11512"/>
    <hyperlink ref="B29" r:id="rId28" display="http://tprocess-contax/browse/CTXSPOBF-135197"/>
    <hyperlink ref="B30" r:id="rId29" display="http://tprocess-contax/browse/CTXSPOBF-135040"/>
    <hyperlink ref="B31" r:id="rId30" display="http://tprocess-contax/browse/CTXSPOBF-134523"/>
    <hyperlink ref="B32" r:id="rId31" display="http://tprocess-contax/browse/CTXSPOBF-134042"/>
    <hyperlink ref="B33" r:id="rId32" display="http://tprocess-contax/browse/CTXSPOBF-133846"/>
    <hyperlink ref="B34" r:id="rId33" display="http://tprocess-contax/browse/CTXSPOBF-133023"/>
    <hyperlink ref="B35" r:id="rId34" display="http://tprocess-contax/browse/CTXSPOBF-132464"/>
    <hyperlink ref="B36" r:id="rId35" display="http://tprocess-contax/browse/CTXSPOBF-132100"/>
    <hyperlink ref="B37" r:id="rId36" display="http://tprocess-contax/browse/CTXSPOBF-131094"/>
    <hyperlink ref="B38" r:id="rId37" display="http://tprocess-contax/browse/CTXSPOBF-130612"/>
    <hyperlink ref="B39" r:id="rId38" display="http://tprocess-contax/browse/CTXSPOBF-130532"/>
    <hyperlink ref="B40" r:id="rId39" display="http://tprocess-contax/browse/CTXSPOBF-130531"/>
    <hyperlink ref="B41" r:id="rId40" display="http://tprocess-contax/browse/CTXSPOBF-130529"/>
    <hyperlink ref="B42" r:id="rId41" display="http://tprocess-contax/browse/CTXSPOBF-130503"/>
    <hyperlink ref="B43" r:id="rId42" display="http://tprocess-contax/browse/CTXSPOBF-130502"/>
    <hyperlink ref="B44" r:id="rId43" display="http://tprocess-contax/browse/CTXSPOBF-130466"/>
    <hyperlink ref="B45" r:id="rId44" display="http://tprocess-contax/browse/CTXSPOBF-130334"/>
    <hyperlink ref="B46" r:id="rId45" display="http://tprocess-contax/browse/CTXSPOBF-130142"/>
    <hyperlink ref="B47" r:id="rId46" display="http://tprocess-contax/browse/CTXSPOBF-129499"/>
    <hyperlink ref="B48" r:id="rId47" display="http://tprocess-contax/browse/CTXSPOBF-128996"/>
    <hyperlink ref="B49" r:id="rId48" display="http://tprocess-contax/browse/CTXSPOBF-128995"/>
    <hyperlink ref="B50" r:id="rId49" display="http://tprocess-contax/browse/CTXSPOBF-128994"/>
    <hyperlink ref="B51" r:id="rId50" display="http://tprocess-contax/browse/CTXSPOBF-128993"/>
    <hyperlink ref="B52" r:id="rId51" display="http://tprocess-contax/browse/CTXSPOBF-128992"/>
    <hyperlink ref="B53" r:id="rId52" display="http://tprocess-contax/browse/CTXSPOBF-128884"/>
    <hyperlink ref="B54" r:id="rId53" display="http://tprocess-contax/browse/CTXSPOBF-128878"/>
    <hyperlink ref="B55" r:id="rId54" display="http://tprocess-contax/browse/CTXSPOBF-128875"/>
    <hyperlink ref="B56" r:id="rId55" display="http://tprocess-contax/browse/CTXSPOBF-128873"/>
    <hyperlink ref="B57" r:id="rId56" display="http://tprocess-contax/browse/CTXSPOBF-128870"/>
    <hyperlink ref="B58" r:id="rId57" display="http://tprocess-contax/browse/CTXSPOBF-128869"/>
    <hyperlink ref="B59" r:id="rId58" display="http://tprocess-contax/browse/CTXSPOBF-128868"/>
    <hyperlink ref="B60" r:id="rId59" display="http://tprocess-contax/browse/CTXSPOBF-128865"/>
    <hyperlink ref="B61" r:id="rId60" display="http://tprocess-contax/browse/CTXSPOBF-128864"/>
    <hyperlink ref="B62" r:id="rId61" display="http://tprocess-contax/browse/CTXSPOBF-128861"/>
    <hyperlink ref="B63" r:id="rId62" display="http://tprocess-contax/browse/CTXSPOBF-128853"/>
    <hyperlink ref="B64" r:id="rId63" display="http://tprocess-contax/browse/CTXSPOBF-128725"/>
    <hyperlink ref="B65" r:id="rId64" display="http://tprocess-contax/browse/CTXSPOBF-128722"/>
    <hyperlink ref="B66" r:id="rId65" display="http://tprocess-contax/browse/CTXSPOBF-128720"/>
    <hyperlink ref="B67" r:id="rId66" display="http://tprocess-contax/browse/CTXSPOBF-128719"/>
    <hyperlink ref="B68" r:id="rId67" display="http://tprocess-contax/browse/CTXSPOBF-128718"/>
    <hyperlink ref="B69" r:id="rId68" display="http://tprocess-contax/browse/CTXSPOBF-128717"/>
    <hyperlink ref="B70" r:id="rId69" display="http://tprocess-contax/browse/CTXSPOBF-128715"/>
    <hyperlink ref="B71" r:id="rId70" display="http://tprocess-contax/browse/CTXSPOBF-128714"/>
    <hyperlink ref="B72" r:id="rId71" display="http://tprocess-contax/browse/CTXSPOBF-128713"/>
    <hyperlink ref="B73" r:id="rId72" display="http://tprocess-contax/browse/CTXSPOBF-128712"/>
    <hyperlink ref="B74" r:id="rId73" display="http://tprocess-contax/browse/CTXSPOBF-128711"/>
    <hyperlink ref="B75" r:id="rId74" display="http://tprocess-contax/browse/CTXSPOBF-128702"/>
    <hyperlink ref="B76" r:id="rId75" display="http://tprocess-contax/browse/CTXSPOBF-128701"/>
    <hyperlink ref="B77" r:id="rId76" display="http://tprocess-contax/browse/CTXSPOBF-128692"/>
    <hyperlink ref="B78" r:id="rId77" display="http://tprocess-contax/browse/CTXSPOBF-128691"/>
    <hyperlink ref="B79" r:id="rId78" display="http://tprocess-contax/browse/CTXSPOBF-128690"/>
    <hyperlink ref="B80" r:id="rId79" display="http://tprocess-contax/browse/CTXSPOBF-128688"/>
    <hyperlink ref="B81" r:id="rId80" display="http://tprocess-contax/browse/CTXSPOBF-128686"/>
    <hyperlink ref="B82" r:id="rId81" display="http://tprocess-contax/browse/CTXSPOBF-128685"/>
    <hyperlink ref="B83" r:id="rId82" display="http://tprocess-contax/browse/CTXSPOBF-128684"/>
    <hyperlink ref="B84" r:id="rId83" display="http://tprocess-contax/browse/CTXSPOBF-128396"/>
    <hyperlink ref="B85" r:id="rId84" display="http://tprocess-contax/browse/CTXSPOBF-128300"/>
    <hyperlink ref="B86" r:id="rId85" display="http://tprocess-contax/browse/CTXSPOBF-126597"/>
    <hyperlink ref="B87" r:id="rId86" display="http://tprocess-contax/browse/CTXSPOBF-126487"/>
    <hyperlink ref="B88" r:id="rId87" display="http://tprocess-contax/browse/CTXSPOBF-126235"/>
    <hyperlink ref="B89" r:id="rId88" display="http://tprocess-contax/browse/CTXSPOBF-126223"/>
    <hyperlink ref="B90" r:id="rId89" display="http://tprocess-contax/browse/CTXSPOBF-126151"/>
    <hyperlink ref="B91" r:id="rId90" display="http://tprocess-contax/browse/CTXSPOBF-125992"/>
    <hyperlink ref="B92" r:id="rId91" display="http://tprocess-contax/browse/CTXSPOBF-125991"/>
    <hyperlink ref="B93" r:id="rId92" display="http://tprocess-contax/browse/CTXSPOBF-125990"/>
    <hyperlink ref="B94" r:id="rId93" display="http://tprocess-contax/browse/CTXSPOBF-125985"/>
    <hyperlink ref="B95" r:id="rId94" display="http://tprocess-contax/browse/CTXSPOBF-125983"/>
    <hyperlink ref="B96" r:id="rId95" display="http://tprocess-contax/browse/CTXSPOBF-125980"/>
    <hyperlink ref="B97" r:id="rId96" display="http://tprocess-contax/browse/CTXSPOBF-125979"/>
    <hyperlink ref="B98" r:id="rId97" display="http://tprocess-contax/browse/CTXSPOBF-125974"/>
    <hyperlink ref="B99" r:id="rId98" display="http://tprocess-contax/browse/CTXSPOBF-125971"/>
    <hyperlink ref="B100" r:id="rId99" display="http://tprocess-contax/browse/CTXSPOBF-125921"/>
    <hyperlink ref="B101" r:id="rId100" display="http://tprocess-contax/browse/CTXSPOBF-125608"/>
    <hyperlink ref="B102" r:id="rId101" display="http://tprocess-contax/browse/CTXSPOBF-125417"/>
    <hyperlink ref="B103" r:id="rId102" display="http://tprocess-contax/browse/CTXSPOBF-125012"/>
    <hyperlink ref="B104" r:id="rId103" display="http://tprocess-contax/browse/CTXSPOBF-124602"/>
    <hyperlink ref="B105" r:id="rId104" display="http://tprocess-contax/browse/CTXSPOBF-123720"/>
    <hyperlink ref="B106" r:id="rId105" display="http://tprocess-contax/browse/CTXSPOBF-123499"/>
    <hyperlink ref="B107" r:id="rId106" display="http://tprocess-contax/browse/CTXSPOBF-122472"/>
    <hyperlink ref="B108" r:id="rId107" display="http://tprocess-contax/browse/CTXSPOBF-121810"/>
    <hyperlink ref="B109" r:id="rId108" display="http://tprocess-contax/browse/CTXSPOBF-121472"/>
    <hyperlink ref="B110" r:id="rId109" display="http://tprocess-contax/browse/CTXSPOBF-121148"/>
    <hyperlink ref="B111" r:id="rId110" display="http://tprocess-contax/browse/CTXSPOBF-121133"/>
    <hyperlink ref="B112" r:id="rId111" display="http://tprocess-contax/browse/CTXSPOBF-121132"/>
    <hyperlink ref="B113" r:id="rId112" display="http://tprocess-contax/browse/CTXSPOBF-120102"/>
    <hyperlink ref="B114" r:id="rId113" display="http://tprocess-contax/browse/CTXSPOBF-119863"/>
    <hyperlink ref="B115" r:id="rId114" display="http://tprocess-contax/browse/CTXSPOBF-119509"/>
    <hyperlink ref="B116" r:id="rId115" display="http://tprocess-contax/browse/CTXSPOBF-117894"/>
    <hyperlink ref="B117" r:id="rId116" display="http://tprocess-contax/browse/CTXSPOBF-116397"/>
    <hyperlink ref="B118" r:id="rId117" display="http://tprocess-contax/browse/CTXSPOBF-116380"/>
    <hyperlink ref="B119" r:id="rId118" display="http://tprocess-contax/browse/CTXSPOBF-115988"/>
    <hyperlink ref="B120" r:id="rId119" display="http://tprocess-contax/browse/CTXSPOBF-115489"/>
    <hyperlink ref="B121" r:id="rId120" display="http://tprocess-contax/browse/CTXSPOBF-114650"/>
    <hyperlink ref="B122" r:id="rId121" display="http://tprocess-contax/browse/CTXSPOBF-114642"/>
    <hyperlink ref="B123" r:id="rId122" display="http://tprocess-contax/browse/CTXSPOBF-114042"/>
    <hyperlink ref="B124" r:id="rId123" display="http://tprocess-contax/browse/CTXSPOBF-112688"/>
    <hyperlink ref="B125" r:id="rId124" display="http://tprocess-contax/browse/CTXSPOBF-100889"/>
    <hyperlink ref="B126" r:id="rId125" display="http://tprocess-contax/browse/CTXSPOBF-98975"/>
    <hyperlink ref="B127" r:id="rId126" display="http://tprocess-contax/browse/CTXSPOAS-4642"/>
    <hyperlink ref="B128" r:id="rId127" display="http://tprocess-contax/browse/CTXSPOAS-4623"/>
    <hyperlink ref="B129" r:id="rId128" display="http://tprocess-contax/browse/CTXSPOAS-4365"/>
    <hyperlink ref="B130" r:id="rId129" display="http://tprocess-contax/browse/CTXSPOAS-4345"/>
    <hyperlink ref="B131" r:id="rId130" display="http://tprocess-contax/browse/CTXSPOAS-4228"/>
    <hyperlink ref="B132" r:id="rId131" display="http://tprocess-contax/browse/CTXSPOAP407-15367"/>
    <hyperlink ref="B133" r:id="rId132" display="http://tprocess-contax/browse/CTXSPOAP407-15356"/>
    <hyperlink ref="B134" r:id="rId133" display="http://tprocess-contax/browse/CTXSPOAP407-15345"/>
    <hyperlink ref="B135" r:id="rId134" display="http://tprocess-contax/browse/CTXSPOAP407-15329"/>
    <hyperlink ref="B136" r:id="rId135" display="http://tprocess-contax/browse/CTXSPOAP407-15301"/>
    <hyperlink ref="B137" r:id="rId136" display="http://tprocess-contax/browse/CTXSPOAP407-15270"/>
    <hyperlink ref="B138" r:id="rId137" display="http://tprocess-contax/browse/CTXSPOAP407-15208"/>
    <hyperlink ref="B139" r:id="rId138" display="http://tprocess-contax/browse/CTXSPOAP407-15198"/>
    <hyperlink ref="B140" r:id="rId139" display="http://tprocess-contax/browse/CTXSPOAP407-15194"/>
    <hyperlink ref="B141" r:id="rId140" display="http://tprocess-contax/browse/CTXSPOAP407-15140"/>
    <hyperlink ref="B142" r:id="rId141" display="http://tprocess-contax/browse/CTXSPOAP407-15089"/>
    <hyperlink ref="B143" r:id="rId142" display="http://tprocess-contax/browse/CTXSPOAP407-14995"/>
    <hyperlink ref="B144" r:id="rId143" display="http://tprocess-contax/browse/CTXSPOAP407-14993"/>
    <hyperlink ref="B145" r:id="rId144" display="http://tprocess-contax/browse/CTXSPOAP407-14972"/>
    <hyperlink ref="B146" r:id="rId145" display="http://tprocess-contax/browse/CTXSPOAP407-14925"/>
    <hyperlink ref="B147" r:id="rId146" display="http://tprocess-contax/browse/CTXSPOAP407-14886"/>
    <hyperlink ref="B148" r:id="rId147" display="http://tprocess-contax/browse/CTXSPOAP407-14879"/>
    <hyperlink ref="B149" r:id="rId148" display="http://tprocess-contax/browse/CTXSPOAP407-14854"/>
    <hyperlink ref="B150" r:id="rId149" display="http://tprocess-contax/browse/CTXSPOAP407-14828"/>
    <hyperlink ref="B151" r:id="rId150" display="http://tprocess-contax/browse/CTXSPOAP407-14745"/>
    <hyperlink ref="B152" r:id="rId151" display="http://tprocess-contax/browse/CTXSPOAP407-14689"/>
    <hyperlink ref="B153" r:id="rId152" display="http://tprocess-contax/browse/CTXSPOAP407-14658"/>
    <hyperlink ref="B154" r:id="rId153" display="http://tprocess-contax/browse/CTXSPOAP407-14651"/>
    <hyperlink ref="B155" r:id="rId154" display="http://tprocess-contax/browse/CTXSPOAP407-14530"/>
    <hyperlink ref="B156" r:id="rId155" display="http://tprocess-contax/browse/CTXSPOAP407-14490"/>
    <hyperlink ref="B157" r:id="rId156" display="http://tprocess-contax/browse/CTXSPOAP407-14478"/>
    <hyperlink ref="B158" r:id="rId157" display="http://tprocess-contax/browse/CTXSPOAP407-14449"/>
    <hyperlink ref="B159" r:id="rId158" display="http://tprocess-contax/browse/CTXSPOAP407-14134"/>
    <hyperlink ref="B160" r:id="rId159" display="http://tprocess-contax/browse/CTXSPOAP407-13802"/>
    <hyperlink ref="B161" r:id="rId160" display="http://tprocess-contax/browse/CTXSPOAP407-13781"/>
    <hyperlink ref="B162" r:id="rId161" display="http://tprocess-contax/browse/CTXSPOAP407-13720"/>
    <hyperlink ref="B163" r:id="rId162" display="http://tprocess-contax/browse/CTXSPOAP407-13610"/>
    <hyperlink ref="B164" r:id="rId163" display="http://tprocess-contax/browse/CTXSPOAP407-13330"/>
    <hyperlink ref="B165" r:id="rId164" display="http://tprocess-contax/browse/CTXSPOAP407-13236"/>
    <hyperlink ref="B166" r:id="rId165" display="http://tprocess-contax/browse/CTXSPOAP407-13231"/>
    <hyperlink ref="B167" r:id="rId166" display="http://tprocess-contax/browse/CTXSPOAP407-13197"/>
    <hyperlink ref="B168" r:id="rId167" display="http://tprocess-contax/browse/CTXSPOAP407-13166"/>
    <hyperlink ref="B169" r:id="rId168" display="http://tprocess-contax/browse/CTXSPOAP407-13150"/>
    <hyperlink ref="B170" r:id="rId169" display="http://tprocess-contax/browse/CTXSPOAP407-13114"/>
    <hyperlink ref="B171" r:id="rId170" display="http://tprocess-contax/browse/CTXSPOAP407-12991"/>
    <hyperlink ref="B172" r:id="rId171" display="http://tprocess-contax/browse/CTXSPOAP407-12854"/>
    <hyperlink ref="B173" r:id="rId172" display="http://tprocess-contax/browse/CTXSPOAP407-12490"/>
    <hyperlink ref="B174" r:id="rId173" display="http://tprocess-contax/browse/CTXSPOAP407-12466"/>
    <hyperlink ref="B175" r:id="rId174" display="http://tprocess-contax/browse/CTXSPOAP407-12333"/>
    <hyperlink ref="B176" r:id="rId175" display="http://tprocess-contax/browse/CTXSPOAP407-12306"/>
    <hyperlink ref="B177" r:id="rId176" display="http://tprocess-contax/browse/CTXSPOAP407-12185"/>
    <hyperlink ref="B178" r:id="rId177" display="http://tprocess-contax/browse/CTXSPOAP407-12033"/>
    <hyperlink ref="B179" r:id="rId178" display="http://tprocess-contax/browse/CTXSPOAP407-12031"/>
    <hyperlink ref="B180" r:id="rId179" display="http://tprocess-contax/browse/CTXSPOAP407-12030"/>
    <hyperlink ref="B181" r:id="rId180" display="http://tprocess-contax/browse/CTXSPOAP407-12001"/>
    <hyperlink ref="B182" r:id="rId181" display="http://tprocess-contax/browse/CTXSPOAP407-11965"/>
    <hyperlink ref="B183" r:id="rId182" display="http://tprocess-contax/browse/CTXSPOAP407-11630"/>
    <hyperlink ref="B184" r:id="rId183" display="http://tprocess-contax/browse/CTXSPOAP407-11421"/>
    <hyperlink ref="B185" r:id="rId184" display="http://tprocess-contax/browse/CTXSPOAP407-11140"/>
    <hyperlink ref="B186" r:id="rId185" display="http://tprocess-contax/browse/CTXSPOAP407-11089"/>
    <hyperlink ref="B187" r:id="rId186" display="http://tprocess-contax/browse/CTXSPOAP407-11039"/>
    <hyperlink ref="B188" r:id="rId187" display="http://tprocess-contax/browse/CTXSPOAP407-10905"/>
    <hyperlink ref="B189" r:id="rId188" display="http://tprocess-contax/browse/CTXSPOAP407-10900"/>
    <hyperlink ref="B190" r:id="rId189" display="http://tprocess-contax/browse/CTXSPOAP407-10552"/>
    <hyperlink ref="B191" r:id="rId190" display="http://tprocess-contax/browse/CTXSPOAP407-10551"/>
    <hyperlink ref="B192" r:id="rId191" display="http://tprocess-contax/browse/CTXSPOAP407-10550"/>
    <hyperlink ref="B193" r:id="rId192" display="http://tprocess-contax/browse/CTXSPOAP407-10546"/>
    <hyperlink ref="B194" r:id="rId193" display="http://tprocess-contax/browse/CTXSPOAP407-10523"/>
    <hyperlink ref="B195" r:id="rId194" display="http://tprocess-contax/browse/CTXSPOAP407-10513"/>
    <hyperlink ref="B196" r:id="rId195" display="http://tprocess-contax/browse/CTXSPOAP407-10497"/>
    <hyperlink ref="B197" r:id="rId196" display="http://tprocess-contax/browse/CTXSPOAP407-10493"/>
    <hyperlink ref="B198" r:id="rId197" display="http://tprocess-contax/browse/CTXSPOAP407-10434"/>
    <hyperlink ref="B199" r:id="rId198" display="http://tprocess-contax/browse/CTXSPOAP407-10432"/>
    <hyperlink ref="B200" r:id="rId199" display="http://tprocess-contax/browse/CTXSPOAP407-10430"/>
    <hyperlink ref="B201" r:id="rId200" display="http://tprocess-contax/browse/CTXSPOAP407-10428"/>
    <hyperlink ref="B202" r:id="rId201" display="http://tprocess-contax/browse/CTXSPOAP407-10425"/>
    <hyperlink ref="B203" r:id="rId202" display="http://tprocess-contax/browse/CTXSPOAP407-10423"/>
    <hyperlink ref="B204" r:id="rId203" display="http://tprocess-contax/browse/CTXSPOAP407-10422"/>
    <hyperlink ref="B205" r:id="rId204" display="http://tprocess-contax/browse/CTXSPOAP407-10421"/>
    <hyperlink ref="B206" r:id="rId205" display="http://tprocess-contax/browse/CTXSPOAP407-10410"/>
    <hyperlink ref="B207" r:id="rId206" display="http://tprocess-contax/browse/CTXSPOAP407-10407"/>
    <hyperlink ref="B208" r:id="rId207" display="http://tprocess-contax/browse/CTXSPOAP407-10381"/>
    <hyperlink ref="B209" r:id="rId208" display="http://tprocess-contax/browse/CTXSPOAP407-10295"/>
    <hyperlink ref="B210" r:id="rId209" display="http://tprocess-contax/browse/CTXSPOAP407-10294"/>
    <hyperlink ref="B211" r:id="rId210" display="http://tprocess-contax/browse/CTXSPOAP407-10293"/>
    <hyperlink ref="B212" r:id="rId211" display="http://tprocess-contax/browse/CTXSPOAP407-10289"/>
    <hyperlink ref="B213" r:id="rId212" display="http://tprocess-contax/browse/CTXSPOAP407-10180"/>
    <hyperlink ref="B214" r:id="rId213" display="http://tprocess-contax/browse/CTXSPOAP407-10077"/>
    <hyperlink ref="B215" r:id="rId214" display="http://tprocess-contax/browse/CTXSPOAP407-10019"/>
    <hyperlink ref="B216" r:id="rId215" display="http://tprocess-contax/browse/CTXSPOAP407-9908"/>
    <hyperlink ref="B217" r:id="rId216" display="http://tprocess-contax/browse/CTXSPOAP407-9433"/>
    <hyperlink ref="B218" r:id="rId217" display="http://tprocess-contax/browse/CTXSPOAP407-7761"/>
    <hyperlink ref="B219" r:id="rId218" display="http://tprocess-contax/browse/CTXSPOAL-103355"/>
    <hyperlink ref="B220" r:id="rId219" display="http://tprocess-contax/browse/CTXSPOAL-101987"/>
    <hyperlink ref="B221" r:id="rId220" display="http://tprocess-contax/browse/CTXSPOAL-101739"/>
    <hyperlink ref="B222" r:id="rId221" display="http://tprocess-contax/browse/CTXSPOAL-101564"/>
    <hyperlink ref="B223" r:id="rId222" display="http://tprocess-contax/browse/CTXSPOAL-101398"/>
    <hyperlink ref="B224" r:id="rId223" display="http://tprocess-contax/browse/CTXSPOAL-100158"/>
    <hyperlink ref="B225" r:id="rId224" display="http://tprocess-contax/browse/CTXSPOAL-100112"/>
    <hyperlink ref="B226" r:id="rId225" display="http://tprocess-contax/browse/CTXSPOAL-99944"/>
    <hyperlink ref="B227" r:id="rId226" display="http://tprocess-contax/browse/CTXSPOAL-99303"/>
    <hyperlink ref="B228" r:id="rId227" display="http://tprocess-contax/browse/CTXSPOAL-97376"/>
    <hyperlink ref="B229" r:id="rId228" display="http://tprocess-contax/browse/CTXSPOAL-96703"/>
    <hyperlink ref="B230" r:id="rId229" display="http://tprocess-contax/browse/CTXSPOAL-96574"/>
    <hyperlink ref="B231" r:id="rId230" display="http://tprocess-contax/browse/CTXSPOAL-96495"/>
    <hyperlink ref="B232" r:id="rId231" display="http://tprocess-contax/browse/CTXSPOAL-96427"/>
    <hyperlink ref="B233" r:id="rId232" display="http://tprocess-contax/browse/CTXSPOAL-96174"/>
    <hyperlink ref="B234" r:id="rId233" display="http://tprocess-contax/browse/CTXSPOAL-96094"/>
    <hyperlink ref="B235" r:id="rId234" display="http://tprocess-contax/browse/CTXSPOAL-95566"/>
    <hyperlink ref="B236" r:id="rId235" display="http://tprocess-contax/browse/CTXSPOAL-95026"/>
    <hyperlink ref="B237" r:id="rId236" display="http://tprocess-contax/browse/CTXSPOAL-94230"/>
    <hyperlink ref="B238" r:id="rId237" display="http://tprocess-contax/browse/CTXSPOAL-94114"/>
    <hyperlink ref="B239" r:id="rId238" display="http://tprocess-contax/browse/CTXSPOAL-93333"/>
    <hyperlink ref="B240" r:id="rId239" display="http://tprocess-contax/browse/CTXSPOAL-92422"/>
    <hyperlink ref="B241" r:id="rId240" display="http://tprocess-contax/browse/CTXSPOAL-92107"/>
    <hyperlink ref="B242" r:id="rId241" display="http://tprocess-contax/browse/CTXSPOAL-91736"/>
    <hyperlink ref="B243" r:id="rId242" display="http://tprocess-contax/browse/CTXSPOAL-91696"/>
    <hyperlink ref="B244" r:id="rId243" display="http://tprocess-contax/browse/CTXSPOAL-91568"/>
    <hyperlink ref="B245" r:id="rId244" display="http://tprocess-contax/browse/CTXSPOAL-91546"/>
    <hyperlink ref="B246" r:id="rId245" display="http://tprocess-contax/browse/CTXSPOAL-90727"/>
    <hyperlink ref="B247" r:id="rId246" display="http://tprocess-contax/browse/CTXSPOAL-89740"/>
    <hyperlink ref="B248" r:id="rId247" display="http://tprocess-contax/browse/CTXSPOAL-89502"/>
    <hyperlink ref="B249" r:id="rId248" display="http://tprocess-contax/browse/CTXSPOAL-89142"/>
    <hyperlink ref="B250" r:id="rId249" display="http://tprocess-contax/browse/CTXSPOAL-89128"/>
    <hyperlink ref="B251" r:id="rId250" display="http://tprocess-contax/browse/CTXSPOAL-88112"/>
    <hyperlink ref="B252" r:id="rId251" display="http://tprocess-contax/browse/CTXSPOAL-86278"/>
    <hyperlink ref="B253" r:id="rId252" display="http://tprocess-contax/browse/CTXSPOAL-83724"/>
    <hyperlink ref="B254" r:id="rId253" display="http://tprocess-contax/browse/CTXSPOAL-83138"/>
    <hyperlink ref="B255" r:id="rId254" display="http://tprocess-contax/browse/CTXSPOAL-81556"/>
    <hyperlink ref="B256" r:id="rId255" display="http://tprocess-contax/browse/CTXSPOAL-81007"/>
    <hyperlink ref="B257" r:id="rId256" display="http://tprocess-contax/browse/CTXSPOAL-57727"/>
    <hyperlink ref="B258" r:id="rId257" display="http://tprocess-contax/browse/CTXSPOAL-57726"/>
    <hyperlink ref="B259" r:id="rId258" display="http://tprocess-contax/browse/CTXSALSM-88005"/>
    <hyperlink ref="B260" r:id="rId259" display="http://tprocess-contax/browse/CTXSALSM-85211"/>
    <hyperlink ref="B261" r:id="rId260" display="http://tprocess-contax/browse/CTXSALSM-84952"/>
    <hyperlink ref="B262" r:id="rId261" display="http://tprocess-contax/browse/CTXSALSM-84288"/>
    <hyperlink ref="B263" r:id="rId262" display="http://tprocess-contax/browse/CTXSALSM-84035"/>
    <hyperlink ref="B264" r:id="rId263" display="http://tprocess-contax/browse/CTXSALSM-83159"/>
    <hyperlink ref="B265" r:id="rId264" display="http://tprocess-contax/browse/CTXSALSM-83029"/>
    <hyperlink ref="B266" r:id="rId265" display="http://tprocess-contax/browse/CTXSALSM-83016"/>
    <hyperlink ref="B267" r:id="rId266" display="http://tprocess-contax/browse/CTXSALSM-82024"/>
    <hyperlink ref="B268" r:id="rId267" display="http://tprocess-contax/browse/CTXSALSM-81593"/>
    <hyperlink ref="B269" r:id="rId268" display="http://tprocess-contax/browse/CTXSALSM-79594"/>
    <hyperlink ref="B270" r:id="rId269" display="http://tprocess-contax/browse/CTXSALSM-78825"/>
    <hyperlink ref="B271" r:id="rId270" display="http://tprocess-contax/browse/CTXSALSM-78582"/>
    <hyperlink ref="B272" r:id="rId271" display="http://tprocess-contax/browse/CTXSALSM-74754"/>
    <hyperlink ref="B273" r:id="rId272" display="http://tprocess-contax/browse/CTXSALPB-56789"/>
    <hyperlink ref="B274" r:id="rId273" display="http://tprocess-contax/browse/CTXSALPB-55659"/>
    <hyperlink ref="B275" r:id="rId274" display="http://tprocess-contax/browse/CTXSALPB-55459"/>
    <hyperlink ref="B276" r:id="rId275" display="http://tprocess-contax/browse/CTXSALPB-53727"/>
    <hyperlink ref="B277" r:id="rId276" display="http://tprocess-contax/browse/CTXSALPB-53725"/>
    <hyperlink ref="B278" r:id="rId277" display="http://tprocess-contax/browse/CTXSALPB-51084"/>
    <hyperlink ref="B279" r:id="rId278" display="http://tprocess-contax/browse/CTXSALPB-50670"/>
    <hyperlink ref="B280" r:id="rId279" display="http://tprocess-contax/browse/CTXSALPB-47935"/>
    <hyperlink ref="B281" r:id="rId280" display="http://tprocess-contax/browse/CTXSALPB-47142"/>
    <hyperlink ref="B282" r:id="rId281" display="http://tprocess-contax/browse/CTXSALPB-47141"/>
    <hyperlink ref="B283" r:id="rId282" display="http://tprocess-contax/browse/CTXSALPB-47135"/>
    <hyperlink ref="B284" r:id="rId283" display="http://tprocess-contax/browse/CTXSALPB-46921"/>
    <hyperlink ref="B285" r:id="rId284" display="http://tprocess-contax/browse/CTXSALPB-42304"/>
    <hyperlink ref="B286" r:id="rId285" display="http://tprocess-contax/browse/CTXSALPB-38362"/>
    <hyperlink ref="B287" r:id="rId286" display="http://tprocess-contax/browse/CTXSALPB-31209"/>
    <hyperlink ref="B288" r:id="rId287" display="http://tprocess-contax/browse/CTXSALLM-119760"/>
    <hyperlink ref="B289" r:id="rId288" display="http://tprocess-contax/browse/CTXSALLM-119005"/>
    <hyperlink ref="B290" r:id="rId289" display="http://tprocess-contax/browse/CTXSALLM-118766"/>
    <hyperlink ref="B291" r:id="rId290" display="http://tprocess-contax/browse/CTXSALLM-118698"/>
    <hyperlink ref="B292" r:id="rId291" display="http://tprocess-contax/browse/CTXSALLM-118598"/>
    <hyperlink ref="B293" r:id="rId292" display="http://tprocess-contax/browse/CTXSALLM-117664"/>
    <hyperlink ref="B294" r:id="rId293" display="http://tprocess-contax/browse/CTXSALLM-117084"/>
    <hyperlink ref="B295" r:id="rId294" display="http://tprocess-contax/browse/CTXSALLM-117082"/>
    <hyperlink ref="B296" r:id="rId295" display="http://tprocess-contax/browse/CTXSALLM-115737"/>
    <hyperlink ref="B297" r:id="rId296" display="http://tprocess-contax/browse/CTXSALLM-115129"/>
    <hyperlink ref="B298" r:id="rId297" display="http://tprocess-contax/browse/CTXSALLM-110995"/>
    <hyperlink ref="B299" r:id="rId298" display="http://tprocess-contax/browse/CTXSALAS-161797"/>
    <hyperlink ref="B300" r:id="rId299" display="http://tprocess-contax/browse/CTXSALAS-158599"/>
    <hyperlink ref="B301" r:id="rId300" display="http://tprocess-contax/browse/CTXSALAS-156916"/>
    <hyperlink ref="B302" r:id="rId301" display="http://tprocess-contax/browse/CTXSALAS-156730"/>
    <hyperlink ref="B303" r:id="rId302" display="http://tprocess-contax/browse/CTXSALAS-155279"/>
    <hyperlink ref="B304" r:id="rId303" display="http://tprocess-contax/browse/CTXSALAS-154241"/>
    <hyperlink ref="B305" r:id="rId304" display="http://tprocess-contax/browse/CTXSALAS-150015"/>
    <hyperlink ref="B306" r:id="rId305" display="http://tprocess-contax/browse/CTXSALAS-149443"/>
    <hyperlink ref="B307" r:id="rId306" display="http://tprocess-contax/browse/CTXRJOPF-69425"/>
    <hyperlink ref="B308" r:id="rId307" display="http://tprocess-contax/browse/CTXRJOMK-125309"/>
    <hyperlink ref="B309" r:id="rId308" display="http://tprocess-contax/browse/CTXRJOMK-119586"/>
    <hyperlink ref="B310" r:id="rId309" display="http://tprocess-contax/browse/CTXRJOMK-118558"/>
    <hyperlink ref="B311" r:id="rId310" display="http://tprocess-contax/browse/CTXRJOMK-118064"/>
    <hyperlink ref="B312" r:id="rId311" display="http://tprocess-contax/browse/CTXRJOMK-117938"/>
    <hyperlink ref="B313" r:id="rId312" display="http://tprocess-contax/browse/CTXRJOMK-102944"/>
    <hyperlink ref="B314" r:id="rId313" display="http://tprocess-contax/browse/CTXRJOMA-78225"/>
    <hyperlink ref="B315" r:id="rId314" display="http://tprocess-contax/browse/CTXRJOMA-78224"/>
    <hyperlink ref="B316" r:id="rId315" display="http://tprocess-contax/browse/CTXRJOMA-78220"/>
    <hyperlink ref="B317" r:id="rId316" display="http://tprocess-contax/browse/CTXRJOMA-78219"/>
    <hyperlink ref="B318" r:id="rId317" display="http://tprocess-contax/browse/CTXRJOMA-78217"/>
    <hyperlink ref="B319" r:id="rId318" display="http://tprocess-contax/browse/CTXRJOMA-78215"/>
    <hyperlink ref="B320" r:id="rId319" display="http://tprocess-contax/browse/CTXRJOMA-78212"/>
    <hyperlink ref="B321" r:id="rId320" display="http://tprocess-contax/browse/CTXRJOMA-78210"/>
    <hyperlink ref="B322" r:id="rId321" display="http://tprocess-contax/browse/CTXRJOMA-78208"/>
    <hyperlink ref="B323" r:id="rId322" display="http://tprocess-contax/browse/CTXRJOMA-78045"/>
    <hyperlink ref="B324" r:id="rId323" display="http://tprocess-contax/browse/CTXRJOMA-78044"/>
    <hyperlink ref="B325" r:id="rId324" display="http://tprocess-contax/browse/CTXRJOMA-78043"/>
    <hyperlink ref="B326" r:id="rId325" display="http://tprocess-contax/browse/CTXRJOMA-77877"/>
    <hyperlink ref="B327" r:id="rId326" display="http://tprocess-contax/browse/CTXRJOMA-77615"/>
    <hyperlink ref="B328" r:id="rId327" display="http://tprocess-contax/browse/CTXRJOMA-77362"/>
    <hyperlink ref="B329" r:id="rId328" display="http://tprocess-contax/browse/CTXRJOMA-77361"/>
    <hyperlink ref="B330" r:id="rId329" display="http://tprocess-contax/browse/CTXRJOMA-77360"/>
    <hyperlink ref="B331" r:id="rId330" display="http://tprocess-contax/browse/CTXRJOMA-77291"/>
    <hyperlink ref="B332" r:id="rId331" display="http://tprocess-contax/browse/CTXRJOMA-77290"/>
    <hyperlink ref="B333" r:id="rId332" display="http://tprocess-contax/browse/CTXRJOMA-77272"/>
    <hyperlink ref="B334" r:id="rId333" display="http://tprocess-contax/browse/CTXRJOMA-77042"/>
    <hyperlink ref="B335" r:id="rId334" display="http://tprocess-contax/browse/CTXRJOMA-76887"/>
    <hyperlink ref="B336" r:id="rId335" display="http://tprocess-contax/browse/CTXRJOMA-76875"/>
    <hyperlink ref="B337" r:id="rId336" display="http://tprocess-contax/browse/CTXRJOMA-76819"/>
    <hyperlink ref="B338" r:id="rId337" display="http://tprocess-contax/browse/CTXRJOMA-73888"/>
    <hyperlink ref="B339" r:id="rId338" display="http://tprocess-contax/browse/CTXRJOMA-73573"/>
    <hyperlink ref="B340" r:id="rId339" display="http://tprocess-contax/browse/CTXRJOMA-72849"/>
    <hyperlink ref="B341" r:id="rId340" display="http://tprocess-contax/browse/CTXRJOED-57910"/>
    <hyperlink ref="B342" r:id="rId341" display="http://tprocess-contax/browse/CTXRJOED-57908"/>
    <hyperlink ref="B343" r:id="rId342" display="http://tprocess-contax/browse/CTXRJOED-57907"/>
    <hyperlink ref="B344" r:id="rId343" display="http://tprocess-contax/browse/CTXRJOED-57427"/>
    <hyperlink ref="B345" r:id="rId344" display="http://tprocess-contax/browse/CTXRJOED-56989"/>
    <hyperlink ref="B346" r:id="rId345" display="http://tprocess-contax/browse/CTXRJOED-55097"/>
    <hyperlink ref="B347" r:id="rId346" display="http://tprocess-contax/browse/CTXRJOED-54399"/>
    <hyperlink ref="B348" r:id="rId347" display="http://tprocess-contax/browse/CTXRJOED-54040"/>
    <hyperlink ref="B349" r:id="rId348" display="http://tprocess-contax/browse/CTXRJOED-54029"/>
    <hyperlink ref="B350" r:id="rId349" display="http://tprocess-contax/browse/CTXRJOED-51677"/>
    <hyperlink ref="B351" r:id="rId350" display="http://tprocess-contax/browse/CTXRJOED-49497"/>
    <hyperlink ref="B352" r:id="rId351" display="http://tprocess-contax/browse/CTXRECSA-463298"/>
    <hyperlink ref="B353" r:id="rId352" display="http://tprocess-contax/browse/CTXRECSA-462461"/>
    <hyperlink ref="B354" r:id="rId353" display="http://tprocess-contax/browse/CTXRECSA-461808"/>
    <hyperlink ref="B355" r:id="rId354" display="http://tprocess-contax/browse/CTXRECSA-460567"/>
    <hyperlink ref="B356" r:id="rId355" display="http://tprocess-contax/browse/CTXRECSA-457626"/>
    <hyperlink ref="B357" r:id="rId356" display="http://tprocess-contax/browse/CTXRECSA-456620"/>
    <hyperlink ref="B358" r:id="rId357" display="http://tprocess-contax/browse/CTXRECSA-455203"/>
    <hyperlink ref="B359" r:id="rId358" display="http://tprocess-contax/browse/CTXRECSA-454137"/>
    <hyperlink ref="B360" r:id="rId359" display="http://tprocess-contax/browse/CTXRECSA-453800"/>
    <hyperlink ref="B361" r:id="rId360" display="http://tprocess-contax/browse/CTXRECSA-452887"/>
    <hyperlink ref="B362" r:id="rId361" display="http://tprocess-contax/browse/CTXRECSA-448642"/>
    <hyperlink ref="B363" r:id="rId362" display="http://tprocess-contax/browse/CTXRECSA-447220"/>
    <hyperlink ref="B364" r:id="rId363" display="http://tprocess-contax/browse/CTXRECSA-446234"/>
    <hyperlink ref="B365" r:id="rId364" display="http://tprocess-contax/browse/CTXRECSA-446175"/>
    <hyperlink ref="B366" r:id="rId365" display="http://tprocess-contax/browse/CTXRECSA-443731"/>
    <hyperlink ref="B367" r:id="rId366" display="http://tprocess-contax/browse/CTXRECSA-442185"/>
    <hyperlink ref="B368" r:id="rId367" display="http://tprocess-contax/browse/CTXRECSA-441544"/>
    <hyperlink ref="B369" r:id="rId368" display="http://tprocess-contax/browse/CTXRECSA-441539"/>
    <hyperlink ref="B370" r:id="rId369" display="http://tprocess-contax/browse/CTXRECSA-441538"/>
    <hyperlink ref="B371" r:id="rId370" display="http://tprocess-contax/browse/CTXRECSA-441537"/>
    <hyperlink ref="B372" r:id="rId371" display="http://tprocess-contax/browse/CTXRECSA-441535"/>
    <hyperlink ref="B373" r:id="rId372" display="http://tprocess-contax/browse/CTXRECSA-441525"/>
    <hyperlink ref="B374" r:id="rId373" display="http://tprocess-contax/browse/CTXRECSA-441523"/>
    <hyperlink ref="B375" r:id="rId374" display="http://tprocess-contax/browse/CTXRECSA-441507"/>
    <hyperlink ref="B376" r:id="rId375" display="http://tprocess-contax/browse/CTXRECSA-441505"/>
    <hyperlink ref="B377" r:id="rId376" display="http://tprocess-contax/browse/CTXRECSA-441504"/>
    <hyperlink ref="B378" r:id="rId377" display="http://tprocess-contax/browse/CTXRECSA-441495"/>
    <hyperlink ref="B379" r:id="rId378" display="http://tprocess-contax/browse/CTXRECSA-440043"/>
    <hyperlink ref="B380" r:id="rId379" display="http://tprocess-contax/browse/CTXRECSA-439346"/>
    <hyperlink ref="B381" r:id="rId380" display="http://tprocess-contax/browse/CTXRECSA-439329"/>
    <hyperlink ref="B382" r:id="rId381" display="http://tprocess-contax/browse/CTXRECSA-439328"/>
    <hyperlink ref="B383" r:id="rId382" display="http://tprocess-contax/browse/CTXRECSA-439238"/>
    <hyperlink ref="B384" r:id="rId383" display="http://tprocess-contax/browse/CTXRECSA-438942"/>
    <hyperlink ref="B385" r:id="rId384" display="http://tprocess-contax/browse/CTXRECSA-433478"/>
    <hyperlink ref="B386" r:id="rId385" display="http://tprocess-contax/browse/CTXRECSA-430770"/>
    <hyperlink ref="B387" r:id="rId386" display="http://tprocess-contax/browse/CTXRECSA-430668"/>
    <hyperlink ref="B388" r:id="rId387" display="http://tprocess-contax/browse/CTXRECSA-430340"/>
    <hyperlink ref="B389" r:id="rId388" display="http://tprocess-contax/browse/CTXRECSA-424149"/>
    <hyperlink ref="B390" r:id="rId389" display="http://tprocess-contax/browse/CTXRECSA-422496"/>
    <hyperlink ref="B391" r:id="rId390" display="http://tprocess-contax/browse/CTXRECSA-422212"/>
    <hyperlink ref="B392" r:id="rId391" display="http://tprocess-contax/browse/CTXRECSA-422165"/>
    <hyperlink ref="B393" r:id="rId392" display="http://tprocess-contax/browse/CTXRECSA-419831"/>
    <hyperlink ref="B394" r:id="rId393" display="http://tprocess-contax/browse/CTXRECSA-419337"/>
    <hyperlink ref="B395" r:id="rId394" display="http://tprocess-contax/browse/CTXRECSA-414952"/>
    <hyperlink ref="B396" r:id="rId395" display="http://tprocess-contax/browse/CTXRECSA-413131"/>
    <hyperlink ref="B397" r:id="rId396" display="http://tprocess-contax/browse/CTXRECSA-410282"/>
    <hyperlink ref="B398" r:id="rId397" display="http://tprocess-contax/browse/CTXRECSA-410083"/>
    <hyperlink ref="B399" r:id="rId398" display="http://tprocess-contax/browse/CTXRECSA-407387"/>
    <hyperlink ref="B400" r:id="rId399" display="http://tprocess-contax/browse/CTXRECSA-407337"/>
    <hyperlink ref="B401" r:id="rId400" display="http://tprocess-contax/browse/CTXRECSA-403870"/>
    <hyperlink ref="B402" r:id="rId401" display="http://tprocess-contax/browse/CTXRECSA-402181"/>
    <hyperlink ref="B403" r:id="rId402" display="http://tprocess-contax/browse/CTXRECSA-401969"/>
    <hyperlink ref="B404" r:id="rId403" display="http://tprocess-contax/browse/CTXRECSA-391509"/>
    <hyperlink ref="B405" r:id="rId404" display="http://tprocess-contax/browse/CTXRECSA-382919"/>
    <hyperlink ref="B406" r:id="rId405" display="http://tprocess-contax/browse/CTXRECSA-371873"/>
    <hyperlink ref="B407" r:id="rId406" display="http://tprocess-contax/browse/CTXRECSA-358319"/>
    <hyperlink ref="B408" r:id="rId407" display="http://tprocess-contax/browse/CTXRECSA-338313"/>
    <hyperlink ref="B409" r:id="rId408" display="http://tprocess-contax/browse/CTXRECAU-63167"/>
    <hyperlink ref="B410" r:id="rId409" display="http://tprocess-contax/browse/CTXRECAM-56450"/>
    <hyperlink ref="B411" r:id="rId410" display="http://tprocess-contax/browse/CTXRECAM-56254"/>
    <hyperlink ref="B412" r:id="rId411" display="http://tprocess-contax/browse/CTXRECAM-55921"/>
    <hyperlink ref="B413" r:id="rId412" display="http://tprocess-contax/browse/CTXRECAM-55620"/>
    <hyperlink ref="B414" r:id="rId413" display="http://tprocess-contax/browse/CTXRECAM-55516"/>
    <hyperlink ref="B415" r:id="rId414" display="http://tprocess-contax/browse/CTXRECAM-55511"/>
    <hyperlink ref="B416" r:id="rId415" display="http://tprocess-contax/browse/CTXRECAM-55397"/>
    <hyperlink ref="B417" r:id="rId416" display="http://tprocess-contax/browse/CTXRECAM-55054"/>
    <hyperlink ref="B418" r:id="rId417" display="http://tprocess-contax/browse/CTXRECAM-55052"/>
    <hyperlink ref="B419" r:id="rId418" display="http://tprocess-contax/browse/CTXRECAM-54297"/>
    <hyperlink ref="B420" r:id="rId419" display="http://tprocess-contax/browse/CTXRECAM-51761"/>
    <hyperlink ref="B421" r:id="rId420" display="http://tprocess-contax/browse/CTXRBRSA-28"/>
    <hyperlink ref="B422" r:id="rId421" display="http://tprocess-contax/browse/CTXPOARB-102110"/>
    <hyperlink ref="B423" r:id="rId422" display="http://tprocess-contax/browse/CTXPOARB-101511"/>
    <hyperlink ref="B424" r:id="rId423" display="http://tprocess-contax/browse/CTXPOARB-101274"/>
    <hyperlink ref="B425" r:id="rId424" display="http://tprocess-contax/browse/CTXPOARB-101179"/>
    <hyperlink ref="B426" r:id="rId425" display="http://tprocess-contax/browse/CTXPOARB-100112"/>
    <hyperlink ref="B427" r:id="rId426" display="http://tprocess-contax/browse/CTXPOARB-94333"/>
    <hyperlink ref="B428" r:id="rId427" display="http://tprocess-contax/browse/CTXPOARB-93327"/>
    <hyperlink ref="B429" r:id="rId428" display="http://tprocess-contax/browse/CTXPOARB-92840"/>
    <hyperlink ref="B430" r:id="rId429" display="http://tprocess-contax/browse/CTXPOARB-91371"/>
    <hyperlink ref="B431" r:id="rId430" display="http://tprocess-contax/browse/CTXPOARB-91289"/>
    <hyperlink ref="B432" r:id="rId431" display="http://tprocess-contax/browse/CTXPOARB-90275"/>
    <hyperlink ref="B433" r:id="rId432" display="http://tprocess-contax/browse/CTXPOARB-90126"/>
    <hyperlink ref="B434" r:id="rId433" display="http://tprocess-contax/browse/CTXPOARB-90125"/>
    <hyperlink ref="B435" r:id="rId434" display="http://tprocess-contax/browse/CTXPOARB-87226"/>
    <hyperlink ref="B436" r:id="rId435" display="http://tprocess-contax/browse/CTXPOARB-85985"/>
    <hyperlink ref="B437" r:id="rId436" display="http://tprocess-contax/browse/CTXPOARB-85984"/>
    <hyperlink ref="B438" r:id="rId437" display="http://tprocess-contax/browse/CTXNITSP-178545"/>
    <hyperlink ref="B439" r:id="rId438" display="http://tprocess-contax/browse/CTXNITSP-178541"/>
    <hyperlink ref="B440" r:id="rId439" display="http://tprocess-contax/browse/CTXNITSP-178375"/>
    <hyperlink ref="B441" r:id="rId440" display="http://tprocess-contax/browse/CTXNITSP-178374"/>
    <hyperlink ref="B442" r:id="rId441" display="http://tprocess-contax/browse/CTXNITSP-178373"/>
    <hyperlink ref="B443" r:id="rId442" display="http://tprocess-contax/browse/CTXNITSP-178203"/>
    <hyperlink ref="B444" r:id="rId443" display="http://tprocess-contax/browse/CTXNITSP-177717"/>
    <hyperlink ref="B445" r:id="rId444" display="http://tprocess-contax/browse/CTXNITSP-177716"/>
    <hyperlink ref="B446" r:id="rId445" display="http://tprocess-contax/browse/CTXNITSP-177715"/>
    <hyperlink ref="B447" r:id="rId446" display="http://tprocess-contax/browse/CTXNITSP-177581"/>
    <hyperlink ref="B448" r:id="rId447" display="http://tprocess-contax/browse/CTXNITSP-177338"/>
    <hyperlink ref="B449" r:id="rId448" display="http://tprocess-contax/browse/CTXNITSP-177305"/>
    <hyperlink ref="B450" r:id="rId449" display="http://tprocess-contax/browse/CTXNITSP-177143"/>
    <hyperlink ref="B451" r:id="rId450" display="http://tprocess-contax/browse/CTXNITSP-177142"/>
    <hyperlink ref="B452" r:id="rId451" display="http://tprocess-contax/browse/CTXNITSP-176576"/>
    <hyperlink ref="B453" r:id="rId452" display="http://tprocess-contax/browse/CTXNITSP-176570"/>
    <hyperlink ref="B454" r:id="rId453" display="http://tprocess-contax/browse/CTXNITSP-176458"/>
    <hyperlink ref="B455" r:id="rId454" display="http://tprocess-contax/browse/CTXNITSP-176231"/>
    <hyperlink ref="B456" r:id="rId455" display="http://tprocess-contax/browse/CTXNITSP-176228"/>
    <hyperlink ref="B457" r:id="rId456" display="http://tprocess-contax/browse/CTXNITSP-176226"/>
    <hyperlink ref="B458" r:id="rId457" display="http://tprocess-contax/browse/CTXNITSP-176224"/>
    <hyperlink ref="B459" r:id="rId458" display="http://tprocess-contax/browse/CTXNITSP-176223"/>
    <hyperlink ref="B460" r:id="rId459" display="http://tprocess-contax/browse/CTXNITSP-176042"/>
    <hyperlink ref="B461" r:id="rId460" display="http://tprocess-contax/browse/CTXNITSP-175831"/>
    <hyperlink ref="B462" r:id="rId461" display="http://tprocess-contax/browse/CTXNITSP-175152"/>
    <hyperlink ref="B463" r:id="rId462" display="http://tprocess-contax/browse/CTXNITSP-173491"/>
    <hyperlink ref="B464" r:id="rId463" display="http://tprocess-contax/browse/CTXNITSP-172871"/>
    <hyperlink ref="B465" r:id="rId464" display="http://tprocess-contax/browse/CTXNITSP-172870"/>
    <hyperlink ref="B466" r:id="rId465" display="http://tprocess-contax/browse/CTXNITSP-172869"/>
    <hyperlink ref="B467" r:id="rId466" display="http://tprocess-contax/browse/CTXNITSP-172868"/>
    <hyperlink ref="B468" r:id="rId467" display="http://tprocess-contax/browse/CTXNITSP-172614"/>
    <hyperlink ref="B469" r:id="rId468" display="http://tprocess-contax/browse/CTXNITSP-172611"/>
    <hyperlink ref="B470" r:id="rId469" display="http://tprocess-contax/browse/CTXNITSP-172566"/>
    <hyperlink ref="B471" r:id="rId470" display="http://tprocess-contax/browse/CTXNITSP-172565"/>
    <hyperlink ref="B472" r:id="rId471" display="http://tprocess-contax/browse/CTXNITSP-172461"/>
    <hyperlink ref="B473" r:id="rId472" display="http://tprocess-contax/browse/CTXNITSP-172449"/>
    <hyperlink ref="B474" r:id="rId473" display="http://tprocess-contax/browse/CTXNITSP-170972"/>
    <hyperlink ref="B475" r:id="rId474" display="http://tprocess-contax/browse/CTXNITSP-168713"/>
    <hyperlink ref="B476" r:id="rId475" display="http://tprocess-contax/browse/CTXNITSP-167961"/>
    <hyperlink ref="B477" r:id="rId476" display="http://tprocess-contax/browse/CTXNITSP-166786"/>
    <hyperlink ref="B478" r:id="rId477" display="http://tprocess-contax/browse/CTXNITSP-165356"/>
    <hyperlink ref="B479" r:id="rId478" display="http://tprocess-contax/browse/CTXNITSP-164920"/>
    <hyperlink ref="B480" r:id="rId479" display="http://tprocess-contax/browse/CTXNITSP-164460"/>
    <hyperlink ref="B481" r:id="rId480" display="http://tprocess-contax/browse/CTXNITSP-164357"/>
    <hyperlink ref="B482" r:id="rId481" display="http://tprocess-contax/browse/CTXNITSP-163520"/>
    <hyperlink ref="B483" r:id="rId482" display="http://tprocess-contax/browse/CTXNITSP-163395"/>
    <hyperlink ref="B484" r:id="rId483" display="http://tprocess-contax/browse/CTXNITSP-162696"/>
    <hyperlink ref="B485" r:id="rId484" display="http://tprocess-contax/browse/CTXNITSP-161527"/>
    <hyperlink ref="B486" r:id="rId485" display="http://tprocess-contax/browse/CTXNITSP-160928"/>
    <hyperlink ref="B487" r:id="rId486" display="http://tprocess-contax/browse/CTXNITSP-154454"/>
    <hyperlink ref="B488" r:id="rId487" display="http://tprocess-contax/browse/CTXNITSP-153179"/>
    <hyperlink ref="B489" r:id="rId488" display="http://tprocess-contax/browse/CTXMTZRP-43918"/>
    <hyperlink ref="B490" r:id="rId489" display="http://tprocess-contax/browse/CTXMTZRP-43581"/>
    <hyperlink ref="B491" r:id="rId490" display="http://tprocess-contax/browse/CTXMTZRP-43580"/>
    <hyperlink ref="B492" r:id="rId491" display="http://tprocess-contax/browse/CTXMTZRP-43579"/>
    <hyperlink ref="B493" r:id="rId492" display="http://tprocess-contax/browse/CTXMTZRP-43575"/>
    <hyperlink ref="B494" r:id="rId493" display="http://tprocess-contax/browse/CTXMTZRP-43574"/>
    <hyperlink ref="B495" r:id="rId494" display="http://tprocess-contax/browse/CTXMTZRP-43360"/>
    <hyperlink ref="B496" r:id="rId495" display="http://tprocess-contax/browse/CTXMTZRP-43359"/>
    <hyperlink ref="B497" r:id="rId496" display="http://tprocess-contax/browse/CTXMTZRP-43358"/>
    <hyperlink ref="B498" r:id="rId497" display="http://tprocess-contax/browse/CTXMTZRP-43213"/>
    <hyperlink ref="B499" r:id="rId498" display="http://tprocess-contax/browse/CTXMTZRP-43198"/>
    <hyperlink ref="B500" r:id="rId499" display="http://tprocess-contax/browse/CTXMTZRP-43045"/>
    <hyperlink ref="B501" r:id="rId500" display="http://tprocess-contax/browse/CTXMTZRP-42974"/>
    <hyperlink ref="B502" r:id="rId501" display="http://tprocess-contax/browse/CTXMTZRP-42689"/>
    <hyperlink ref="B503" r:id="rId502" display="http://tprocess-contax/browse/CTXMTZRP-42601"/>
    <hyperlink ref="B504" r:id="rId503" display="http://tprocess-contax/browse/CTXMTZRP-42203"/>
    <hyperlink ref="B505" r:id="rId504" display="http://tprocess-contax/browse/CTXMTZRP-42198"/>
    <hyperlink ref="B506" r:id="rId505" display="http://tprocess-contax/browse/CTXMTZRP-42159"/>
    <hyperlink ref="B507" r:id="rId506" display="http://tprocess-contax/browse/CTXMTZRP-42143"/>
    <hyperlink ref="B508" r:id="rId507" display="http://tprocess-contax/browse/CTXMTZRP-41269"/>
    <hyperlink ref="B509" r:id="rId508" display="http://tprocess-contax/browse/CTXMTZRP-41268"/>
    <hyperlink ref="B510" r:id="rId509" display="http://tprocess-contax/browse/CTXMTZRP-40787"/>
    <hyperlink ref="B511" r:id="rId510" display="http://tprocess-contax/browse/CTXMTZRP-40585"/>
    <hyperlink ref="B512" r:id="rId511" display="http://tprocess-contax/browse/CTXMTZRP-39707"/>
    <hyperlink ref="B513" r:id="rId512" display="http://tprocess-contax/browse/CTXMTZRP-35945"/>
    <hyperlink ref="B514" r:id="rId513" display="http://tprocess-contax/browse/CTXMTZRP-35944"/>
    <hyperlink ref="B515" r:id="rId514" display="http://tprocess-contax/browse/CTXMTZRP-35943"/>
    <hyperlink ref="B516" r:id="rId515" display="http://tprocess-contax/browse/CTXMTZRP-35941"/>
    <hyperlink ref="B517" r:id="rId516" display="http://tprocess-contax/browse/CTXMTZRP-35937"/>
    <hyperlink ref="B518" r:id="rId517" display="http://tprocess-contax/browse/CTXMTZRP-35936"/>
    <hyperlink ref="B519" r:id="rId518" display="http://tprocess-contax/browse/CTXMTZPB-1259"/>
    <hyperlink ref="B520" r:id="rId519" display="http://tprocess-contax/browse/CTXMTZPB-1258"/>
    <hyperlink ref="B521" r:id="rId520" display="http://tprocess-contax/browse/CTXMTZPB-1214"/>
    <hyperlink ref="B522" r:id="rId521" display="http://tprocess-contax/browse/CTXMTZPB-1118"/>
    <hyperlink ref="B523" r:id="rId522" display="http://tprocess-contax/browse/CTXMTZPB-1116"/>
    <hyperlink ref="B524" r:id="rId523" display="http://tprocess-contax/browse/CTXMTZPB-1098"/>
    <hyperlink ref="B525" r:id="rId524" display="http://tprocess-contax/browse/CTXMTZPB-1091"/>
    <hyperlink ref="B526" r:id="rId525" display="http://tprocess-contax/browse/CTXMTZPB-1044"/>
    <hyperlink ref="B527" r:id="rId526" display="http://tprocess-contax/browse/CTXMTZPB-1001"/>
    <hyperlink ref="B528" r:id="rId527" display="http://tprocess-contax/browse/CTXMTZPB-944"/>
    <hyperlink ref="B529" r:id="rId528" display="http://tprocess-contax/browse/CTXMTZPB-860"/>
    <hyperlink ref="B530" r:id="rId529" display="http://tprocess-contax/browse/CTXMTZPB-758"/>
    <hyperlink ref="B531" r:id="rId530" display="http://tprocess-contax/browse/CTXMTZPB-510"/>
    <hyperlink ref="B532" r:id="rId531" display="http://tprocess-contax/browse/CTXMTZPB-452"/>
    <hyperlink ref="B533" r:id="rId532" display="http://tprocess-contax/browse/CTXMTZPB-307"/>
    <hyperlink ref="B534" r:id="rId533" display="http://tprocess-contax/browse/CTXMTZPB-300"/>
    <hyperlink ref="B535" r:id="rId534" display="http://tprocess-contax/browse/CTXMTZPB-201"/>
    <hyperlink ref="B536" r:id="rId535" display="http://tprocess-contax/browse/CTXMTZPB-88"/>
    <hyperlink ref="B537" r:id="rId536" display="http://tprocess-contax/browse/CTXMLTREG-6041"/>
    <hyperlink ref="B538" r:id="rId537" display="http://tprocess-contax/browse/CTXMLTREG-5634"/>
    <hyperlink ref="B539" r:id="rId538" display="http://tprocess-contax/browse/CTXMLTREG-4755"/>
    <hyperlink ref="B540" r:id="rId539" display="http://tprocess-contax/browse/CTXMLTREG-4553"/>
    <hyperlink ref="B541" r:id="rId540" display="http://tprocess-contax/browse/CTXMLTREG-4428"/>
    <hyperlink ref="B542" r:id="rId541" display="http://tprocess-contax/browse/CTXMLTREG-4427"/>
    <hyperlink ref="B543" r:id="rId542" display="http://tprocess-contax/browse/CTXMLTREG-4375"/>
    <hyperlink ref="B544" r:id="rId543" display="http://tprocess-contax/browse/CTXMLTREG-4307"/>
    <hyperlink ref="B545" r:id="rId544" display="http://tprocess-contax/browse/CTXMLTREG-4245"/>
    <hyperlink ref="B546" r:id="rId545" display="http://tprocess-contax/browse/CTXMLTREG-4207"/>
    <hyperlink ref="B547" r:id="rId546" display="http://tprocess-contax/browse/CTXMLTREG-4086"/>
    <hyperlink ref="B548" r:id="rId547" display="http://tprocess-contax/browse/CTXMLTREG-3841"/>
    <hyperlink ref="B549" r:id="rId548" display="http://tprocess-contax/browse/CTXMLTREG-3831"/>
    <hyperlink ref="B550" r:id="rId549" display="http://tprocess-contax/browse/CTXMLTREG-3703"/>
    <hyperlink ref="B551" r:id="rId550" display="http://tprocess-contax/browse/CTXMLTREG-3663"/>
    <hyperlink ref="B552" r:id="rId551" display="http://tprocess-contax/browse/CTXMLTREG-3647"/>
    <hyperlink ref="B553" r:id="rId552" display="http://tprocess-contax/browse/CTXMLTREG-3442"/>
    <hyperlink ref="B554" r:id="rId553" display="http://tprocess-contax/browse/CTXLONLA-28251"/>
    <hyperlink ref="B555" r:id="rId554" display="http://tprocess-contax/browse/CTXLONLA-28211"/>
    <hyperlink ref="B556" r:id="rId555" display="http://tprocess-contax/browse/CTXLONLA-28210"/>
    <hyperlink ref="B557" r:id="rId556" display="http://tprocess-contax/browse/CTXLONLA-28201"/>
    <hyperlink ref="B558" r:id="rId557" display="http://tprocess-contax/browse/CTXLONLA-28200"/>
    <hyperlink ref="B559" r:id="rId558" display="http://tprocess-contax/browse/CTXLONLA-28199"/>
    <hyperlink ref="B560" r:id="rId559" display="http://tprocess-contax/browse/CTXLONLA-28170"/>
    <hyperlink ref="B561" r:id="rId560" display="http://tprocess-contax/browse/CTXLONLA-26632"/>
    <hyperlink ref="B562" r:id="rId561" display="http://tprocess-contax/browse/CTXJOINP-11673"/>
    <hyperlink ref="B563" r:id="rId562" display="http://tprocess-contax/browse/CTXJOINP-11654"/>
    <hyperlink ref="B564" r:id="rId563" display="http://tprocess-contax/browse/CTXFORNA-28061"/>
    <hyperlink ref="B565" r:id="rId564" display="http://tprocess-contax/browse/CTXFORNA-27596"/>
    <hyperlink ref="B566" r:id="rId565" display="http://tprocess-contax/browse/CTXFORNA-26367"/>
    <hyperlink ref="B567" r:id="rId566" display="http://tprocess-contax/browse/CTXFORNA-25436"/>
    <hyperlink ref="B568" r:id="rId567" display="http://tprocess-contax/browse/CTXFORBM-357993"/>
    <hyperlink ref="B569" r:id="rId568" display="http://tprocess-contax/browse/CTXFORBM-357817"/>
    <hyperlink ref="B570" r:id="rId569" display="http://tprocess-contax/browse/CTXFORBM-356683"/>
    <hyperlink ref="B571" r:id="rId570" display="http://tprocess-contax/browse/CTXFORBM-356566"/>
    <hyperlink ref="B572" r:id="rId571" display="http://tprocess-contax/browse/CTXFORBM-356564"/>
    <hyperlink ref="B573" r:id="rId572" display="http://tprocess-contax/browse/CTXFORBM-356562"/>
    <hyperlink ref="B574" r:id="rId573" display="http://tprocess-contax/browse/CTXFORBM-356561"/>
    <hyperlink ref="B575" r:id="rId574" display="http://tprocess-contax/browse/CTXFORBM-356558"/>
    <hyperlink ref="B576" r:id="rId575" display="http://tprocess-contax/browse/CTXFORBM-356556"/>
    <hyperlink ref="B577" r:id="rId576" display="http://tprocess-contax/browse/CTXFORBM-356553"/>
    <hyperlink ref="B578" r:id="rId577" display="http://tprocess-contax/browse/CTXFORBM-356551"/>
    <hyperlink ref="B579" r:id="rId578" display="http://tprocess-contax/browse/CTXFORBM-356544"/>
    <hyperlink ref="B580" r:id="rId579" display="http://tprocess-contax/browse/CTXFORBM-356540"/>
    <hyperlink ref="B581" r:id="rId580" display="http://tprocess-contax/browse/CTXFORBM-356388"/>
    <hyperlink ref="B582" r:id="rId581" display="http://tprocess-contax/browse/CTXFORBM-356205"/>
    <hyperlink ref="B583" r:id="rId582" display="http://tprocess-contax/browse/CTXFORBM-354610"/>
    <hyperlink ref="B584" r:id="rId583" display="http://tprocess-contax/browse/CTXFORBM-354062"/>
    <hyperlink ref="B585" r:id="rId584" display="http://tprocess-contax/browse/CTXFORBM-350901"/>
    <hyperlink ref="B586" r:id="rId585" display="http://tprocess-contax/browse/CTXFORBM-350825"/>
    <hyperlink ref="B587" r:id="rId586" display="http://tprocess-contax/browse/CTXFORBM-350823"/>
    <hyperlink ref="B588" r:id="rId587" display="http://tprocess-contax/browse/CTXFORBM-349886"/>
    <hyperlink ref="B589" r:id="rId588" display="http://tprocess-contax/browse/CTXFORBM-348749"/>
    <hyperlink ref="B590" r:id="rId589" display="http://tprocess-contax/browse/CTXFORBM-348646"/>
    <hyperlink ref="B591" r:id="rId590" display="http://tprocess-contax/browse/CTXFORBM-348625"/>
    <hyperlink ref="B592" r:id="rId591" display="http://tprocess-contax/browse/CTXFORBM-348606"/>
    <hyperlink ref="B593" r:id="rId592" display="http://tprocess-contax/browse/CTXFORBM-348601"/>
    <hyperlink ref="B594" r:id="rId593" display="http://tprocess-contax/browse/CTXFORBM-348261"/>
    <hyperlink ref="B595" r:id="rId594" display="http://tprocess-contax/browse/CTXFORBM-347867"/>
    <hyperlink ref="B596" r:id="rId595" display="http://tprocess-contax/browse/CTXFORBM-347687"/>
    <hyperlink ref="B597" r:id="rId596" display="http://tprocess-contax/browse/CTXFORBM-347679"/>
    <hyperlink ref="B598" r:id="rId597" display="http://tprocess-contax/browse/CTXFORBM-347671"/>
    <hyperlink ref="B599" r:id="rId598" display="http://tprocess-contax/browse/CTXFORBM-347668"/>
    <hyperlink ref="B600" r:id="rId599" display="http://tprocess-contax/browse/CTXFORBM-345719"/>
    <hyperlink ref="B601" r:id="rId600" display="http://tprocess-contax/browse/CTXFORBM-344418"/>
    <hyperlink ref="B602" r:id="rId601" display="http://tprocess-contax/browse/CTXFORBM-344109"/>
    <hyperlink ref="B603" r:id="rId602" display="http://tprocess-contax/browse/CTXFORBM-342171"/>
    <hyperlink ref="B604" r:id="rId603" display="http://tprocess-contax/browse/CTXFORBM-342169"/>
    <hyperlink ref="B605" r:id="rId604" display="http://tprocess-contax/browse/CTXFORBM-342167"/>
    <hyperlink ref="B606" r:id="rId605" display="http://tprocess-contax/browse/CTXFORBM-342165"/>
    <hyperlink ref="B607" r:id="rId606" display="http://tprocess-contax/browse/CTXFORBM-342164"/>
    <hyperlink ref="B608" r:id="rId607" display="http://tprocess-contax/browse/CTXFORBM-342163"/>
    <hyperlink ref="B609" r:id="rId608" display="http://tprocess-contax/browse/CTXFORBM-342162"/>
    <hyperlink ref="B610" r:id="rId609" display="http://tprocess-contax/browse/CTXFORBM-342161"/>
    <hyperlink ref="B611" r:id="rId610" display="http://tprocess-contax/browse/CTXFORBM-342159"/>
    <hyperlink ref="B612" r:id="rId611" display="http://tprocess-contax/browse/CTXFORBM-341752"/>
    <hyperlink ref="B613" r:id="rId612" display="http://tprocess-contax/browse/CTXFORBM-339448"/>
    <hyperlink ref="B614" r:id="rId613" display="http://tprocess-contax/browse/CTXFORBM-335280"/>
    <hyperlink ref="B615" r:id="rId614" display="http://tprocess-contax/browse/CTXFORBM-335279"/>
    <hyperlink ref="B616" r:id="rId615" display="http://tprocess-contax/browse/CTXFORBM-335112"/>
    <hyperlink ref="B617" r:id="rId616" display="http://tprocess-contax/browse/CTXFORBM-333926"/>
    <hyperlink ref="B618" r:id="rId617" display="http://tprocess-contax/browse/CTXFORBM-332803"/>
    <hyperlink ref="B619" r:id="rId618" display="http://tprocess-contax/browse/CTXFORBM-332092"/>
    <hyperlink ref="B620" r:id="rId619" display="http://tprocess-contax/browse/CTXFORBM-326935"/>
    <hyperlink ref="B621" r:id="rId620" display="http://tprocess-contax/browse/CTXFORBM-326889"/>
    <hyperlink ref="B622" r:id="rId621" display="http://tprocess-contax/browse/CTXFORBM-326758"/>
    <hyperlink ref="B623" r:id="rId622" display="http://tprocess-contax/browse/CTXFORBM-326194"/>
    <hyperlink ref="B624" r:id="rId623" display="http://tprocess-contax/browse/CTXFORBM-324853"/>
    <hyperlink ref="B625" r:id="rId624" display="http://tprocess-contax/browse/CTXFORBM-323275"/>
    <hyperlink ref="B626" r:id="rId625" display="http://tprocess-contax/browse/CTXFORBM-322363"/>
    <hyperlink ref="B627" r:id="rId626" display="http://tprocess-contax/browse/CTXFORBM-322126"/>
    <hyperlink ref="B628" r:id="rId627" display="http://tprocess-contax/browse/CTXFORBM-321509"/>
    <hyperlink ref="B629" r:id="rId628" display="http://tprocess-contax/browse/CTXFORBM-321427"/>
    <hyperlink ref="B630" r:id="rId629" display="http://tprocess-contax/browse/CTXFORBM-320922"/>
    <hyperlink ref="B631" r:id="rId630" display="http://tprocess-contax/browse/CTXFORBM-320915"/>
    <hyperlink ref="B632" r:id="rId631" display="http://tprocess-contax/browse/CTXFORBM-320345"/>
    <hyperlink ref="B633" r:id="rId632" display="http://tprocess-contax/browse/CTXFORBM-319828"/>
    <hyperlink ref="B634" r:id="rId633" display="http://tprocess-contax/browse/CTXFORBM-314772"/>
    <hyperlink ref="B635" r:id="rId634" display="http://tprocess-contax/browse/CTXFORBM-313079"/>
    <hyperlink ref="B636" r:id="rId635" display="http://tprocess-contax/browse/CTXFORBM-307164"/>
    <hyperlink ref="B637" r:id="rId636" display="http://tprocess-contax/browse/CTXFORBM-304805"/>
    <hyperlink ref="B638" r:id="rId637" display="http://tprocess-contax/browse/CTXFORBM-302024"/>
    <hyperlink ref="B639" r:id="rId638" display="http://tprocess-contax/browse/CTXFORBM-300174"/>
    <hyperlink ref="B640" r:id="rId639" display="http://tprocess-contax/browse/CTXFORBM-298953"/>
    <hyperlink ref="B641" r:id="rId640" display="http://tprocess-contax/browse/CTXFORBM-294169"/>
    <hyperlink ref="B642" r:id="rId641" display="http://tprocess-contax/browse/CTXFORBM-292807"/>
    <hyperlink ref="B643" r:id="rId642" display="http://tprocess-contax/browse/CTXFORBM-291757"/>
    <hyperlink ref="B644" r:id="rId643" display="http://tprocess-contax/browse/CTXFORBM-288081"/>
    <hyperlink ref="B645" r:id="rId644" display="http://tprocess-contax/browse/CTXFORBM-288047"/>
    <hyperlink ref="B646" r:id="rId645" display="http://tprocess-contax/browse/CTXFORBM-287648"/>
    <hyperlink ref="B647" r:id="rId646" display="http://tprocess-contax/browse/CTXFORBM-270660"/>
    <hyperlink ref="B648" r:id="rId647" display="http://tprocess-contax/browse/CTXFORBM-235310"/>
    <hyperlink ref="B649" r:id="rId648" display="http://tprocess-contax/browse/CTXCTCRA-17222"/>
    <hyperlink ref="B650" r:id="rId649" display="http://tprocess-contax/browse/CTXCASEK-1594"/>
    <hyperlink ref="B651" r:id="rId650" display="http://tprocess-contax/browse/CTXCASEK-1593"/>
    <hyperlink ref="B652" r:id="rId651" display="http://tprocess-contax/browse/CTXCASEK-1528"/>
    <hyperlink ref="B653" r:id="rId652" display="http://tprocess-contax/browse/CTXCASEK-1359"/>
    <hyperlink ref="B654" r:id="rId653" display="http://tprocess-contax/browse/CTXCASEK-1292"/>
    <hyperlink ref="B655" r:id="rId654" display="http://tprocess-contax/browse/CTXBHZRP-217559"/>
    <hyperlink ref="B656" r:id="rId655" display="http://tprocess-contax/browse/CTXBHZRP-217019"/>
    <hyperlink ref="B657" r:id="rId656" display="http://tprocess-contax/browse/CTXBHZRI-98120"/>
    <hyperlink ref="B658" r:id="rId657" display="http://tprocess-contax/browse/CTXBHZRI-98067"/>
    <hyperlink ref="B659" r:id="rId658" display="http://tprocess-contax/browse/CTXBHZRI-98066"/>
    <hyperlink ref="B660" r:id="rId659" display="http://tprocess-contax/browse/CTXBHZRI-98065"/>
    <hyperlink ref="B661" r:id="rId660" display="http://tprocess-contax/browse/CTXBHZRI-97664"/>
    <hyperlink ref="B662" r:id="rId661" display="http://tprocess-contax/browse/CTXBHZRI-96230"/>
    <hyperlink ref="B663" r:id="rId662" display="http://tprocess-contax/browse/CTXBHZRI-95756"/>
    <hyperlink ref="B664" r:id="rId663" display="http://tprocess-contax/browse/CTXBHZRI-94988"/>
    <hyperlink ref="B665" r:id="rId664" display="http://tprocess-contax/browse/CTXBHZRI-94859"/>
    <hyperlink ref="B666" r:id="rId665" display="http://tprocess-contax/browse/CTXBHZRI-94837"/>
    <hyperlink ref="B667" r:id="rId666" display="http://tprocess-contax/browse/CTXBHZRI-93377"/>
    <hyperlink ref="B668" r:id="rId667" display="http://tprocess-contax/browse/CTXBHZRI-92004"/>
    <hyperlink ref="B669" r:id="rId668" display="http://tprocess-contax/browse/CTXBHZRI-89940"/>
    <hyperlink ref="B670" r:id="rId669" display="http://tprocess-contax/browse/CTXBHZRI-87861"/>
    <hyperlink ref="B671" r:id="rId670" display="http://tprocess-contax/browse/CTXBHZRI-87549"/>
    <hyperlink ref="B672" r:id="rId671" display="http://tprocess-contax/browse/CTXBHZRI-84138"/>
    <hyperlink ref="B673" r:id="rId672" display="http://tprocess-contax/browse/CTXBHZRI-82191"/>
    <hyperlink ref="B674" r:id="rId673" display="http://tprocess-contax/browse/CTXBHZRI-82119"/>
    <hyperlink ref="B675" r:id="rId674" display="http://tprocess-contax/browse/CTXBHZRI-75393"/>
    <hyperlink ref="B676" r:id="rId675" display="http://tprocess-contax/browse/CLIORBSAN-131"/>
    <hyperlink ref="B677" r:id="rId676" display="http://tprocess-contax/browse/CLIORBCG-397"/>
    <hyperlink ref="B678" r:id="rId677" display="http://tprocess-contax/browse/CLIORBCG-240"/>
    <hyperlink ref="B679" r:id="rId678" display="http://tprocess-contax/browse/CLIORBCG-187"/>
    <hyperlink ref="B680" r:id="rId679" display="http://tprocess-contax/browse/CLIORBCG-174"/>
  </hyperlinks>
  <printOptions horizontalCentered="1" verticalCentered="1"/>
  <pageMargins left="0.25" right="0.25" top="0.25" bottom="0.5" header="0.5" footer="0.25"/>
  <pageSetup orientation="landscape" r:id="rId680"/>
  <headerFooter>
    <oddFooter>&amp;R&amp;P of &amp;N</oddFooter>
  </headerFooter>
  <drawing r:id="rId68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0"/>
  <sheetViews>
    <sheetView tabSelected="1" topLeftCell="A40" workbookViewId="0">
      <selection activeCell="E58" sqref="E58"/>
    </sheetView>
  </sheetViews>
  <sheetFormatPr defaultRowHeight="15" x14ac:dyDescent="0.25"/>
  <cols>
    <col min="1" max="1" width="32.28515625" customWidth="1"/>
    <col min="2" max="2" width="19" customWidth="1"/>
    <col min="3" max="3" width="14.7109375" bestFit="1" customWidth="1"/>
    <col min="4" max="4" width="17.7109375" customWidth="1"/>
    <col min="5" max="5" width="9.140625" customWidth="1"/>
    <col min="6" max="6" width="10.42578125" bestFit="1" customWidth="1"/>
    <col min="7" max="7" width="9.7109375" customWidth="1"/>
    <col min="8" max="9" width="10.7109375" bestFit="1" customWidth="1"/>
  </cols>
  <sheetData>
    <row r="1" spans="1:8" x14ac:dyDescent="0.25">
      <c r="A1" s="7" t="s">
        <v>1400</v>
      </c>
      <c r="B1" s="7" t="s">
        <v>1405</v>
      </c>
    </row>
    <row r="2" spans="1:8" x14ac:dyDescent="0.25">
      <c r="A2" s="7" t="s">
        <v>1401</v>
      </c>
      <c r="B2" t="s">
        <v>48</v>
      </c>
      <c r="C2" t="s">
        <v>207</v>
      </c>
      <c r="D2" t="s">
        <v>234</v>
      </c>
      <c r="E2" t="s">
        <v>83</v>
      </c>
      <c r="F2" t="s">
        <v>13</v>
      </c>
      <c r="G2" t="s">
        <v>7</v>
      </c>
      <c r="H2" t="s">
        <v>1402</v>
      </c>
    </row>
    <row r="3" spans="1:8" x14ac:dyDescent="0.25">
      <c r="A3" s="9">
        <v>2014</v>
      </c>
      <c r="B3" s="6"/>
      <c r="C3" s="6"/>
      <c r="D3" s="6"/>
      <c r="E3" s="6"/>
      <c r="F3" s="6"/>
      <c r="G3" s="6"/>
      <c r="H3" s="6"/>
    </row>
    <row r="4" spans="1:8" x14ac:dyDescent="0.25">
      <c r="A4" s="10">
        <v>5</v>
      </c>
      <c r="B4" s="6">
        <v>2</v>
      </c>
      <c r="C4" s="6"/>
      <c r="D4" s="6"/>
      <c r="E4" s="6"/>
      <c r="F4" s="6"/>
      <c r="G4" s="6"/>
      <c r="H4" s="6">
        <v>2</v>
      </c>
    </row>
    <row r="5" spans="1:8" x14ac:dyDescent="0.25">
      <c r="A5" s="10">
        <v>7</v>
      </c>
      <c r="B5" s="6">
        <v>1</v>
      </c>
      <c r="C5" s="6"/>
      <c r="D5" s="6"/>
      <c r="E5" s="6"/>
      <c r="F5" s="6"/>
      <c r="G5" s="6"/>
      <c r="H5" s="6">
        <v>1</v>
      </c>
    </row>
    <row r="6" spans="1:8" x14ac:dyDescent="0.25">
      <c r="A6" s="10">
        <v>8</v>
      </c>
      <c r="B6" s="6">
        <v>1</v>
      </c>
      <c r="C6" s="6"/>
      <c r="D6" s="6"/>
      <c r="E6" s="6"/>
      <c r="F6" s="6"/>
      <c r="G6" s="6"/>
      <c r="H6" s="6">
        <v>1</v>
      </c>
    </row>
    <row r="7" spans="1:8" x14ac:dyDescent="0.25">
      <c r="A7" s="10">
        <v>9</v>
      </c>
      <c r="B7" s="6">
        <v>1</v>
      </c>
      <c r="C7" s="6"/>
      <c r="D7" s="6"/>
      <c r="E7" s="6"/>
      <c r="F7" s="6"/>
      <c r="G7" s="6"/>
      <c r="H7" s="6">
        <v>1</v>
      </c>
    </row>
    <row r="8" spans="1:8" x14ac:dyDescent="0.25">
      <c r="A8" s="10">
        <v>10</v>
      </c>
      <c r="B8" s="6"/>
      <c r="C8" s="6"/>
      <c r="D8" s="6"/>
      <c r="E8" s="6">
        <v>6</v>
      </c>
      <c r="F8" s="6"/>
      <c r="G8" s="6"/>
      <c r="H8" s="6">
        <v>6</v>
      </c>
    </row>
    <row r="9" spans="1:8" x14ac:dyDescent="0.25">
      <c r="A9" s="10">
        <v>11</v>
      </c>
      <c r="B9" s="6"/>
      <c r="C9" s="6"/>
      <c r="D9" s="6"/>
      <c r="E9" s="6">
        <v>2</v>
      </c>
      <c r="F9" s="6"/>
      <c r="G9" s="6"/>
      <c r="H9" s="6">
        <v>2</v>
      </c>
    </row>
    <row r="10" spans="1:8" x14ac:dyDescent="0.25">
      <c r="A10" s="9">
        <v>2015</v>
      </c>
      <c r="B10" s="6"/>
      <c r="C10" s="6"/>
      <c r="D10" s="6"/>
      <c r="E10" s="6"/>
      <c r="F10" s="6"/>
      <c r="G10" s="6"/>
      <c r="H10" s="6"/>
    </row>
    <row r="11" spans="1:8" x14ac:dyDescent="0.25">
      <c r="A11" s="10">
        <v>1</v>
      </c>
      <c r="B11" s="6"/>
      <c r="C11" s="6"/>
      <c r="D11" s="6"/>
      <c r="E11" s="6">
        <v>1</v>
      </c>
      <c r="F11" s="6"/>
      <c r="G11" s="6"/>
      <c r="H11" s="6">
        <v>1</v>
      </c>
    </row>
    <row r="12" spans="1:8" x14ac:dyDescent="0.25">
      <c r="A12" s="10">
        <v>2</v>
      </c>
      <c r="B12" s="6">
        <v>1</v>
      </c>
      <c r="C12" s="6">
        <v>1</v>
      </c>
      <c r="D12" s="6"/>
      <c r="E12" s="6">
        <v>3</v>
      </c>
      <c r="F12" s="6"/>
      <c r="G12" s="6"/>
      <c r="H12" s="6">
        <v>5</v>
      </c>
    </row>
    <row r="13" spans="1:8" x14ac:dyDescent="0.25">
      <c r="A13" s="10">
        <v>3</v>
      </c>
      <c r="B13" s="6">
        <v>8</v>
      </c>
      <c r="C13" s="6"/>
      <c r="D13" s="6"/>
      <c r="E13" s="6">
        <v>2</v>
      </c>
      <c r="F13" s="6"/>
      <c r="G13" s="6">
        <v>1</v>
      </c>
      <c r="H13" s="6">
        <v>11</v>
      </c>
    </row>
    <row r="14" spans="1:8" x14ac:dyDescent="0.25">
      <c r="A14" s="10">
        <v>4</v>
      </c>
      <c r="B14" s="6">
        <v>9</v>
      </c>
      <c r="C14" s="6">
        <v>2</v>
      </c>
      <c r="D14" s="6"/>
      <c r="E14" s="6">
        <v>5</v>
      </c>
      <c r="F14" s="6"/>
      <c r="G14" s="6"/>
      <c r="H14" s="6">
        <v>16</v>
      </c>
    </row>
    <row r="15" spans="1:8" x14ac:dyDescent="0.25">
      <c r="A15" s="10">
        <v>5</v>
      </c>
      <c r="B15" s="6">
        <v>26</v>
      </c>
      <c r="C15" s="6">
        <v>1</v>
      </c>
      <c r="D15" s="6"/>
      <c r="E15" s="6">
        <v>4</v>
      </c>
      <c r="F15" s="6"/>
      <c r="G15" s="6"/>
      <c r="H15" s="6">
        <v>31</v>
      </c>
    </row>
    <row r="16" spans="1:8" x14ac:dyDescent="0.25">
      <c r="A16" s="10">
        <v>6</v>
      </c>
      <c r="B16" s="6">
        <v>16</v>
      </c>
      <c r="C16" s="6">
        <v>3</v>
      </c>
      <c r="D16" s="6">
        <v>3</v>
      </c>
      <c r="E16" s="6">
        <v>5</v>
      </c>
      <c r="F16" s="6">
        <v>4</v>
      </c>
      <c r="G16" s="6"/>
      <c r="H16" s="6">
        <v>31</v>
      </c>
    </row>
    <row r="17" spans="1:8" x14ac:dyDescent="0.25">
      <c r="A17" s="10">
        <v>7</v>
      </c>
      <c r="B17" s="6">
        <v>10</v>
      </c>
      <c r="C17" s="6">
        <v>9</v>
      </c>
      <c r="D17" s="6">
        <v>7</v>
      </c>
      <c r="E17" s="6">
        <v>1</v>
      </c>
      <c r="F17" s="6">
        <v>14</v>
      </c>
      <c r="G17" s="6"/>
      <c r="H17" s="6">
        <v>41</v>
      </c>
    </row>
    <row r="18" spans="1:8" x14ac:dyDescent="0.25">
      <c r="A18" s="10">
        <v>8</v>
      </c>
      <c r="B18" s="6">
        <v>4</v>
      </c>
      <c r="C18" s="6">
        <v>14</v>
      </c>
      <c r="D18" s="6">
        <v>4</v>
      </c>
      <c r="E18" s="6">
        <v>1</v>
      </c>
      <c r="F18" s="6">
        <v>12</v>
      </c>
      <c r="G18" s="6">
        <v>1</v>
      </c>
      <c r="H18" s="6">
        <v>36</v>
      </c>
    </row>
    <row r="19" spans="1:8" x14ac:dyDescent="0.25">
      <c r="A19" s="10">
        <v>9</v>
      </c>
      <c r="B19" s="6">
        <v>21</v>
      </c>
      <c r="C19" s="6">
        <v>14</v>
      </c>
      <c r="D19" s="6">
        <v>7</v>
      </c>
      <c r="E19" s="6">
        <v>1</v>
      </c>
      <c r="F19" s="6">
        <v>13</v>
      </c>
      <c r="G19" s="6">
        <v>3</v>
      </c>
      <c r="H19" s="6">
        <v>59</v>
      </c>
    </row>
    <row r="20" spans="1:8" x14ac:dyDescent="0.25">
      <c r="A20" s="10">
        <v>10</v>
      </c>
      <c r="B20" s="6">
        <v>4</v>
      </c>
      <c r="C20" s="6"/>
      <c r="D20" s="6">
        <v>1</v>
      </c>
      <c r="E20" s="6"/>
      <c r="F20" s="6">
        <v>30</v>
      </c>
      <c r="G20" s="6"/>
      <c r="H20" s="6">
        <v>35</v>
      </c>
    </row>
    <row r="21" spans="1:8" x14ac:dyDescent="0.25">
      <c r="A21" s="10">
        <v>11</v>
      </c>
      <c r="B21" s="6"/>
      <c r="C21" s="6">
        <v>2</v>
      </c>
      <c r="D21" s="6"/>
      <c r="E21" s="6"/>
      <c r="F21" s="6">
        <v>43</v>
      </c>
      <c r="G21" s="6"/>
      <c r="H21" s="6">
        <v>45</v>
      </c>
    </row>
    <row r="22" spans="1:8" x14ac:dyDescent="0.25">
      <c r="A22" s="10">
        <v>12</v>
      </c>
      <c r="B22" s="6">
        <v>3</v>
      </c>
      <c r="C22" s="6"/>
      <c r="D22" s="6"/>
      <c r="E22" s="6">
        <v>1</v>
      </c>
      <c r="F22" s="6">
        <v>30</v>
      </c>
      <c r="G22" s="6"/>
      <c r="H22" s="6">
        <v>34</v>
      </c>
    </row>
    <row r="23" spans="1:8" x14ac:dyDescent="0.25">
      <c r="A23" s="9">
        <v>2016</v>
      </c>
      <c r="B23" s="6"/>
      <c r="C23" s="6"/>
      <c r="D23" s="6"/>
      <c r="E23" s="6"/>
      <c r="F23" s="6"/>
      <c r="G23" s="6"/>
      <c r="H23" s="6"/>
    </row>
    <row r="24" spans="1:8" x14ac:dyDescent="0.25">
      <c r="A24" s="10">
        <v>1</v>
      </c>
      <c r="B24" s="6">
        <v>3</v>
      </c>
      <c r="C24" s="6"/>
      <c r="D24" s="6"/>
      <c r="E24" s="6"/>
      <c r="F24" s="6">
        <v>59</v>
      </c>
      <c r="G24" s="6">
        <v>7</v>
      </c>
      <c r="H24" s="6">
        <v>69</v>
      </c>
    </row>
    <row r="25" spans="1:8" x14ac:dyDescent="0.25">
      <c r="A25" s="10">
        <v>2</v>
      </c>
      <c r="B25" s="6"/>
      <c r="C25" s="6">
        <v>2</v>
      </c>
      <c r="D25" s="6"/>
      <c r="E25" s="6"/>
      <c r="F25" s="6">
        <v>68</v>
      </c>
      <c r="G25" s="6">
        <v>1</v>
      </c>
      <c r="H25" s="6">
        <v>71</v>
      </c>
    </row>
    <row r="26" spans="1:8" x14ac:dyDescent="0.25">
      <c r="A26" s="9" t="s">
        <v>1402</v>
      </c>
      <c r="B26" s="6">
        <v>110</v>
      </c>
      <c r="C26" s="6">
        <v>48</v>
      </c>
      <c r="D26" s="6">
        <v>22</v>
      </c>
      <c r="E26" s="6">
        <v>32</v>
      </c>
      <c r="F26" s="6">
        <v>273</v>
      </c>
      <c r="G26" s="6">
        <v>13</v>
      </c>
      <c r="H26" s="6">
        <v>498</v>
      </c>
    </row>
    <row r="30" spans="1:8" x14ac:dyDescent="0.25">
      <c r="A30" s="7" t="s">
        <v>1404</v>
      </c>
      <c r="B30" t="s">
        <v>1407</v>
      </c>
    </row>
    <row r="31" spans="1:8" x14ac:dyDescent="0.25">
      <c r="A31" s="7" t="s">
        <v>1403</v>
      </c>
      <c r="B31" t="s">
        <v>1407</v>
      </c>
    </row>
    <row r="33" spans="1:3" x14ac:dyDescent="0.25">
      <c r="A33" s="7" t="s">
        <v>1401</v>
      </c>
      <c r="B33" t="s">
        <v>1406</v>
      </c>
      <c r="C33" s="15" t="s">
        <v>1452</v>
      </c>
    </row>
    <row r="34" spans="1:3" x14ac:dyDescent="0.25">
      <c r="A34" s="16" t="s">
        <v>48</v>
      </c>
      <c r="B34" s="17">
        <v>110</v>
      </c>
      <c r="C34" s="18">
        <f>GETPIVOTDATA("Status",$A$33,"Status","Aberto")/GETPIVOTDATA("Status",$A$33)</f>
        <v>0.16200294550810015</v>
      </c>
    </row>
    <row r="35" spans="1:3" x14ac:dyDescent="0.25">
      <c r="A35" s="16" t="s">
        <v>207</v>
      </c>
      <c r="B35" s="17">
        <v>48</v>
      </c>
      <c r="C35" s="18">
        <f>GETPIVOTDATA("Status",$A$33,"Status","Em Andamento")/GETPIVOTDATA("Status",$A$33)</f>
        <v>7.0692194403534608E-2</v>
      </c>
    </row>
    <row r="36" spans="1:3" x14ac:dyDescent="0.25">
      <c r="A36" s="16" t="s">
        <v>27</v>
      </c>
      <c r="B36" s="17">
        <v>181</v>
      </c>
      <c r="C36" s="18">
        <f>GETPIVOTDATA("Status",$A$33,"Status","Fechado")/GETPIVOTDATA("Status",$A$33)</f>
        <v>0.26656848306332842</v>
      </c>
    </row>
    <row r="37" spans="1:3" x14ac:dyDescent="0.25">
      <c r="A37" s="16" t="s">
        <v>234</v>
      </c>
      <c r="B37" s="17">
        <v>22</v>
      </c>
      <c r="C37" s="18">
        <f>GETPIVOTDATA("Status",$A$33,"Status","Pendência Externa")/GETPIVOTDATA("Status",$A$33)</f>
        <v>3.2400589101620032E-2</v>
      </c>
    </row>
    <row r="38" spans="1:3" x14ac:dyDescent="0.25">
      <c r="A38" s="16" t="s">
        <v>83</v>
      </c>
      <c r="B38" s="17">
        <v>32</v>
      </c>
      <c r="C38" s="18">
        <f>GETPIVOTDATA("Status",$A$33,"Status","Reaberto")/GETPIVOTDATA("Status",$A$33)</f>
        <v>4.7128129602356406E-2</v>
      </c>
    </row>
    <row r="39" spans="1:3" x14ac:dyDescent="0.25">
      <c r="A39" s="16" t="s">
        <v>13</v>
      </c>
      <c r="B39" s="17">
        <v>273</v>
      </c>
      <c r="C39" s="18">
        <f>GETPIVOTDATA("Status",$A$33,"Status","Registrado")/GETPIVOTDATA("Status",$A$33)</f>
        <v>0.40206185567010311</v>
      </c>
    </row>
    <row r="40" spans="1:3" x14ac:dyDescent="0.25">
      <c r="A40" s="16" t="s">
        <v>7</v>
      </c>
      <c r="B40" s="17">
        <v>13</v>
      </c>
      <c r="C40" s="18">
        <f>GETPIVOTDATA("Status",$A$33,"Status","Resolvido")/GETPIVOTDATA("Status",$A$33)</f>
        <v>1.9145802650957292E-2</v>
      </c>
    </row>
    <row r="41" spans="1:3" x14ac:dyDescent="0.25">
      <c r="A41" s="9" t="s">
        <v>1402</v>
      </c>
      <c r="B41" s="6">
        <v>679</v>
      </c>
    </row>
    <row r="45" spans="1:3" x14ac:dyDescent="0.25">
      <c r="A45" s="7" t="s">
        <v>5</v>
      </c>
      <c r="B45" t="s">
        <v>1449</v>
      </c>
    </row>
    <row r="47" spans="1:3" x14ac:dyDescent="0.25">
      <c r="A47" s="14" t="s">
        <v>3</v>
      </c>
      <c r="B47" s="14" t="s">
        <v>1450</v>
      </c>
    </row>
    <row r="48" spans="1:3" x14ac:dyDescent="0.25">
      <c r="A48" s="16" t="s">
        <v>11</v>
      </c>
      <c r="B48" s="17">
        <v>150</v>
      </c>
    </row>
    <row r="49" spans="1:2" x14ac:dyDescent="0.25">
      <c r="A49" s="16" t="s">
        <v>18</v>
      </c>
      <c r="B49" s="17">
        <v>126</v>
      </c>
    </row>
    <row r="50" spans="1:2" x14ac:dyDescent="0.25">
      <c r="A50" s="16" t="s">
        <v>419</v>
      </c>
      <c r="B50" s="17">
        <v>72</v>
      </c>
    </row>
    <row r="51" spans="1:2" x14ac:dyDescent="0.25">
      <c r="A51" s="16" t="s">
        <v>402</v>
      </c>
      <c r="B51" s="17">
        <v>26</v>
      </c>
    </row>
    <row r="52" spans="1:2" x14ac:dyDescent="0.25">
      <c r="A52" s="16" t="s">
        <v>603</v>
      </c>
      <c r="B52" s="17">
        <v>22</v>
      </c>
    </row>
    <row r="53" spans="1:2" x14ac:dyDescent="0.25">
      <c r="A53" s="16" t="s">
        <v>206</v>
      </c>
      <c r="B53" s="17">
        <v>21</v>
      </c>
    </row>
    <row r="54" spans="1:2" x14ac:dyDescent="0.25">
      <c r="A54" s="16" t="s">
        <v>33</v>
      </c>
      <c r="B54" s="17">
        <v>21</v>
      </c>
    </row>
    <row r="55" spans="1:2" x14ac:dyDescent="0.25">
      <c r="A55" s="16" t="s">
        <v>441</v>
      </c>
      <c r="B55" s="17">
        <v>16</v>
      </c>
    </row>
    <row r="56" spans="1:2" x14ac:dyDescent="0.25">
      <c r="A56" s="16" t="s">
        <v>1184</v>
      </c>
      <c r="B56" s="17">
        <v>6</v>
      </c>
    </row>
    <row r="57" spans="1:2" x14ac:dyDescent="0.25">
      <c r="A57" s="16" t="s">
        <v>241</v>
      </c>
      <c r="B57" s="17">
        <v>4</v>
      </c>
    </row>
    <row r="58" spans="1:2" x14ac:dyDescent="0.25">
      <c r="A58" s="16" t="s">
        <v>728</v>
      </c>
      <c r="B58" s="17">
        <v>4</v>
      </c>
    </row>
    <row r="59" spans="1:2" x14ac:dyDescent="0.25">
      <c r="A59" s="16" t="s">
        <v>872</v>
      </c>
      <c r="B59" s="17">
        <v>4</v>
      </c>
    </row>
    <row r="60" spans="1:2" x14ac:dyDescent="0.25">
      <c r="A60" s="16" t="s">
        <v>46</v>
      </c>
      <c r="B60" s="17">
        <v>4</v>
      </c>
    </row>
    <row r="61" spans="1:2" x14ac:dyDescent="0.25">
      <c r="A61" s="12" t="s">
        <v>1126</v>
      </c>
      <c r="B61" s="13">
        <v>2</v>
      </c>
    </row>
    <row r="62" spans="1:2" x14ac:dyDescent="0.25">
      <c r="A62" s="12" t="s">
        <v>272</v>
      </c>
      <c r="B62" s="13">
        <v>2</v>
      </c>
    </row>
    <row r="63" spans="1:2" x14ac:dyDescent="0.25">
      <c r="A63" s="9" t="s">
        <v>51</v>
      </c>
      <c r="B63" s="6">
        <v>2</v>
      </c>
    </row>
    <row r="64" spans="1:2" x14ac:dyDescent="0.25">
      <c r="A64" s="9" t="s">
        <v>250</v>
      </c>
      <c r="B64" s="6">
        <v>1</v>
      </c>
    </row>
    <row r="65" spans="1:2" x14ac:dyDescent="0.25">
      <c r="A65" s="9" t="s">
        <v>1207</v>
      </c>
      <c r="B65" s="6">
        <v>1</v>
      </c>
    </row>
    <row r="66" spans="1:2" x14ac:dyDescent="0.25">
      <c r="A66" s="9" t="s">
        <v>902</v>
      </c>
      <c r="B66" s="6">
        <v>1</v>
      </c>
    </row>
    <row r="67" spans="1:2" x14ac:dyDescent="0.25">
      <c r="A67" s="12" t="s">
        <v>94</v>
      </c>
      <c r="B67" s="13">
        <v>1</v>
      </c>
    </row>
    <row r="68" spans="1:2" x14ac:dyDescent="0.25">
      <c r="A68" s="9" t="s">
        <v>662</v>
      </c>
      <c r="B68" s="6">
        <v>1</v>
      </c>
    </row>
    <row r="69" spans="1:2" x14ac:dyDescent="0.25">
      <c r="A69" s="9" t="s">
        <v>300</v>
      </c>
      <c r="B69" s="6">
        <v>1</v>
      </c>
    </row>
    <row r="70" spans="1:2" x14ac:dyDescent="0.25">
      <c r="A70" s="9" t="s">
        <v>340</v>
      </c>
      <c r="B70" s="6">
        <v>1</v>
      </c>
    </row>
    <row r="71" spans="1:2" x14ac:dyDescent="0.25">
      <c r="A71" s="9" t="s">
        <v>339</v>
      </c>
      <c r="B71" s="6">
        <v>1</v>
      </c>
    </row>
    <row r="72" spans="1:2" x14ac:dyDescent="0.25">
      <c r="A72" s="9" t="s">
        <v>711</v>
      </c>
      <c r="B72" s="6">
        <v>1</v>
      </c>
    </row>
    <row r="73" spans="1:2" x14ac:dyDescent="0.25">
      <c r="A73" s="12" t="s">
        <v>752</v>
      </c>
      <c r="B73" s="13">
        <v>1</v>
      </c>
    </row>
    <row r="74" spans="1:2" x14ac:dyDescent="0.25">
      <c r="A74" s="9" t="s">
        <v>34</v>
      </c>
      <c r="B74" s="6">
        <v>1</v>
      </c>
    </row>
    <row r="75" spans="1:2" x14ac:dyDescent="0.25">
      <c r="A75" s="9" t="s">
        <v>196</v>
      </c>
      <c r="B75" s="6">
        <v>1</v>
      </c>
    </row>
    <row r="76" spans="1:2" x14ac:dyDescent="0.25">
      <c r="A76" s="9" t="s">
        <v>1100</v>
      </c>
      <c r="B76" s="6">
        <v>1</v>
      </c>
    </row>
    <row r="77" spans="1:2" x14ac:dyDescent="0.25">
      <c r="A77" s="9" t="s">
        <v>1331</v>
      </c>
      <c r="B77" s="6">
        <v>1</v>
      </c>
    </row>
    <row r="78" spans="1:2" x14ac:dyDescent="0.25">
      <c r="A78" s="12" t="s">
        <v>199</v>
      </c>
      <c r="B78" s="13">
        <v>1</v>
      </c>
    </row>
    <row r="79" spans="1:2" x14ac:dyDescent="0.25">
      <c r="A79" s="9" t="s">
        <v>22</v>
      </c>
      <c r="B79" s="6">
        <v>1</v>
      </c>
    </row>
    <row r="80" spans="1:2" x14ac:dyDescent="0.25">
      <c r="A80" s="9" t="s">
        <v>1402</v>
      </c>
      <c r="B80" s="6">
        <v>498</v>
      </c>
    </row>
  </sheetData>
  <pageMargins left="0.511811024" right="0.511811024" top="0.78740157499999996" bottom="0.78740157499999996" header="0.31496062000000002" footer="0.31496062000000002"/>
  <pageSetup paperSize="9" orientation="portrait" r:id="rId4"/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I55"/>
  <sheetViews>
    <sheetView workbookViewId="0">
      <selection activeCell="A31" sqref="A31:B45"/>
    </sheetView>
  </sheetViews>
  <sheetFormatPr defaultRowHeight="15" x14ac:dyDescent="0.25"/>
  <cols>
    <col min="1" max="1" width="18.28515625" customWidth="1"/>
    <col min="2" max="2" width="8.7109375" customWidth="1"/>
    <col min="3" max="3" width="14.7109375" customWidth="1"/>
    <col min="4" max="4" width="17.7109375" bestFit="1" customWidth="1"/>
    <col min="5" max="5" width="9.140625" customWidth="1"/>
    <col min="6" max="6" width="10.42578125" customWidth="1"/>
    <col min="7" max="7" width="9.7109375" customWidth="1"/>
    <col min="8" max="8" width="10.7109375" bestFit="1" customWidth="1"/>
  </cols>
  <sheetData>
    <row r="3" spans="1:9" x14ac:dyDescent="0.25">
      <c r="A3" s="7" t="s">
        <v>1415</v>
      </c>
      <c r="B3" s="7" t="s">
        <v>1405</v>
      </c>
    </row>
    <row r="4" spans="1:9" x14ac:dyDescent="0.25">
      <c r="A4" s="7" t="s">
        <v>1451</v>
      </c>
      <c r="B4" t="s">
        <v>48</v>
      </c>
      <c r="C4" t="s">
        <v>207</v>
      </c>
      <c r="D4" t="s">
        <v>234</v>
      </c>
      <c r="E4" t="s">
        <v>83</v>
      </c>
      <c r="F4" t="s">
        <v>13</v>
      </c>
      <c r="G4" t="s">
        <v>7</v>
      </c>
      <c r="H4" t="s">
        <v>1402</v>
      </c>
    </row>
    <row r="5" spans="1:9" x14ac:dyDescent="0.25">
      <c r="A5" s="16" t="s">
        <v>1413</v>
      </c>
      <c r="B5" s="17"/>
      <c r="C5" s="17">
        <v>2</v>
      </c>
      <c r="D5" s="17"/>
      <c r="E5" s="17"/>
      <c r="F5" s="17">
        <v>68</v>
      </c>
      <c r="G5" s="17">
        <v>1</v>
      </c>
      <c r="H5" s="17">
        <v>71</v>
      </c>
    </row>
    <row r="6" spans="1:9" x14ac:dyDescent="0.25">
      <c r="A6" s="16" t="s">
        <v>1410</v>
      </c>
      <c r="B6" s="17">
        <v>3</v>
      </c>
      <c r="C6" s="17"/>
      <c r="D6" s="17"/>
      <c r="E6" s="17"/>
      <c r="F6" s="17">
        <v>59</v>
      </c>
      <c r="G6" s="17">
        <v>7</v>
      </c>
      <c r="H6" s="17">
        <v>69</v>
      </c>
    </row>
    <row r="7" spans="1:9" x14ac:dyDescent="0.25">
      <c r="A7" s="16" t="s">
        <v>1411</v>
      </c>
      <c r="B7" s="17">
        <v>3</v>
      </c>
      <c r="C7" s="17"/>
      <c r="D7" s="17"/>
      <c r="E7" s="17">
        <v>1</v>
      </c>
      <c r="F7" s="17">
        <v>30</v>
      </c>
      <c r="G7" s="17">
        <v>1</v>
      </c>
      <c r="H7" s="17">
        <v>35</v>
      </c>
    </row>
    <row r="8" spans="1:9" x14ac:dyDescent="0.25">
      <c r="A8" s="16" t="s">
        <v>1412</v>
      </c>
      <c r="B8" s="17">
        <v>4</v>
      </c>
      <c r="C8" s="17">
        <v>2</v>
      </c>
      <c r="D8" s="17">
        <v>1</v>
      </c>
      <c r="E8" s="17"/>
      <c r="F8" s="17">
        <v>71</v>
      </c>
      <c r="G8" s="17">
        <v>1</v>
      </c>
      <c r="H8" s="17">
        <v>79</v>
      </c>
    </row>
    <row r="9" spans="1:9" x14ac:dyDescent="0.25">
      <c r="A9" s="16" t="s">
        <v>1414</v>
      </c>
      <c r="B9" s="17">
        <v>100</v>
      </c>
      <c r="C9" s="17">
        <v>44</v>
      </c>
      <c r="D9" s="17">
        <v>21</v>
      </c>
      <c r="E9" s="17">
        <v>31</v>
      </c>
      <c r="F9" s="17">
        <v>45</v>
      </c>
      <c r="G9" s="17">
        <v>3</v>
      </c>
      <c r="H9" s="17">
        <v>244</v>
      </c>
      <c r="I9">
        <f>244/498</f>
        <v>0.48995983935742971</v>
      </c>
    </row>
    <row r="10" spans="1:9" x14ac:dyDescent="0.25">
      <c r="A10" s="9" t="s">
        <v>1402</v>
      </c>
      <c r="B10" s="6">
        <v>110</v>
      </c>
      <c r="C10" s="6">
        <v>48</v>
      </c>
      <c r="D10" s="6">
        <v>22</v>
      </c>
      <c r="E10" s="6">
        <v>32</v>
      </c>
      <c r="F10" s="6">
        <v>273</v>
      </c>
      <c r="G10" s="6">
        <v>13</v>
      </c>
      <c r="H10" s="6">
        <v>498</v>
      </c>
    </row>
    <row r="29" spans="1:3" x14ac:dyDescent="0.25">
      <c r="A29" s="7" t="s">
        <v>5</v>
      </c>
      <c r="B29" t="s">
        <v>1449</v>
      </c>
    </row>
    <row r="31" spans="1:3" x14ac:dyDescent="0.25">
      <c r="A31" s="14" t="s">
        <v>1424</v>
      </c>
      <c r="B31" s="14" t="s">
        <v>1450</v>
      </c>
    </row>
    <row r="32" spans="1:3" x14ac:dyDescent="0.25">
      <c r="A32" s="16" t="s">
        <v>1433</v>
      </c>
      <c r="B32" s="17">
        <v>220</v>
      </c>
      <c r="C32">
        <f>220/498</f>
        <v>0.44176706827309237</v>
      </c>
    </row>
    <row r="33" spans="1:2" x14ac:dyDescent="0.25">
      <c r="A33" s="16" t="s">
        <v>1440</v>
      </c>
      <c r="B33" s="17">
        <v>123</v>
      </c>
    </row>
    <row r="34" spans="1:2" x14ac:dyDescent="0.25">
      <c r="A34" s="16" t="s">
        <v>1448</v>
      </c>
      <c r="B34" s="17">
        <v>35</v>
      </c>
    </row>
    <row r="35" spans="1:2" x14ac:dyDescent="0.25">
      <c r="A35" s="16" t="s">
        <v>1443</v>
      </c>
      <c r="B35" s="17">
        <v>23</v>
      </c>
    </row>
    <row r="36" spans="1:2" x14ac:dyDescent="0.25">
      <c r="A36" s="16" t="s">
        <v>1436</v>
      </c>
      <c r="B36" s="17">
        <v>14</v>
      </c>
    </row>
    <row r="37" spans="1:2" x14ac:dyDescent="0.25">
      <c r="A37" s="16" t="s">
        <v>1430</v>
      </c>
      <c r="B37" s="17">
        <v>10</v>
      </c>
    </row>
    <row r="38" spans="1:2" x14ac:dyDescent="0.25">
      <c r="A38" s="16" t="s">
        <v>1441</v>
      </c>
      <c r="B38" s="17">
        <v>9</v>
      </c>
    </row>
    <row r="39" spans="1:2" x14ac:dyDescent="0.25">
      <c r="A39" s="16" t="s">
        <v>1428</v>
      </c>
      <c r="B39" s="17">
        <v>7</v>
      </c>
    </row>
    <row r="40" spans="1:2" x14ac:dyDescent="0.25">
      <c r="A40" s="16" t="s">
        <v>1446</v>
      </c>
      <c r="B40" s="17">
        <v>6</v>
      </c>
    </row>
    <row r="41" spans="1:2" x14ac:dyDescent="0.25">
      <c r="A41" s="16" t="s">
        <v>1442</v>
      </c>
      <c r="B41" s="17">
        <v>6</v>
      </c>
    </row>
    <row r="42" spans="1:2" x14ac:dyDescent="0.25">
      <c r="A42" s="16" t="s">
        <v>1447</v>
      </c>
      <c r="B42" s="17">
        <v>5</v>
      </c>
    </row>
    <row r="43" spans="1:2" x14ac:dyDescent="0.25">
      <c r="A43" s="16" t="s">
        <v>1438</v>
      </c>
      <c r="B43" s="17">
        <v>5</v>
      </c>
    </row>
    <row r="44" spans="1:2" x14ac:dyDescent="0.25">
      <c r="A44" s="16" t="s">
        <v>1434</v>
      </c>
      <c r="B44" s="17">
        <v>5</v>
      </c>
    </row>
    <row r="45" spans="1:2" x14ac:dyDescent="0.25">
      <c r="A45" s="16" t="s">
        <v>1429</v>
      </c>
      <c r="B45" s="17">
        <v>5</v>
      </c>
    </row>
    <row r="46" spans="1:2" x14ac:dyDescent="0.25">
      <c r="A46" s="16" t="s">
        <v>1431</v>
      </c>
      <c r="B46" s="17">
        <v>4</v>
      </c>
    </row>
    <row r="47" spans="1:2" x14ac:dyDescent="0.25">
      <c r="A47" s="16" t="s">
        <v>1445</v>
      </c>
      <c r="B47" s="17">
        <v>4</v>
      </c>
    </row>
    <row r="48" spans="1:2" x14ac:dyDescent="0.25">
      <c r="A48" s="9" t="s">
        <v>1426</v>
      </c>
      <c r="B48" s="6">
        <v>3</v>
      </c>
    </row>
    <row r="49" spans="1:2" x14ac:dyDescent="0.25">
      <c r="A49" s="9" t="s">
        <v>1435</v>
      </c>
      <c r="B49" s="6">
        <v>3</v>
      </c>
    </row>
    <row r="50" spans="1:2" x14ac:dyDescent="0.25">
      <c r="A50" s="9" t="s">
        <v>1437</v>
      </c>
      <c r="B50" s="6">
        <v>3</v>
      </c>
    </row>
    <row r="51" spans="1:2" x14ac:dyDescent="0.25">
      <c r="A51" s="9" t="s">
        <v>1444</v>
      </c>
      <c r="B51" s="6">
        <v>2</v>
      </c>
    </row>
    <row r="52" spans="1:2" x14ac:dyDescent="0.25">
      <c r="A52" s="9" t="s">
        <v>1427</v>
      </c>
      <c r="B52" s="6">
        <v>2</v>
      </c>
    </row>
    <row r="53" spans="1:2" x14ac:dyDescent="0.25">
      <c r="A53" s="9" t="s">
        <v>1432</v>
      </c>
      <c r="B53" s="6">
        <v>2</v>
      </c>
    </row>
    <row r="54" spans="1:2" x14ac:dyDescent="0.25">
      <c r="A54" s="9" t="s">
        <v>1439</v>
      </c>
      <c r="B54" s="6">
        <v>2</v>
      </c>
    </row>
    <row r="55" spans="1:2" x14ac:dyDescent="0.25">
      <c r="A55" s="9" t="s">
        <v>1402</v>
      </c>
      <c r="B55" s="6">
        <v>498</v>
      </c>
    </row>
  </sheetData>
  <pageMargins left="0.511811024" right="0.511811024" top="0.78740157499999996" bottom="0.78740157499999996" header="0.31496062000000002" footer="0.3149606200000000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general_report</vt:lpstr>
      <vt:lpstr>Plan1</vt:lpstr>
      <vt:lpstr>Plan2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todo!</dc:title>
  <dc:creator>Ronald Teixeira</dc:creator>
  <cp:lastModifiedBy>Ronald Teixeira</cp:lastModifiedBy>
  <dcterms:created xsi:type="dcterms:W3CDTF">2016-02-18T18:51:33Z</dcterms:created>
  <dcterms:modified xsi:type="dcterms:W3CDTF">2016-03-04T13:22:55Z</dcterms:modified>
</cp:coreProperties>
</file>