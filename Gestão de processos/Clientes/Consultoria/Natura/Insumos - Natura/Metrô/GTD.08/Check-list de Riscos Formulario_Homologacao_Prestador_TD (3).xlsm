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600" yWindow="165" windowWidth="19395" windowHeight="8130"/>
  </bookViews>
  <sheets>
    <sheet name="Visão Geral" sheetId="3" r:id="rId1"/>
    <sheet name="Aderencia Seg. Info." sheetId="1" r:id="rId2"/>
    <sheet name="Interdependencia Externa" sheetId="5" r:id="rId3"/>
    <sheet name="Resultado da Homologação" sheetId="4" state="veryHidden" r:id="rId4"/>
    <sheet name="Regras InterDep. Ext." sheetId="6" state="veryHidden" r:id="rId5"/>
  </sheets>
  <calcPr calcId="145621"/>
</workbook>
</file>

<file path=xl/calcChain.xml><?xml version="1.0" encoding="utf-8"?>
<calcChain xmlns="http://schemas.openxmlformats.org/spreadsheetml/2006/main">
  <c r="C10" i="6" l="1"/>
  <c r="C9" i="6"/>
  <c r="C5" i="6"/>
  <c r="C4" i="6"/>
  <c r="C8" i="6" l="1"/>
  <c r="C7" i="6"/>
  <c r="C6" i="6"/>
  <c r="C3" i="6"/>
  <c r="C11" i="6" l="1"/>
  <c r="F11" i="6" l="1"/>
</calcChain>
</file>

<file path=xl/sharedStrings.xml><?xml version="1.0" encoding="utf-8"?>
<sst xmlns="http://schemas.openxmlformats.org/spreadsheetml/2006/main" count="354" uniqueCount="190">
  <si>
    <t>1.1</t>
  </si>
  <si>
    <t>3.1</t>
  </si>
  <si>
    <t>2.1</t>
  </si>
  <si>
    <t>4.1</t>
  </si>
  <si>
    <t>2.2</t>
  </si>
  <si>
    <t>2.3</t>
  </si>
  <si>
    <t>5.1</t>
  </si>
  <si>
    <t>3.2</t>
  </si>
  <si>
    <t>5.2</t>
  </si>
  <si>
    <t>6.1</t>
  </si>
  <si>
    <t>6.2</t>
  </si>
  <si>
    <t>6.3</t>
  </si>
  <si>
    <t>7.1</t>
  </si>
  <si>
    <t>7.2</t>
  </si>
  <si>
    <t>5.3</t>
  </si>
  <si>
    <t>7.3</t>
  </si>
  <si>
    <t>8.1</t>
  </si>
  <si>
    <t>8.2</t>
  </si>
  <si>
    <t>8.3</t>
  </si>
  <si>
    <t>8.6</t>
  </si>
  <si>
    <t>8.7</t>
  </si>
  <si>
    <t>Controle de acesso</t>
  </si>
  <si>
    <t>9.1</t>
  </si>
  <si>
    <t>7.5</t>
  </si>
  <si>
    <t>7.6</t>
  </si>
  <si>
    <t>8.4</t>
  </si>
  <si>
    <t>8.5</t>
  </si>
  <si>
    <t>Questão</t>
  </si>
  <si>
    <t>Existe?</t>
  </si>
  <si>
    <t>Maturidade</t>
  </si>
  <si>
    <t>Nome da Empresa:</t>
  </si>
  <si>
    <t>Razao Social:</t>
  </si>
  <si>
    <t>Segurança da Informação</t>
  </si>
  <si>
    <t>Telefone:</t>
  </si>
  <si>
    <t>E-mail:</t>
  </si>
  <si>
    <t>CNPJ:</t>
  </si>
  <si>
    <t>I.E.:</t>
  </si>
  <si>
    <t>Nome Completo:</t>
  </si>
  <si>
    <t>Infra-estrutura de Redes</t>
  </si>
  <si>
    <t>Operações</t>
  </si>
  <si>
    <t>* Os dados abaixo devem ser do gerente atual das áreas correspondentes</t>
  </si>
  <si>
    <t>CEP:</t>
  </si>
  <si>
    <t>Endereço Completo:</t>
  </si>
  <si>
    <t>Informações Gerais de Contatos</t>
  </si>
  <si>
    <t>Informações Gerais da Empresa</t>
  </si>
  <si>
    <t>Informações Gerais</t>
  </si>
  <si>
    <t>Grau de Dependência:</t>
  </si>
  <si>
    <t>Existem Níveis de Contrato (SLA)?</t>
  </si>
  <si>
    <t>Comentário:</t>
  </si>
  <si>
    <t>Produto/Serviço exclusivo para Natura?</t>
  </si>
  <si>
    <t>Se não, há critérios de prioridade?</t>
  </si>
  <si>
    <t>Atende Política de sustentabilidade Natura?</t>
  </si>
  <si>
    <t>Qual moeda de negociação?</t>
  </si>
  <si>
    <t>É commodity?</t>
  </si>
  <si>
    <t>Existe outros fornecedores ou serviços alternativos?</t>
  </si>
  <si>
    <t>Se sim, Qual? Quais condições?</t>
  </si>
  <si>
    <t>Já ocorreu falha no fornecimento?</t>
  </si>
  <si>
    <t>Questionário de interdependencia externa</t>
  </si>
  <si>
    <t>Resposta</t>
  </si>
  <si>
    <t>Legenda</t>
  </si>
  <si>
    <t>Descrição</t>
  </si>
  <si>
    <t>Completa ausência de qualquer processo. A organização sequer reconhece que existe uma questão a ser tratada.</t>
  </si>
  <si>
    <t>Existe evidência que a organização reconhece que as questões existem e precisam ser tratadas. Não há, porém, qualquer processo de padronização; em vez disso, existem iniciativas Ad Hoc que tendem a ser aplicadas em situações individuais ou caso-a-caso. A abordagem global para gerenciamento é desorganizada.</t>
  </si>
  <si>
    <t>Os processos têm evoluído para um estágio onde os procedimentos semelhantes são seguidos por diferentes pessoas que desempenham o mesmo tipo de tarefa. Não existe nenhum treinamento ou comunicação formal dos procedimentos padronizados, e a responsabilidade é deixada para o indivíduo. Existe um grau alto de confiança no conhecimento dos indivíduos e, portanto, os erros são muito prováveis.</t>
  </si>
  <si>
    <t>Os procedimentos têm sido padronizados, documentados e transmitidos por meio de treinamentos. É obrigatório que estes processos sejam seguidos; porém, é improvável que desvios sejam descobertos. Os procedimentos em si não são sofisticados, mas são a formalização das práticas existentes.</t>
  </si>
  <si>
    <t>É possível monitorar e medir o cumprimento dos procedimentos e tomar medidas quando os processos não estão trabalhando de forma efetiva. Os processos estão sob constante melhoria e fornecem boas práticas. A automatização e ferramentas são usadas de um modo limitado ou fragmentado.</t>
  </si>
  <si>
    <t>Os processos foram refinados para um nível de boa prática, baseados nos resultados da melhoria contínua e nivelamento de maturidade com outras organizações. TI é usado em um caminho integrado para automatizar o fluxo de trabalho, fornecendo ferramentas para melhorar a qualidade e efetividade, fazendo a organização adaptar-se rapidamente.</t>
  </si>
  <si>
    <t>Nivel</t>
  </si>
  <si>
    <t>Inexistente</t>
  </si>
  <si>
    <t>Inicial/Ad Hoc</t>
  </si>
  <si>
    <t>Repetido</t>
  </si>
  <si>
    <t>Definido</t>
  </si>
  <si>
    <t>Gerenciado</t>
  </si>
  <si>
    <t>Otimizado</t>
  </si>
  <si>
    <t>Sim</t>
  </si>
  <si>
    <t>Não</t>
  </si>
  <si>
    <t>Baixo</t>
  </si>
  <si>
    <t>Maior</t>
  </si>
  <si>
    <t>Muito Alto</t>
  </si>
  <si>
    <t>Produto exclusivo para Natura?</t>
  </si>
  <si>
    <t>Alto</t>
  </si>
  <si>
    <t>Médio</t>
  </si>
  <si>
    <t>Existe outra alternativa/fornecedor?</t>
  </si>
  <si>
    <t>Menor</t>
  </si>
  <si>
    <t>Interdependencia Externa</t>
  </si>
  <si>
    <t>TOTAL</t>
  </si>
  <si>
    <t>Real</t>
  </si>
  <si>
    <t>Moderado</t>
  </si>
  <si>
    <t>Remota</t>
  </si>
  <si>
    <t>Possível</t>
  </si>
  <si>
    <t>Provável</t>
  </si>
  <si>
    <t>Quase Certa</t>
  </si>
  <si>
    <t>GRÁFICO DE HOMOLOGAÇÃO DO PRESTADOR</t>
  </si>
  <si>
    <t>Políticas e Documentações</t>
  </si>
  <si>
    <t>Existem diretrizes, normas técnicas e/ou administrativas, procedimentos e/ou instruções de segurança da informação explicitamente definidos e publicados?</t>
  </si>
  <si>
    <t>Existe um departamento de auditoria Interna?</t>
  </si>
  <si>
    <t>Existe um responsável pela função de segurança da informação?</t>
  </si>
  <si>
    <t>A empresa passa por auditorias internas ou externas referentes aos controles de segurança informação?</t>
  </si>
  <si>
    <t>Existem diretrizes, normas técnicas e/ou administrativas, procedimentos e/ou instruções para classificação de informação e análise de riscos para sistemas, processos e tecnologias?</t>
  </si>
  <si>
    <t>Existe uma norma escrita de mesa limpa e estações de trabalhos bloqueados na empresa?</t>
  </si>
  <si>
    <t>Existe um programa de conscientização e treinamento de segurança da informação?</t>
  </si>
  <si>
    <t>Existe um documento que descreva os processos de Backup/Restore?</t>
  </si>
  <si>
    <t>Existe um processo para descarte de informações sensíveis?</t>
  </si>
  <si>
    <t>Existe um processo escrito para gerenciamento dos usuários criados, alterados ou excluídos em sistemas e aplicativos?</t>
  </si>
  <si>
    <t>Os sistemas estão parametrizados para exigir o uso de senhas fortes, realizar desconexões por inatividade, limitar horário de conexão e solicitar re-autenticação após períodos de inatividade?</t>
  </si>
  <si>
    <t>São realizadas revisões periódicas dos perfis de acesso dos empregados?</t>
  </si>
  <si>
    <t>Os ambientes de desenvolvimento, teste e produção são segregados?</t>
  </si>
  <si>
    <t>Existe algum controles para colaboradores que possuem responsabilidades e acessos privilegiados?</t>
  </si>
  <si>
    <t>Mudança / Incidente</t>
  </si>
  <si>
    <t>Existe um processo escrito que estabeleça um programa de Controle de Resposta a Incidentes de Segurança?</t>
  </si>
  <si>
    <t>Existe um processo para realização de hardening(blindagem) em sistemas operacionais, serviços, aplicações e ativos de rede?</t>
  </si>
  <si>
    <t>Existe um processo escrito que estabeleça um Programa de Controle de Mudanças para as Aplicações e Ambientes?</t>
  </si>
  <si>
    <t>Existem mecanismos que controlam a versão de sistemas operacionais, patches de segurança e correções de vulnerabilidades?</t>
  </si>
  <si>
    <t>Existe um processo definido para aplicação de correções de nível crítico ou alto risco?</t>
  </si>
  <si>
    <t>Avaliação de nível de segurança</t>
  </si>
  <si>
    <t>A empresa passou nos últimos meses por testes de vulnerabilidade (Ex.: Pen test, Ethical Hacking) com o objetivo de identificar falhas de segurança em Aplicativos, Sistemas Operacionais e Ativos de rede?</t>
  </si>
  <si>
    <t>Controle da Aplicação</t>
  </si>
  <si>
    <t>Existe alguma aplicação que será desenvolvida e/ou utilizada para a Natura?</t>
  </si>
  <si>
    <t>Sua empresa aplica os preceitos de desenvolvimento seguros definidos pelo OWASP?</t>
  </si>
  <si>
    <t>Existem controles para manter a última versão dos aplicativos?</t>
  </si>
  <si>
    <t>Conectividade de Rede Externa</t>
  </si>
  <si>
    <t>Existe segregação da rede interna da demais redes via firewall?</t>
  </si>
  <si>
    <t>Existe sistema de detecção ou prevenção de intrusão?</t>
  </si>
  <si>
    <t>Todas as estações e servidores possuem antivírus instalado?</t>
  </si>
  <si>
    <t>1.2</t>
  </si>
  <si>
    <t>1.3</t>
  </si>
  <si>
    <t>1.4</t>
  </si>
  <si>
    <t>1.5</t>
  </si>
  <si>
    <t>1.6</t>
  </si>
  <si>
    <t>1.7</t>
  </si>
  <si>
    <t>1.8</t>
  </si>
  <si>
    <t>1.9</t>
  </si>
  <si>
    <t>2.4</t>
  </si>
  <si>
    <t>2.5</t>
  </si>
  <si>
    <t>3.3</t>
  </si>
  <si>
    <t>3.4</t>
  </si>
  <si>
    <t>3.5</t>
  </si>
  <si>
    <t>Monitoramento</t>
  </si>
  <si>
    <t>7.4</t>
  </si>
  <si>
    <t>Os responsáveis pela administração da rede da empresa recebem boletins informativos de Segurança?</t>
  </si>
  <si>
    <t>Existe um processo escrito que garanta a revisão de acesso aos servidores?</t>
  </si>
  <si>
    <t>Existe um processo escrito para monitoração e tratamento das tentativas de acesso não autorizado em sistemas, redes e aplicativos?</t>
  </si>
  <si>
    <t>Existe um sistema para tratamento dos logs gerados pelos Firewall, IDS/IPS e Roteadores?</t>
  </si>
  <si>
    <t>Os demais sistemas, aplicativos e plataformas (Unix, Windows, Linux, mainframe, etc) críticos para a empresa possuem logs habilitados?</t>
  </si>
  <si>
    <t>Existem logs de auditoria habilitados para os mecanismos de acesso remoto?</t>
  </si>
  <si>
    <t>Banco de dados</t>
  </si>
  <si>
    <t>8.8</t>
  </si>
  <si>
    <t>8.9</t>
  </si>
  <si>
    <t>8.10</t>
  </si>
  <si>
    <t>8.11</t>
  </si>
  <si>
    <t>Os servidores de banco de dados encontram-se em um segmento de rede separado dos demais?</t>
  </si>
  <si>
    <t>Existe um instanciamento exclusivo para os dados da Natura?</t>
  </si>
  <si>
    <t>A senha de acesso aos bancos utilizados pela Natura atendem aos requisitos abaixo?
As senhas devem possuir no mínimo 15 caracteres, utilizando-se letras (maiúsculas e minúsculas), números e caracteres especiais (@,#,$,%,&amp;), recomenda-se também o uso de caracteres ALT (¹,²,³,£,¢,¬).  As senhas devem ficar armazenadas em local seguro (cofre) na empresa e ter cópias, armazenadas da mesma forma, em local seguro, fora da empresa. As senhas devem ser alteradas sistematicamente no máximo a cada 60 dias.</t>
  </si>
  <si>
    <t>Existe segregação de direitos de acesso por usuário para Banco de Dados destinados a Natura?</t>
  </si>
  <si>
    <t>Todos os patches de segurança referente aos servidores de banco de dados são sistematicamente instalados em ambiente de homologação antes de serem instalados no ambiente de produção?</t>
  </si>
  <si>
    <t>Os DBAs possuem usuários próprios e a credencial administrativa é utilizada apenas para fins de administração do servidor de Banco de Dados?</t>
  </si>
  <si>
    <t>Os bancos destinados a Natura possuem logs que coletam todas as informações de acessos às bases de dados, como registros com nome do usuário, tipo de evento, timestamp e qualquer outra informação sobre acesso individual, inclusive das contas com direito administrativo?</t>
  </si>
  <si>
    <t>A empresa possui uma política de backups para os bancos de dados?</t>
  </si>
  <si>
    <t xml:space="preserve">Existe um processo de identificação e autenticação dos acessos aos bancos de dados? </t>
  </si>
  <si>
    <t>A empresa possui um controle para manter as últimas versões do banco de dados, patches de segurança e correções?</t>
  </si>
  <si>
    <t>As informações confidencias armazenadas nos bancos de dados são criptografados ou possuem hash?</t>
  </si>
  <si>
    <t>Segurança Física do ambiente</t>
  </si>
  <si>
    <t>Termo de responsabilidade sobre informações fornecidas</t>
  </si>
  <si>
    <t>Assinatura do responsável</t>
  </si>
  <si>
    <t>São Paulo,_____ de _______________de 20_____</t>
  </si>
  <si>
    <r>
      <t xml:space="preserve">   Eu, </t>
    </r>
    <r>
      <rPr>
        <b/>
        <sz val="12"/>
        <rFont val="Gill Sans MT"/>
        <family val="2"/>
      </rPr>
      <t>(colocar o nome do responsável pela empresa fornecedora)</t>
    </r>
    <r>
      <rPr>
        <sz val="12"/>
        <color theme="1"/>
        <rFont val="Gill Sans MT"/>
        <family val="2"/>
      </rPr>
      <t xml:space="preserve">, portador do documento de identificação número: </t>
    </r>
    <r>
      <rPr>
        <b/>
        <sz val="12"/>
        <rFont val="Gill Sans MT"/>
        <family val="2"/>
      </rPr>
      <t>(colocar o RG ou CPF)</t>
    </r>
    <r>
      <rPr>
        <sz val="12"/>
        <color theme="1"/>
        <rFont val="Gill Sans MT"/>
        <family val="2"/>
      </rPr>
      <t>, assumo em meu nome e da empresa aqui listada que li e compreendi todas as perguntas no documento a cima e afirmo que todas as informações prestadas são verdadeiras e acuradas assumindo assim a total responsabilidade por qualquer informação que seja apurada como: incorreta, inconsciente ou incompleta.</t>
    </r>
  </si>
  <si>
    <t>Questionário de aderência as normas de Segurança da Informação</t>
  </si>
  <si>
    <t>Aderencia Seg. Info.</t>
  </si>
  <si>
    <t>___________________________________________________________</t>
  </si>
  <si>
    <t>Observações</t>
  </si>
  <si>
    <t>Possue Evidencias?</t>
  </si>
  <si>
    <t>10.1</t>
  </si>
  <si>
    <t>10.2</t>
  </si>
  <si>
    <t>Suprimento de Energia</t>
  </si>
  <si>
    <t>11.1</t>
  </si>
  <si>
    <t>11.2</t>
  </si>
  <si>
    <t>Certificações</t>
  </si>
  <si>
    <t>Possue certificação ISO27000?</t>
  </si>
  <si>
    <t>Possue certifações SSAE16, ISAE3402 e NBC TO 3402 (substituto da certificação SAS70)?</t>
  </si>
  <si>
    <t>A empresa possui as certificações SSAE16, ISAE3402 e NBC TO 3402?</t>
  </si>
  <si>
    <t>A empresa possue No-Breaks?</t>
  </si>
  <si>
    <t>A empresa possue Geradores de Energia?</t>
  </si>
  <si>
    <t>9.2</t>
  </si>
  <si>
    <t>A empresa possui um processo/controle de acesso a ambientes controlados (ex: Datacenter, áreas restritas, etc)?</t>
  </si>
  <si>
    <t>2.6</t>
  </si>
  <si>
    <t>Existe algum controles para revogar todos os acessos dos colaboradores/prestadores de serviços desligados?</t>
  </si>
  <si>
    <t>Diretrizes para o preenchimento do formulário</t>
  </si>
  <si>
    <t>9.3</t>
  </si>
  <si>
    <t>A empresa possui um processo/controle de CFTV dos ambientes controlados (ex: Datacenter, áreas restritas, etc)?</t>
  </si>
  <si>
    <r>
      <rPr>
        <b/>
        <sz val="12"/>
        <color theme="1"/>
        <rFont val="Gill Sans MT"/>
        <family val="2"/>
      </rPr>
      <t xml:space="preserve">Este documento deverá ser assinado pelo representante legal da empresa
</t>
    </r>
    <r>
      <rPr>
        <sz val="12"/>
        <color theme="1"/>
        <rFont val="Gill Sans MT"/>
        <family val="2"/>
      </rPr>
      <t>A Natura poderá requerer evidências para cada um dos itens respondido.
A Natura poderá solicitar visitas ao ambiente do fornecedor para averiguação dos itens respondidos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</si>
</sst>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0"/>
      <color theme="1"/>
      <name val="Verdana"/>
      <family val="2"/>
    </font>
    <font>
      <sz val="8"/>
      <color theme="1"/>
      <name val="Gill Sans MT"/>
      <family val="2"/>
    </font>
    <font>
      <b/>
      <sz val="26"/>
      <color theme="1"/>
      <name val="Gill Sans MT"/>
      <family val="2"/>
    </font>
    <font>
      <sz val="10"/>
      <color theme="1"/>
      <name val="Gill Sans MT"/>
      <family val="2"/>
    </font>
    <font>
      <b/>
      <i/>
      <sz val="10"/>
      <name val="Gill Sans MT"/>
      <family val="2"/>
    </font>
    <font>
      <b/>
      <sz val="10"/>
      <color theme="0"/>
      <name val="Gill Sans MT"/>
      <family val="2"/>
    </font>
    <font>
      <b/>
      <sz val="10"/>
      <color rgb="FFC00000"/>
      <name val="Gill Sans MT"/>
      <family val="2"/>
    </font>
    <font>
      <b/>
      <sz val="17"/>
      <color theme="1"/>
      <name val="Gill Sans MT"/>
      <family val="2"/>
    </font>
    <font>
      <sz val="10"/>
      <color rgb="FF000000"/>
      <name val="Verdana"/>
      <family val="2"/>
    </font>
    <font>
      <b/>
      <i/>
      <sz val="10"/>
      <color theme="0"/>
      <name val="Gill Sans MT"/>
      <family val="2"/>
    </font>
    <font>
      <sz val="10"/>
      <name val="Arial"/>
      <family val="2"/>
    </font>
    <font>
      <sz val="10"/>
      <name val="Gill Sans MT"/>
      <family val="2"/>
    </font>
    <font>
      <sz val="10"/>
      <color rgb="FFFF0000"/>
      <name val="Gill Sans MT"/>
      <family val="2"/>
    </font>
    <font>
      <sz val="18"/>
      <color rgb="FFFF0000"/>
      <name val="Gill Sans Std"/>
      <family val="2"/>
    </font>
    <font>
      <b/>
      <sz val="18"/>
      <color rgb="FFFF0000"/>
      <name val="Gill Sans Std"/>
      <family val="2"/>
    </font>
    <font>
      <sz val="9"/>
      <color rgb="FFFF0000"/>
      <name val="Gill Sans Std"/>
      <family val="2"/>
    </font>
    <font>
      <b/>
      <sz val="9"/>
      <color theme="1"/>
      <name val="Gill Sans Std"/>
      <family val="2"/>
    </font>
    <font>
      <b/>
      <sz val="14"/>
      <color theme="1"/>
      <name val="Gill Sans MT"/>
      <family val="2"/>
    </font>
    <font>
      <b/>
      <sz val="16"/>
      <color theme="1"/>
      <name val="Gill Sans MT"/>
      <family val="2"/>
    </font>
    <font>
      <sz val="9"/>
      <color theme="0"/>
      <name val="Gill Sans Std"/>
      <family val="2"/>
    </font>
    <font>
      <sz val="10"/>
      <color theme="0"/>
      <name val="Gill Sans MT"/>
      <family val="2"/>
    </font>
    <font>
      <b/>
      <sz val="11"/>
      <color theme="1"/>
      <name val="Gill Sans MT"/>
      <family val="2"/>
    </font>
    <font>
      <sz val="12"/>
      <color theme="1"/>
      <name val="Gill Sans MT"/>
      <family val="2"/>
    </font>
    <font>
      <b/>
      <sz val="12"/>
      <name val="Gill Sans MT"/>
      <family val="2"/>
    </font>
    <font>
      <b/>
      <sz val="20"/>
      <color theme="1"/>
      <name val="Gill Sans MT"/>
      <family val="2"/>
    </font>
    <font>
      <b/>
      <sz val="12"/>
      <color theme="1"/>
      <name val="Gill Sans MT"/>
      <family val="2"/>
    </font>
  </fonts>
  <fills count="1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medium">
        <color theme="3"/>
      </top>
      <bottom style="thin">
        <color theme="3"/>
      </bottom>
      <diagonal/>
    </border>
    <border>
      <left style="thin">
        <color theme="3"/>
      </left>
      <right style="medium">
        <color theme="3"/>
      </right>
      <top style="medium">
        <color theme="3"/>
      </top>
      <bottom style="thin">
        <color theme="3"/>
      </bottom>
      <diagonal/>
    </border>
    <border>
      <left style="medium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medium">
        <color theme="3"/>
      </right>
      <top style="thin">
        <color theme="3"/>
      </top>
      <bottom style="thin">
        <color theme="3"/>
      </bottom>
      <diagonal/>
    </border>
    <border>
      <left style="medium">
        <color theme="3"/>
      </left>
      <right style="thin">
        <color theme="3"/>
      </right>
      <top style="thin">
        <color theme="3"/>
      </top>
      <bottom style="medium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medium">
        <color theme="3"/>
      </bottom>
      <diagonal/>
    </border>
    <border>
      <left style="thin">
        <color theme="3"/>
      </left>
      <right style="medium">
        <color theme="3"/>
      </right>
      <top style="thin">
        <color theme="3"/>
      </top>
      <bottom style="medium">
        <color theme="3"/>
      </bottom>
      <diagonal/>
    </border>
    <border>
      <left style="medium">
        <color theme="3"/>
      </left>
      <right style="thin">
        <color theme="3"/>
      </right>
      <top style="medium">
        <color theme="3"/>
      </top>
      <bottom style="thin">
        <color theme="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theme="3" tint="-0.249977111117893"/>
      </left>
      <right/>
      <top style="medium">
        <color theme="3" tint="-0.249977111117893"/>
      </top>
      <bottom/>
      <diagonal/>
    </border>
    <border>
      <left/>
      <right/>
      <top style="medium">
        <color theme="3" tint="-0.249977111117893"/>
      </top>
      <bottom/>
      <diagonal/>
    </border>
    <border>
      <left/>
      <right style="medium">
        <color theme="3" tint="-0.249977111117893"/>
      </right>
      <top style="medium">
        <color theme="3" tint="-0.249977111117893"/>
      </top>
      <bottom/>
      <diagonal/>
    </border>
    <border>
      <left style="medium">
        <color theme="3" tint="-0.249977111117893"/>
      </left>
      <right/>
      <top/>
      <bottom/>
      <diagonal/>
    </border>
    <border>
      <left/>
      <right style="medium">
        <color theme="3" tint="-0.249977111117893"/>
      </right>
      <top/>
      <bottom/>
      <diagonal/>
    </border>
    <border>
      <left style="medium">
        <color theme="3" tint="-0.249977111117893"/>
      </left>
      <right/>
      <top/>
      <bottom style="medium">
        <color theme="3" tint="-0.249977111117893"/>
      </bottom>
      <diagonal/>
    </border>
    <border>
      <left/>
      <right/>
      <top/>
      <bottom style="medium">
        <color theme="3" tint="-0.249977111117893"/>
      </bottom>
      <diagonal/>
    </border>
    <border>
      <left/>
      <right style="medium">
        <color theme="3" tint="-0.249977111117893"/>
      </right>
      <top/>
      <bottom style="medium">
        <color theme="3" tint="-0.249977111117893"/>
      </bottom>
      <diagonal/>
    </border>
  </borders>
  <cellStyleXfs count="2">
    <xf numFmtId="0" fontId="0" fillId="0" borderId="0"/>
    <xf numFmtId="0" fontId="10" fillId="0" borderId="0"/>
  </cellStyleXfs>
  <cellXfs count="208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3" fillId="0" borderId="0" xfId="0" applyFont="1"/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1" fillId="0" borderId="0" xfId="0" applyFont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1" fillId="12" borderId="1" xfId="1" applyFont="1" applyFill="1" applyBorder="1" applyAlignment="1">
      <alignment horizontal="center" vertical="center"/>
    </xf>
    <xf numFmtId="0" fontId="11" fillId="0" borderId="4" xfId="1" applyFont="1" applyBorder="1" applyAlignment="1">
      <alignment horizontal="left" vertical="center"/>
    </xf>
    <xf numFmtId="0" fontId="11" fillId="12" borderId="4" xfId="1" applyFont="1" applyFill="1" applyBorder="1" applyAlignment="1">
      <alignment horizontal="left" vertical="center"/>
    </xf>
    <xf numFmtId="0" fontId="5" fillId="11" borderId="6" xfId="1" applyFont="1" applyFill="1" applyBorder="1" applyAlignment="1">
      <alignment horizontal="center" vertical="center"/>
    </xf>
    <xf numFmtId="0" fontId="5" fillId="11" borderId="7" xfId="1" applyNumberFormat="1" applyFont="1" applyFill="1" applyBorder="1" applyAlignment="1">
      <alignment horizontal="center" vertical="center"/>
    </xf>
    <xf numFmtId="0" fontId="5" fillId="11" borderId="7" xfId="1" applyFont="1" applyFill="1" applyBorder="1" applyAlignment="1">
      <alignment horizontal="center" vertical="center"/>
    </xf>
    <xf numFmtId="0" fontId="5" fillId="11" borderId="8" xfId="1" applyFont="1" applyFill="1" applyBorder="1" applyAlignment="1">
      <alignment horizontal="center" vertical="center"/>
    </xf>
    <xf numFmtId="0" fontId="3" fillId="0" borderId="0" xfId="0" applyFont="1" applyBorder="1"/>
    <xf numFmtId="0" fontId="12" fillId="0" borderId="0" xfId="0" applyFont="1"/>
    <xf numFmtId="0" fontId="13" fillId="14" borderId="20" xfId="0" applyFont="1" applyFill="1" applyBorder="1" applyAlignment="1" applyProtection="1">
      <alignment horizontal="center" vertical="center"/>
    </xf>
    <xf numFmtId="0" fontId="13" fillId="14" borderId="21" xfId="0" applyFont="1" applyFill="1" applyBorder="1" applyAlignment="1" applyProtection="1">
      <alignment horizontal="center" vertical="center"/>
    </xf>
    <xf numFmtId="0" fontId="13" fillId="14" borderId="22" xfId="0" applyFont="1" applyFill="1" applyBorder="1" applyAlignment="1" applyProtection="1">
      <alignment horizontal="center" vertical="center"/>
    </xf>
    <xf numFmtId="0" fontId="13" fillId="13" borderId="20" xfId="0" applyFont="1" applyFill="1" applyBorder="1" applyAlignment="1" applyProtection="1">
      <alignment horizontal="center" vertical="center"/>
    </xf>
    <xf numFmtId="0" fontId="13" fillId="13" borderId="21" xfId="0" applyFont="1" applyFill="1" applyBorder="1" applyAlignment="1" applyProtection="1">
      <alignment horizontal="center" vertical="center"/>
    </xf>
    <xf numFmtId="0" fontId="13" fillId="13" borderId="22" xfId="0" applyFont="1" applyFill="1" applyBorder="1" applyAlignment="1" applyProtection="1">
      <alignment horizontal="center" vertical="center"/>
    </xf>
    <xf numFmtId="0" fontId="13" fillId="14" borderId="23" xfId="0" applyFont="1" applyFill="1" applyBorder="1" applyAlignment="1" applyProtection="1">
      <alignment horizontal="center" vertical="center"/>
    </xf>
    <xf numFmtId="0" fontId="13" fillId="14" borderId="0" xfId="0" applyFont="1" applyFill="1" applyBorder="1" applyAlignment="1" applyProtection="1">
      <alignment horizontal="center" vertical="center"/>
    </xf>
    <xf numFmtId="0" fontId="13" fillId="14" borderId="24" xfId="0" applyFont="1" applyFill="1" applyBorder="1" applyAlignment="1" applyProtection="1">
      <alignment horizontal="center" vertical="center"/>
    </xf>
    <xf numFmtId="0" fontId="13" fillId="13" borderId="23" xfId="0" applyFont="1" applyFill="1" applyBorder="1" applyAlignment="1" applyProtection="1">
      <alignment horizontal="center" vertical="center"/>
    </xf>
    <xf numFmtId="0" fontId="13" fillId="13" borderId="0" xfId="0" applyFont="1" applyFill="1" applyBorder="1" applyAlignment="1" applyProtection="1">
      <alignment horizontal="center" vertical="center"/>
    </xf>
    <xf numFmtId="0" fontId="13" fillId="13" borderId="24" xfId="0" applyFont="1" applyFill="1" applyBorder="1" applyAlignment="1" applyProtection="1">
      <alignment horizontal="center" vertical="center"/>
    </xf>
    <xf numFmtId="0" fontId="13" fillId="14" borderId="18" xfId="0" applyFont="1" applyFill="1" applyBorder="1" applyAlignment="1" applyProtection="1">
      <alignment horizontal="center" vertical="center"/>
    </xf>
    <xf numFmtId="0" fontId="13" fillId="14" borderId="25" xfId="0" applyFont="1" applyFill="1" applyBorder="1" applyAlignment="1" applyProtection="1">
      <alignment horizontal="center" vertical="center"/>
    </xf>
    <xf numFmtId="0" fontId="13" fillId="14" borderId="26" xfId="0" applyFont="1" applyFill="1" applyBorder="1" applyAlignment="1" applyProtection="1">
      <alignment horizontal="center" vertical="center"/>
    </xf>
    <xf numFmtId="0" fontId="13" fillId="13" borderId="18" xfId="0" applyFont="1" applyFill="1" applyBorder="1" applyAlignment="1" applyProtection="1">
      <alignment horizontal="center" vertical="center"/>
    </xf>
    <xf numFmtId="0" fontId="13" fillId="13" borderId="25" xfId="0" applyFont="1" applyFill="1" applyBorder="1" applyAlignment="1" applyProtection="1">
      <alignment horizontal="center" vertical="center"/>
    </xf>
    <xf numFmtId="0" fontId="13" fillId="13" borderId="26" xfId="0" applyFont="1" applyFill="1" applyBorder="1" applyAlignment="1" applyProtection="1">
      <alignment horizontal="center" vertical="center"/>
    </xf>
    <xf numFmtId="0" fontId="13" fillId="15" borderId="20" xfId="0" applyFont="1" applyFill="1" applyBorder="1" applyAlignment="1" applyProtection="1">
      <alignment horizontal="center" vertical="center"/>
    </xf>
    <xf numFmtId="0" fontId="13" fillId="15" borderId="21" xfId="0" applyFont="1" applyFill="1" applyBorder="1" applyAlignment="1" applyProtection="1">
      <alignment horizontal="center" vertical="center"/>
    </xf>
    <xf numFmtId="0" fontId="13" fillId="15" borderId="22" xfId="0" applyFont="1" applyFill="1" applyBorder="1" applyAlignment="1" applyProtection="1">
      <alignment horizontal="center" vertical="center"/>
    </xf>
    <xf numFmtId="0" fontId="13" fillId="15" borderId="23" xfId="0" applyFont="1" applyFill="1" applyBorder="1" applyAlignment="1" applyProtection="1">
      <alignment horizontal="center" vertical="center"/>
    </xf>
    <xf numFmtId="0" fontId="13" fillId="15" borderId="0" xfId="0" applyFont="1" applyFill="1" applyBorder="1" applyAlignment="1" applyProtection="1">
      <alignment horizontal="center" vertical="center"/>
    </xf>
    <xf numFmtId="0" fontId="13" fillId="15" borderId="24" xfId="0" applyFont="1" applyFill="1" applyBorder="1" applyAlignment="1" applyProtection="1">
      <alignment horizontal="center" vertical="center"/>
    </xf>
    <xf numFmtId="0" fontId="13" fillId="15" borderId="18" xfId="0" applyFont="1" applyFill="1" applyBorder="1" applyAlignment="1" applyProtection="1">
      <alignment horizontal="center" vertical="center"/>
    </xf>
    <xf numFmtId="0" fontId="13" fillId="15" borderId="25" xfId="0" applyFont="1" applyFill="1" applyBorder="1" applyAlignment="1" applyProtection="1">
      <alignment horizontal="center" vertical="center"/>
    </xf>
    <xf numFmtId="0" fontId="13" fillId="15" borderId="26" xfId="0" applyFont="1" applyFill="1" applyBorder="1" applyAlignment="1" applyProtection="1">
      <alignment horizontal="center" vertical="center"/>
    </xf>
    <xf numFmtId="0" fontId="13" fillId="9" borderId="20" xfId="0" applyFont="1" applyFill="1" applyBorder="1" applyAlignment="1" applyProtection="1">
      <alignment horizontal="center" vertical="center"/>
    </xf>
    <xf numFmtId="0" fontId="13" fillId="9" borderId="21" xfId="0" applyFont="1" applyFill="1" applyBorder="1" applyAlignment="1" applyProtection="1">
      <alignment horizontal="center" vertical="center"/>
    </xf>
    <xf numFmtId="0" fontId="13" fillId="9" borderId="22" xfId="0" applyFont="1" applyFill="1" applyBorder="1" applyAlignment="1" applyProtection="1">
      <alignment horizontal="center" vertical="center"/>
    </xf>
    <xf numFmtId="0" fontId="13" fillId="9" borderId="23" xfId="0" applyFont="1" applyFill="1" applyBorder="1" applyAlignment="1" applyProtection="1">
      <alignment horizontal="center" vertical="center"/>
    </xf>
    <xf numFmtId="0" fontId="13" fillId="9" borderId="0" xfId="0" applyFont="1" applyFill="1" applyBorder="1" applyAlignment="1" applyProtection="1">
      <alignment horizontal="center" vertical="center"/>
    </xf>
    <xf numFmtId="0" fontId="13" fillId="9" borderId="24" xfId="0" applyFont="1" applyFill="1" applyBorder="1" applyAlignment="1" applyProtection="1">
      <alignment horizontal="center" vertical="center"/>
    </xf>
    <xf numFmtId="0" fontId="13" fillId="9" borderId="18" xfId="0" applyFont="1" applyFill="1" applyBorder="1" applyAlignment="1" applyProtection="1">
      <alignment horizontal="center" vertical="center"/>
    </xf>
    <xf numFmtId="0" fontId="13" fillId="9" borderId="25" xfId="0" applyFont="1" applyFill="1" applyBorder="1" applyAlignment="1" applyProtection="1">
      <alignment horizontal="center" vertical="center"/>
    </xf>
    <xf numFmtId="0" fontId="13" fillId="9" borderId="26" xfId="0" applyFont="1" applyFill="1" applyBorder="1" applyAlignment="1" applyProtection="1">
      <alignment horizontal="center" vertical="center"/>
    </xf>
    <xf numFmtId="0" fontId="15" fillId="0" borderId="14" xfId="0" applyFont="1" applyBorder="1" applyProtection="1"/>
    <xf numFmtId="0" fontId="12" fillId="0" borderId="0" xfId="0" applyFont="1" applyBorder="1"/>
    <xf numFmtId="0" fontId="7" fillId="0" borderId="10" xfId="0" applyFont="1" applyFill="1" applyBorder="1" applyAlignment="1">
      <alignment vertical="center" textRotation="90"/>
    </xf>
    <xf numFmtId="0" fontId="15" fillId="0" borderId="11" xfId="0" applyFont="1" applyFill="1" applyBorder="1" applyAlignment="1" applyProtection="1">
      <alignment horizontal="right" vertical="top"/>
    </xf>
    <xf numFmtId="0" fontId="14" fillId="0" borderId="11" xfId="0" applyFont="1" applyBorder="1" applyAlignment="1" applyProtection="1">
      <alignment horizontal="right"/>
    </xf>
    <xf numFmtId="0" fontId="13" fillId="0" borderId="11" xfId="0" applyFont="1" applyBorder="1" applyAlignment="1" applyProtection="1">
      <alignment horizontal="center"/>
    </xf>
    <xf numFmtId="0" fontId="12" fillId="0" borderId="12" xfId="0" applyFont="1" applyBorder="1"/>
    <xf numFmtId="0" fontId="12" fillId="0" borderId="14" xfId="0" applyFont="1" applyBorder="1"/>
    <xf numFmtId="0" fontId="12" fillId="0" borderId="17" xfId="0" applyFont="1" applyBorder="1"/>
    <xf numFmtId="0" fontId="19" fillId="0" borderId="27" xfId="0" applyFont="1" applyFill="1" applyBorder="1" applyAlignment="1" applyProtection="1">
      <alignment horizontal="right" vertical="top"/>
    </xf>
    <xf numFmtId="0" fontId="19" fillId="0" borderId="18" xfId="0" applyFont="1" applyFill="1" applyBorder="1" applyAlignment="1" applyProtection="1">
      <alignment horizontal="right" vertical="top"/>
    </xf>
    <xf numFmtId="0" fontId="19" fillId="0" borderId="0" xfId="0" applyFont="1" applyFill="1" applyBorder="1" applyAlignment="1" applyProtection="1">
      <alignment horizontal="right" vertical="center"/>
    </xf>
    <xf numFmtId="0" fontId="19" fillId="0" borderId="19" xfId="0" applyFont="1" applyFill="1" applyBorder="1" applyAlignment="1" applyProtection="1">
      <alignment horizontal="right" vertical="top"/>
    </xf>
    <xf numFmtId="0" fontId="20" fillId="0" borderId="0" xfId="0" applyFont="1" applyBorder="1"/>
    <xf numFmtId="0" fontId="17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5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3" fillId="5" borderId="1" xfId="0" applyFont="1" applyFill="1" applyBorder="1" applyAlignment="1">
      <alignment vertical="center" wrapText="1"/>
    </xf>
    <xf numFmtId="0" fontId="5" fillId="10" borderId="1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left" vertical="center" wrapText="1"/>
    </xf>
    <xf numFmtId="0" fontId="9" fillId="10" borderId="1" xfId="0" applyFont="1" applyFill="1" applyBorder="1" applyAlignment="1">
      <alignment vertical="center" wrapText="1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>
      <alignment horizontal="left" vertical="center" wrapText="1"/>
    </xf>
    <xf numFmtId="0" fontId="21" fillId="0" borderId="0" xfId="0" applyFont="1" applyBorder="1" applyAlignment="1">
      <alignment vertical="center"/>
    </xf>
    <xf numFmtId="0" fontId="3" fillId="0" borderId="38" xfId="0" applyFont="1" applyBorder="1"/>
    <xf numFmtId="0" fontId="3" fillId="0" borderId="39" xfId="0" applyFont="1" applyBorder="1"/>
    <xf numFmtId="0" fontId="3" fillId="0" borderId="41" xfId="0" applyFont="1" applyBorder="1"/>
    <xf numFmtId="0" fontId="3" fillId="0" borderId="42" xfId="0" applyFont="1" applyBorder="1"/>
    <xf numFmtId="0" fontId="3" fillId="0" borderId="38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 wrapText="1"/>
    </xf>
    <xf numFmtId="0" fontId="3" fillId="5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center" vertical="center"/>
    </xf>
    <xf numFmtId="0" fontId="15" fillId="0" borderId="28" xfId="0" applyFont="1" applyFill="1" applyBorder="1" applyAlignment="1" applyProtection="1">
      <alignment horizontal="right" vertical="top"/>
    </xf>
    <xf numFmtId="0" fontId="15" fillId="0" borderId="14" xfId="0" applyFont="1" applyFill="1" applyBorder="1" applyAlignment="1" applyProtection="1">
      <alignment horizontal="left" vertical="top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3" borderId="9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" fillId="0" borderId="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 applyProtection="1">
      <alignment horizontal="left" vertical="center"/>
      <protection locked="0"/>
    </xf>
    <xf numFmtId="0" fontId="3" fillId="0" borderId="5" xfId="0" applyFont="1" applyBorder="1" applyAlignment="1" applyProtection="1">
      <alignment horizontal="left" vertical="center"/>
      <protection locked="0"/>
    </xf>
    <xf numFmtId="0" fontId="3" fillId="5" borderId="4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left" vertical="center"/>
    </xf>
    <xf numFmtId="0" fontId="3" fillId="5" borderId="1" xfId="0" applyFont="1" applyFill="1" applyBorder="1" applyAlignment="1" applyProtection="1">
      <alignment horizontal="left" vertical="center"/>
      <protection locked="0"/>
    </xf>
    <xf numFmtId="0" fontId="3" fillId="5" borderId="5" xfId="0" applyFont="1" applyFill="1" applyBorder="1" applyAlignment="1" applyProtection="1">
      <alignment horizontal="left" vertical="center"/>
      <protection locked="0"/>
    </xf>
    <xf numFmtId="0" fontId="18" fillId="16" borderId="10" xfId="0" applyFont="1" applyFill="1" applyBorder="1" applyAlignment="1">
      <alignment horizontal="center" vertical="center"/>
    </xf>
    <xf numFmtId="0" fontId="18" fillId="16" borderId="11" xfId="0" applyFont="1" applyFill="1" applyBorder="1" applyAlignment="1">
      <alignment horizontal="center" vertical="center"/>
    </xf>
    <xf numFmtId="0" fontId="18" fillId="16" borderId="12" xfId="0" applyFont="1" applyFill="1" applyBorder="1" applyAlignment="1">
      <alignment horizontal="center" vertical="center"/>
    </xf>
    <xf numFmtId="0" fontId="3" fillId="0" borderId="40" xfId="0" applyFont="1" applyBorder="1" applyAlignment="1" applyProtection="1">
      <alignment horizontal="left" vertical="center"/>
      <protection locked="0"/>
    </xf>
    <xf numFmtId="0" fontId="3" fillId="0" borderId="41" xfId="0" applyFont="1" applyBorder="1" applyAlignment="1" applyProtection="1">
      <alignment horizontal="left" vertical="center"/>
      <protection locked="0"/>
    </xf>
    <xf numFmtId="0" fontId="4" fillId="4" borderId="4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0" fontId="18" fillId="16" borderId="35" xfId="0" applyFont="1" applyFill="1" applyBorder="1" applyAlignment="1">
      <alignment horizontal="center" vertical="center"/>
    </xf>
    <xf numFmtId="0" fontId="18" fillId="16" borderId="36" xfId="0" applyFont="1" applyFill="1" applyBorder="1" applyAlignment="1">
      <alignment horizontal="center" vertical="center"/>
    </xf>
    <xf numFmtId="0" fontId="18" fillId="16" borderId="37" xfId="0" applyFont="1" applyFill="1" applyBorder="1" applyAlignment="1">
      <alignment horizontal="center" vertical="center"/>
    </xf>
    <xf numFmtId="0" fontId="22" fillId="0" borderId="38" xfId="0" applyFont="1" applyBorder="1" applyAlignment="1" applyProtection="1">
      <alignment horizontal="left" vertical="justify" wrapText="1"/>
      <protection locked="0"/>
    </xf>
    <xf numFmtId="0" fontId="22" fillId="0" borderId="0" xfId="0" applyFont="1" applyBorder="1" applyAlignment="1" applyProtection="1">
      <alignment horizontal="left" vertical="justify" wrapText="1"/>
      <protection locked="0"/>
    </xf>
    <xf numFmtId="0" fontId="22" fillId="0" borderId="39" xfId="0" applyFont="1" applyBorder="1" applyAlignment="1" applyProtection="1">
      <alignment horizontal="left" vertical="justify" wrapText="1"/>
      <protection locked="0"/>
    </xf>
    <xf numFmtId="0" fontId="3" fillId="0" borderId="38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2" fillId="0" borderId="15" xfId="0" applyFont="1" applyBorder="1" applyAlignment="1" applyProtection="1">
      <alignment horizontal="left" vertical="justify" wrapText="1"/>
    </xf>
    <xf numFmtId="0" fontId="22" fillId="0" borderId="16" xfId="0" applyFont="1" applyBorder="1" applyAlignment="1" applyProtection="1">
      <alignment horizontal="left" vertical="justify" wrapText="1"/>
    </xf>
    <xf numFmtId="0" fontId="22" fillId="0" borderId="17" xfId="0" applyFont="1" applyBorder="1" applyAlignment="1" applyProtection="1">
      <alignment horizontal="left" vertical="justify" wrapText="1"/>
    </xf>
    <xf numFmtId="0" fontId="3" fillId="0" borderId="38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horizontal="left" vertical="center"/>
      <protection locked="0"/>
    </xf>
    <xf numFmtId="0" fontId="3" fillId="0" borderId="31" xfId="0" applyFont="1" applyBorder="1" applyAlignment="1">
      <alignment horizontal="left" vertical="center" wrapText="1"/>
    </xf>
    <xf numFmtId="0" fontId="3" fillId="0" borderId="32" xfId="0" applyFont="1" applyBorder="1" applyAlignment="1">
      <alignment horizontal="left" vertical="center" wrapText="1"/>
    </xf>
    <xf numFmtId="0" fontId="3" fillId="0" borderId="34" xfId="0" applyFont="1" applyBorder="1" applyAlignment="1">
      <alignment horizontal="left" vertical="center" wrapText="1"/>
    </xf>
    <xf numFmtId="0" fontId="3" fillId="5" borderId="31" xfId="0" applyFont="1" applyFill="1" applyBorder="1" applyAlignment="1">
      <alignment horizontal="left" vertical="center" wrapText="1"/>
    </xf>
    <xf numFmtId="0" fontId="3" fillId="5" borderId="32" xfId="0" applyFont="1" applyFill="1" applyBorder="1" applyAlignment="1">
      <alignment horizontal="left" vertical="center" wrapText="1"/>
    </xf>
    <xf numFmtId="0" fontId="3" fillId="5" borderId="34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9" fillId="10" borderId="31" xfId="0" applyFont="1" applyFill="1" applyBorder="1" applyAlignment="1">
      <alignment horizontal="left" vertical="center" wrapText="1"/>
    </xf>
    <xf numFmtId="0" fontId="9" fillId="10" borderId="34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3" fillId="12" borderId="5" xfId="0" applyFont="1" applyFill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12" borderId="7" xfId="0" applyFont="1" applyFill="1" applyBorder="1" applyAlignment="1">
      <alignment horizontal="left" vertical="center" wrapText="1"/>
    </xf>
    <xf numFmtId="0" fontId="3" fillId="12" borderId="8" xfId="0" applyFont="1" applyFill="1" applyBorder="1" applyAlignment="1">
      <alignment horizontal="left" vertical="center" wrapText="1"/>
    </xf>
    <xf numFmtId="0" fontId="5" fillId="10" borderId="9" xfId="0" applyFont="1" applyFill="1" applyBorder="1" applyAlignment="1">
      <alignment horizontal="left" vertical="center"/>
    </xf>
    <xf numFmtId="0" fontId="5" fillId="10" borderId="2" xfId="0" applyFont="1" applyFill="1" applyBorder="1" applyAlignment="1">
      <alignment horizontal="left" vertical="center"/>
    </xf>
    <xf numFmtId="0" fontId="5" fillId="10" borderId="3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2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33" xfId="0" applyFont="1" applyBorder="1" applyAlignment="1">
      <alignment horizontal="left" vertical="center" wrapText="1"/>
    </xf>
    <xf numFmtId="0" fontId="3" fillId="5" borderId="1" xfId="0" applyFont="1" applyFill="1" applyBorder="1" applyAlignment="1">
      <alignment horizontal="left" vertical="center" wrapText="1"/>
    </xf>
    <xf numFmtId="0" fontId="3" fillId="0" borderId="31" xfId="0" applyFont="1" applyFill="1" applyBorder="1" applyAlignment="1">
      <alignment horizontal="left" vertical="center" wrapText="1"/>
    </xf>
    <xf numFmtId="0" fontId="3" fillId="0" borderId="32" xfId="0" applyFont="1" applyFill="1" applyBorder="1" applyAlignment="1">
      <alignment horizontal="left" vertical="center" wrapText="1"/>
    </xf>
    <xf numFmtId="0" fontId="3" fillId="0" borderId="34" xfId="0" applyFont="1" applyFill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3" fillId="0" borderId="5" xfId="0" applyFont="1" applyBorder="1" applyAlignment="1" applyProtection="1">
      <alignment horizontal="center" vertical="center" wrapText="1"/>
      <protection locked="0"/>
    </xf>
    <xf numFmtId="0" fontId="3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18" fillId="0" borderId="29" xfId="0" applyFont="1" applyFill="1" applyBorder="1" applyAlignment="1">
      <alignment horizontal="center" vertical="center" textRotation="90"/>
    </xf>
    <xf numFmtId="0" fontId="16" fillId="0" borderId="20" xfId="0" applyFont="1" applyFill="1" applyBorder="1" applyAlignment="1" applyProtection="1">
      <alignment horizontal="center" vertical="center" textRotation="90"/>
    </xf>
    <xf numFmtId="0" fontId="16" fillId="0" borderId="23" xfId="0" applyFont="1" applyFill="1" applyBorder="1" applyAlignment="1" applyProtection="1">
      <alignment horizontal="center" vertical="center" textRotation="90"/>
    </xf>
    <xf numFmtId="0" fontId="16" fillId="0" borderId="18" xfId="0" applyFont="1" applyFill="1" applyBorder="1" applyAlignment="1" applyProtection="1">
      <alignment horizontal="center" vertical="center" textRotation="90"/>
    </xf>
    <xf numFmtId="0" fontId="18" fillId="0" borderId="30" xfId="0" applyFont="1" applyBorder="1" applyAlignment="1">
      <alignment horizontal="center" vertical="center"/>
    </xf>
    <xf numFmtId="0" fontId="16" fillId="0" borderId="18" xfId="0" applyFont="1" applyFill="1" applyBorder="1" applyAlignment="1" applyProtection="1">
      <alignment horizontal="center" vertical="center"/>
    </xf>
    <xf numFmtId="0" fontId="16" fillId="0" borderId="25" xfId="0" applyFont="1" applyFill="1" applyBorder="1" applyAlignment="1" applyProtection="1">
      <alignment horizontal="center" vertical="center"/>
    </xf>
    <xf numFmtId="0" fontId="16" fillId="0" borderId="26" xfId="0" applyFont="1" applyFill="1" applyBorder="1" applyAlignment="1" applyProtection="1">
      <alignment horizontal="center" vertical="center"/>
    </xf>
    <xf numFmtId="0" fontId="16" fillId="0" borderId="22" xfId="0" applyFont="1" applyFill="1" applyBorder="1" applyAlignment="1" applyProtection="1">
      <alignment horizontal="center" vertical="center" textRotation="90"/>
    </xf>
    <xf numFmtId="0" fontId="16" fillId="0" borderId="24" xfId="0" applyFont="1" applyFill="1" applyBorder="1" applyAlignment="1" applyProtection="1">
      <alignment horizontal="center" vertical="center" textRotation="90"/>
    </xf>
    <xf numFmtId="0" fontId="5" fillId="11" borderId="9" xfId="1" applyFont="1" applyFill="1" applyBorder="1" applyAlignment="1">
      <alignment horizontal="center" vertical="center"/>
    </xf>
    <xf numFmtId="0" fontId="5" fillId="11" borderId="2" xfId="1" applyFont="1" applyFill="1" applyBorder="1" applyAlignment="1">
      <alignment horizontal="center" vertical="center"/>
    </xf>
    <xf numFmtId="0" fontId="5" fillId="11" borderId="3" xfId="1" applyFont="1" applyFill="1" applyBorder="1" applyAlignment="1">
      <alignment horizontal="center" vertical="center"/>
    </xf>
    <xf numFmtId="0" fontId="11" fillId="6" borderId="5" xfId="1" applyFont="1" applyFill="1" applyBorder="1" applyAlignment="1">
      <alignment horizontal="center" vertical="center"/>
    </xf>
    <xf numFmtId="0" fontId="11" fillId="7" borderId="5" xfId="1" applyFont="1" applyFill="1" applyBorder="1" applyAlignment="1">
      <alignment horizontal="center" vertical="center"/>
    </xf>
    <xf numFmtId="0" fontId="11" fillId="9" borderId="5" xfId="1" applyFont="1" applyFill="1" applyBorder="1" applyAlignment="1">
      <alignment horizontal="center" vertical="center"/>
    </xf>
    <xf numFmtId="0" fontId="11" fillId="8" borderId="5" xfId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4">
    <dxf>
      <fill>
        <patternFill>
          <bgColor rgb="FF92D050"/>
        </patternFill>
      </fill>
    </dxf>
    <dxf>
      <fill>
        <patternFill>
          <bgColor rgb="FFFFFF99"/>
        </patternFill>
      </fill>
    </dxf>
    <dxf>
      <fill>
        <patternFill>
          <bgColor rgb="FFFF9966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99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28575</xdr:colOff>
      <xdr:row>1</xdr:row>
      <xdr:rowOff>123825</xdr:rowOff>
    </xdr:from>
    <xdr:to>
      <xdr:col>2</xdr:col>
      <xdr:colOff>114300</xdr:colOff>
      <xdr:row>4</xdr:row>
      <xdr:rowOff>180975</xdr:rowOff>
    </xdr:to>
    <xdr:pic macro="[0]!Imagem1_Clique">
      <xdr:nvPicPr>
        <xdr:cNvPr id="2" name="Imagem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4375" y="314325"/>
          <a:ext cx="7715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104775</xdr:rowOff>
    </xdr:from>
    <xdr:to>
      <xdr:col>2</xdr:col>
      <xdr:colOff>523875</xdr:colOff>
      <xdr:row>5</xdr:row>
      <xdr:rowOff>47625</xdr:rowOff>
    </xdr:to>
    <xdr:pic>
      <xdr:nvPicPr>
        <xdr:cNvPr id="2" name="Imagem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04875" y="276225"/>
          <a:ext cx="7715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28575</xdr:colOff>
      <xdr:row>1</xdr:row>
      <xdr:rowOff>114300</xdr:rowOff>
    </xdr:from>
    <xdr:to>
      <xdr:col>1</xdr:col>
      <xdr:colOff>800100</xdr:colOff>
      <xdr:row>5</xdr:row>
      <xdr:rowOff>95250</xdr:rowOff>
    </xdr:to>
    <xdr:pic>
      <xdr:nvPicPr>
        <xdr:cNvPr id="2" name="Imagem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4375" y="276225"/>
          <a:ext cx="7715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409575</xdr:colOff>
      <xdr:row>0</xdr:row>
      <xdr:rowOff>95250</xdr:rowOff>
    </xdr:from>
    <xdr:to>
      <xdr:col>3</xdr:col>
      <xdr:colOff>28575</xdr:colOff>
      <xdr:row>3</xdr:row>
      <xdr:rowOff>152400</xdr:rowOff>
    </xdr:to>
    <xdr:pic>
      <xdr:nvPicPr>
        <xdr:cNvPr id="182" name="Imagem 18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9575" y="95250"/>
          <a:ext cx="7715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20</xdr:row>
          <xdr:rowOff>85725</xdr:rowOff>
        </xdr:from>
        <xdr:to>
          <xdr:col>11</xdr:col>
          <xdr:colOff>247650</xdr:colOff>
          <xdr:row>21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Plotar Homologação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47"/>
  <sheetViews>
    <sheetView showGridLines="0" tabSelected="1" workbookViewId="0"/>
  </sheetViews>
  <sheetFormatPr defaultColWidth="0" defaultRowHeight="15" zeroHeight="1"/>
  <cols>
    <col min="1" max="3" width="9" style="2" customWidth="1"/>
    <col min="4" max="7" width="17.375" style="2" customWidth="1"/>
    <col min="8" max="8" width="9" style="2" customWidth="1"/>
    <col min="9" max="16384" width="9" style="2" hidden="1"/>
  </cols>
  <sheetData>
    <row r="1" spans="2:7"/>
    <row r="2" spans="2:7">
      <c r="B2" s="104"/>
      <c r="C2" s="103" t="s">
        <v>45</v>
      </c>
      <c r="D2" s="103"/>
      <c r="E2" s="103"/>
      <c r="F2" s="103"/>
      <c r="G2" s="103"/>
    </row>
    <row r="3" spans="2:7">
      <c r="B3" s="104"/>
      <c r="C3" s="103"/>
      <c r="D3" s="103"/>
      <c r="E3" s="103"/>
      <c r="F3" s="103"/>
      <c r="G3" s="103"/>
    </row>
    <row r="4" spans="2:7">
      <c r="B4" s="104"/>
      <c r="C4" s="103"/>
      <c r="D4" s="103"/>
      <c r="E4" s="103"/>
      <c r="F4" s="103"/>
      <c r="G4" s="103"/>
    </row>
    <row r="5" spans="2:7">
      <c r="B5" s="104"/>
      <c r="C5" s="103"/>
      <c r="D5" s="103"/>
      <c r="E5" s="103"/>
      <c r="F5" s="103"/>
      <c r="G5" s="103"/>
    </row>
    <row r="6" spans="2:7" ht="15.75" thickBot="1">
      <c r="B6" s="104"/>
      <c r="C6" s="103"/>
      <c r="D6" s="103"/>
      <c r="E6" s="103"/>
      <c r="F6" s="103"/>
      <c r="G6" s="103"/>
    </row>
    <row r="7" spans="2:7" ht="24.75">
      <c r="B7" s="122" t="s">
        <v>186</v>
      </c>
      <c r="C7" s="123"/>
      <c r="D7" s="123"/>
      <c r="E7" s="123"/>
      <c r="F7" s="123"/>
      <c r="G7" s="124"/>
    </row>
    <row r="8" spans="2:7">
      <c r="B8" s="139"/>
      <c r="C8" s="137"/>
      <c r="D8" s="137"/>
      <c r="E8" s="137"/>
      <c r="F8" s="137"/>
      <c r="G8" s="140"/>
    </row>
    <row r="9" spans="2:7" ht="69.75" customHeight="1" thickBot="1">
      <c r="B9" s="141" t="s">
        <v>189</v>
      </c>
      <c r="C9" s="142"/>
      <c r="D9" s="142"/>
      <c r="E9" s="142"/>
      <c r="F9" s="142"/>
      <c r="G9" s="143"/>
    </row>
    <row r="10" spans="2:7" ht="15.75" thickBot="1"/>
    <row r="11" spans="2:7">
      <c r="B11" s="105" t="s">
        <v>44</v>
      </c>
      <c r="C11" s="106"/>
      <c r="D11" s="106"/>
      <c r="E11" s="106"/>
      <c r="F11" s="106"/>
      <c r="G11" s="107"/>
    </row>
    <row r="12" spans="2:7">
      <c r="B12" s="114" t="s">
        <v>30</v>
      </c>
      <c r="C12" s="115"/>
      <c r="D12" s="116"/>
      <c r="E12" s="116"/>
      <c r="F12" s="116"/>
      <c r="G12" s="117"/>
    </row>
    <row r="13" spans="2:7">
      <c r="B13" s="118" t="s">
        <v>31</v>
      </c>
      <c r="C13" s="119"/>
      <c r="D13" s="120"/>
      <c r="E13" s="120"/>
      <c r="F13" s="120"/>
      <c r="G13" s="121"/>
    </row>
    <row r="14" spans="2:7">
      <c r="B14" s="114" t="s">
        <v>35</v>
      </c>
      <c r="C14" s="115"/>
      <c r="D14" s="116"/>
      <c r="E14" s="116"/>
      <c r="F14" s="116"/>
      <c r="G14" s="117"/>
    </row>
    <row r="15" spans="2:7">
      <c r="B15" s="118" t="s">
        <v>36</v>
      </c>
      <c r="C15" s="119"/>
      <c r="D15" s="120"/>
      <c r="E15" s="120"/>
      <c r="F15" s="120"/>
      <c r="G15" s="121"/>
    </row>
    <row r="16" spans="2:7">
      <c r="B16" s="114" t="s">
        <v>42</v>
      </c>
      <c r="C16" s="115"/>
      <c r="D16" s="116"/>
      <c r="E16" s="116"/>
      <c r="F16" s="116"/>
      <c r="G16" s="117"/>
    </row>
    <row r="17" spans="2:7">
      <c r="B17" s="118" t="s">
        <v>41</v>
      </c>
      <c r="C17" s="119"/>
      <c r="D17" s="120"/>
      <c r="E17" s="120"/>
      <c r="F17" s="120"/>
      <c r="G17" s="121"/>
    </row>
    <row r="18" spans="2:7">
      <c r="B18" s="108" t="s">
        <v>43</v>
      </c>
      <c r="C18" s="109"/>
      <c r="D18" s="109"/>
      <c r="E18" s="109"/>
      <c r="F18" s="109"/>
      <c r="G18" s="110"/>
    </row>
    <row r="19" spans="2:7">
      <c r="B19" s="111" t="s">
        <v>40</v>
      </c>
      <c r="C19" s="112"/>
      <c r="D19" s="112"/>
      <c r="E19" s="112"/>
      <c r="F19" s="112"/>
      <c r="G19" s="113"/>
    </row>
    <row r="20" spans="2:7">
      <c r="B20" s="127" t="s">
        <v>32</v>
      </c>
      <c r="C20" s="128"/>
      <c r="D20" s="128"/>
      <c r="E20" s="128"/>
      <c r="F20" s="128"/>
      <c r="G20" s="129"/>
    </row>
    <row r="21" spans="2:7">
      <c r="B21" s="114" t="s">
        <v>37</v>
      </c>
      <c r="C21" s="115"/>
      <c r="D21" s="116"/>
      <c r="E21" s="116"/>
      <c r="F21" s="116"/>
      <c r="G21" s="117"/>
    </row>
    <row r="22" spans="2:7">
      <c r="B22" s="118" t="s">
        <v>33</v>
      </c>
      <c r="C22" s="119"/>
      <c r="D22" s="120"/>
      <c r="E22" s="120"/>
      <c r="F22" s="120"/>
      <c r="G22" s="121"/>
    </row>
    <row r="23" spans="2:7">
      <c r="B23" s="114" t="s">
        <v>34</v>
      </c>
      <c r="C23" s="115"/>
      <c r="D23" s="116"/>
      <c r="E23" s="116"/>
      <c r="F23" s="116"/>
      <c r="G23" s="117"/>
    </row>
    <row r="24" spans="2:7">
      <c r="B24" s="127" t="s">
        <v>38</v>
      </c>
      <c r="C24" s="128"/>
      <c r="D24" s="128"/>
      <c r="E24" s="128"/>
      <c r="F24" s="128"/>
      <c r="G24" s="129"/>
    </row>
    <row r="25" spans="2:7">
      <c r="B25" s="114" t="s">
        <v>37</v>
      </c>
      <c r="C25" s="115"/>
      <c r="D25" s="116"/>
      <c r="E25" s="116"/>
      <c r="F25" s="116"/>
      <c r="G25" s="117"/>
    </row>
    <row r="26" spans="2:7">
      <c r="B26" s="118" t="s">
        <v>33</v>
      </c>
      <c r="C26" s="119"/>
      <c r="D26" s="120"/>
      <c r="E26" s="120"/>
      <c r="F26" s="120"/>
      <c r="G26" s="121"/>
    </row>
    <row r="27" spans="2:7">
      <c r="B27" s="114" t="s">
        <v>34</v>
      </c>
      <c r="C27" s="115"/>
      <c r="D27" s="116"/>
      <c r="E27" s="116"/>
      <c r="F27" s="116"/>
      <c r="G27" s="117"/>
    </row>
    <row r="28" spans="2:7">
      <c r="B28" s="127" t="s">
        <v>39</v>
      </c>
      <c r="C28" s="128"/>
      <c r="D28" s="128"/>
      <c r="E28" s="128"/>
      <c r="F28" s="128"/>
      <c r="G28" s="129"/>
    </row>
    <row r="29" spans="2:7">
      <c r="B29" s="114" t="s">
        <v>37</v>
      </c>
      <c r="C29" s="115"/>
      <c r="D29" s="116"/>
      <c r="E29" s="116"/>
      <c r="F29" s="116"/>
      <c r="G29" s="117"/>
    </row>
    <row r="30" spans="2:7">
      <c r="B30" s="118" t="s">
        <v>33</v>
      </c>
      <c r="C30" s="119"/>
      <c r="D30" s="120"/>
      <c r="E30" s="120"/>
      <c r="F30" s="120"/>
      <c r="G30" s="121"/>
    </row>
    <row r="31" spans="2:7" ht="15.75" thickBot="1">
      <c r="B31" s="146" t="s">
        <v>34</v>
      </c>
      <c r="C31" s="147"/>
      <c r="D31" s="148"/>
      <c r="E31" s="148"/>
      <c r="F31" s="148"/>
      <c r="G31" s="149"/>
    </row>
    <row r="32" spans="2:7" ht="15.75" thickBot="1"/>
    <row r="33" spans="2:7" ht="24.75">
      <c r="B33" s="130" t="s">
        <v>162</v>
      </c>
      <c r="C33" s="131"/>
      <c r="D33" s="131"/>
      <c r="E33" s="131"/>
      <c r="F33" s="131"/>
      <c r="G33" s="132"/>
    </row>
    <row r="34" spans="2:7">
      <c r="B34" s="136"/>
      <c r="C34" s="137"/>
      <c r="D34" s="137"/>
      <c r="E34" s="137"/>
      <c r="F34" s="137"/>
      <c r="G34" s="138"/>
    </row>
    <row r="35" spans="2:7" ht="110.25" customHeight="1">
      <c r="B35" s="133" t="s">
        <v>165</v>
      </c>
      <c r="C35" s="134"/>
      <c r="D35" s="134"/>
      <c r="E35" s="134"/>
      <c r="F35" s="134"/>
      <c r="G35" s="135"/>
    </row>
    <row r="36" spans="2:7" ht="15" customHeight="1">
      <c r="B36" s="95"/>
      <c r="C36" s="96"/>
      <c r="D36" s="96"/>
      <c r="E36" s="96"/>
      <c r="F36" s="96"/>
      <c r="G36" s="97"/>
    </row>
    <row r="37" spans="2:7">
      <c r="B37" s="144" t="s">
        <v>168</v>
      </c>
      <c r="C37" s="145"/>
      <c r="D37" s="145"/>
      <c r="E37" s="145"/>
      <c r="F37" s="27"/>
      <c r="G37" s="92"/>
    </row>
    <row r="38" spans="2:7">
      <c r="B38" s="91" t="s">
        <v>163</v>
      </c>
      <c r="C38" s="27"/>
      <c r="D38" s="27"/>
      <c r="E38" s="27"/>
      <c r="F38" s="27"/>
      <c r="G38" s="92"/>
    </row>
    <row r="39" spans="2:7">
      <c r="B39" s="91"/>
      <c r="C39" s="27"/>
      <c r="D39" s="27"/>
      <c r="E39" s="27"/>
      <c r="F39" s="27"/>
      <c r="G39" s="92"/>
    </row>
    <row r="40" spans="2:7" ht="15.75" thickBot="1">
      <c r="B40" s="125" t="s">
        <v>164</v>
      </c>
      <c r="C40" s="126"/>
      <c r="D40" s="126"/>
      <c r="E40" s="126"/>
      <c r="F40" s="93"/>
      <c r="G40" s="94"/>
    </row>
    <row r="41" spans="2:7"/>
    <row r="42" spans="2:7"/>
    <row r="43" spans="2:7" hidden="1"/>
    <row r="44" spans="2:7" hidden="1"/>
    <row r="45" spans="2:7" hidden="1"/>
    <row r="46" spans="2:7" hidden="1"/>
    <row r="47" spans="2:7" hidden="1"/>
  </sheetData>
  <sheetProtection selectLockedCells="1"/>
  <mergeCells count="46">
    <mergeCell ref="B34:G34"/>
    <mergeCell ref="B8:G8"/>
    <mergeCell ref="B9:G9"/>
    <mergeCell ref="B37:E37"/>
    <mergeCell ref="B30:C30"/>
    <mergeCell ref="D30:G30"/>
    <mergeCell ref="B31:C31"/>
    <mergeCell ref="D31:G31"/>
    <mergeCell ref="B26:C26"/>
    <mergeCell ref="D26:G26"/>
    <mergeCell ref="B27:C27"/>
    <mergeCell ref="D27:G27"/>
    <mergeCell ref="B29:C29"/>
    <mergeCell ref="D29:G29"/>
    <mergeCell ref="B28:G28"/>
    <mergeCell ref="B22:C22"/>
    <mergeCell ref="B40:E40"/>
    <mergeCell ref="B20:G20"/>
    <mergeCell ref="B15:C15"/>
    <mergeCell ref="D15:G15"/>
    <mergeCell ref="B16:C16"/>
    <mergeCell ref="D16:G16"/>
    <mergeCell ref="D22:G22"/>
    <mergeCell ref="B23:C23"/>
    <mergeCell ref="D23:G23"/>
    <mergeCell ref="B25:C25"/>
    <mergeCell ref="D25:G25"/>
    <mergeCell ref="B24:G24"/>
    <mergeCell ref="B33:G33"/>
    <mergeCell ref="B35:G35"/>
    <mergeCell ref="B21:C21"/>
    <mergeCell ref="D21:G21"/>
    <mergeCell ref="C2:G6"/>
    <mergeCell ref="B2:B6"/>
    <mergeCell ref="B11:G11"/>
    <mergeCell ref="B18:G18"/>
    <mergeCell ref="B19:G19"/>
    <mergeCell ref="B12:C12"/>
    <mergeCell ref="D12:G12"/>
    <mergeCell ref="B13:C13"/>
    <mergeCell ref="D13:G13"/>
    <mergeCell ref="B14:C14"/>
    <mergeCell ref="D14:G14"/>
    <mergeCell ref="B17:C17"/>
    <mergeCell ref="D17:G17"/>
    <mergeCell ref="B7:G7"/>
  </mergeCells>
  <conditionalFormatting sqref="G2:G6">
    <cfRule type="colorScale" priority="1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J79"/>
  <sheetViews>
    <sheetView showGridLines="0" workbookViewId="0">
      <selection activeCell="F18" sqref="F18"/>
    </sheetView>
  </sheetViews>
  <sheetFormatPr defaultColWidth="0" defaultRowHeight="13.5" zeroHeight="1"/>
  <cols>
    <col min="1" max="1" width="10" style="1" customWidth="1"/>
    <col min="2" max="2" width="5.125" style="1" bestFit="1" customWidth="1"/>
    <col min="3" max="3" width="10.5" style="1" bestFit="1" customWidth="1"/>
    <col min="4" max="4" width="30.875" style="1" customWidth="1"/>
    <col min="5" max="5" width="59" style="1" customWidth="1"/>
    <col min="6" max="7" width="10" style="1" customWidth="1"/>
    <col min="8" max="8" width="15.875" style="1" bestFit="1" customWidth="1"/>
    <col min="9" max="9" width="82.375" style="1" customWidth="1"/>
    <col min="10" max="10" width="10" style="1" customWidth="1"/>
    <col min="11" max="16384" width="10" style="1" hidden="1"/>
  </cols>
  <sheetData>
    <row r="1" spans="2:7"/>
    <row r="2" spans="2:7">
      <c r="B2" s="170"/>
      <c r="C2" s="169" t="s">
        <v>166</v>
      </c>
      <c r="D2" s="169"/>
      <c r="E2" s="169"/>
      <c r="F2" s="169"/>
      <c r="G2" s="169"/>
    </row>
    <row r="3" spans="2:7">
      <c r="B3" s="170"/>
      <c r="C3" s="169"/>
      <c r="D3" s="169"/>
      <c r="E3" s="169"/>
      <c r="F3" s="169"/>
      <c r="G3" s="169"/>
    </row>
    <row r="4" spans="2:7">
      <c r="B4" s="170"/>
      <c r="C4" s="169"/>
      <c r="D4" s="169"/>
      <c r="E4" s="169"/>
      <c r="F4" s="169"/>
      <c r="G4" s="169"/>
    </row>
    <row r="5" spans="2:7">
      <c r="B5" s="170"/>
      <c r="C5" s="169"/>
      <c r="D5" s="169"/>
      <c r="E5" s="169"/>
      <c r="F5" s="169"/>
      <c r="G5" s="169"/>
    </row>
    <row r="6" spans="2:7">
      <c r="B6" s="170"/>
      <c r="C6" s="169"/>
      <c r="D6" s="169"/>
      <c r="E6" s="169"/>
      <c r="F6" s="169"/>
      <c r="G6" s="169"/>
    </row>
    <row r="7" spans="2:7" ht="14.25" thickBot="1"/>
    <row r="8" spans="2:7" s="7" customFormat="1" ht="15">
      <c r="B8" s="164" t="s">
        <v>59</v>
      </c>
      <c r="C8" s="165"/>
      <c r="D8" s="165"/>
      <c r="E8" s="165"/>
      <c r="F8" s="165"/>
      <c r="G8" s="166"/>
    </row>
    <row r="9" spans="2:7" s="7" customFormat="1" ht="15">
      <c r="B9" s="8" t="s">
        <v>67</v>
      </c>
      <c r="C9" s="9" t="s">
        <v>29</v>
      </c>
      <c r="D9" s="167" t="s">
        <v>60</v>
      </c>
      <c r="E9" s="167"/>
      <c r="F9" s="167"/>
      <c r="G9" s="168"/>
    </row>
    <row r="10" spans="2:7" s="7" customFormat="1" ht="15">
      <c r="B10" s="10">
        <v>0</v>
      </c>
      <c r="C10" s="11" t="s">
        <v>68</v>
      </c>
      <c r="D10" s="150" t="s">
        <v>61</v>
      </c>
      <c r="E10" s="151"/>
      <c r="F10" s="151"/>
      <c r="G10" s="171"/>
    </row>
    <row r="11" spans="2:7" s="7" customFormat="1" ht="38.25" customHeight="1">
      <c r="B11" s="10">
        <v>1</v>
      </c>
      <c r="C11" s="12" t="s">
        <v>69</v>
      </c>
      <c r="D11" s="159" t="s">
        <v>62</v>
      </c>
      <c r="E11" s="159"/>
      <c r="F11" s="159"/>
      <c r="G11" s="160"/>
    </row>
    <row r="12" spans="2:7" s="7" customFormat="1" ht="50.25" customHeight="1">
      <c r="B12" s="10">
        <v>2</v>
      </c>
      <c r="C12" s="11" t="s">
        <v>70</v>
      </c>
      <c r="D12" s="156" t="s">
        <v>63</v>
      </c>
      <c r="E12" s="156"/>
      <c r="F12" s="156"/>
      <c r="G12" s="161"/>
    </row>
    <row r="13" spans="2:7" s="7" customFormat="1" ht="45.75" customHeight="1">
      <c r="B13" s="10">
        <v>3</v>
      </c>
      <c r="C13" s="12" t="s">
        <v>71</v>
      </c>
      <c r="D13" s="159" t="s">
        <v>64</v>
      </c>
      <c r="E13" s="159"/>
      <c r="F13" s="159"/>
      <c r="G13" s="160"/>
    </row>
    <row r="14" spans="2:7" s="7" customFormat="1" ht="42" customHeight="1">
      <c r="B14" s="10">
        <v>4</v>
      </c>
      <c r="C14" s="11" t="s">
        <v>72</v>
      </c>
      <c r="D14" s="156" t="s">
        <v>65</v>
      </c>
      <c r="E14" s="156"/>
      <c r="F14" s="156"/>
      <c r="G14" s="161"/>
    </row>
    <row r="15" spans="2:7" s="7" customFormat="1" ht="58.5" customHeight="1" thickBot="1">
      <c r="B15" s="13">
        <v>5</v>
      </c>
      <c r="C15" s="14" t="s">
        <v>73</v>
      </c>
      <c r="D15" s="162" t="s">
        <v>66</v>
      </c>
      <c r="E15" s="162"/>
      <c r="F15" s="162"/>
      <c r="G15" s="163"/>
    </row>
    <row r="16" spans="2:7" s="7" customFormat="1" ht="15">
      <c r="B16" s="15"/>
      <c r="C16" s="15"/>
      <c r="D16" s="15"/>
      <c r="E16" s="15"/>
      <c r="F16" s="15"/>
      <c r="G16" s="15"/>
    </row>
    <row r="17" spans="2:9" ht="15" customHeight="1">
      <c r="B17" s="86">
        <v>1</v>
      </c>
      <c r="C17" s="87"/>
      <c r="D17" s="157" t="s">
        <v>93</v>
      </c>
      <c r="E17" s="158"/>
      <c r="F17" s="85" t="s">
        <v>28</v>
      </c>
      <c r="G17" s="85" t="s">
        <v>29</v>
      </c>
      <c r="H17" s="85" t="s">
        <v>170</v>
      </c>
      <c r="I17" s="85" t="s">
        <v>169</v>
      </c>
    </row>
    <row r="18" spans="2:9" ht="15">
      <c r="B18" s="81" t="s">
        <v>0</v>
      </c>
      <c r="C18" s="156" t="s">
        <v>96</v>
      </c>
      <c r="D18" s="156"/>
      <c r="E18" s="156"/>
      <c r="F18" s="16" t="s">
        <v>75</v>
      </c>
      <c r="G18" s="16">
        <v>0</v>
      </c>
      <c r="H18" s="16" t="s">
        <v>75</v>
      </c>
      <c r="I18" s="16"/>
    </row>
    <row r="19" spans="2:9" ht="27.75" customHeight="1">
      <c r="B19" s="82" t="s">
        <v>124</v>
      </c>
      <c r="C19" s="172" t="s">
        <v>94</v>
      </c>
      <c r="D19" s="172"/>
      <c r="E19" s="172"/>
      <c r="F19" s="17" t="s">
        <v>75</v>
      </c>
      <c r="G19" s="16">
        <v>0</v>
      </c>
      <c r="H19" s="17" t="s">
        <v>75</v>
      </c>
      <c r="I19" s="17"/>
    </row>
    <row r="20" spans="2:9" ht="15">
      <c r="B20" s="81" t="s">
        <v>125</v>
      </c>
      <c r="C20" s="156" t="s">
        <v>95</v>
      </c>
      <c r="D20" s="156"/>
      <c r="E20" s="156"/>
      <c r="F20" s="16" t="s">
        <v>75</v>
      </c>
      <c r="G20" s="16">
        <v>0</v>
      </c>
      <c r="H20" s="16" t="s">
        <v>75</v>
      </c>
      <c r="I20" s="16"/>
    </row>
    <row r="21" spans="2:9" ht="15">
      <c r="B21" s="82" t="s">
        <v>126</v>
      </c>
      <c r="C21" s="172" t="s">
        <v>97</v>
      </c>
      <c r="D21" s="172"/>
      <c r="E21" s="172"/>
      <c r="F21" s="17" t="s">
        <v>75</v>
      </c>
      <c r="G21" s="16">
        <v>0</v>
      </c>
      <c r="H21" s="17" t="s">
        <v>75</v>
      </c>
      <c r="I21" s="17"/>
    </row>
    <row r="22" spans="2:9" s="80" customFormat="1" ht="30" customHeight="1">
      <c r="B22" s="81" t="s">
        <v>127</v>
      </c>
      <c r="C22" s="156" t="s">
        <v>98</v>
      </c>
      <c r="D22" s="156"/>
      <c r="E22" s="156"/>
      <c r="F22" s="16" t="s">
        <v>75</v>
      </c>
      <c r="G22" s="16">
        <v>0</v>
      </c>
      <c r="H22" s="16" t="s">
        <v>75</v>
      </c>
      <c r="I22" s="16"/>
    </row>
    <row r="23" spans="2:9" s="80" customFormat="1" ht="15">
      <c r="B23" s="82" t="s">
        <v>128</v>
      </c>
      <c r="C23" s="172" t="s">
        <v>99</v>
      </c>
      <c r="D23" s="172"/>
      <c r="E23" s="172"/>
      <c r="F23" s="17" t="s">
        <v>75</v>
      </c>
      <c r="G23" s="16">
        <v>0</v>
      </c>
      <c r="H23" s="17" t="s">
        <v>75</v>
      </c>
      <c r="I23" s="17"/>
    </row>
    <row r="24" spans="2:9" s="80" customFormat="1" ht="15">
      <c r="B24" s="81" t="s">
        <v>129</v>
      </c>
      <c r="C24" s="156" t="s">
        <v>100</v>
      </c>
      <c r="D24" s="156"/>
      <c r="E24" s="156"/>
      <c r="F24" s="16" t="s">
        <v>75</v>
      </c>
      <c r="G24" s="16">
        <v>0</v>
      </c>
      <c r="H24" s="16" t="s">
        <v>75</v>
      </c>
      <c r="I24" s="16"/>
    </row>
    <row r="25" spans="2:9" s="80" customFormat="1" ht="15">
      <c r="B25" s="82" t="s">
        <v>130</v>
      </c>
      <c r="C25" s="172" t="s">
        <v>101</v>
      </c>
      <c r="D25" s="172"/>
      <c r="E25" s="172"/>
      <c r="F25" s="17" t="s">
        <v>75</v>
      </c>
      <c r="G25" s="16">
        <v>0</v>
      </c>
      <c r="H25" s="17" t="s">
        <v>75</v>
      </c>
      <c r="I25" s="17"/>
    </row>
    <row r="26" spans="2:9" s="80" customFormat="1" ht="15">
      <c r="B26" s="81" t="s">
        <v>131</v>
      </c>
      <c r="C26" s="156" t="s">
        <v>102</v>
      </c>
      <c r="D26" s="156"/>
      <c r="E26" s="156"/>
      <c r="F26" s="16" t="s">
        <v>75</v>
      </c>
      <c r="G26" s="16">
        <v>0</v>
      </c>
      <c r="H26" s="16" t="s">
        <v>75</v>
      </c>
      <c r="I26" s="16"/>
    </row>
    <row r="27" spans="2:9" ht="15">
      <c r="B27" s="86">
        <v>2</v>
      </c>
      <c r="C27" s="87"/>
      <c r="D27" s="157" t="s">
        <v>21</v>
      </c>
      <c r="E27" s="158"/>
      <c r="F27" s="85" t="s">
        <v>28</v>
      </c>
      <c r="G27" s="85" t="s">
        <v>29</v>
      </c>
      <c r="H27" s="85" t="s">
        <v>170</v>
      </c>
      <c r="I27" s="85" t="s">
        <v>169</v>
      </c>
    </row>
    <row r="28" spans="2:9" ht="15">
      <c r="B28" s="81" t="s">
        <v>2</v>
      </c>
      <c r="C28" s="150" t="s">
        <v>103</v>
      </c>
      <c r="D28" s="151"/>
      <c r="E28" s="152"/>
      <c r="F28" s="16" t="s">
        <v>75</v>
      </c>
      <c r="G28" s="16">
        <v>0</v>
      </c>
      <c r="H28" s="16" t="s">
        <v>75</v>
      </c>
      <c r="I28" s="16"/>
    </row>
    <row r="29" spans="2:9" ht="15">
      <c r="B29" s="82" t="s">
        <v>4</v>
      </c>
      <c r="C29" s="153" t="s">
        <v>104</v>
      </c>
      <c r="D29" s="154"/>
      <c r="E29" s="155"/>
      <c r="F29" s="17" t="s">
        <v>75</v>
      </c>
      <c r="G29" s="17">
        <v>0</v>
      </c>
      <c r="H29" s="17" t="s">
        <v>75</v>
      </c>
      <c r="I29" s="17"/>
    </row>
    <row r="30" spans="2:9" ht="15" customHeight="1">
      <c r="B30" s="99" t="s">
        <v>5</v>
      </c>
      <c r="C30" s="150" t="s">
        <v>105</v>
      </c>
      <c r="D30" s="151"/>
      <c r="E30" s="152"/>
      <c r="F30" s="16" t="s">
        <v>75</v>
      </c>
      <c r="G30" s="16">
        <v>0</v>
      </c>
      <c r="H30" s="16" t="s">
        <v>75</v>
      </c>
      <c r="I30" s="16"/>
    </row>
    <row r="31" spans="2:9" ht="15" customHeight="1">
      <c r="B31" s="98" t="s">
        <v>132</v>
      </c>
      <c r="C31" s="153" t="s">
        <v>106</v>
      </c>
      <c r="D31" s="154"/>
      <c r="E31" s="155"/>
      <c r="F31" s="17" t="s">
        <v>75</v>
      </c>
      <c r="G31" s="17">
        <v>0</v>
      </c>
      <c r="H31" s="17" t="s">
        <v>75</v>
      </c>
      <c r="I31" s="17"/>
    </row>
    <row r="32" spans="2:9" ht="15" customHeight="1">
      <c r="B32" s="99" t="s">
        <v>133</v>
      </c>
      <c r="C32" s="150" t="s">
        <v>107</v>
      </c>
      <c r="D32" s="151"/>
      <c r="E32" s="152"/>
      <c r="F32" s="16" t="s">
        <v>75</v>
      </c>
      <c r="G32" s="16">
        <v>0</v>
      </c>
      <c r="H32" s="16" t="s">
        <v>75</v>
      </c>
      <c r="I32" s="16"/>
    </row>
    <row r="33" spans="2:9" s="100" customFormat="1" ht="15" customHeight="1">
      <c r="B33" s="98" t="s">
        <v>184</v>
      </c>
      <c r="C33" s="153" t="s">
        <v>185</v>
      </c>
      <c r="D33" s="154"/>
      <c r="E33" s="155"/>
      <c r="F33" s="17" t="s">
        <v>75</v>
      </c>
      <c r="G33" s="17">
        <v>0</v>
      </c>
      <c r="H33" s="17" t="s">
        <v>75</v>
      </c>
      <c r="I33" s="17"/>
    </row>
    <row r="34" spans="2:9" ht="15">
      <c r="B34" s="86">
        <v>3</v>
      </c>
      <c r="C34" s="87"/>
      <c r="D34" s="157" t="s">
        <v>108</v>
      </c>
      <c r="E34" s="158"/>
      <c r="F34" s="85" t="s">
        <v>28</v>
      </c>
      <c r="G34" s="85" t="s">
        <v>29</v>
      </c>
      <c r="H34" s="85" t="s">
        <v>170</v>
      </c>
      <c r="I34" s="85" t="s">
        <v>169</v>
      </c>
    </row>
    <row r="35" spans="2:9" ht="15">
      <c r="B35" s="81" t="s">
        <v>1</v>
      </c>
      <c r="C35" s="150" t="s">
        <v>109</v>
      </c>
      <c r="D35" s="151"/>
      <c r="E35" s="152"/>
      <c r="F35" s="16" t="s">
        <v>75</v>
      </c>
      <c r="G35" s="16">
        <v>0</v>
      </c>
      <c r="H35" s="16" t="s">
        <v>75</v>
      </c>
      <c r="I35" s="16"/>
    </row>
    <row r="36" spans="2:9" ht="15">
      <c r="B36" s="82" t="s">
        <v>7</v>
      </c>
      <c r="C36" s="153" t="s">
        <v>110</v>
      </c>
      <c r="D36" s="154"/>
      <c r="E36" s="155"/>
      <c r="F36" s="17" t="s">
        <v>75</v>
      </c>
      <c r="G36" s="16">
        <v>0</v>
      </c>
      <c r="H36" s="17" t="s">
        <v>75</v>
      </c>
      <c r="I36" s="17"/>
    </row>
    <row r="37" spans="2:9" ht="15">
      <c r="B37" s="81" t="s">
        <v>134</v>
      </c>
      <c r="C37" s="150" t="s">
        <v>111</v>
      </c>
      <c r="D37" s="151"/>
      <c r="E37" s="152"/>
      <c r="F37" s="16" t="s">
        <v>75</v>
      </c>
      <c r="G37" s="17">
        <v>0</v>
      </c>
      <c r="H37" s="16" t="s">
        <v>75</v>
      </c>
      <c r="I37" s="16"/>
    </row>
    <row r="38" spans="2:9" ht="15">
      <c r="B38" s="82" t="s">
        <v>135</v>
      </c>
      <c r="C38" s="153" t="s">
        <v>112</v>
      </c>
      <c r="D38" s="154"/>
      <c r="E38" s="155"/>
      <c r="F38" s="17" t="s">
        <v>75</v>
      </c>
      <c r="G38" s="16">
        <v>0</v>
      </c>
      <c r="H38" s="17" t="s">
        <v>75</v>
      </c>
      <c r="I38" s="17"/>
    </row>
    <row r="39" spans="2:9" ht="15">
      <c r="B39" s="81" t="s">
        <v>136</v>
      </c>
      <c r="C39" s="150" t="s">
        <v>113</v>
      </c>
      <c r="D39" s="151"/>
      <c r="E39" s="152"/>
      <c r="F39" s="16" t="s">
        <v>75</v>
      </c>
      <c r="G39" s="16">
        <v>0</v>
      </c>
      <c r="H39" s="16" t="s">
        <v>75</v>
      </c>
      <c r="I39" s="16"/>
    </row>
    <row r="40" spans="2:9" ht="15" customHeight="1">
      <c r="B40" s="86">
        <v>4</v>
      </c>
      <c r="C40" s="87"/>
      <c r="D40" s="157" t="s">
        <v>114</v>
      </c>
      <c r="E40" s="158"/>
      <c r="F40" s="85" t="s">
        <v>28</v>
      </c>
      <c r="G40" s="85" t="s">
        <v>29</v>
      </c>
      <c r="H40" s="85" t="s">
        <v>170</v>
      </c>
      <c r="I40" s="85" t="s">
        <v>169</v>
      </c>
    </row>
    <row r="41" spans="2:9" ht="29.25" customHeight="1">
      <c r="B41" s="81" t="s">
        <v>3</v>
      </c>
      <c r="C41" s="150" t="s">
        <v>115</v>
      </c>
      <c r="D41" s="151"/>
      <c r="E41" s="152"/>
      <c r="F41" s="16" t="s">
        <v>75</v>
      </c>
      <c r="G41" s="16">
        <v>0</v>
      </c>
      <c r="H41" s="16" t="s">
        <v>75</v>
      </c>
      <c r="I41" s="16"/>
    </row>
    <row r="42" spans="2:9" ht="15">
      <c r="B42" s="86">
        <v>5</v>
      </c>
      <c r="C42" s="87"/>
      <c r="D42" s="157" t="s">
        <v>116</v>
      </c>
      <c r="E42" s="158"/>
      <c r="F42" s="85" t="s">
        <v>28</v>
      </c>
      <c r="G42" s="85" t="s">
        <v>29</v>
      </c>
      <c r="H42" s="85" t="s">
        <v>170</v>
      </c>
      <c r="I42" s="85" t="s">
        <v>169</v>
      </c>
    </row>
    <row r="43" spans="2:9" ht="15">
      <c r="B43" s="81" t="s">
        <v>6</v>
      </c>
      <c r="C43" s="150" t="s">
        <v>117</v>
      </c>
      <c r="D43" s="151"/>
      <c r="E43" s="152"/>
      <c r="F43" s="16" t="s">
        <v>75</v>
      </c>
      <c r="G43" s="16">
        <v>0</v>
      </c>
      <c r="H43" s="16" t="s">
        <v>75</v>
      </c>
      <c r="I43" s="16"/>
    </row>
    <row r="44" spans="2:9" ht="15">
      <c r="B44" s="82" t="s">
        <v>8</v>
      </c>
      <c r="C44" s="153" t="s">
        <v>118</v>
      </c>
      <c r="D44" s="154"/>
      <c r="E44" s="155"/>
      <c r="F44" s="17" t="s">
        <v>75</v>
      </c>
      <c r="G44" s="16">
        <v>0</v>
      </c>
      <c r="H44" s="17" t="s">
        <v>75</v>
      </c>
      <c r="I44" s="17"/>
    </row>
    <row r="45" spans="2:9" ht="15">
      <c r="B45" s="89" t="s">
        <v>14</v>
      </c>
      <c r="C45" s="173" t="s">
        <v>119</v>
      </c>
      <c r="D45" s="174"/>
      <c r="E45" s="175"/>
      <c r="F45" s="88" t="s">
        <v>75</v>
      </c>
      <c r="G45" s="17">
        <v>0</v>
      </c>
      <c r="H45" s="16" t="s">
        <v>75</v>
      </c>
      <c r="I45" s="16"/>
    </row>
    <row r="46" spans="2:9" ht="15">
      <c r="B46" s="86">
        <v>6</v>
      </c>
      <c r="C46" s="87"/>
      <c r="D46" s="157" t="s">
        <v>120</v>
      </c>
      <c r="E46" s="158"/>
      <c r="F46" s="85" t="s">
        <v>28</v>
      </c>
      <c r="G46" s="85" t="s">
        <v>29</v>
      </c>
      <c r="H46" s="85" t="s">
        <v>170</v>
      </c>
      <c r="I46" s="85" t="s">
        <v>169</v>
      </c>
    </row>
    <row r="47" spans="2:9" ht="15">
      <c r="B47" s="81" t="s">
        <v>9</v>
      </c>
      <c r="C47" s="150" t="s">
        <v>121</v>
      </c>
      <c r="D47" s="151"/>
      <c r="E47" s="152"/>
      <c r="F47" s="16" t="s">
        <v>75</v>
      </c>
      <c r="G47" s="16">
        <v>0</v>
      </c>
      <c r="H47" s="16" t="s">
        <v>75</v>
      </c>
      <c r="I47" s="16"/>
    </row>
    <row r="48" spans="2:9" ht="15">
      <c r="B48" s="82" t="s">
        <v>10</v>
      </c>
      <c r="C48" s="153" t="s">
        <v>122</v>
      </c>
      <c r="D48" s="154"/>
      <c r="E48" s="155"/>
      <c r="F48" s="17" t="s">
        <v>75</v>
      </c>
      <c r="G48" s="16">
        <v>0</v>
      </c>
      <c r="H48" s="17" t="s">
        <v>75</v>
      </c>
      <c r="I48" s="17"/>
    </row>
    <row r="49" spans="2:9" ht="15">
      <c r="B49" s="89" t="s">
        <v>11</v>
      </c>
      <c r="C49" s="173" t="s">
        <v>123</v>
      </c>
      <c r="D49" s="174"/>
      <c r="E49" s="175"/>
      <c r="F49" s="88" t="s">
        <v>75</v>
      </c>
      <c r="G49" s="17">
        <v>0</v>
      </c>
      <c r="H49" s="16" t="s">
        <v>75</v>
      </c>
      <c r="I49" s="16"/>
    </row>
    <row r="50" spans="2:9" ht="15">
      <c r="B50" s="86">
        <v>7</v>
      </c>
      <c r="C50" s="87"/>
      <c r="D50" s="157" t="s">
        <v>137</v>
      </c>
      <c r="E50" s="158"/>
      <c r="F50" s="85" t="s">
        <v>28</v>
      </c>
      <c r="G50" s="85" t="s">
        <v>29</v>
      </c>
      <c r="H50" s="85" t="s">
        <v>170</v>
      </c>
      <c r="I50" s="85" t="s">
        <v>169</v>
      </c>
    </row>
    <row r="51" spans="2:9" ht="15">
      <c r="B51" s="81" t="s">
        <v>12</v>
      </c>
      <c r="C51" s="150" t="s">
        <v>139</v>
      </c>
      <c r="D51" s="151"/>
      <c r="E51" s="152"/>
      <c r="F51" s="16" t="s">
        <v>75</v>
      </c>
      <c r="G51" s="16">
        <v>0</v>
      </c>
      <c r="H51" s="16" t="s">
        <v>75</v>
      </c>
      <c r="I51" s="16"/>
    </row>
    <row r="52" spans="2:9" ht="15">
      <c r="B52" s="82" t="s">
        <v>13</v>
      </c>
      <c r="C52" s="153" t="s">
        <v>140</v>
      </c>
      <c r="D52" s="154"/>
      <c r="E52" s="155"/>
      <c r="F52" s="17" t="s">
        <v>75</v>
      </c>
      <c r="G52" s="16">
        <v>0</v>
      </c>
      <c r="H52" s="17" t="s">
        <v>75</v>
      </c>
      <c r="I52" s="17"/>
    </row>
    <row r="53" spans="2:9" ht="15">
      <c r="B53" s="81" t="s">
        <v>15</v>
      </c>
      <c r="C53" s="150" t="s">
        <v>141</v>
      </c>
      <c r="D53" s="151"/>
      <c r="E53" s="152"/>
      <c r="F53" s="16" t="s">
        <v>75</v>
      </c>
      <c r="G53" s="17">
        <v>0</v>
      </c>
      <c r="H53" s="16" t="s">
        <v>75</v>
      </c>
      <c r="I53" s="16"/>
    </row>
    <row r="54" spans="2:9" ht="15">
      <c r="B54" s="82" t="s">
        <v>138</v>
      </c>
      <c r="C54" s="153" t="s">
        <v>142</v>
      </c>
      <c r="D54" s="154"/>
      <c r="E54" s="155"/>
      <c r="F54" s="17" t="s">
        <v>75</v>
      </c>
      <c r="G54" s="16">
        <v>0</v>
      </c>
      <c r="H54" s="17" t="s">
        <v>75</v>
      </c>
      <c r="I54" s="17"/>
    </row>
    <row r="55" spans="2:9" ht="15">
      <c r="B55" s="81" t="s">
        <v>23</v>
      </c>
      <c r="C55" s="150" t="s">
        <v>143</v>
      </c>
      <c r="D55" s="151"/>
      <c r="E55" s="152"/>
      <c r="F55" s="16" t="s">
        <v>75</v>
      </c>
      <c r="G55" s="16">
        <v>0</v>
      </c>
      <c r="H55" s="16" t="s">
        <v>75</v>
      </c>
      <c r="I55" s="16"/>
    </row>
    <row r="56" spans="2:9" ht="15">
      <c r="B56" s="82" t="s">
        <v>24</v>
      </c>
      <c r="C56" s="153" t="s">
        <v>144</v>
      </c>
      <c r="D56" s="154"/>
      <c r="E56" s="155"/>
      <c r="F56" s="17" t="s">
        <v>75</v>
      </c>
      <c r="G56" s="16">
        <v>0</v>
      </c>
      <c r="H56" s="17" t="s">
        <v>75</v>
      </c>
      <c r="I56" s="17"/>
    </row>
    <row r="57" spans="2:9" ht="15">
      <c r="B57" s="86">
        <v>8</v>
      </c>
      <c r="C57" s="87"/>
      <c r="D57" s="157" t="s">
        <v>145</v>
      </c>
      <c r="E57" s="158"/>
      <c r="F57" s="85" t="s">
        <v>28</v>
      </c>
      <c r="G57" s="85" t="s">
        <v>29</v>
      </c>
      <c r="H57" s="85" t="s">
        <v>170</v>
      </c>
      <c r="I57" s="85" t="s">
        <v>169</v>
      </c>
    </row>
    <row r="58" spans="2:9" ht="15">
      <c r="B58" s="83" t="s">
        <v>16</v>
      </c>
      <c r="C58" s="150" t="s">
        <v>150</v>
      </c>
      <c r="D58" s="151"/>
      <c r="E58" s="152"/>
      <c r="F58" s="16" t="s">
        <v>75</v>
      </c>
      <c r="G58" s="16">
        <v>0</v>
      </c>
      <c r="H58" s="16" t="s">
        <v>75</v>
      </c>
      <c r="I58" s="16"/>
    </row>
    <row r="59" spans="2:9" ht="15">
      <c r="B59" s="84" t="s">
        <v>17</v>
      </c>
      <c r="C59" s="153" t="s">
        <v>151</v>
      </c>
      <c r="D59" s="154"/>
      <c r="E59" s="155"/>
      <c r="F59" s="17" t="s">
        <v>75</v>
      </c>
      <c r="G59" s="16">
        <v>0</v>
      </c>
      <c r="H59" s="17" t="s">
        <v>75</v>
      </c>
      <c r="I59" s="17"/>
    </row>
    <row r="60" spans="2:9" ht="64.5" customHeight="1">
      <c r="B60" s="83" t="s">
        <v>18</v>
      </c>
      <c r="C60" s="150" t="s">
        <v>152</v>
      </c>
      <c r="D60" s="151"/>
      <c r="E60" s="152"/>
      <c r="F60" s="16" t="s">
        <v>75</v>
      </c>
      <c r="G60" s="16">
        <v>0</v>
      </c>
      <c r="H60" s="16" t="s">
        <v>75</v>
      </c>
      <c r="I60" s="16"/>
    </row>
    <row r="61" spans="2:9" ht="15">
      <c r="B61" s="84" t="s">
        <v>25</v>
      </c>
      <c r="C61" s="153" t="s">
        <v>153</v>
      </c>
      <c r="D61" s="154"/>
      <c r="E61" s="155"/>
      <c r="F61" s="17" t="s">
        <v>75</v>
      </c>
      <c r="G61" s="16">
        <v>0</v>
      </c>
      <c r="H61" s="17" t="s">
        <v>75</v>
      </c>
      <c r="I61" s="17"/>
    </row>
    <row r="62" spans="2:9" ht="29.25" customHeight="1">
      <c r="B62" s="83" t="s">
        <v>26</v>
      </c>
      <c r="C62" s="150" t="s">
        <v>154</v>
      </c>
      <c r="D62" s="151"/>
      <c r="E62" s="152"/>
      <c r="F62" s="16" t="s">
        <v>75</v>
      </c>
      <c r="G62" s="16">
        <v>0</v>
      </c>
      <c r="H62" s="16" t="s">
        <v>75</v>
      </c>
      <c r="I62" s="16"/>
    </row>
    <row r="63" spans="2:9" ht="15">
      <c r="B63" s="84" t="s">
        <v>19</v>
      </c>
      <c r="C63" s="153" t="s">
        <v>155</v>
      </c>
      <c r="D63" s="154"/>
      <c r="E63" s="155"/>
      <c r="F63" s="17" t="s">
        <v>75</v>
      </c>
      <c r="G63" s="17">
        <v>0</v>
      </c>
      <c r="H63" s="17" t="s">
        <v>75</v>
      </c>
      <c r="I63" s="17"/>
    </row>
    <row r="64" spans="2:9" ht="33.75" customHeight="1">
      <c r="B64" s="83" t="s">
        <v>20</v>
      </c>
      <c r="C64" s="150" t="s">
        <v>156</v>
      </c>
      <c r="D64" s="151"/>
      <c r="E64" s="152"/>
      <c r="F64" s="16" t="s">
        <v>75</v>
      </c>
      <c r="G64" s="16">
        <v>0</v>
      </c>
      <c r="H64" s="16" t="s">
        <v>75</v>
      </c>
      <c r="I64" s="16"/>
    </row>
    <row r="65" spans="2:9" ht="15">
      <c r="B65" s="84" t="s">
        <v>146</v>
      </c>
      <c r="C65" s="153" t="s">
        <v>157</v>
      </c>
      <c r="D65" s="154"/>
      <c r="E65" s="155"/>
      <c r="F65" s="17" t="s">
        <v>75</v>
      </c>
      <c r="G65" s="16">
        <v>0</v>
      </c>
      <c r="H65" s="17" t="s">
        <v>75</v>
      </c>
      <c r="I65" s="17"/>
    </row>
    <row r="66" spans="2:9" ht="15">
      <c r="B66" s="83" t="s">
        <v>147</v>
      </c>
      <c r="C66" s="150" t="s">
        <v>158</v>
      </c>
      <c r="D66" s="151"/>
      <c r="E66" s="152"/>
      <c r="F66" s="16" t="s">
        <v>75</v>
      </c>
      <c r="G66" s="17">
        <v>0</v>
      </c>
      <c r="H66" s="16" t="s">
        <v>75</v>
      </c>
      <c r="I66" s="16"/>
    </row>
    <row r="67" spans="2:9" ht="15">
      <c r="B67" s="84" t="s">
        <v>148</v>
      </c>
      <c r="C67" s="153" t="s">
        <v>159</v>
      </c>
      <c r="D67" s="154"/>
      <c r="E67" s="155"/>
      <c r="F67" s="17" t="s">
        <v>75</v>
      </c>
      <c r="G67" s="17">
        <v>0</v>
      </c>
      <c r="H67" s="17" t="s">
        <v>75</v>
      </c>
      <c r="I67" s="17"/>
    </row>
    <row r="68" spans="2:9" ht="15">
      <c r="B68" s="83" t="s">
        <v>149</v>
      </c>
      <c r="C68" s="150" t="s">
        <v>160</v>
      </c>
      <c r="D68" s="151"/>
      <c r="E68" s="152"/>
      <c r="F68" s="16" t="s">
        <v>75</v>
      </c>
      <c r="G68" s="17">
        <v>0</v>
      </c>
      <c r="H68" s="16" t="s">
        <v>75</v>
      </c>
      <c r="I68" s="16"/>
    </row>
    <row r="69" spans="2:9" ht="15">
      <c r="B69" s="86">
        <v>9</v>
      </c>
      <c r="C69" s="87"/>
      <c r="D69" s="157" t="s">
        <v>161</v>
      </c>
      <c r="E69" s="158"/>
      <c r="F69" s="85" t="s">
        <v>28</v>
      </c>
      <c r="G69" s="85" t="s">
        <v>29</v>
      </c>
      <c r="H69" s="85" t="s">
        <v>170</v>
      </c>
      <c r="I69" s="85" t="s">
        <v>169</v>
      </c>
    </row>
    <row r="70" spans="2:9" ht="15">
      <c r="B70" s="83" t="s">
        <v>22</v>
      </c>
      <c r="C70" s="156" t="s">
        <v>179</v>
      </c>
      <c r="D70" s="156"/>
      <c r="E70" s="156"/>
      <c r="F70" s="16" t="s">
        <v>75</v>
      </c>
      <c r="G70" s="16">
        <v>0</v>
      </c>
      <c r="H70" s="16" t="s">
        <v>75</v>
      </c>
      <c r="I70" s="16"/>
    </row>
    <row r="71" spans="2:9" s="100" customFormat="1" ht="15" customHeight="1">
      <c r="B71" s="84" t="s">
        <v>182</v>
      </c>
      <c r="C71" s="153" t="s">
        <v>183</v>
      </c>
      <c r="D71" s="154"/>
      <c r="E71" s="155"/>
      <c r="F71" s="17" t="s">
        <v>75</v>
      </c>
      <c r="G71" s="16">
        <v>0</v>
      </c>
      <c r="H71" s="17" t="s">
        <v>75</v>
      </c>
      <c r="I71" s="17"/>
    </row>
    <row r="72" spans="2:9" s="100" customFormat="1" ht="15">
      <c r="B72" s="83" t="s">
        <v>187</v>
      </c>
      <c r="C72" s="156" t="s">
        <v>188</v>
      </c>
      <c r="D72" s="156"/>
      <c r="E72" s="156"/>
      <c r="F72" s="16" t="s">
        <v>75</v>
      </c>
      <c r="G72" s="16">
        <v>0</v>
      </c>
      <c r="H72" s="16" t="s">
        <v>75</v>
      </c>
      <c r="I72" s="16"/>
    </row>
    <row r="73" spans="2:9" ht="15">
      <c r="B73" s="86">
        <v>10</v>
      </c>
      <c r="C73" s="87"/>
      <c r="D73" s="157" t="s">
        <v>173</v>
      </c>
      <c r="E73" s="158"/>
      <c r="F73" s="85" t="s">
        <v>28</v>
      </c>
      <c r="G73" s="85" t="s">
        <v>29</v>
      </c>
      <c r="H73" s="85" t="s">
        <v>170</v>
      </c>
      <c r="I73" s="85" t="s">
        <v>169</v>
      </c>
    </row>
    <row r="74" spans="2:9" ht="15">
      <c r="B74" s="83" t="s">
        <v>171</v>
      </c>
      <c r="C74" s="150" t="s">
        <v>180</v>
      </c>
      <c r="D74" s="151"/>
      <c r="E74" s="152"/>
      <c r="F74" s="16" t="s">
        <v>75</v>
      </c>
      <c r="G74" s="16">
        <v>0</v>
      </c>
      <c r="H74" s="16" t="s">
        <v>75</v>
      </c>
      <c r="I74" s="16"/>
    </row>
    <row r="75" spans="2:9" ht="15">
      <c r="B75" s="84" t="s">
        <v>172</v>
      </c>
      <c r="C75" s="153" t="s">
        <v>181</v>
      </c>
      <c r="D75" s="154"/>
      <c r="E75" s="155"/>
      <c r="F75" s="17" t="s">
        <v>75</v>
      </c>
      <c r="G75" s="16">
        <v>0</v>
      </c>
      <c r="H75" s="17" t="s">
        <v>75</v>
      </c>
      <c r="I75" s="17"/>
    </row>
    <row r="76" spans="2:9" ht="15">
      <c r="B76" s="86">
        <v>11</v>
      </c>
      <c r="C76" s="87"/>
      <c r="D76" s="157" t="s">
        <v>176</v>
      </c>
      <c r="E76" s="158"/>
      <c r="F76" s="85" t="s">
        <v>28</v>
      </c>
      <c r="G76" s="85" t="s">
        <v>29</v>
      </c>
      <c r="H76" s="85" t="s">
        <v>170</v>
      </c>
      <c r="I76" s="85" t="s">
        <v>169</v>
      </c>
    </row>
    <row r="77" spans="2:9" ht="15">
      <c r="B77" s="83" t="s">
        <v>174</v>
      </c>
      <c r="C77" s="150" t="s">
        <v>178</v>
      </c>
      <c r="D77" s="151"/>
      <c r="E77" s="152"/>
      <c r="F77" s="16" t="s">
        <v>75</v>
      </c>
      <c r="G77" s="16">
        <v>0</v>
      </c>
      <c r="H77" s="16" t="s">
        <v>75</v>
      </c>
      <c r="I77" s="16"/>
    </row>
    <row r="78" spans="2:9" ht="15" customHeight="1">
      <c r="B78" s="84" t="s">
        <v>175</v>
      </c>
      <c r="C78" s="153" t="s">
        <v>177</v>
      </c>
      <c r="D78" s="154"/>
      <c r="E78" s="155"/>
      <c r="F78" s="17" t="s">
        <v>75</v>
      </c>
      <c r="G78" s="16">
        <v>0</v>
      </c>
      <c r="H78" s="17" t="s">
        <v>75</v>
      </c>
      <c r="I78" s="17"/>
    </row>
    <row r="79" spans="2:9"/>
  </sheetData>
  <sheetProtection sheet="1" objects="1" scenarios="1" selectLockedCells="1"/>
  <dataConsolidate/>
  <mergeCells count="72">
    <mergeCell ref="C78:E78"/>
    <mergeCell ref="C71:E71"/>
    <mergeCell ref="C33:E33"/>
    <mergeCell ref="C72:E72"/>
    <mergeCell ref="D73:E73"/>
    <mergeCell ref="C74:E74"/>
    <mergeCell ref="C75:E75"/>
    <mergeCell ref="D76:E76"/>
    <mergeCell ref="C77:E77"/>
    <mergeCell ref="C62:E62"/>
    <mergeCell ref="C63:E63"/>
    <mergeCell ref="C64:E64"/>
    <mergeCell ref="C65:E65"/>
    <mergeCell ref="C51:E51"/>
    <mergeCell ref="C52:E52"/>
    <mergeCell ref="C59:E59"/>
    <mergeCell ref="C60:E60"/>
    <mergeCell ref="D57:E57"/>
    <mergeCell ref="C58:E58"/>
    <mergeCell ref="C61:E61"/>
    <mergeCell ref="D50:E50"/>
    <mergeCell ref="C53:E53"/>
    <mergeCell ref="C54:E54"/>
    <mergeCell ref="C55:E55"/>
    <mergeCell ref="C56:E56"/>
    <mergeCell ref="C49:E49"/>
    <mergeCell ref="D46:E46"/>
    <mergeCell ref="C36:E36"/>
    <mergeCell ref="D34:E34"/>
    <mergeCell ref="C35:E35"/>
    <mergeCell ref="C37:E37"/>
    <mergeCell ref="C38:E38"/>
    <mergeCell ref="C39:E39"/>
    <mergeCell ref="D40:E40"/>
    <mergeCell ref="C41:E41"/>
    <mergeCell ref="D42:E42"/>
    <mergeCell ref="C43:E43"/>
    <mergeCell ref="C44:E44"/>
    <mergeCell ref="C45:E45"/>
    <mergeCell ref="C47:E47"/>
    <mergeCell ref="C48:E48"/>
    <mergeCell ref="C29:E29"/>
    <mergeCell ref="C30:E30"/>
    <mergeCell ref="C31:E31"/>
    <mergeCell ref="C32:E32"/>
    <mergeCell ref="D17:E17"/>
    <mergeCell ref="D27:E27"/>
    <mergeCell ref="C28:E28"/>
    <mergeCell ref="C19:E19"/>
    <mergeCell ref="C20:E20"/>
    <mergeCell ref="C21:E21"/>
    <mergeCell ref="C22:E22"/>
    <mergeCell ref="C23:E23"/>
    <mergeCell ref="C24:E24"/>
    <mergeCell ref="C25:E25"/>
    <mergeCell ref="C26:E26"/>
    <mergeCell ref="C18:E18"/>
    <mergeCell ref="C2:G6"/>
    <mergeCell ref="B2:B6"/>
    <mergeCell ref="D10:G10"/>
    <mergeCell ref="D11:G11"/>
    <mergeCell ref="D12:G12"/>
    <mergeCell ref="D13:G13"/>
    <mergeCell ref="D14:G14"/>
    <mergeCell ref="D15:G15"/>
    <mergeCell ref="B8:G8"/>
    <mergeCell ref="D9:G9"/>
    <mergeCell ref="C66:E66"/>
    <mergeCell ref="C67:E67"/>
    <mergeCell ref="C68:E68"/>
    <mergeCell ref="C70:E70"/>
    <mergeCell ref="D69:E69"/>
  </mergeCells>
  <conditionalFormatting sqref="B10:B15">
    <cfRule type="colorScale" priority="55">
      <colorScale>
        <cfvo type="num" val="0"/>
        <cfvo type="num" val="3"/>
        <cfvo type="num" val="5"/>
        <color rgb="FFF8696B"/>
        <color rgb="FFFFEB84"/>
        <color rgb="FF63BE7B"/>
      </colorScale>
    </cfRule>
  </conditionalFormatting>
  <conditionalFormatting sqref="G1:G1048576">
    <cfRule type="colorScale" priority="3">
      <colorScale>
        <cfvo type="num" val="0"/>
        <cfvo type="num" val="3"/>
        <cfvo type="num" val="5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H28:H33 F35:F39 F41 F43:F45 F47:F49 F51:F56 F18:F26 F58:F68 F70:F72 H18:H26 F28:F33 H35:H39 H41 H43:H45 H47:H49 H51:H56 H58:H68 H77:H78 F74:F75 H74:H75 F77:F78 H70:H72">
      <formula1>"Sim,Não"</formula1>
    </dataValidation>
    <dataValidation type="list" allowBlank="1" showInputMessage="1" showErrorMessage="1" sqref="G28:G33 G35:G39 G41 G43:G45 G47:G49 G51:G56 G58:G68 G77:G78 G18:G26 G74:G75 G70:G72">
      <formula1>"0,1,2,3,4,5"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H32"/>
  <sheetViews>
    <sheetView showGridLines="0" workbookViewId="0">
      <selection activeCell="E9" sqref="E9:G9"/>
    </sheetView>
  </sheetViews>
  <sheetFormatPr defaultColWidth="0" defaultRowHeight="12.75" zeroHeight="1"/>
  <cols>
    <col min="1" max="1" width="9" customWidth="1"/>
    <col min="2" max="2" width="10.625" customWidth="1"/>
    <col min="3" max="4" width="9" customWidth="1"/>
    <col min="5" max="7" width="25.875" customWidth="1"/>
    <col min="8" max="8" width="9" customWidth="1"/>
    <col min="9" max="16384" width="9" hidden="1"/>
  </cols>
  <sheetData>
    <row r="1" spans="2:7"/>
    <row r="2" spans="2:7">
      <c r="B2" s="177"/>
      <c r="C2" s="103" t="s">
        <v>57</v>
      </c>
      <c r="D2" s="103"/>
      <c r="E2" s="103"/>
      <c r="F2" s="103"/>
      <c r="G2" s="103"/>
    </row>
    <row r="3" spans="2:7">
      <c r="B3" s="177"/>
      <c r="C3" s="103"/>
      <c r="D3" s="103"/>
      <c r="E3" s="103"/>
      <c r="F3" s="103"/>
      <c r="G3" s="103"/>
    </row>
    <row r="4" spans="2:7">
      <c r="B4" s="177"/>
      <c r="C4" s="103"/>
      <c r="D4" s="103"/>
      <c r="E4" s="103"/>
      <c r="F4" s="103"/>
      <c r="G4" s="103"/>
    </row>
    <row r="5" spans="2:7">
      <c r="B5" s="177"/>
      <c r="C5" s="103"/>
      <c r="D5" s="103"/>
      <c r="E5" s="103"/>
      <c r="F5" s="103"/>
      <c r="G5" s="103"/>
    </row>
    <row r="6" spans="2:7">
      <c r="B6" s="177"/>
      <c r="C6" s="103"/>
      <c r="D6" s="103"/>
      <c r="E6" s="103"/>
      <c r="F6" s="103"/>
      <c r="G6" s="103"/>
    </row>
    <row r="7" spans="2:7" ht="13.5" thickBot="1"/>
    <row r="8" spans="2:7" ht="15">
      <c r="B8" s="178" t="s">
        <v>27</v>
      </c>
      <c r="C8" s="179"/>
      <c r="D8" s="179"/>
      <c r="E8" s="181" t="s">
        <v>58</v>
      </c>
      <c r="F8" s="181"/>
      <c r="G8" s="182"/>
    </row>
    <row r="9" spans="2:7" ht="15">
      <c r="B9" s="176" t="s">
        <v>46</v>
      </c>
      <c r="C9" s="156"/>
      <c r="D9" s="156"/>
      <c r="E9" s="183" t="s">
        <v>76</v>
      </c>
      <c r="F9" s="183"/>
      <c r="G9" s="184"/>
    </row>
    <row r="10" spans="2:7" ht="15">
      <c r="B10" s="180" t="s">
        <v>47</v>
      </c>
      <c r="C10" s="172"/>
      <c r="D10" s="172"/>
      <c r="E10" s="185" t="s">
        <v>74</v>
      </c>
      <c r="F10" s="185"/>
      <c r="G10" s="186"/>
    </row>
    <row r="11" spans="2:7" ht="57" customHeight="1">
      <c r="B11" s="176" t="s">
        <v>48</v>
      </c>
      <c r="C11" s="156"/>
      <c r="D11" s="156"/>
      <c r="E11" s="183"/>
      <c r="F11" s="183"/>
      <c r="G11" s="184"/>
    </row>
    <row r="12" spans="2:7" ht="15">
      <c r="B12" s="180" t="s">
        <v>49</v>
      </c>
      <c r="C12" s="172"/>
      <c r="D12" s="172"/>
      <c r="E12" s="185" t="s">
        <v>74</v>
      </c>
      <c r="F12" s="185"/>
      <c r="G12" s="186"/>
    </row>
    <row r="13" spans="2:7" ht="15">
      <c r="B13" s="176" t="s">
        <v>50</v>
      </c>
      <c r="C13" s="156"/>
      <c r="D13" s="156"/>
      <c r="E13" s="183"/>
      <c r="F13" s="183"/>
      <c r="G13" s="184"/>
    </row>
    <row r="14" spans="2:7" ht="15">
      <c r="B14" s="180" t="s">
        <v>51</v>
      </c>
      <c r="C14" s="172"/>
      <c r="D14" s="172"/>
      <c r="E14" s="185" t="s">
        <v>74</v>
      </c>
      <c r="F14" s="185"/>
      <c r="G14" s="186"/>
    </row>
    <row r="15" spans="2:7" ht="15">
      <c r="B15" s="176" t="s">
        <v>52</v>
      </c>
      <c r="C15" s="156"/>
      <c r="D15" s="156"/>
      <c r="E15" s="183" t="s">
        <v>86</v>
      </c>
      <c r="F15" s="183"/>
      <c r="G15" s="184"/>
    </row>
    <row r="16" spans="2:7" ht="15">
      <c r="B16" s="180" t="s">
        <v>53</v>
      </c>
      <c r="C16" s="172"/>
      <c r="D16" s="172"/>
      <c r="E16" s="185" t="s">
        <v>74</v>
      </c>
      <c r="F16" s="185"/>
      <c r="G16" s="186"/>
    </row>
    <row r="17" spans="2:7" ht="15">
      <c r="B17" s="176" t="s">
        <v>54</v>
      </c>
      <c r="C17" s="156"/>
      <c r="D17" s="156"/>
      <c r="E17" s="183" t="s">
        <v>74</v>
      </c>
      <c r="F17" s="183"/>
      <c r="G17" s="184"/>
    </row>
    <row r="18" spans="2:7" ht="57" customHeight="1">
      <c r="B18" s="180" t="s">
        <v>55</v>
      </c>
      <c r="C18" s="172"/>
      <c r="D18" s="172"/>
      <c r="E18" s="185"/>
      <c r="F18" s="185"/>
      <c r="G18" s="186"/>
    </row>
    <row r="19" spans="2:7" ht="15.75" thickBot="1">
      <c r="B19" s="189" t="s">
        <v>56</v>
      </c>
      <c r="C19" s="190"/>
      <c r="D19" s="190"/>
      <c r="E19" s="187" t="s">
        <v>74</v>
      </c>
      <c r="F19" s="187"/>
      <c r="G19" s="188"/>
    </row>
    <row r="20" spans="2:7"/>
    <row r="21" spans="2:7"/>
    <row r="22" spans="2:7" hidden="1"/>
    <row r="23" spans="2:7" hidden="1"/>
    <row r="24" spans="2:7" hidden="1"/>
    <row r="25" spans="2:7" hidden="1"/>
    <row r="26" spans="2:7" hidden="1"/>
    <row r="27" spans="2:7" hidden="1"/>
    <row r="28" spans="2:7" hidden="1"/>
    <row r="29" spans="2:7" hidden="1"/>
    <row r="30" spans="2:7" hidden="1"/>
    <row r="31" spans="2:7" hidden="1"/>
    <row r="32" spans="2:7" hidden="1"/>
  </sheetData>
  <sheetProtection sheet="1" objects="1" scenarios="1" selectLockedCells="1"/>
  <mergeCells count="26">
    <mergeCell ref="E16:G16"/>
    <mergeCell ref="E17:G17"/>
    <mergeCell ref="E18:G18"/>
    <mergeCell ref="E19:G19"/>
    <mergeCell ref="B18:D18"/>
    <mergeCell ref="B19:D19"/>
    <mergeCell ref="B16:D16"/>
    <mergeCell ref="B17:D17"/>
    <mergeCell ref="E13:G13"/>
    <mergeCell ref="E14:G14"/>
    <mergeCell ref="E15:G15"/>
    <mergeCell ref="B12:D12"/>
    <mergeCell ref="B13:D13"/>
    <mergeCell ref="B14:D14"/>
    <mergeCell ref="B15:D15"/>
    <mergeCell ref="E12:G12"/>
    <mergeCell ref="B11:D11"/>
    <mergeCell ref="C2:G6"/>
    <mergeCell ref="B2:B6"/>
    <mergeCell ref="B8:D8"/>
    <mergeCell ref="B9:D9"/>
    <mergeCell ref="B10:D10"/>
    <mergeCell ref="E8:G8"/>
    <mergeCell ref="E9:G9"/>
    <mergeCell ref="E10:G10"/>
    <mergeCell ref="E11:G11"/>
  </mergeCells>
  <conditionalFormatting sqref="G2:G6">
    <cfRule type="colorScale" priority="5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conditionalFormatting sqref="E9:G9">
    <cfRule type="cellIs" dxfId="3" priority="1" operator="equal">
      <formula>"Muito Alto"</formula>
    </cfRule>
    <cfRule type="cellIs" dxfId="2" priority="2" operator="equal">
      <formula>"Alto"</formula>
    </cfRule>
    <cfRule type="cellIs" dxfId="1" priority="3" operator="equal">
      <formula>"Médio"</formula>
    </cfRule>
    <cfRule type="cellIs" dxfId="0" priority="4" operator="equal">
      <formula>"Baixo"</formula>
    </cfRule>
  </conditionalFormatting>
  <dataValidations count="3">
    <dataValidation type="list" allowBlank="1" showInputMessage="1" showErrorMessage="1" sqref="E9">
      <formula1>"Baixo,Médio,Alto,Muito Alto"</formula1>
    </dataValidation>
    <dataValidation type="list" allowBlank="1" showInputMessage="1" showErrorMessage="1" sqref="E10 E12 E14 E16 E17:G17 E19:G19">
      <formula1>"Sim,Não"</formula1>
    </dataValidation>
    <dataValidation type="list" allowBlank="1" showInputMessage="1" showErrorMessage="1" sqref="E15:G15">
      <formula1>"Real,Dólar"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S22"/>
  <sheetViews>
    <sheetView showGridLines="0" workbookViewId="0"/>
  </sheetViews>
  <sheetFormatPr defaultColWidth="0" defaultRowHeight="15" zeroHeight="1"/>
  <cols>
    <col min="1" max="1" width="6.625" style="2" customWidth="1"/>
    <col min="2" max="2" width="5.875" style="2" bestFit="1" customWidth="1"/>
    <col min="3" max="3" width="2.625" style="2" bestFit="1" customWidth="1"/>
    <col min="4" max="4" width="2.375" style="2" bestFit="1" customWidth="1"/>
    <col min="5" max="5" width="2.75" style="2" bestFit="1" customWidth="1"/>
    <col min="6" max="16" width="3.625" style="2" customWidth="1"/>
    <col min="17" max="17" width="3.625" style="28" customWidth="1"/>
    <col min="18" max="18" width="2.375" style="28" bestFit="1" customWidth="1"/>
    <col min="19" max="19" width="7.125" style="28" customWidth="1"/>
    <col min="20" max="16384" width="7.125" style="2" hidden="1"/>
  </cols>
  <sheetData>
    <row r="1" spans="1:19" ht="15" customHeight="1"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</row>
    <row r="2" spans="1:19" ht="15" customHeight="1"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</row>
    <row r="3" spans="1:19" ht="15" customHeight="1">
      <c r="C3" s="79"/>
      <c r="D3" s="79"/>
      <c r="E3" s="90" t="s">
        <v>92</v>
      </c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</row>
    <row r="4" spans="1:19" ht="15.75" customHeight="1" thickBot="1"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</row>
    <row r="5" spans="1:19" ht="20.100000000000001" customHeight="1">
      <c r="A5" s="27"/>
      <c r="B5" s="67"/>
      <c r="C5" s="101"/>
      <c r="D5" s="68"/>
      <c r="E5" s="69"/>
      <c r="F5" s="69"/>
      <c r="G5" s="69"/>
      <c r="H5" s="69"/>
      <c r="I5" s="69"/>
      <c r="J5" s="69"/>
      <c r="K5" s="70"/>
      <c r="L5" s="70"/>
      <c r="M5" s="70"/>
      <c r="N5" s="70"/>
      <c r="O5" s="70"/>
      <c r="P5" s="70"/>
      <c r="Q5" s="71"/>
    </row>
    <row r="6" spans="1:19" ht="20.100000000000001" customHeight="1">
      <c r="A6" s="27"/>
      <c r="B6" s="191" t="s">
        <v>167</v>
      </c>
      <c r="C6" s="77">
        <v>1</v>
      </c>
      <c r="D6" s="192" t="s">
        <v>78</v>
      </c>
      <c r="E6" s="29"/>
      <c r="F6" s="30"/>
      <c r="G6" s="31"/>
      <c r="H6" s="32"/>
      <c r="I6" s="33"/>
      <c r="J6" s="34"/>
      <c r="K6" s="32"/>
      <c r="L6" s="33"/>
      <c r="M6" s="34"/>
      <c r="N6" s="32"/>
      <c r="O6" s="33"/>
      <c r="P6" s="34"/>
      <c r="Q6" s="72"/>
    </row>
    <row r="7" spans="1:19" ht="20.100000000000001" customHeight="1">
      <c r="A7" s="27"/>
      <c r="B7" s="191"/>
      <c r="C7" s="77">
        <v>2</v>
      </c>
      <c r="D7" s="193"/>
      <c r="E7" s="35"/>
      <c r="F7" s="36"/>
      <c r="G7" s="37"/>
      <c r="H7" s="38"/>
      <c r="I7" s="39"/>
      <c r="J7" s="40"/>
      <c r="K7" s="38"/>
      <c r="L7" s="39"/>
      <c r="M7" s="40"/>
      <c r="N7" s="38"/>
      <c r="O7" s="39"/>
      <c r="P7" s="40"/>
      <c r="Q7" s="72"/>
    </row>
    <row r="8" spans="1:19" ht="20.100000000000001" customHeight="1">
      <c r="A8" s="27"/>
      <c r="B8" s="191"/>
      <c r="C8" s="77">
        <v>3</v>
      </c>
      <c r="D8" s="194"/>
      <c r="E8" s="41"/>
      <c r="F8" s="42"/>
      <c r="G8" s="43"/>
      <c r="H8" s="44"/>
      <c r="I8" s="45"/>
      <c r="J8" s="46"/>
      <c r="K8" s="44"/>
      <c r="L8" s="45"/>
      <c r="M8" s="46"/>
      <c r="N8" s="44"/>
      <c r="O8" s="45"/>
      <c r="P8" s="46"/>
      <c r="Q8" s="72"/>
    </row>
    <row r="9" spans="1:19" ht="20.100000000000001" customHeight="1">
      <c r="A9" s="27"/>
      <c r="B9" s="191"/>
      <c r="C9" s="77">
        <v>4</v>
      </c>
      <c r="D9" s="192" t="s">
        <v>80</v>
      </c>
      <c r="E9" s="47"/>
      <c r="F9" s="48"/>
      <c r="G9" s="49"/>
      <c r="H9" s="29"/>
      <c r="I9" s="30"/>
      <c r="J9" s="31"/>
      <c r="K9" s="29"/>
      <c r="L9" s="30"/>
      <c r="M9" s="31"/>
      <c r="N9" s="32"/>
      <c r="O9" s="33"/>
      <c r="P9" s="34"/>
      <c r="Q9" s="72"/>
    </row>
    <row r="10" spans="1:19" ht="20.100000000000001" customHeight="1">
      <c r="A10" s="27"/>
      <c r="B10" s="191"/>
      <c r="C10" s="77">
        <v>5</v>
      </c>
      <c r="D10" s="193"/>
      <c r="E10" s="50"/>
      <c r="F10" s="51"/>
      <c r="G10" s="52"/>
      <c r="H10" s="35"/>
      <c r="I10" s="36"/>
      <c r="J10" s="37"/>
      <c r="K10" s="35"/>
      <c r="L10" s="36"/>
      <c r="M10" s="37"/>
      <c r="N10" s="38"/>
      <c r="O10" s="39"/>
      <c r="P10" s="40"/>
      <c r="Q10" s="72"/>
    </row>
    <row r="11" spans="1:19" ht="20.100000000000001" customHeight="1">
      <c r="A11" s="27"/>
      <c r="B11" s="191"/>
      <c r="C11" s="77">
        <v>6</v>
      </c>
      <c r="D11" s="194"/>
      <c r="E11" s="53"/>
      <c r="F11" s="54"/>
      <c r="G11" s="55"/>
      <c r="H11" s="41"/>
      <c r="I11" s="42"/>
      <c r="J11" s="43"/>
      <c r="K11" s="41"/>
      <c r="L11" s="42"/>
      <c r="M11" s="43"/>
      <c r="N11" s="44"/>
      <c r="O11" s="45"/>
      <c r="P11" s="46"/>
      <c r="Q11" s="72"/>
    </row>
    <row r="12" spans="1:19" ht="20.100000000000001" customHeight="1">
      <c r="A12" s="27"/>
      <c r="B12" s="191"/>
      <c r="C12" s="77">
        <v>7</v>
      </c>
      <c r="D12" s="192" t="s">
        <v>87</v>
      </c>
      <c r="E12" s="56"/>
      <c r="F12" s="57"/>
      <c r="G12" s="58"/>
      <c r="H12" s="47"/>
      <c r="I12" s="48"/>
      <c r="J12" s="49"/>
      <c r="K12" s="29"/>
      <c r="L12" s="30"/>
      <c r="M12" s="31"/>
      <c r="N12" s="29"/>
      <c r="O12" s="30"/>
      <c r="P12" s="31"/>
      <c r="Q12" s="72"/>
    </row>
    <row r="13" spans="1:19" ht="20.100000000000001" customHeight="1">
      <c r="A13" s="27"/>
      <c r="B13" s="191"/>
      <c r="C13" s="77">
        <v>8</v>
      </c>
      <c r="D13" s="193"/>
      <c r="E13" s="59"/>
      <c r="F13" s="60"/>
      <c r="G13" s="61"/>
      <c r="H13" s="50"/>
      <c r="I13" s="51"/>
      <c r="J13" s="52"/>
      <c r="K13" s="35"/>
      <c r="L13" s="36"/>
      <c r="M13" s="37"/>
      <c r="N13" s="35"/>
      <c r="O13" s="36"/>
      <c r="P13" s="37"/>
      <c r="Q13" s="72"/>
    </row>
    <row r="14" spans="1:19" ht="20.100000000000001" customHeight="1">
      <c r="A14" s="27"/>
      <c r="B14" s="191"/>
      <c r="C14" s="77">
        <v>9</v>
      </c>
      <c r="D14" s="194"/>
      <c r="E14" s="62"/>
      <c r="F14" s="63"/>
      <c r="G14" s="64"/>
      <c r="H14" s="53"/>
      <c r="I14" s="54"/>
      <c r="J14" s="55"/>
      <c r="K14" s="41"/>
      <c r="L14" s="42"/>
      <c r="M14" s="43"/>
      <c r="N14" s="41"/>
      <c r="O14" s="42"/>
      <c r="P14" s="43"/>
      <c r="Q14" s="72"/>
    </row>
    <row r="15" spans="1:19" ht="20.100000000000001" customHeight="1">
      <c r="A15" s="27"/>
      <c r="B15" s="191"/>
      <c r="C15" s="77">
        <v>10</v>
      </c>
      <c r="D15" s="199" t="s">
        <v>76</v>
      </c>
      <c r="E15" s="56"/>
      <c r="F15" s="57"/>
      <c r="G15" s="58"/>
      <c r="H15" s="56"/>
      <c r="I15" s="57"/>
      <c r="J15" s="58"/>
      <c r="K15" s="47"/>
      <c r="L15" s="48"/>
      <c r="M15" s="49"/>
      <c r="N15" s="47"/>
      <c r="O15" s="48"/>
      <c r="P15" s="49"/>
      <c r="Q15" s="4"/>
      <c r="R15" s="2"/>
      <c r="S15" s="2"/>
    </row>
    <row r="16" spans="1:19" ht="20.100000000000001" customHeight="1">
      <c r="A16" s="27"/>
      <c r="B16" s="191"/>
      <c r="C16" s="77">
        <v>11</v>
      </c>
      <c r="D16" s="200"/>
      <c r="E16" s="59"/>
      <c r="F16" s="60"/>
      <c r="G16" s="61"/>
      <c r="H16" s="59"/>
      <c r="I16" s="60"/>
      <c r="J16" s="61"/>
      <c r="K16" s="50"/>
      <c r="L16" s="51"/>
      <c r="M16" s="52"/>
      <c r="N16" s="50"/>
      <c r="O16" s="51"/>
      <c r="P16" s="52"/>
      <c r="Q16" s="4"/>
      <c r="R16" s="2"/>
      <c r="S16" s="2"/>
    </row>
    <row r="17" spans="1:19" ht="20.100000000000001" customHeight="1">
      <c r="A17" s="27"/>
      <c r="B17" s="191"/>
      <c r="C17" s="77">
        <v>12</v>
      </c>
      <c r="D17" s="200"/>
      <c r="E17" s="59"/>
      <c r="F17" s="60"/>
      <c r="G17" s="61"/>
      <c r="H17" s="59"/>
      <c r="I17" s="60"/>
      <c r="J17" s="61"/>
      <c r="K17" s="50"/>
      <c r="L17" s="51"/>
      <c r="M17" s="52"/>
      <c r="N17" s="50"/>
      <c r="O17" s="51"/>
      <c r="P17" s="52"/>
      <c r="Q17" s="4"/>
      <c r="R17" s="2"/>
      <c r="S17" s="2"/>
    </row>
    <row r="18" spans="1:19">
      <c r="B18" s="3"/>
      <c r="C18" s="78">
        <v>13</v>
      </c>
      <c r="D18" s="76">
        <v>0</v>
      </c>
      <c r="E18" s="196" t="s">
        <v>88</v>
      </c>
      <c r="F18" s="197"/>
      <c r="G18" s="198"/>
      <c r="H18" s="196" t="s">
        <v>89</v>
      </c>
      <c r="I18" s="197"/>
      <c r="J18" s="198"/>
      <c r="K18" s="196" t="s">
        <v>90</v>
      </c>
      <c r="L18" s="197"/>
      <c r="M18" s="198"/>
      <c r="N18" s="196" t="s">
        <v>91</v>
      </c>
      <c r="O18" s="197"/>
      <c r="P18" s="197"/>
      <c r="Q18" s="65"/>
      <c r="R18" s="2"/>
      <c r="S18" s="2"/>
    </row>
    <row r="19" spans="1:19">
      <c r="B19" s="3"/>
      <c r="C19" s="66"/>
      <c r="D19" s="76">
        <v>13</v>
      </c>
      <c r="E19" s="74">
        <v>12</v>
      </c>
      <c r="F19" s="74">
        <v>11</v>
      </c>
      <c r="G19" s="74">
        <v>10</v>
      </c>
      <c r="H19" s="74">
        <v>9</v>
      </c>
      <c r="I19" s="74">
        <v>8</v>
      </c>
      <c r="J19" s="74">
        <v>7</v>
      </c>
      <c r="K19" s="74">
        <v>6</v>
      </c>
      <c r="L19" s="74">
        <v>5</v>
      </c>
      <c r="M19" s="74">
        <v>4</v>
      </c>
      <c r="N19" s="74">
        <v>3</v>
      </c>
      <c r="O19" s="74">
        <v>2</v>
      </c>
      <c r="P19" s="75">
        <v>1</v>
      </c>
      <c r="Q19" s="102"/>
      <c r="R19" s="2"/>
      <c r="S19" s="2"/>
    </row>
    <row r="20" spans="1:19" ht="25.5" thickBot="1">
      <c r="B20" s="5"/>
      <c r="C20" s="6"/>
      <c r="D20" s="6"/>
      <c r="E20" s="195" t="s">
        <v>84</v>
      </c>
      <c r="F20" s="195"/>
      <c r="G20" s="195"/>
      <c r="H20" s="195"/>
      <c r="I20" s="195"/>
      <c r="J20" s="195"/>
      <c r="K20" s="195"/>
      <c r="L20" s="195"/>
      <c r="M20" s="195"/>
      <c r="N20" s="195"/>
      <c r="O20" s="195"/>
      <c r="P20" s="195"/>
      <c r="Q20" s="73"/>
      <c r="R20" s="2"/>
    </row>
    <row r="21" spans="1:19"/>
    <row r="22" spans="1:19"/>
  </sheetData>
  <sheetProtection selectLockedCells="1"/>
  <mergeCells count="10">
    <mergeCell ref="B6:B17"/>
    <mergeCell ref="D6:D8"/>
    <mergeCell ref="D9:D11"/>
    <mergeCell ref="D12:D14"/>
    <mergeCell ref="E20:P20"/>
    <mergeCell ref="E18:G18"/>
    <mergeCell ref="H18:J18"/>
    <mergeCell ref="K18:M18"/>
    <mergeCell ref="N18:P18"/>
    <mergeCell ref="D15:D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tão1_Clique">
                <anchor moveWithCells="1">
                  <from>
                    <xdr:col>6</xdr:col>
                    <xdr:colOff>104775</xdr:colOff>
                    <xdr:row>20</xdr:row>
                    <xdr:rowOff>85725</xdr:rowOff>
                  </from>
                  <to>
                    <xdr:col>11</xdr:col>
                    <xdr:colOff>247650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B1:F11"/>
  <sheetViews>
    <sheetView showGridLines="0" workbookViewId="0">
      <selection activeCell="F11" sqref="F11"/>
    </sheetView>
  </sheetViews>
  <sheetFormatPr defaultRowHeight="15"/>
  <cols>
    <col min="1" max="1" width="9" style="18"/>
    <col min="2" max="2" width="36.625" style="18" bestFit="1" customWidth="1"/>
    <col min="3" max="3" width="5.75" style="18" bestFit="1" customWidth="1"/>
    <col min="4" max="5" width="9" style="18"/>
    <col min="6" max="6" width="9.375" style="18" bestFit="1" customWidth="1"/>
    <col min="7" max="16384" width="9" style="18"/>
  </cols>
  <sheetData>
    <row r="1" spans="2:6" ht="15.75" thickBot="1"/>
    <row r="2" spans="2:6">
      <c r="B2" s="201" t="s">
        <v>84</v>
      </c>
      <c r="C2" s="202"/>
      <c r="D2" s="202"/>
      <c r="E2" s="202"/>
      <c r="F2" s="203"/>
    </row>
    <row r="3" spans="2:6" ht="15" customHeight="1">
      <c r="B3" s="21" t="s">
        <v>46</v>
      </c>
      <c r="C3" s="19" t="str">
        <f>IF('Interdependencia Externa'!E9="","0",IF('Interdependencia Externa'!E9="Baixo","1",IF('Interdependencia Externa'!E9="Médio","2",IF('Interdependencia Externa'!E9="Alto","3","4"))))</f>
        <v>1</v>
      </c>
      <c r="D3" s="19" t="s">
        <v>77</v>
      </c>
      <c r="E3" s="19">
        <v>22</v>
      </c>
      <c r="F3" s="205" t="s">
        <v>78</v>
      </c>
    </row>
    <row r="4" spans="2:6" ht="15" customHeight="1">
      <c r="B4" s="22" t="s">
        <v>47</v>
      </c>
      <c r="C4" s="20" t="str">
        <f>IF('Interdependencia Externa'!E10="","0",IF('Interdependencia Externa'!E10="Sim","1","3"))</f>
        <v>1</v>
      </c>
      <c r="D4" s="20"/>
      <c r="E4" s="20">
        <v>19</v>
      </c>
      <c r="F4" s="205"/>
    </row>
    <row r="5" spans="2:6" ht="15" customHeight="1">
      <c r="B5" s="21" t="s">
        <v>79</v>
      </c>
      <c r="C5" s="19" t="str">
        <f>IF('Interdependencia Externa'!E12="","0",IF('Interdependencia Externa'!E12="Sim","1","3"))</f>
        <v>1</v>
      </c>
      <c r="D5" s="19"/>
      <c r="E5" s="19">
        <v>18</v>
      </c>
      <c r="F5" s="204" t="s">
        <v>80</v>
      </c>
    </row>
    <row r="6" spans="2:6" ht="15" customHeight="1">
      <c r="B6" s="22" t="s">
        <v>51</v>
      </c>
      <c r="C6" s="20" t="str">
        <f>IF('Interdependencia Externa'!E14="","0",IF('Interdependencia Externa'!E14="Sim","1","2"))</f>
        <v>1</v>
      </c>
      <c r="D6" s="20"/>
      <c r="E6" s="20">
        <v>15</v>
      </c>
      <c r="F6" s="204"/>
    </row>
    <row r="7" spans="2:6" ht="15" customHeight="1">
      <c r="B7" s="21" t="s">
        <v>52</v>
      </c>
      <c r="C7" s="19" t="str">
        <f>IF('Interdependencia Externa'!E15="","0",IF('Interdependencia Externa'!E15="Real","1","2"))</f>
        <v>1</v>
      </c>
      <c r="D7" s="19"/>
      <c r="E7" s="19">
        <v>14</v>
      </c>
      <c r="F7" s="207" t="s">
        <v>81</v>
      </c>
    </row>
    <row r="8" spans="2:6" ht="15" customHeight="1">
      <c r="B8" s="22" t="s">
        <v>53</v>
      </c>
      <c r="C8" s="20" t="str">
        <f>IF('Interdependencia Externa'!E16="","0",IF('Interdependencia Externa'!E16="Sim","1","2"))</f>
        <v>1</v>
      </c>
      <c r="D8" s="20"/>
      <c r="E8" s="20">
        <v>12</v>
      </c>
      <c r="F8" s="207"/>
    </row>
    <row r="9" spans="2:6" ht="15" customHeight="1">
      <c r="B9" s="21" t="s">
        <v>82</v>
      </c>
      <c r="C9" s="19" t="str">
        <f>IF('Interdependencia Externa'!E17="","0",IF('Interdependencia Externa'!E17="Sim","1","3"))</f>
        <v>1</v>
      </c>
      <c r="D9" s="19"/>
      <c r="E9" s="19">
        <v>11</v>
      </c>
      <c r="F9" s="206" t="s">
        <v>76</v>
      </c>
    </row>
    <row r="10" spans="2:6" ht="15.75" customHeight="1">
      <c r="B10" s="22" t="s">
        <v>56</v>
      </c>
      <c r="C10" s="20" t="str">
        <f>IF('Interdependencia Externa'!E19="","0",IF('Interdependencia Externa'!E19="Sim","3","1"))</f>
        <v>3</v>
      </c>
      <c r="D10" s="20" t="s">
        <v>83</v>
      </c>
      <c r="E10" s="20">
        <v>8</v>
      </c>
      <c r="F10" s="206"/>
    </row>
    <row r="11" spans="2:6" ht="15.75" thickBot="1">
      <c r="B11" s="23" t="s">
        <v>85</v>
      </c>
      <c r="C11" s="24">
        <f>C3+C4+C5+C6+C7+C8+C9+C10</f>
        <v>10</v>
      </c>
      <c r="D11" s="25">
        <v>0</v>
      </c>
      <c r="E11" s="25"/>
      <c r="F11" s="26" t="str">
        <f>IF(C11=D11,"",IF(C11&lt;E8,F9,IF(C11&lt;E6,F7,IF(C11&lt;E4,F5,F3))))</f>
        <v>Baixo</v>
      </c>
    </row>
  </sheetData>
  <mergeCells count="5">
    <mergeCell ref="B2:F2"/>
    <mergeCell ref="F5:F6"/>
    <mergeCell ref="F3:F4"/>
    <mergeCell ref="F9:F10"/>
    <mergeCell ref="F7:F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4F50E9EA426424A8E8E274C50F6FAAD" ma:contentTypeVersion="0" ma:contentTypeDescription="Crie um novo documento." ma:contentTypeScope="" ma:versionID="b084ed81fd98ca7061dbf55ce1617e5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cb358bd3c4937f8c29cf3e1e721863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B62225-EE14-4A39-AF18-EB88AACCF924}">
  <ds:schemaRefs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49E1239D-3B02-43D3-9FDB-4400ADAF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C42356C-EF7F-4424-84C9-62061B1663A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Visão Geral</vt:lpstr>
      <vt:lpstr>Aderencia Seg. Info.</vt:lpstr>
      <vt:lpstr>Interdependencia Externa</vt:lpstr>
    </vt:vector>
  </TitlesOfParts>
  <Company>Natura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br92126</dc:creator>
  <cp:lastModifiedBy>Felipe Alves de Lima</cp:lastModifiedBy>
  <dcterms:created xsi:type="dcterms:W3CDTF">2013-07-02T12:53:52Z</dcterms:created>
  <dcterms:modified xsi:type="dcterms:W3CDTF">2015-06-23T14:28:42Z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0x010100C4F50E9EA426424A8E8E274C50F6FAAD</vt:lpwstr>
  </property>
</Properties>
</file>