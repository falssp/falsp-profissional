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600" yWindow="90" windowWidth="19395" windowHeight="7230"/>
  </bookViews>
  <sheets>
    <sheet name="forecast" sheetId="1" r:id="rId1"/>
  </sheets>
  <definedNames>
    <definedName name="_xlnm._FilterDatabase" localSheetId="0" hidden="1">forecast!$A$1:$AF$15</definedName>
  </definedNames>
  <calcPr calcId="152510"/>
</workbook>
</file>

<file path=xl/calcChain.xml><?xml version="1.0" encoding="utf-8"?>
<calcChain xmlns="http://schemas.openxmlformats.org/spreadsheetml/2006/main">
  <c r="Q29" i="1" l="1"/>
  <c r="Q31" i="1"/>
  <c r="Q33" i="1"/>
  <c r="Q34" i="1"/>
  <c r="P33" i="1"/>
  <c r="O33" i="1"/>
  <c r="N33" i="1"/>
  <c r="M33" i="1"/>
  <c r="L33" i="1"/>
  <c r="K33" i="1"/>
  <c r="J33" i="1"/>
  <c r="I33" i="1"/>
  <c r="H33" i="1"/>
  <c r="G33" i="1"/>
  <c r="F33" i="1"/>
  <c r="E33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P31" i="1"/>
  <c r="O31" i="1"/>
  <c r="N31" i="1"/>
  <c r="M31" i="1"/>
  <c r="L31" i="1"/>
  <c r="K31" i="1"/>
  <c r="J31" i="1"/>
  <c r="I31" i="1"/>
  <c r="H31" i="1"/>
  <c r="G31" i="1"/>
  <c r="F31" i="1"/>
  <c r="E31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P29" i="1"/>
  <c r="O29" i="1"/>
  <c r="N29" i="1"/>
  <c r="M29" i="1"/>
  <c r="L29" i="1"/>
  <c r="K29" i="1"/>
  <c r="J29" i="1"/>
  <c r="I29" i="1"/>
  <c r="H29" i="1"/>
  <c r="G29" i="1"/>
  <c r="F29" i="1"/>
  <c r="E29" i="1"/>
  <c r="E22" i="1"/>
  <c r="P25" i="1"/>
  <c r="O25" i="1"/>
  <c r="N25" i="1"/>
  <c r="M25" i="1"/>
  <c r="L25" i="1"/>
  <c r="K25" i="1"/>
  <c r="J25" i="1"/>
  <c r="I25" i="1"/>
  <c r="H25" i="1"/>
  <c r="G25" i="1"/>
  <c r="F25" i="1"/>
  <c r="P24" i="1"/>
  <c r="O24" i="1"/>
  <c r="N24" i="1"/>
  <c r="M24" i="1"/>
  <c r="L24" i="1"/>
  <c r="K24" i="1"/>
  <c r="J24" i="1"/>
  <c r="I24" i="1"/>
  <c r="H24" i="1"/>
  <c r="G24" i="1"/>
  <c r="F24" i="1"/>
  <c r="E24" i="1"/>
  <c r="P23" i="1"/>
  <c r="O23" i="1"/>
  <c r="N23" i="1"/>
  <c r="M23" i="1"/>
  <c r="L23" i="1"/>
  <c r="K23" i="1"/>
  <c r="J23" i="1"/>
  <c r="I23" i="1"/>
  <c r="H23" i="1"/>
  <c r="G23" i="1"/>
  <c r="F23" i="1"/>
  <c r="E23" i="1"/>
  <c r="P21" i="1"/>
  <c r="O21" i="1"/>
  <c r="N21" i="1"/>
  <c r="M21" i="1"/>
  <c r="L21" i="1"/>
  <c r="K21" i="1"/>
  <c r="J21" i="1"/>
  <c r="I21" i="1"/>
  <c r="H21" i="1"/>
  <c r="G21" i="1"/>
  <c r="F21" i="1"/>
  <c r="E21" i="1"/>
  <c r="P15" i="1"/>
  <c r="O15" i="1"/>
  <c r="N15" i="1"/>
  <c r="M15" i="1"/>
  <c r="L15" i="1"/>
  <c r="K15" i="1"/>
  <c r="J15" i="1"/>
  <c r="I15" i="1"/>
  <c r="H15" i="1"/>
  <c r="G15" i="1"/>
  <c r="F15" i="1"/>
  <c r="E15" i="1"/>
  <c r="Q15" i="1"/>
  <c r="Q21" i="1"/>
  <c r="Q23" i="1"/>
  <c r="Q24" i="1"/>
  <c r="Q25" i="1"/>
  <c r="Q26" i="1"/>
</calcChain>
</file>

<file path=xl/sharedStrings.xml><?xml version="1.0" encoding="utf-8"?>
<sst xmlns="http://schemas.openxmlformats.org/spreadsheetml/2006/main" count="90" uniqueCount="41">
  <si>
    <t>Controle do Fluxos de Desembolso por Projeto</t>
  </si>
  <si>
    <t>Projeto</t>
  </si>
  <si>
    <t>Custo P1</t>
  </si>
  <si>
    <t>ano</t>
  </si>
  <si>
    <t>Resultado</t>
  </si>
  <si>
    <t>Comentários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</si>
  <si>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</si>
  <si>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</si>
  <si>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</si>
  <si>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</si>
  <si>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</si>
  <si>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</si>
  <si>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</si>
  <si>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</si>
  <si>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</si>
  <si>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</si>
  <si>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</si>
  <si>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</si>
  <si>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Nome do Projeto</t>
  </si>
  <si>
    <t>CAPEX</t>
  </si>
  <si>
    <t>Forecast Baseline - C</t>
  </si>
  <si>
    <t>Previsto - C</t>
  </si>
  <si>
    <t>Aprovado - C</t>
  </si>
  <si>
    <t>Compromissado - C</t>
  </si>
  <si>
    <t>Realizado - C</t>
  </si>
  <si>
    <t>Disponível - C</t>
  </si>
  <si>
    <t>OPEX</t>
  </si>
  <si>
    <t>Forecast Baseline - O</t>
  </si>
  <si>
    <t>Previsto - O</t>
  </si>
  <si>
    <t>Aprovado - O</t>
  </si>
  <si>
    <t>Compromissado - O</t>
  </si>
  <si>
    <t>Realizado - O</t>
  </si>
  <si>
    <t>Disponível - O</t>
  </si>
  <si>
    <t>Somatórias</t>
  </si>
  <si>
    <t>Total Previsto:</t>
  </si>
  <si>
    <t>Total Aprovado:</t>
  </si>
  <si>
    <t>Total Compromisado:</t>
  </si>
  <si>
    <t>Total Realizado:</t>
  </si>
  <si>
    <t>Total Disponivel:</t>
  </si>
  <si>
    <t>Saldo</t>
  </si>
  <si>
    <t>Total Disponível: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</si>
</sst>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#,##0.0"/>
  </numFmts>
  <fonts count="1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Gill Sans Std"/>
      <family val="2"/>
    </font>
    <font>
      <sz val="10"/>
      <color theme="1"/>
      <name val="Gill Sans Std"/>
      <family val="2"/>
    </font>
    <font>
      <b/>
      <sz val="9"/>
      <color theme="1"/>
      <name val="Gill Sans Std"/>
      <family val="2"/>
    </font>
    <font>
      <b/>
      <sz val="12"/>
      <color theme="1"/>
      <name val="Gill Sans Std"/>
      <family val="2"/>
    </font>
    <font>
      <sz val="9"/>
      <color theme="1"/>
      <name val="Gill Sans Std"/>
      <family val="2"/>
    </font>
    <font>
      <b/>
      <u/>
      <sz val="9"/>
      <color rgb="FFFF0000"/>
      <name val="Gill Sans Std"/>
      <family val="2"/>
    </font>
    <font>
      <b/>
      <sz val="11"/>
      <color theme="1"/>
      <name val="Gill Sans Std"/>
      <family val="2"/>
    </font>
    <font>
      <u/>
      <sz val="9"/>
      <color rgb="FFFF0000"/>
      <name val="Gill Sans Std"/>
      <family val="2"/>
    </font>
    <font>
      <b/>
      <sz val="16"/>
      <color theme="0"/>
      <name val="Gill Sans Std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0" xfId="0" applyFont="1" applyFill="1" applyBorder="1" applyAlignment="1">
      <alignment horizontal="left"/>
    </xf>
    <xf numFmtId="0" fontId="3" fillId="0" borderId="0" xfId="0" applyFont="1"/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3" fillId="6" borderId="21" xfId="0" applyFont="1" applyFill="1" applyBorder="1"/>
    <xf numFmtId="44" fontId="6" fillId="0" borderId="22" xfId="1" applyFont="1" applyFill="1" applyBorder="1"/>
    <xf numFmtId="44" fontId="6" fillId="0" borderId="21" xfId="1" applyFont="1" applyFill="1" applyBorder="1"/>
    <xf numFmtId="44" fontId="6" fillId="0" borderId="23" xfId="1" applyFont="1" applyFill="1" applyBorder="1"/>
    <xf numFmtId="44" fontId="6" fillId="0" borderId="24" xfId="1" applyFont="1" applyFill="1" applyBorder="1"/>
    <xf numFmtId="0" fontId="3" fillId="5" borderId="0" xfId="0" applyFont="1" applyFill="1"/>
    <xf numFmtId="0" fontId="3" fillId="0" borderId="28" xfId="0" applyFont="1" applyFill="1" applyBorder="1"/>
    <xf numFmtId="44" fontId="6" fillId="0" borderId="29" xfId="1" applyFont="1" applyFill="1" applyBorder="1"/>
    <xf numFmtId="44" fontId="6" fillId="0" borderId="28" xfId="1" applyFont="1" applyFill="1" applyBorder="1"/>
    <xf numFmtId="44" fontId="6" fillId="0" borderId="30" xfId="1" applyFont="1" applyFill="1" applyBorder="1"/>
    <xf numFmtId="44" fontId="6" fillId="0" borderId="31" xfId="1" applyFont="1" applyFill="1" applyBorder="1"/>
    <xf numFmtId="44" fontId="6" fillId="0" borderId="53" xfId="1" applyFont="1" applyFill="1" applyBorder="1"/>
    <xf numFmtId="44" fontId="6" fillId="0" borderId="39" xfId="1" applyFont="1" applyFill="1" applyBorder="1"/>
    <xf numFmtId="44" fontId="6" fillId="0" borderId="40" xfId="1" applyFont="1" applyFill="1" applyBorder="1"/>
    <xf numFmtId="44" fontId="6" fillId="0" borderId="41" xfId="1" applyFont="1" applyFill="1" applyBorder="1"/>
    <xf numFmtId="44" fontId="6" fillId="0" borderId="42" xfId="1" applyFont="1" applyFill="1" applyBorder="1"/>
    <xf numFmtId="0" fontId="6" fillId="0" borderId="0" xfId="0" applyFont="1"/>
    <xf numFmtId="0" fontId="4" fillId="3" borderId="45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/>
    </xf>
    <xf numFmtId="0" fontId="4" fillId="3" borderId="46" xfId="0" applyFont="1" applyFill="1" applyBorder="1" applyAlignment="1">
      <alignment horizontal="center"/>
    </xf>
    <xf numFmtId="44" fontId="6" fillId="0" borderId="33" xfId="1" applyFont="1" applyFill="1" applyBorder="1"/>
    <xf numFmtId="44" fontId="6" fillId="0" borderId="54" xfId="1" applyFont="1" applyFill="1" applyBorder="1"/>
    <xf numFmtId="44" fontId="6" fillId="0" borderId="47" xfId="1" applyFont="1" applyFill="1" applyBorder="1"/>
    <xf numFmtId="0" fontId="7" fillId="0" borderId="0" xfId="0" applyFont="1"/>
    <xf numFmtId="44" fontId="6" fillId="0" borderId="35" xfId="1" applyFont="1" applyFill="1" applyBorder="1"/>
    <xf numFmtId="44" fontId="6" fillId="0" borderId="50" xfId="1" applyFont="1" applyFill="1" applyBorder="1"/>
    <xf numFmtId="164" fontId="6" fillId="0" borderId="0" xfId="0" applyNumberFormat="1" applyFont="1"/>
    <xf numFmtId="0" fontId="3" fillId="0" borderId="0" xfId="0" applyFont="1" applyAlignment="1">
      <alignment horizontal="center"/>
    </xf>
    <xf numFmtId="0" fontId="4" fillId="3" borderId="51" xfId="0" applyFont="1" applyFill="1" applyBorder="1" applyAlignment="1">
      <alignment horizontal="center"/>
    </xf>
    <xf numFmtId="44" fontId="8" fillId="0" borderId="52" xfId="1" applyFont="1" applyBorder="1"/>
    <xf numFmtId="0" fontId="9" fillId="0" borderId="0" xfId="0" applyFont="1"/>
    <xf numFmtId="0" fontId="4" fillId="3" borderId="44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/>
    </xf>
    <xf numFmtId="44" fontId="8" fillId="0" borderId="60" xfId="1" applyFont="1" applyBorder="1"/>
    <xf numFmtId="0" fontId="4" fillId="3" borderId="18" xfId="0" applyFont="1" applyFill="1" applyBorder="1" applyAlignment="1">
      <alignment horizontal="center" vertical="center"/>
    </xf>
    <xf numFmtId="44" fontId="6" fillId="0" borderId="48" xfId="1" applyFont="1" applyFill="1" applyBorder="1"/>
    <xf numFmtId="44" fontId="6" fillId="0" borderId="61" xfId="1" applyFont="1" applyFill="1" applyBorder="1"/>
    <xf numFmtId="44" fontId="6" fillId="0" borderId="49" xfId="1" applyFont="1" applyFill="1" applyBorder="1"/>
    <xf numFmtId="44" fontId="6" fillId="0" borderId="62" xfId="1" applyFont="1" applyFill="1" applyBorder="1"/>
    <xf numFmtId="49" fontId="4" fillId="0" borderId="58" xfId="0" applyNumberFormat="1" applyFont="1" applyBorder="1" applyAlignment="1">
      <alignment horizontal="left"/>
    </xf>
    <xf numFmtId="49" fontId="4" fillId="0" borderId="59" xfId="0" applyNumberFormat="1" applyFont="1" applyBorder="1" applyAlignment="1">
      <alignment horizontal="left"/>
    </xf>
    <xf numFmtId="0" fontId="10" fillId="7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43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44" fontId="3" fillId="5" borderId="20" xfId="1" applyFont="1" applyFill="1" applyBorder="1" applyAlignment="1">
      <alignment horizontal="center" vertical="center"/>
    </xf>
    <xf numFmtId="44" fontId="3" fillId="5" borderId="27" xfId="1" applyFont="1" applyFill="1" applyBorder="1" applyAlignment="1">
      <alignment horizontal="center" vertical="center"/>
    </xf>
    <xf numFmtId="44" fontId="3" fillId="5" borderId="33" xfId="1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44" fontId="3" fillId="5" borderId="35" xfId="1" applyFont="1" applyFill="1" applyBorder="1" applyAlignment="1">
      <alignment horizontal="center" vertical="center"/>
    </xf>
    <xf numFmtId="44" fontId="3" fillId="5" borderId="38" xfId="1" applyFont="1" applyFill="1" applyBorder="1" applyAlignment="1">
      <alignment horizontal="center" vertical="center"/>
    </xf>
    <xf numFmtId="49" fontId="4" fillId="0" borderId="56" xfId="0" applyNumberFormat="1" applyFont="1" applyFill="1" applyBorder="1" applyAlignment="1"/>
    <xf numFmtId="49" fontId="4" fillId="0" borderId="57" xfId="0" applyNumberFormat="1" applyFont="1" applyFill="1" applyBorder="1" applyAlignment="1"/>
    <xf numFmtId="49" fontId="4" fillId="0" borderId="58" xfId="0" applyNumberFormat="1" applyFont="1" applyFill="1" applyBorder="1" applyAlignment="1"/>
    <xf numFmtId="49" fontId="4" fillId="0" borderId="59" xfId="0" applyNumberFormat="1" applyFont="1" applyFill="1" applyBorder="1" applyAlignment="1"/>
  </cellXfs>
  <cellStyles count="3">
    <cellStyle name="Currency 2" xfId="2"/>
    <cellStyle name="Moeda" xfId="1" builtinId="4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showGridLines="0" tabSelected="1" zoomScale="80" zoomScaleNormal="80" workbookViewId="0">
      <pane xSplit="1" ySplit="3" topLeftCell="B4" activePane="bottomRight" state="frozen"/>
      <selection pane="bottomLeft" activeCell="A4" sqref="A4"/>
      <selection pane="topRight" activeCell="B1" sqref="B1"/>
      <selection pane="bottomRight" activeCell="E28" sqref="E28:Q33"/>
    </sheetView>
  </sheetViews>
  <sheetFormatPr defaultRowHeight="12.75"/>
  <cols>
    <col min="1" max="1" width="16.375" style="2" customWidth="1"/>
    <col min="2" max="2" width="9" style="2"/>
    <col min="3" max="3" width="17.25" style="2" customWidth="1"/>
    <col min="4" max="4" width="21.25" style="2" customWidth="1"/>
    <col min="5" max="16" width="17.625" style="27" customWidth="1"/>
    <col min="17" max="17" width="20.875" style="27" bestFit="1" customWidth="1"/>
    <col min="18" max="18" width="33.125" style="27" customWidth="1"/>
    <col min="19" max="31" width="13.75" style="27" customWidth="1"/>
    <col min="32" max="32" width="32.375" style="27" customWidth="1"/>
    <col min="33" max="16384" width="9" style="2"/>
  </cols>
  <sheetData>
    <row r="1" spans="1:32" ht="17.25" customHeight="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1"/>
    </row>
    <row r="2" spans="1:32">
      <c r="A2" s="53" t="s">
        <v>1</v>
      </c>
      <c r="B2" s="55" t="s">
        <v>2</v>
      </c>
      <c r="C2" s="56"/>
      <c r="D2" s="57"/>
      <c r="E2" s="61" t="s">
        <v>3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  <c r="Q2" s="3" t="s">
        <v>4</v>
      </c>
      <c r="R2" s="64" t="s">
        <v>5</v>
      </c>
      <c r="S2" s="66" t="s">
        <v>3</v>
      </c>
      <c r="T2" s="62"/>
      <c r="U2" s="62"/>
      <c r="V2" s="62"/>
      <c r="W2" s="62"/>
      <c r="X2" s="62"/>
      <c r="Y2" s="62"/>
      <c r="Z2" s="62"/>
      <c r="AA2" s="62"/>
      <c r="AB2" s="62"/>
      <c r="AC2" s="62"/>
      <c r="AD2" s="63"/>
      <c r="AE2" s="3" t="s">
        <v>4</v>
      </c>
      <c r="AF2" s="4" t="s">
        <v>5</v>
      </c>
    </row>
    <row r="3" spans="1:32" ht="13.5" thickBot="1">
      <c r="A3" s="54"/>
      <c r="B3" s="58"/>
      <c r="C3" s="59"/>
      <c r="D3" s="60"/>
      <c r="E3" s="5" t="s">
        <v>6</v>
      </c>
      <c r="F3" s="6" t="s">
        <v>7</v>
      </c>
      <c r="G3" s="6" t="s">
        <v>8</v>
      </c>
      <c r="H3" s="6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8" t="s">
        <v>17</v>
      </c>
      <c r="Q3" s="4" t="s">
        <v>3</v>
      </c>
      <c r="R3" s="65"/>
      <c r="S3" s="9" t="s">
        <v>6</v>
      </c>
      <c r="T3" s="7" t="s">
        <v>7</v>
      </c>
      <c r="U3" s="7" t="s">
        <v>8</v>
      </c>
      <c r="V3" s="7" t="s">
        <v>9</v>
      </c>
      <c r="W3" s="7" t="s">
        <v>10</v>
      </c>
      <c r="X3" s="7" t="s">
        <v>11</v>
      </c>
      <c r="Y3" s="7" t="s">
        <v>12</v>
      </c>
      <c r="Z3" s="7" t="s">
        <v>13</v>
      </c>
      <c r="AA3" s="7" t="s">
        <v>14</v>
      </c>
      <c r="AB3" s="7" t="s">
        <v>15</v>
      </c>
      <c r="AC3" s="7" t="s">
        <v>16</v>
      </c>
      <c r="AD3" s="8" t="s">
        <v>17</v>
      </c>
      <c r="AE3" s="4" t="s">
        <v>3</v>
      </c>
      <c r="AF3" s="10"/>
    </row>
    <row r="4" spans="1:32" s="16" customFormat="1">
      <c r="A4" s="69" t="s">
        <v>18</v>
      </c>
      <c r="B4" s="72" t="s">
        <v>19</v>
      </c>
      <c r="C4" s="75"/>
      <c r="D4" s="11" t="s">
        <v>20</v>
      </c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5"/>
      <c r="R4" s="15"/>
      <c r="S4" s="12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  <c r="AE4" s="15"/>
      <c r="AF4" s="15"/>
    </row>
    <row r="5" spans="1:32" s="16" customFormat="1">
      <c r="A5" s="70"/>
      <c r="B5" s="73"/>
      <c r="C5" s="76"/>
      <c r="D5" s="17" t="s">
        <v>21</v>
      </c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20"/>
      <c r="Q5" s="21"/>
      <c r="R5" s="21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20"/>
      <c r="AE5" s="21"/>
      <c r="AF5" s="21"/>
    </row>
    <row r="6" spans="1:32" s="16" customFormat="1">
      <c r="A6" s="70"/>
      <c r="B6" s="73"/>
      <c r="C6" s="76"/>
      <c r="D6" s="17" t="s">
        <v>22</v>
      </c>
      <c r="E6" s="18"/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  <c r="Q6" s="21"/>
      <c r="R6" s="21"/>
      <c r="S6" s="18"/>
      <c r="T6" s="19"/>
      <c r="U6" s="19"/>
      <c r="V6" s="19"/>
      <c r="W6" s="19"/>
      <c r="X6" s="19"/>
      <c r="Y6" s="19"/>
      <c r="Z6" s="19"/>
      <c r="AA6" s="19"/>
      <c r="AB6" s="19"/>
      <c r="AC6" s="19"/>
      <c r="AD6" s="20"/>
      <c r="AE6" s="21"/>
      <c r="AF6" s="21"/>
    </row>
    <row r="7" spans="1:32" s="16" customFormat="1">
      <c r="A7" s="70"/>
      <c r="B7" s="73"/>
      <c r="C7" s="76"/>
      <c r="D7" s="17" t="s">
        <v>23</v>
      </c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20"/>
      <c r="Q7" s="21"/>
      <c r="R7" s="21"/>
      <c r="S7" s="18"/>
      <c r="T7" s="19"/>
      <c r="U7" s="19"/>
      <c r="V7" s="19"/>
      <c r="W7" s="19"/>
      <c r="X7" s="19"/>
      <c r="Y7" s="19"/>
      <c r="Z7" s="19"/>
      <c r="AA7" s="19"/>
      <c r="AB7" s="19"/>
      <c r="AC7" s="19"/>
      <c r="AD7" s="20"/>
      <c r="AE7" s="21"/>
      <c r="AF7" s="21"/>
    </row>
    <row r="8" spans="1:32" s="16" customFormat="1">
      <c r="A8" s="70"/>
      <c r="B8" s="73"/>
      <c r="C8" s="76"/>
      <c r="D8" s="17" t="s">
        <v>24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22"/>
      <c r="Q8" s="21"/>
      <c r="R8" s="21"/>
      <c r="S8" s="18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21"/>
      <c r="AF8" s="21"/>
    </row>
    <row r="9" spans="1:32" s="16" customFormat="1" ht="13.5" thickBot="1">
      <c r="A9" s="70"/>
      <c r="B9" s="74"/>
      <c r="C9" s="77"/>
      <c r="D9" s="17" t="s">
        <v>25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21"/>
      <c r="R9" s="21"/>
      <c r="S9" s="18"/>
      <c r="T9" s="19"/>
      <c r="U9" s="19"/>
      <c r="V9" s="19"/>
      <c r="W9" s="19"/>
      <c r="X9" s="19"/>
      <c r="Y9" s="19"/>
      <c r="Z9" s="19"/>
      <c r="AA9" s="19"/>
      <c r="AB9" s="19"/>
      <c r="AC9" s="19"/>
      <c r="AD9" s="20"/>
      <c r="AE9" s="21"/>
      <c r="AF9" s="21"/>
    </row>
    <row r="10" spans="1:32" s="16" customFormat="1">
      <c r="A10" s="70"/>
      <c r="B10" s="78" t="s">
        <v>26</v>
      </c>
      <c r="C10" s="80"/>
      <c r="D10" s="11" t="s">
        <v>27</v>
      </c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1"/>
      <c r="R10" s="21"/>
      <c r="S10" s="18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20"/>
      <c r="AE10" s="21"/>
      <c r="AF10" s="21"/>
    </row>
    <row r="11" spans="1:32" s="16" customFormat="1">
      <c r="A11" s="70"/>
      <c r="B11" s="73"/>
      <c r="C11" s="76"/>
      <c r="D11" s="17" t="s">
        <v>28</v>
      </c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  <c r="Q11" s="21"/>
      <c r="R11" s="21"/>
      <c r="S11" s="18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20"/>
      <c r="AE11" s="21"/>
      <c r="AF11" s="21"/>
    </row>
    <row r="12" spans="1:32" s="16" customFormat="1">
      <c r="A12" s="70"/>
      <c r="B12" s="73"/>
      <c r="C12" s="76"/>
      <c r="D12" s="17" t="s">
        <v>29</v>
      </c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21"/>
      <c r="R12" s="21"/>
      <c r="S12" s="18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20"/>
      <c r="AE12" s="21"/>
      <c r="AF12" s="21"/>
    </row>
    <row r="13" spans="1:32" s="16" customFormat="1">
      <c r="A13" s="70"/>
      <c r="B13" s="73"/>
      <c r="C13" s="76"/>
      <c r="D13" s="17" t="s">
        <v>30</v>
      </c>
      <c r="E13" s="1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1"/>
      <c r="R13" s="21"/>
      <c r="S13" s="18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20"/>
      <c r="AE13" s="21"/>
      <c r="AF13" s="21"/>
    </row>
    <row r="14" spans="1:32" s="16" customFormat="1">
      <c r="A14" s="70"/>
      <c r="B14" s="73"/>
      <c r="C14" s="76"/>
      <c r="D14" s="17" t="s">
        <v>31</v>
      </c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1"/>
      <c r="R14" s="21"/>
      <c r="S14" s="18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20"/>
      <c r="AE14" s="21"/>
      <c r="AF14" s="21"/>
    </row>
    <row r="15" spans="1:32" s="16" customFormat="1" ht="13.5" thickBot="1">
      <c r="A15" s="71"/>
      <c r="B15" s="79"/>
      <c r="C15" s="81"/>
      <c r="D15" s="17" t="s">
        <v>32</v>
      </c>
      <c r="E15" s="23">
        <f t="shared" ref="E15:P15" si="0">E10-(E11+E12+E14)</f>
        <v>0</v>
      </c>
      <c r="F15" s="23">
        <f t="shared" si="0"/>
        <v>0</v>
      </c>
      <c r="G15" s="23">
        <f t="shared" si="0"/>
        <v>0</v>
      </c>
      <c r="H15" s="23">
        <f t="shared" si="0"/>
        <v>0</v>
      </c>
      <c r="I15" s="23">
        <f t="shared" si="0"/>
        <v>0</v>
      </c>
      <c r="J15" s="23">
        <f t="shared" si="0"/>
        <v>0</v>
      </c>
      <c r="K15" s="23">
        <f t="shared" si="0"/>
        <v>0</v>
      </c>
      <c r="L15" s="23">
        <f t="shared" si="0"/>
        <v>0</v>
      </c>
      <c r="M15" s="23">
        <f t="shared" si="0"/>
        <v>0</v>
      </c>
      <c r="N15" s="23">
        <f t="shared" si="0"/>
        <v>0</v>
      </c>
      <c r="O15" s="23">
        <f t="shared" si="0"/>
        <v>0</v>
      </c>
      <c r="P15" s="23">
        <f t="shared" si="0"/>
        <v>0</v>
      </c>
      <c r="Q15" s="24">
        <f t="shared" ref="Q15" si="1">SUM(E15:P15)</f>
        <v>0</v>
      </c>
      <c r="R15" s="24"/>
      <c r="S15" s="25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6"/>
      <c r="AE15" s="24"/>
      <c r="AF15" s="24"/>
    </row>
    <row r="19" spans="3:18" ht="13.5" thickBot="1"/>
    <row r="20" spans="3:18">
      <c r="C20" s="67" t="s">
        <v>19</v>
      </c>
      <c r="D20" s="68"/>
      <c r="E20" s="42" t="s">
        <v>6</v>
      </c>
      <c r="F20" s="28" t="s">
        <v>7</v>
      </c>
      <c r="G20" s="28" t="s">
        <v>8</v>
      </c>
      <c r="H20" s="28" t="s">
        <v>9</v>
      </c>
      <c r="I20" s="29" t="s">
        <v>10</v>
      </c>
      <c r="J20" s="29" t="s">
        <v>11</v>
      </c>
      <c r="K20" s="29" t="s">
        <v>12</v>
      </c>
      <c r="L20" s="29" t="s">
        <v>13</v>
      </c>
      <c r="M20" s="29" t="s">
        <v>14</v>
      </c>
      <c r="N20" s="29" t="s">
        <v>15</v>
      </c>
      <c r="O20" s="29" t="s">
        <v>16</v>
      </c>
      <c r="P20" s="29" t="s">
        <v>17</v>
      </c>
      <c r="Q20" s="30" t="s">
        <v>33</v>
      </c>
    </row>
    <row r="21" spans="3:18">
      <c r="C21" s="82" t="s">
        <v>34</v>
      </c>
      <c r="D21" s="83"/>
      <c r="E21" s="18">
        <f>SUMIF($D$4:$D$15,#REF!, E4:E15)</f>
        <v>0</v>
      </c>
      <c r="F21" s="19">
        <f>SUMIF($D$4:$D$15,#REF!, F4:F15)</f>
        <v>0</v>
      </c>
      <c r="G21" s="19">
        <f>SUMIF($D$4:$D$15,#REF!, G4:G15)</f>
        <v>0</v>
      </c>
      <c r="H21" s="19">
        <f>SUMIF($D$4:$D$15,#REF!, H4:H15)</f>
        <v>0</v>
      </c>
      <c r="I21" s="19">
        <f>SUMIF($D$4:$D$15,#REF!, I4:I15)</f>
        <v>0</v>
      </c>
      <c r="J21" s="19">
        <f>SUMIF($D$4:$D$15,#REF!, J4:J15)</f>
        <v>0</v>
      </c>
      <c r="K21" s="19">
        <f>SUMIF($D$4:$D$15,#REF!, K4:K15)</f>
        <v>0</v>
      </c>
      <c r="L21" s="19">
        <f>SUMIF($D$4:$D$15,#REF!, L4:L15)</f>
        <v>0</v>
      </c>
      <c r="M21" s="19">
        <f>SUMIF($D$4:$D$15,#REF!, M4:M15)</f>
        <v>0</v>
      </c>
      <c r="N21" s="19">
        <f>SUMIF($D$4:$D$15,#REF!, N4:N15)</f>
        <v>0</v>
      </c>
      <c r="O21" s="19">
        <f>SUMIF($D$4:$D$15,#REF!, O4:O15)</f>
        <v>0</v>
      </c>
      <c r="P21" s="19">
        <f>SUMIF($D$4:$D$15,#REF!, P4:P15)</f>
        <v>0</v>
      </c>
      <c r="Q21" s="19">
        <f>SUM(E21:P21)</f>
        <v>0</v>
      </c>
    </row>
    <row r="22" spans="3:18">
      <c r="C22" s="82" t="s">
        <v>35</v>
      </c>
      <c r="D22" s="83"/>
      <c r="E22" s="18">
        <f>SUMIF($D$4:$D$15,#REF!, E5:E16)</f>
        <v>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2"/>
    </row>
    <row r="23" spans="3:18">
      <c r="C23" s="82" t="s">
        <v>36</v>
      </c>
      <c r="D23" s="83"/>
      <c r="E23" s="18">
        <f>SUMIF($D$4:$D$15,#REF!, E4:E15)</f>
        <v>0</v>
      </c>
      <c r="F23" s="19">
        <f>SUMIF($D$4:$D$15,#REF!, F4:F15)</f>
        <v>0</v>
      </c>
      <c r="G23" s="19">
        <f>SUMIF($D$4:$D$15,#REF!, G4:G15)</f>
        <v>0</v>
      </c>
      <c r="H23" s="19">
        <f>SUMIF($D$4:$D$15,#REF!, H4:H15)</f>
        <v>0</v>
      </c>
      <c r="I23" s="19">
        <f>SUMIF($D$4:$D$15,#REF!, I4:I15)</f>
        <v>0</v>
      </c>
      <c r="J23" s="19">
        <f>SUMIF($D$4:$D$15,#REF!, J4:J15)</f>
        <v>0</v>
      </c>
      <c r="K23" s="19">
        <f>SUMIF($D$4:$D$15,#REF!, K4:K15)</f>
        <v>0</v>
      </c>
      <c r="L23" s="19">
        <f>SUMIF($D$4:$D$15,#REF!, L4:L15)</f>
        <v>0</v>
      </c>
      <c r="M23" s="19">
        <f>SUMIF($D$4:$D$15,#REF!, M4:M15)</f>
        <v>0</v>
      </c>
      <c r="N23" s="19">
        <f>SUMIF($D$4:$D$15,#REF!, N4:N15)</f>
        <v>0</v>
      </c>
      <c r="O23" s="19">
        <f>SUMIF($D$4:$D$15,#REF!, O4:O15)</f>
        <v>0</v>
      </c>
      <c r="P23" s="19">
        <f>SUMIF($D$4:$D$15,#REF!, P4:P15)</f>
        <v>0</v>
      </c>
      <c r="Q23" s="33">
        <f>SUM(E23:P23)</f>
        <v>0</v>
      </c>
    </row>
    <row r="24" spans="3:18">
      <c r="C24" s="82" t="s">
        <v>37</v>
      </c>
      <c r="D24" s="83"/>
      <c r="E24" s="18">
        <f>SUMIF($D$4:$D$15,#REF!, E$4:E$15)</f>
        <v>0</v>
      </c>
      <c r="F24" s="19">
        <f>SUMIF($D$4:$D$15,#REF!, F$4:F$15)</f>
        <v>0</v>
      </c>
      <c r="G24" s="19">
        <f>SUMIF($D$4:$D$15,#REF!, G$4:G$15)</f>
        <v>0</v>
      </c>
      <c r="H24" s="19">
        <f>SUMIF($D$4:$D$15,#REF!, H$4:H$15)</f>
        <v>0</v>
      </c>
      <c r="I24" s="19">
        <f>SUMIF($D$4:$D$15,#REF!, I$4:I$15)</f>
        <v>0</v>
      </c>
      <c r="J24" s="19">
        <f>SUMIF($D$4:$D$15,#REF!, J$4:J$15)</f>
        <v>0</v>
      </c>
      <c r="K24" s="19">
        <f>SUMIF($D$4:$D$15,#REF!, K$4:K$15)</f>
        <v>0</v>
      </c>
      <c r="L24" s="19">
        <f>SUMIF($D$4:$D$15,#REF!, L$4:L$15)</f>
        <v>0</v>
      </c>
      <c r="M24" s="19">
        <f>SUMIF($D$4:$D$15,#REF!, M$4:M$15)</f>
        <v>0</v>
      </c>
      <c r="N24" s="19">
        <f>SUMIF($D$4:$D$15,#REF!, N$4:N$15)</f>
        <v>0</v>
      </c>
      <c r="O24" s="19">
        <f>SUMIF($D$4:$D$15,#REF!, O$4:O$15)</f>
        <v>0</v>
      </c>
      <c r="P24" s="19">
        <f>SUMIF($D$4:$D$15,#REF!, P$4:P$15)</f>
        <v>0</v>
      </c>
      <c r="Q24" s="33">
        <f>SUM(E24:P24)</f>
        <v>0</v>
      </c>
      <c r="R24" s="34"/>
    </row>
    <row r="25" spans="3:18" ht="13.5" thickBot="1">
      <c r="C25" s="84" t="s">
        <v>38</v>
      </c>
      <c r="D25" s="85"/>
      <c r="E25" s="25"/>
      <c r="F25" s="23">
        <f>SUMIF($D$4:$D$15,#REF!, F4:F15)+SUMIF($D$4:$D$15,#REF!, F4:F15)</f>
        <v>0</v>
      </c>
      <c r="G25" s="23">
        <f>SUMIF($D$4:$D$15,#REF!, G4:G15)+SUMIF($D$4:$D$15,#REF!, G4:G15)</f>
        <v>0</v>
      </c>
      <c r="H25" s="23">
        <f>SUMIF($D$4:$D$15,#REF!, H4:H15)+SUMIF($D$4:$D$15,#REF!, H4:H15)</f>
        <v>0</v>
      </c>
      <c r="I25" s="23">
        <f>SUMIF($D$4:$D$15,#REF!, I4:I15)+SUMIF($D$4:$D$15,#REF!, I4:I15)</f>
        <v>0</v>
      </c>
      <c r="J25" s="23">
        <f>SUMIF($D$4:$D$15,#REF!, J4:J15)+SUMIF($D$4:$D$15,#REF!, J4:J15)</f>
        <v>0</v>
      </c>
      <c r="K25" s="23">
        <f>SUMIF($D$4:$D$15,#REF!, K4:K15)+SUMIF($D$4:$D$15,#REF!, K4:K15)</f>
        <v>0</v>
      </c>
      <c r="L25" s="23">
        <f>SUMIF($D$4:$D$15,#REF!, L4:L15)+SUMIF($D$4:$D$15,#REF!, L4:L15)</f>
        <v>0</v>
      </c>
      <c r="M25" s="23">
        <f>SUMIF($D$4:$D$15,#REF!, M4:M15)+SUMIF($D$4:$D$15,#REF!, M4:M15)</f>
        <v>0</v>
      </c>
      <c r="N25" s="23">
        <f>SUMIF($D$4:$D$15,#REF!, N4:N15)+SUMIF($D$4:$D$15,#REF!, N4:N15)</f>
        <v>0</v>
      </c>
      <c r="O25" s="23">
        <f>SUMIF($D$4:$D$15,#REF!, O4:O15)+SUMIF($D$4:$D$15,#REF!, O4:O15)</f>
        <v>0</v>
      </c>
      <c r="P25" s="35">
        <f>SUMIF($D$4:$D$15,#REF!, P4:P15)+SUMIF($D$4:$D$15,#REF!, P4:P15)</f>
        <v>0</v>
      </c>
      <c r="Q25" s="36">
        <f>SUM(E25:P25)</f>
        <v>0</v>
      </c>
      <c r="R25" s="37"/>
    </row>
    <row r="26" spans="3:18" ht="15.75" thickBot="1">
      <c r="C26" s="38"/>
      <c r="D26" s="38"/>
      <c r="E26" s="37"/>
      <c r="F26" s="37"/>
      <c r="G26" s="37"/>
      <c r="H26" s="37"/>
      <c r="I26" s="37"/>
      <c r="J26" s="37"/>
      <c r="K26" s="37"/>
      <c r="L26" s="37"/>
      <c r="M26" s="37"/>
      <c r="P26" s="39" t="s">
        <v>39</v>
      </c>
      <c r="Q26" s="40">
        <f>Q21-Q23-Q25</f>
        <v>0</v>
      </c>
    </row>
    <row r="27" spans="3:18" ht="13.5" thickBot="1"/>
    <row r="28" spans="3:18">
      <c r="C28" s="67" t="s">
        <v>26</v>
      </c>
      <c r="D28" s="68"/>
      <c r="E28" s="45" t="s">
        <v>6</v>
      </c>
      <c r="F28" s="28" t="s">
        <v>7</v>
      </c>
      <c r="G28" s="28" t="s">
        <v>8</v>
      </c>
      <c r="H28" s="28" t="s">
        <v>9</v>
      </c>
      <c r="I28" s="29" t="s">
        <v>10</v>
      </c>
      <c r="J28" s="29" t="s">
        <v>11</v>
      </c>
      <c r="K28" s="29" t="s">
        <v>12</v>
      </c>
      <c r="L28" s="29" t="s">
        <v>13</v>
      </c>
      <c r="M28" s="29" t="s">
        <v>14</v>
      </c>
      <c r="N28" s="29" t="s">
        <v>15</v>
      </c>
      <c r="O28" s="29" t="s">
        <v>16</v>
      </c>
      <c r="P28" s="29" t="s">
        <v>17</v>
      </c>
      <c r="Q28" s="30" t="s">
        <v>33</v>
      </c>
    </row>
    <row r="29" spans="3:18">
      <c r="C29" s="82" t="s">
        <v>34</v>
      </c>
      <c r="D29" s="83"/>
      <c r="E29" s="46">
        <f>SUMIF($D$4:$D$15,#REF!, E12:E23)</f>
        <v>0</v>
      </c>
      <c r="F29" s="18">
        <f>SUMIF($D$4:$D$15,#REF!, F12:F23)</f>
        <v>0</v>
      </c>
      <c r="G29" s="18">
        <f>SUMIF($D$4:$D$15,#REF!, G12:G23)</f>
        <v>0</v>
      </c>
      <c r="H29" s="18">
        <f>SUMIF($D$4:$D$15,#REF!, H12:H23)</f>
        <v>0</v>
      </c>
      <c r="I29" s="18">
        <f>SUMIF($D$4:$D$15,#REF!, I12:I23)</f>
        <v>0</v>
      </c>
      <c r="J29" s="18">
        <f>SUMIF($D$4:$D$15,#REF!, J12:J23)</f>
        <v>0</v>
      </c>
      <c r="K29" s="18">
        <f>SUMIF($D$4:$D$15,#REF!, K12:K23)</f>
        <v>0</v>
      </c>
      <c r="L29" s="18">
        <f>SUMIF($D$4:$D$15,#REF!, L12:L23)</f>
        <v>0</v>
      </c>
      <c r="M29" s="18">
        <f>SUMIF($D$4:$D$15,#REF!, M12:M23)</f>
        <v>0</v>
      </c>
      <c r="N29" s="18">
        <f>SUMIF($D$4:$D$15,#REF!, N12:N23)</f>
        <v>0</v>
      </c>
      <c r="O29" s="18">
        <f>SUMIF($D$4:$D$15,#REF!, O12:O23)</f>
        <v>0</v>
      </c>
      <c r="P29" s="18">
        <f>SUMIF($D$4:$D$15,#REF!, P12:P23)</f>
        <v>0</v>
      </c>
      <c r="Q29" s="47">
        <f>SUMIF($D$4:$D$15,#REF!, Q12:Q23)</f>
        <v>0</v>
      </c>
    </row>
    <row r="30" spans="3:18">
      <c r="C30" s="82" t="s">
        <v>35</v>
      </c>
      <c r="D30" s="83"/>
      <c r="E30" s="46">
        <f>SUMIF($D$4:$D$15,#REF!, E13:E24)</f>
        <v>0</v>
      </c>
      <c r="F30" s="18">
        <f>SUMIF($D$4:$D$15,#REF!, F13:F24)</f>
        <v>0</v>
      </c>
      <c r="G30" s="18">
        <f>SUMIF($D$4:$D$15,#REF!, G13:G24)</f>
        <v>0</v>
      </c>
      <c r="H30" s="18">
        <f>SUMIF($D$4:$D$15,#REF!, H13:H24)</f>
        <v>0</v>
      </c>
      <c r="I30" s="18">
        <f>SUMIF($D$4:$D$15,#REF!, I13:I24)</f>
        <v>0</v>
      </c>
      <c r="J30" s="18">
        <f>SUMIF($D$4:$D$15,#REF!, J13:J24)</f>
        <v>0</v>
      </c>
      <c r="K30" s="18">
        <f>SUMIF($D$4:$D$15,#REF!, K13:K24)</f>
        <v>0</v>
      </c>
      <c r="L30" s="18">
        <f>SUMIF($D$4:$D$15,#REF!, L13:L24)</f>
        <v>0</v>
      </c>
      <c r="M30" s="18">
        <f>SUMIF($D$4:$D$15,#REF!, M13:M24)</f>
        <v>0</v>
      </c>
      <c r="N30" s="18">
        <f>SUMIF($D$4:$D$15,#REF!, N13:N24)</f>
        <v>0</v>
      </c>
      <c r="O30" s="18">
        <f>SUMIF($D$4:$D$15,#REF!, O13:O24)</f>
        <v>0</v>
      </c>
      <c r="P30" s="18">
        <f>SUMIF($D$4:$D$15,#REF!, P13:P24)</f>
        <v>0</v>
      </c>
      <c r="Q30" s="47">
        <f>SUMIF($D$4:$D$15,#REF!, Q13:Q24)</f>
        <v>0</v>
      </c>
    </row>
    <row r="31" spans="3:18">
      <c r="C31" s="82" t="s">
        <v>36</v>
      </c>
      <c r="D31" s="83"/>
      <c r="E31" s="46">
        <f>SUMIF($D$4:$D$15,#REF!, E14:E25)</f>
        <v>0</v>
      </c>
      <c r="F31" s="18">
        <f>SUMIF($D$4:$D$15,#REF!, F14:F25)</f>
        <v>0</v>
      </c>
      <c r="G31" s="18">
        <f>SUMIF($D$4:$D$15,#REF!, G14:G25)</f>
        <v>0</v>
      </c>
      <c r="H31" s="18">
        <f>SUMIF($D$4:$D$15,#REF!, H14:H25)</f>
        <v>0</v>
      </c>
      <c r="I31" s="18">
        <f>SUMIF($D$4:$D$15,#REF!, I14:I25)</f>
        <v>0</v>
      </c>
      <c r="J31" s="18">
        <f>SUMIF($D$4:$D$15,#REF!, J14:J25)</f>
        <v>0</v>
      </c>
      <c r="K31" s="18">
        <f>SUMIF($D$4:$D$15,#REF!, K14:K25)</f>
        <v>0</v>
      </c>
      <c r="L31" s="18">
        <f>SUMIF($D$4:$D$15,#REF!, L14:L25)</f>
        <v>0</v>
      </c>
      <c r="M31" s="18">
        <f>SUMIF($D$4:$D$15,#REF!, M14:M25)</f>
        <v>0</v>
      </c>
      <c r="N31" s="18">
        <f>SUMIF($D$4:$D$15,#REF!, N14:N25)</f>
        <v>0</v>
      </c>
      <c r="O31" s="18">
        <f>SUMIF($D$4:$D$15,#REF!, O14:O25)</f>
        <v>0</v>
      </c>
      <c r="P31" s="18">
        <f>SUMIF($D$4:$D$15,#REF!, P14:P25)</f>
        <v>0</v>
      </c>
      <c r="Q31" s="47">
        <f>SUMIF($D$4:$D$15,#REF!, Q14:Q25)</f>
        <v>0</v>
      </c>
    </row>
    <row r="32" spans="3:18">
      <c r="C32" s="82" t="s">
        <v>37</v>
      </c>
      <c r="D32" s="83"/>
      <c r="E32" s="46">
        <f>SUMIF($D$4:$D$15,#REF!, E15:E26)</f>
        <v>0</v>
      </c>
      <c r="F32" s="18">
        <f>SUMIF($D$4:$D$15,#REF!, F15:F26)</f>
        <v>0</v>
      </c>
      <c r="G32" s="18">
        <f>SUMIF($D$4:$D$15,#REF!, G15:G26)</f>
        <v>0</v>
      </c>
      <c r="H32" s="18">
        <f>SUMIF($D$4:$D$15,#REF!, H15:H26)</f>
        <v>0</v>
      </c>
      <c r="I32" s="18">
        <f>SUMIF($D$4:$D$15,#REF!, I15:I26)</f>
        <v>0</v>
      </c>
      <c r="J32" s="18">
        <f>SUMIF($D$4:$D$15,#REF!, J15:J26)</f>
        <v>0</v>
      </c>
      <c r="K32" s="18">
        <f>SUMIF($D$4:$D$15,#REF!, K15:K26)</f>
        <v>0</v>
      </c>
      <c r="L32" s="18">
        <f>SUMIF($D$4:$D$15,#REF!, L15:L26)</f>
        <v>0</v>
      </c>
      <c r="M32" s="18">
        <f>SUMIF($D$4:$D$15,#REF!, M15:M26)</f>
        <v>0</v>
      </c>
      <c r="N32" s="18">
        <f>SUMIF($D$4:$D$15,#REF!, N15:N26)</f>
        <v>0</v>
      </c>
      <c r="O32" s="18">
        <f>SUMIF($D$4:$D$15,#REF!, O15:O26)</f>
        <v>0</v>
      </c>
      <c r="P32" s="18">
        <f>SUMIF($D$4:$D$15,#REF!, P15:P26)</f>
        <v>0</v>
      </c>
      <c r="Q32" s="47">
        <f>SUMIF($D$4:$D$15,#REF!, Q15:Q26)</f>
        <v>0</v>
      </c>
    </row>
    <row r="33" spans="3:18" ht="13.5" thickBot="1">
      <c r="C33" s="50" t="s">
        <v>40</v>
      </c>
      <c r="D33" s="51"/>
      <c r="E33" s="48">
        <f>SUMIF($D$4:$D$15,#REF!, E16:E27)</f>
        <v>0</v>
      </c>
      <c r="F33" s="25">
        <f>SUMIF($D$4:$D$15,#REF!, F16:F27)</f>
        <v>0</v>
      </c>
      <c r="G33" s="25">
        <f>SUMIF($D$4:$D$15,#REF!, G16:G27)</f>
        <v>0</v>
      </c>
      <c r="H33" s="25">
        <f>SUMIF($D$4:$D$15,#REF!, H16:H27)</f>
        <v>0</v>
      </c>
      <c r="I33" s="25">
        <f>SUMIF($D$4:$D$15,#REF!, I16:I27)</f>
        <v>0</v>
      </c>
      <c r="J33" s="25">
        <f>SUMIF($D$4:$D$15,#REF!, J16:J27)</f>
        <v>0</v>
      </c>
      <c r="K33" s="25">
        <f>SUMIF($D$4:$D$15,#REF!, K16:K27)</f>
        <v>0</v>
      </c>
      <c r="L33" s="25">
        <f>SUMIF($D$4:$D$15,#REF!, L16:L27)</f>
        <v>0</v>
      </c>
      <c r="M33" s="25">
        <f>SUMIF($D$4:$D$15,#REF!, M16:M27)</f>
        <v>0</v>
      </c>
      <c r="N33" s="25">
        <f>SUMIF($D$4:$D$15,#REF!, N16:N27)</f>
        <v>0</v>
      </c>
      <c r="O33" s="25">
        <f>SUMIF($D$4:$D$15,#REF!, O16:O27)</f>
        <v>0</v>
      </c>
      <c r="P33" s="25">
        <f>SUMIF($D$4:$D$15,#REF!, P16:P27)</f>
        <v>0</v>
      </c>
      <c r="Q33" s="49">
        <f>SUMIF($D$4:$D$15,#REF!, Q16:Q27)</f>
        <v>0</v>
      </c>
      <c r="R33" s="37"/>
    </row>
    <row r="34" spans="3:18" ht="15.75" thickBot="1">
      <c r="C34" s="38"/>
      <c r="D34" s="38"/>
      <c r="E34" s="37"/>
      <c r="F34" s="37"/>
      <c r="G34" s="37"/>
      <c r="H34" s="37"/>
      <c r="I34" s="37"/>
      <c r="J34" s="37"/>
      <c r="K34" s="37"/>
      <c r="L34" s="37"/>
      <c r="M34" s="37"/>
      <c r="P34" s="43" t="s">
        <v>39</v>
      </c>
      <c r="Q34" s="44">
        <f>Q29-Q31-Q33</f>
        <v>0</v>
      </c>
      <c r="R34" s="41"/>
    </row>
  </sheetData>
  <sheetProtection formatCells="0" insertRows="0" deleteRows="0"/>
  <mergeCells count="23">
    <mergeCell ref="C32:D32"/>
    <mergeCell ref="C30:D30"/>
    <mergeCell ref="C23:D23"/>
    <mergeCell ref="C24:D24"/>
    <mergeCell ref="C25:D25"/>
    <mergeCell ref="C29:D29"/>
    <mergeCell ref="C31:D31"/>
    <mergeCell ref="C33:D33"/>
    <mergeCell ref="A1:AE1"/>
    <mergeCell ref="A2:A3"/>
    <mergeCell ref="B2:D3"/>
    <mergeCell ref="E2:P2"/>
    <mergeCell ref="R2:R3"/>
    <mergeCell ref="S2:AD2"/>
    <mergeCell ref="C28:D28"/>
    <mergeCell ref="A4:A15"/>
    <mergeCell ref="B4:B9"/>
    <mergeCell ref="C4:C9"/>
    <mergeCell ref="B10:B15"/>
    <mergeCell ref="C10:C15"/>
    <mergeCell ref="C20:D20"/>
    <mergeCell ref="C22:D22"/>
    <mergeCell ref="C21:D21"/>
  </mergeCells>
  <conditionalFormatting sqref="K5:L5">
    <cfRule type="cellIs" dxfId="9" priority="12" operator="greaterThan">
      <formula>$L$4</formula>
    </cfRule>
  </conditionalFormatting>
  <conditionalFormatting sqref="M5">
    <cfRule type="cellIs" dxfId="8" priority="11" operator="greaterThan">
      <formula>$M$4</formula>
    </cfRule>
  </conditionalFormatting>
  <conditionalFormatting sqref="N5">
    <cfRule type="cellIs" dxfId="7" priority="10" operator="greaterThan">
      <formula>$N$4</formula>
    </cfRule>
  </conditionalFormatting>
  <conditionalFormatting sqref="O5">
    <cfRule type="cellIs" dxfId="6" priority="9" operator="greaterThan">
      <formula>$O$4</formula>
    </cfRule>
  </conditionalFormatting>
  <conditionalFormatting sqref="P5">
    <cfRule type="cellIs" dxfId="5" priority="8" operator="greaterThan">
      <formula>$P$4</formula>
    </cfRule>
  </conditionalFormatting>
  <conditionalFormatting sqref="M11">
    <cfRule type="cellIs" dxfId="4" priority="7" operator="greaterThan">
      <formula>$M$10</formula>
    </cfRule>
  </conditionalFormatting>
  <conditionalFormatting sqref="Q26">
    <cfRule type="cellIs" dxfId="3" priority="3" operator="greaterThan">
      <formula>-411448.49</formula>
    </cfRule>
    <cfRule type="cellIs" dxfId="2" priority="6" operator="lessThan">
      <formula>-411448.49</formula>
    </cfRule>
  </conditionalFormatting>
  <conditionalFormatting sqref="Q34">
    <cfRule type="cellIs" dxfId="1" priority="1" operator="greaterThan">
      <formula>-411448.49</formula>
    </cfRule>
    <cfRule type="cellIs" dxfId="0" priority="2" operator="lessThan">
      <formula>-411448.49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313B8850C42248B2A2BE610EA033BA" ma:contentTypeVersion="0" ma:contentTypeDescription="Crie um novo documento." ma:contentTypeScope="" ma:versionID="b5c4efacdbf300a640df34cd0181153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951105-F778-40FD-AAA0-29887ED464C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4AFB49C-3923-4473-8FAC-27C83DC1BC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936A86-9ED2-4EE5-8182-E2B100547A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MENDES MAINA BEGLIOMINI</dc:creator>
  <cp:lastModifiedBy>THALITA MENDES MAINA BEGLIOMINI</cp:lastModifiedBy>
  <dcterms:created xsi:type="dcterms:W3CDTF">2013-09-16T18:42:10Z</dcterms:created>
  <dcterms:modified xsi:type="dcterms:W3CDTF">2015-06-23T13:55:06Z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0x0101005C313B8850C42248B2A2BE610EA033BA</vt:lpwstr>
  </property>
</Properties>
</file>