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70" windowHeight="7305"/>
  </bookViews>
  <sheets>
    <sheet name="Racional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F10" i="1"/>
  <c r="F17" i="1" s="1"/>
  <c r="G10" i="1"/>
  <c r="B11" i="1"/>
  <c r="B10" i="1"/>
  <c r="I6" i="1"/>
  <c r="I8" i="1" s="1"/>
  <c r="H6" i="1"/>
  <c r="H8" i="1" s="1"/>
  <c r="G6" i="1"/>
  <c r="F6" i="1"/>
  <c r="H23" i="1" s="1"/>
  <c r="B6" i="1"/>
  <c r="F8" i="1" l="1"/>
  <c r="G8" i="1"/>
  <c r="G13" i="1" s="1"/>
  <c r="F12" i="1"/>
  <c r="F14" i="1"/>
  <c r="F13" i="1"/>
  <c r="B12" i="1"/>
  <c r="F19" i="1" l="1"/>
  <c r="F20" i="1"/>
  <c r="F18" i="1"/>
  <c r="F15" i="1"/>
  <c r="G14" i="1"/>
  <c r="G15" i="1"/>
  <c r="B15" i="1"/>
  <c r="B14" i="1"/>
  <c r="B13" i="1"/>
  <c r="F21" i="1" l="1"/>
  <c r="F23" i="1"/>
</calcChain>
</file>

<file path=xl/comments1.xml><?xml version="1.0" encoding="utf-8"?>
<comments xmlns="http://schemas.openxmlformats.org/spreadsheetml/2006/main">
  <authors>
    <author>usr</author>
  </authors>
  <commentList>
    <comment ref="F10" authorId="0">
      <text>
        <r>
          <rPr>
            <b/>
            <sz val="9"/>
            <color indexed="81"/>
            <rFont val="Tahoma"/>
            <family val="2"/>
          </rPr>
          <t>usr:</t>
        </r>
        <r>
          <rPr>
            <sz val="9"/>
            <color indexed="81"/>
            <rFont val="Tahoma"/>
            <family val="2"/>
          </rPr>
          <t xml:space="preserve">
15% Antonio Rodrigues
1 mês Felipe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usr:</t>
        </r>
        <r>
          <rPr>
            <sz val="9"/>
            <color indexed="81"/>
            <rFont val="Tahoma"/>
            <family val="2"/>
          </rPr>
          <t xml:space="preserve">
35% Antonio Rodrigues
1 mês Felipe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Soma de TODAS as despesas até 07-08-15</t>
        </r>
      </text>
    </comment>
  </commentList>
</comments>
</file>

<file path=xl/sharedStrings.xml><?xml version="1.0" encoding="utf-8"?>
<sst xmlns="http://schemas.openxmlformats.org/spreadsheetml/2006/main" count="57" uniqueCount="46">
  <si>
    <t>Valor Cobrado</t>
  </si>
  <si>
    <t>Imposto Efetivo</t>
  </si>
  <si>
    <t>*** RACIONAL PARA OS SÓCIOS ***</t>
  </si>
  <si>
    <t>LUCRO</t>
  </si>
  <si>
    <t>MALUF</t>
  </si>
  <si>
    <t>BERTASI</t>
  </si>
  <si>
    <t>CHACON</t>
  </si>
  <si>
    <t>IMPOSTO</t>
  </si>
  <si>
    <t>SETUP</t>
  </si>
  <si>
    <t>FINAL</t>
  </si>
  <si>
    <t>4 parcelas 15% / 35% / 35% / 15%</t>
  </si>
  <si>
    <t>(10,26% de imposto)</t>
  </si>
  <si>
    <t>Despesas CHACON</t>
  </si>
  <si>
    <t>Despesas BERTASI</t>
  </si>
  <si>
    <t>Despesas MALUF</t>
  </si>
  <si>
    <t>Custo Antonio</t>
  </si>
  <si>
    <t>Custo Felipe</t>
  </si>
  <si>
    <t>LUCRO CHACON</t>
  </si>
  <si>
    <t>LUCRO BERTASI</t>
  </si>
  <si>
    <t>LUCRO MALUF</t>
  </si>
  <si>
    <t>80 horas a 175,00</t>
  </si>
  <si>
    <t>3.000 por mês (3 meses)</t>
  </si>
  <si>
    <t>INTERMEDIARIA 1</t>
  </si>
  <si>
    <t>INTERMEDIARIA 2</t>
  </si>
  <si>
    <t>CUSTOS</t>
  </si>
  <si>
    <t>DESPESAS</t>
  </si>
  <si>
    <t>FATURA EMITIDA</t>
  </si>
  <si>
    <t>Estacionamentos (1 mês cheio + 2/3 de mês)</t>
  </si>
  <si>
    <t>Estacionamento (1 mês) + Estacionamento Café Agenor</t>
  </si>
  <si>
    <t>PAGAR PARA ANTONIO</t>
  </si>
  <si>
    <t>GUARDAR DE IMPOSTO</t>
  </si>
  <si>
    <t>Estacionamentos (2,5 meses + 1 avulso) + Café Agenor + 1000 Felipe</t>
  </si>
  <si>
    <t>Chacon guardar!</t>
  </si>
  <si>
    <t>Chacon pagar Antonio!</t>
  </si>
  <si>
    <t>Chacon transferir para SUA conta pessoal</t>
  </si>
  <si>
    <t>Chacon transferir para conta empresa Bertasi</t>
  </si>
  <si>
    <t>Chacon transferir para conta empresa Maluf</t>
  </si>
  <si>
    <t>FELIPE JÁ PAGO</t>
  </si>
  <si>
    <t>PAGAR CHACON PF</t>
  </si>
  <si>
    <t>OK - Chacon já pagou pela conta da empresa em 05-Ago</t>
  </si>
  <si>
    <t>Notas Emitidas</t>
  </si>
  <si>
    <t>Soma</t>
  </si>
  <si>
    <t>Rateio NATURA</t>
  </si>
  <si>
    <t>PAGAR EMPRESA DO BERTASI</t>
  </si>
  <si>
    <t>PAGAR EMPRESA DO MALUF</t>
  </si>
  <si>
    <t>FATURA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</si>
</sst>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vertical="center"/>
    </xf>
    <xf numFmtId="44" fontId="4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4" fillId="0" borderId="0" xfId="0" applyNumberFormat="1" applyFont="1" applyAlignment="1">
      <alignment vertical="center"/>
    </xf>
    <xf numFmtId="44" fontId="3" fillId="2" borderId="1" xfId="0" applyNumberFormat="1" applyFont="1" applyFill="1" applyBorder="1" applyAlignment="1">
      <alignment vertical="center"/>
    </xf>
    <xf numFmtId="10" fontId="3" fillId="2" borderId="1" xfId="1" quotePrefix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9" fontId="7" fillId="4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9" fontId="6" fillId="0" borderId="1" xfId="2" applyFont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44" fontId="6" fillId="0" borderId="1" xfId="0" applyNumberFormat="1" applyFont="1" applyBorder="1" applyAlignment="1">
      <alignment vertical="center"/>
    </xf>
    <xf numFmtId="44" fontId="0" fillId="0" borderId="0" xfId="0" applyNumberFormat="1"/>
    <xf numFmtId="9" fontId="7" fillId="4" borderId="1" xfId="0" applyNumberFormat="1" applyFont="1" applyFill="1" applyBorder="1" applyAlignment="1">
      <alignment horizontal="left" vertical="center" indent="1"/>
    </xf>
    <xf numFmtId="44" fontId="8" fillId="0" borderId="0" xfId="0" applyNumberFormat="1" applyFont="1" applyAlignment="1">
      <alignment vertical="center"/>
    </xf>
    <xf numFmtId="44" fontId="3" fillId="0" borderId="2" xfId="0" applyNumberFormat="1" applyFont="1" applyBorder="1" applyAlignment="1">
      <alignment horizontal="center" vertical="center"/>
    </xf>
    <xf numFmtId="44" fontId="3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5" fillId="5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0" fontId="9" fillId="0" borderId="1" xfId="1" quotePrefix="1" applyNumberFormat="1" applyFont="1" applyBorder="1" applyAlignment="1">
      <alignment horizontal="left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showGridLines="0" tabSelected="1" workbookViewId="0">
      <selection sqref="A1:I1"/>
    </sheetView>
  </sheetViews>
  <sheetFormatPr defaultRowHeight="15" x14ac:dyDescent="0.25"/>
  <cols>
    <col min="1" max="1" width="17.85546875" style="1" bestFit="1" customWidth="1"/>
    <col min="2" max="2" width="15.7109375" style="1" customWidth="1"/>
    <col min="3" max="3" width="47.28515625" style="1" bestFit="1" customWidth="1"/>
    <col min="4" max="4" width="3.7109375" style="1" customWidth="1"/>
    <col min="5" max="5" width="24" style="1" customWidth="1"/>
    <col min="6" max="6" width="12.5703125" style="1" bestFit="1" customWidth="1"/>
    <col min="7" max="8" width="13.28515625" bestFit="1" customWidth="1"/>
    <col min="9" max="9" width="13.140625" customWidth="1"/>
  </cols>
  <sheetData>
    <row r="1" spans="1:10" ht="27" customHeight="1" x14ac:dyDescent="0.25">
      <c r="A1" s="22" t="s">
        <v>42</v>
      </c>
      <c r="B1" s="23"/>
      <c r="C1" s="23"/>
      <c r="D1" s="23"/>
      <c r="E1" s="23"/>
      <c r="F1" s="23"/>
      <c r="G1" s="23"/>
      <c r="H1" s="23"/>
      <c r="I1" s="23"/>
    </row>
    <row r="2" spans="1:10" ht="15.75" customHeight="1" x14ac:dyDescent="0.25">
      <c r="A2"/>
      <c r="B2"/>
      <c r="C2"/>
      <c r="D2"/>
      <c r="E2"/>
      <c r="F2"/>
    </row>
    <row r="3" spans="1:10" x14ac:dyDescent="0.25">
      <c r="E3" s="4"/>
      <c r="F3" s="9" t="s">
        <v>8</v>
      </c>
      <c r="G3" s="9" t="s">
        <v>22</v>
      </c>
      <c r="H3" s="9" t="s">
        <v>23</v>
      </c>
      <c r="I3" s="9" t="s">
        <v>9</v>
      </c>
    </row>
    <row r="4" spans="1:10" x14ac:dyDescent="0.25">
      <c r="A4" s="10" t="s">
        <v>2</v>
      </c>
      <c r="B4" s="11"/>
      <c r="C4" s="11"/>
      <c r="F4" s="12">
        <v>0.15</v>
      </c>
      <c r="G4" s="12">
        <v>0.35</v>
      </c>
      <c r="H4" s="12">
        <v>0.35</v>
      </c>
      <c r="I4" s="12">
        <v>0.15</v>
      </c>
    </row>
    <row r="5" spans="1:10" x14ac:dyDescent="0.25">
      <c r="A5" s="7" t="s">
        <v>0</v>
      </c>
      <c r="B5" s="3">
        <v>137312</v>
      </c>
      <c r="C5" s="24" t="s">
        <v>10</v>
      </c>
      <c r="F5" s="13" t="s">
        <v>26</v>
      </c>
      <c r="G5" s="13" t="s">
        <v>26</v>
      </c>
      <c r="H5" s="9" t="s">
        <v>45</v>
      </c>
      <c r="I5" s="9" t="s">
        <v>45</v>
      </c>
    </row>
    <row r="6" spans="1:10" x14ac:dyDescent="0.25">
      <c r="A6" s="7" t="s">
        <v>1</v>
      </c>
      <c r="B6" s="2">
        <f>-B5*0.1026</f>
        <v>-14088.2112</v>
      </c>
      <c r="C6" s="24" t="s">
        <v>11</v>
      </c>
      <c r="F6" s="14">
        <f>F4*$B$5</f>
        <v>20596.8</v>
      </c>
      <c r="G6" s="14">
        <f t="shared" ref="G6:I6" si="0">G4*$B$5</f>
        <v>48059.199999999997</v>
      </c>
      <c r="H6" s="14">
        <f t="shared" si="0"/>
        <v>48059.199999999997</v>
      </c>
      <c r="I6" s="14">
        <f t="shared" si="0"/>
        <v>20596.8</v>
      </c>
    </row>
    <row r="7" spans="1:10" x14ac:dyDescent="0.25">
      <c r="A7" s="7" t="s">
        <v>15</v>
      </c>
      <c r="B7" s="2">
        <v>-14000</v>
      </c>
      <c r="C7" s="24" t="s">
        <v>20</v>
      </c>
      <c r="F7" s="9" t="s">
        <v>7</v>
      </c>
      <c r="G7" s="9" t="s">
        <v>7</v>
      </c>
      <c r="H7" s="9" t="s">
        <v>7</v>
      </c>
      <c r="I7" s="9" t="s">
        <v>7</v>
      </c>
    </row>
    <row r="8" spans="1:10" x14ac:dyDescent="0.25">
      <c r="A8" s="7" t="s">
        <v>16</v>
      </c>
      <c r="B8" s="2">
        <v>-9000</v>
      </c>
      <c r="C8" s="24" t="s">
        <v>21</v>
      </c>
      <c r="E8" s="4"/>
      <c r="F8" s="14">
        <f>-F6*0.1026</f>
        <v>-2113.2316799999999</v>
      </c>
      <c r="G8" s="14">
        <f>-G6*0.1026</f>
        <v>-4930.87392</v>
      </c>
      <c r="H8" s="14">
        <f>-H6*0.1026</f>
        <v>-4930.87392</v>
      </c>
      <c r="I8" s="14">
        <f>-I6*0.1026</f>
        <v>-2113.2316799999999</v>
      </c>
    </row>
    <row r="9" spans="1:10" x14ac:dyDescent="0.25">
      <c r="A9" s="7" t="s">
        <v>12</v>
      </c>
      <c r="B9" s="2">
        <f>-1494.3</f>
        <v>-1494.3</v>
      </c>
      <c r="C9" s="24" t="s">
        <v>31</v>
      </c>
      <c r="E9" s="4"/>
      <c r="F9" s="9" t="s">
        <v>24</v>
      </c>
      <c r="G9" s="9" t="s">
        <v>24</v>
      </c>
      <c r="H9" s="9" t="s">
        <v>24</v>
      </c>
      <c r="I9" s="9" t="s">
        <v>24</v>
      </c>
    </row>
    <row r="10" spans="1:10" x14ac:dyDescent="0.25">
      <c r="A10" s="7" t="s">
        <v>13</v>
      </c>
      <c r="B10" s="2">
        <f>-475</f>
        <v>-475</v>
      </c>
      <c r="C10" s="24" t="s">
        <v>27</v>
      </c>
      <c r="E10" s="4"/>
      <c r="F10" s="14">
        <f>-3000-(0.15*14000)</f>
        <v>-5100</v>
      </c>
      <c r="G10" s="14">
        <f>-3000-(0.35*14000)</f>
        <v>-7900</v>
      </c>
      <c r="H10" s="2"/>
      <c r="I10" s="2"/>
      <c r="J10" s="4"/>
    </row>
    <row r="11" spans="1:10" x14ac:dyDescent="0.25">
      <c r="A11" s="7" t="s">
        <v>14</v>
      </c>
      <c r="B11" s="2">
        <f>-285-41</f>
        <v>-326</v>
      </c>
      <c r="C11" s="24" t="s">
        <v>28</v>
      </c>
      <c r="E11" s="4"/>
      <c r="F11" s="9" t="s">
        <v>25</v>
      </c>
      <c r="G11" s="9" t="s">
        <v>25</v>
      </c>
      <c r="H11" s="9" t="s">
        <v>25</v>
      </c>
      <c r="I11" s="9" t="s">
        <v>25</v>
      </c>
      <c r="J11" s="4"/>
    </row>
    <row r="12" spans="1:10" x14ac:dyDescent="0.25">
      <c r="A12" s="8" t="s">
        <v>3</v>
      </c>
      <c r="B12" s="5">
        <f>SUM(B5:B11)</f>
        <v>97928.488799999992</v>
      </c>
      <c r="C12" s="6"/>
      <c r="F12" s="14">
        <f>SUM(B9:B11)</f>
        <v>-2295.3000000000002</v>
      </c>
      <c r="G12" s="2"/>
      <c r="H12" s="2"/>
      <c r="I12" s="2"/>
    </row>
    <row r="13" spans="1:10" x14ac:dyDescent="0.25">
      <c r="A13" s="8" t="s">
        <v>17</v>
      </c>
      <c r="B13" s="5">
        <f>$B$12*C13</f>
        <v>48964.244399999996</v>
      </c>
      <c r="C13" s="6">
        <v>0.5</v>
      </c>
      <c r="E13" s="16" t="s">
        <v>6</v>
      </c>
      <c r="F13" s="14">
        <f>($F$6+$F$8+$F$10+$F$12)*C13</f>
        <v>5544.1341599999996</v>
      </c>
      <c r="G13" s="14">
        <f>($G$6+$G$8+$G$10+$G$12)*C13</f>
        <v>17614.163039999999</v>
      </c>
      <c r="H13" s="2"/>
      <c r="I13" s="2"/>
    </row>
    <row r="14" spans="1:10" x14ac:dyDescent="0.25">
      <c r="A14" s="8" t="s">
        <v>18</v>
      </c>
      <c r="B14" s="5">
        <f>$B$12*C14</f>
        <v>24482.122199999998</v>
      </c>
      <c r="C14" s="6">
        <v>0.25</v>
      </c>
      <c r="E14" s="16" t="s">
        <v>5</v>
      </c>
      <c r="F14" s="14">
        <f t="shared" ref="F14:F15" si="1">($F$6+$F$8+$F$10+$F$12)*C14</f>
        <v>2772.0670799999998</v>
      </c>
      <c r="G14" s="14">
        <f t="shared" ref="G14:G15" si="2">($G$6+$G$8+$G$10+$G$12)*C14</f>
        <v>8807.0815199999997</v>
      </c>
      <c r="H14" s="2"/>
      <c r="I14" s="2"/>
    </row>
    <row r="15" spans="1:10" x14ac:dyDescent="0.25">
      <c r="A15" s="8" t="s">
        <v>19</v>
      </c>
      <c r="B15" s="5">
        <f t="shared" ref="B15" si="3">$B$12*C15</f>
        <v>24482.122199999998</v>
      </c>
      <c r="C15" s="6">
        <v>0.25</v>
      </c>
      <c r="E15" s="16" t="s">
        <v>4</v>
      </c>
      <c r="F15" s="14">
        <f t="shared" si="1"/>
        <v>2772.0670799999998</v>
      </c>
      <c r="G15" s="14">
        <f t="shared" si="2"/>
        <v>8807.0815199999997</v>
      </c>
      <c r="H15" s="2"/>
      <c r="I15" s="2"/>
    </row>
    <row r="17" spans="3:9" x14ac:dyDescent="0.25">
      <c r="E17" s="16" t="s">
        <v>29</v>
      </c>
      <c r="F17" s="18">
        <f>((F10+3000)+(G10+3000))*-1</f>
        <v>7000</v>
      </c>
      <c r="G17" s="19"/>
      <c r="H17" s="17" t="s">
        <v>33</v>
      </c>
    </row>
    <row r="18" spans="3:9" x14ac:dyDescent="0.25">
      <c r="C18" s="4"/>
      <c r="E18" s="16" t="s">
        <v>30</v>
      </c>
      <c r="F18" s="18">
        <f>-1*(F8+G8)</f>
        <v>7044.1055999999999</v>
      </c>
      <c r="G18" s="19"/>
      <c r="H18" s="17" t="s">
        <v>32</v>
      </c>
    </row>
    <row r="19" spans="3:9" x14ac:dyDescent="0.25">
      <c r="C19" s="4"/>
      <c r="E19" s="16" t="s">
        <v>38</v>
      </c>
      <c r="F19" s="18">
        <f>SUM(F13:G13)+(-1*B9)+1000</f>
        <v>25652.5972</v>
      </c>
      <c r="G19" s="19"/>
      <c r="H19" s="17" t="s">
        <v>34</v>
      </c>
    </row>
    <row r="20" spans="3:9" x14ac:dyDescent="0.25">
      <c r="E20" s="16" t="s">
        <v>43</v>
      </c>
      <c r="F20" s="18">
        <f>F14+G14+(-1*B10)+1000</f>
        <v>13054.1486</v>
      </c>
      <c r="G20" s="19"/>
      <c r="H20" s="17" t="s">
        <v>35</v>
      </c>
    </row>
    <row r="21" spans="3:9" x14ac:dyDescent="0.25">
      <c r="E21" s="16" t="s">
        <v>44</v>
      </c>
      <c r="F21" s="18">
        <f>F15+G15+(-1*B11)+1000</f>
        <v>12905.1486</v>
      </c>
      <c r="G21" s="19"/>
      <c r="H21" s="17" t="s">
        <v>36</v>
      </c>
    </row>
    <row r="22" spans="3:9" x14ac:dyDescent="0.25">
      <c r="E22" s="16" t="s">
        <v>37</v>
      </c>
      <c r="F22" s="18">
        <v>3000</v>
      </c>
      <c r="G22" s="19"/>
      <c r="H22" s="17" t="s">
        <v>39</v>
      </c>
      <c r="I22" s="15"/>
    </row>
    <row r="23" spans="3:9" x14ac:dyDescent="0.25">
      <c r="F23" s="21">
        <f>SUM(F17:G22)</f>
        <v>68656</v>
      </c>
      <c r="G23" s="21"/>
      <c r="H23" s="21">
        <f>F6+G6</f>
        <v>68656</v>
      </c>
      <c r="I23" s="21"/>
    </row>
    <row r="24" spans="3:9" x14ac:dyDescent="0.25">
      <c r="F24" s="20" t="s">
        <v>41</v>
      </c>
      <c r="G24" s="20"/>
      <c r="H24" s="20" t="s">
        <v>40</v>
      </c>
      <c r="I24" s="20"/>
    </row>
  </sheetData>
  <mergeCells count="12">
    <mergeCell ref="F22:G22"/>
    <mergeCell ref="F23:G23"/>
    <mergeCell ref="F24:G24"/>
    <mergeCell ref="A1:I1"/>
    <mergeCell ref="H23:I23"/>
    <mergeCell ref="H24:I24"/>
    <mergeCell ref="F17:G17"/>
    <mergeCell ref="F18:G18"/>
    <mergeCell ref="F19:G19"/>
    <mergeCell ref="F20:G20"/>
    <mergeCell ref="F21:G21"/>
    <mergeCell ref="A4:C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Racional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Adolpho Chacon</dc:creator>
  <cp:lastModifiedBy>usr</cp:lastModifiedBy>
  <dcterms:created xsi:type="dcterms:W3CDTF">2015-07-02T19:10:34Z</dcterms:created>
  <dcterms:modified xsi:type="dcterms:W3CDTF">2015-08-07T03:40:28Z</dcterms:modified>
</cp:coreProperties>
</file>