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9095" windowHeight="8445"/>
  </bookViews>
  <sheets>
    <sheet name="Inicio" sheetId="1" r:id="rId1"/>
    <sheet name="Topologias" sheetId="2" r:id="rId2"/>
    <sheet name="REDES" sheetId="3" r:id="rId3"/>
    <sheet name="MICROSOFT" sheetId="4" r:id="rId4"/>
    <sheet name="TELECOM" sheetId="5" r:id="rId5"/>
    <sheet name="GRAVAÇÃO" sheetId="6" r:id="rId6"/>
    <sheet name="APLICAÇÕES" sheetId="7" r:id="rId7"/>
    <sheet name="LAYOUT" sheetId="11" r:id="rId8"/>
    <sheet name="ACIONAMENTOS" sheetId="9" r:id="rId9"/>
    <sheet name="PROCESSOS" sheetId="10" r:id="rId10"/>
  </sheets>
  <calcPr calcId="125725"/>
</workbook>
</file>

<file path=xl/calcChain.xml><?xml version="1.0" encoding="utf-8"?>
<calcChain xmlns="http://schemas.openxmlformats.org/spreadsheetml/2006/main">
  <c r="R7" i="5"/>
  <c r="R6" i="10"/>
  <c r="R6" i="9"/>
  <c r="R6" i="11"/>
  <c r="R6" i="7"/>
  <c r="R6" i="6"/>
  <c r="R6" i="5"/>
  <c r="R6" i="4"/>
  <c r="R6" i="3"/>
  <c r="R6" i="2"/>
  <c r="R6" i="1"/>
  <c r="L6" s="1"/>
  <c r="M6"/>
</calcChain>
</file>

<file path=xl/sharedStrings.xml><?xml version="1.0" encoding="utf-8"?>
<sst xmlns="http://schemas.openxmlformats.org/spreadsheetml/2006/main" count="196" uniqueCount="139">
  <si>
    <t>&lt;&lt;&lt;&lt;AGORA</t>
  </si>
  <si>
    <t xml:space="preserve">Bom Dia! </t>
  </si>
  <si>
    <t>Boa Tarde!</t>
  </si>
  <si>
    <t>Boa Noite!</t>
  </si>
  <si>
    <t/>
  </si>
  <si>
    <t>Operação:</t>
  </si>
  <si>
    <t>Site:</t>
  </si>
  <si>
    <t>Quant. de PA´s:</t>
  </si>
  <si>
    <t>Links</t>
  </si>
  <si>
    <t>Operadora</t>
  </si>
  <si>
    <t>Titularidade</t>
  </si>
  <si>
    <t>Tipo</t>
  </si>
  <si>
    <t>Velocidade</t>
  </si>
  <si>
    <t>Equipamento</t>
  </si>
  <si>
    <t>Porta</t>
  </si>
  <si>
    <t>Roteador</t>
  </si>
  <si>
    <t>Vlans</t>
  </si>
  <si>
    <t>Rede</t>
  </si>
  <si>
    <t>Máscara</t>
  </si>
  <si>
    <t>Gateway</t>
  </si>
  <si>
    <t>Hosts</t>
  </si>
  <si>
    <t>Name</t>
  </si>
  <si>
    <t>ID</t>
  </si>
  <si>
    <t>Roteamento</t>
  </si>
  <si>
    <t>Origem</t>
  </si>
  <si>
    <t>Destino</t>
  </si>
  <si>
    <t>Bloco:</t>
  </si>
  <si>
    <t>Andar:</t>
  </si>
  <si>
    <t>Gerente da Operação:</t>
  </si>
  <si>
    <t>Horário da Operação:</t>
  </si>
  <si>
    <t>Tipo de Operação:</t>
  </si>
  <si>
    <t>DAC:</t>
  </si>
  <si>
    <t>UNIDADE ORGANIZACIONAL - OU</t>
  </si>
  <si>
    <t xml:space="preserve">SCRIPT LOGON </t>
  </si>
  <si>
    <t>PROXY OPERAÇÃO</t>
  </si>
  <si>
    <t>GPO - GERENCIA DE POLITICAS DE OBJETOS</t>
  </si>
  <si>
    <t>Emissão Inicial</t>
  </si>
  <si>
    <t xml:space="preserve">Data </t>
  </si>
  <si>
    <t>Área</t>
  </si>
  <si>
    <t>Elaborado por</t>
  </si>
  <si>
    <t>Validado por</t>
  </si>
  <si>
    <t>Revisão</t>
  </si>
  <si>
    <t>Data</t>
  </si>
  <si>
    <t>Descrição da Revisão</t>
  </si>
  <si>
    <t>Revisador por</t>
  </si>
  <si>
    <t>SAC</t>
  </si>
  <si>
    <t>Aplicativos</t>
  </si>
  <si>
    <t>TN´s</t>
  </si>
  <si>
    <t>VDN</t>
  </si>
  <si>
    <t>Marca</t>
  </si>
  <si>
    <t>Skill</t>
  </si>
  <si>
    <t>Modelo</t>
  </si>
  <si>
    <t>Tecnologia</t>
  </si>
  <si>
    <t>Gabinetes (quantidade)</t>
  </si>
  <si>
    <t>Identificação dos Gabinetes
(n° do ativo)</t>
  </si>
  <si>
    <t>IP AES</t>
  </si>
  <si>
    <t>Ramais</t>
  </si>
  <si>
    <t>E1</t>
  </si>
  <si>
    <t>Número</t>
  </si>
  <si>
    <t>Descrição</t>
  </si>
  <si>
    <t>Canais</t>
  </si>
  <si>
    <t>Concessionária</t>
  </si>
  <si>
    <t>Rio Comprido e Mackenzie</t>
  </si>
  <si>
    <t>GNF</t>
  </si>
  <si>
    <t>DAC DC Alphaville</t>
  </si>
  <si>
    <t>Thiago Ferreira</t>
  </si>
  <si>
    <t>CSE Projetos</t>
  </si>
  <si>
    <t>Cristiani Girardin Pimentel Furtado - (21) 98811-0011</t>
  </si>
  <si>
    <t>24h</t>
  </si>
  <si>
    <t>Oi</t>
  </si>
  <si>
    <t>Contax</t>
  </si>
  <si>
    <t>15Mbps</t>
  </si>
  <si>
    <t>P2P</t>
  </si>
  <si>
    <t>Hit Telecom</t>
  </si>
  <si>
    <t>10.201.14.21</t>
  </si>
  <si>
    <t>Designação</t>
  </si>
  <si>
    <t>RC - RJO9005697 / GNF - RJO9005699</t>
  </si>
  <si>
    <t>proxyctx.gtm.contax-br.contax.root:8080</t>
  </si>
  <si>
    <t>MAQUINA: WKS_COMPUTADORES_RJOPF_GNF_HOST
USER: USR_RJOPF_OPERBLOCK_GNF_W7
      USR_RJOPF_GNF_BackOffice
      USR_RJOPF_GNF_Supervisores</t>
  </si>
  <si>
    <t>Caminho do pac = \\contax-br.contax.root\netlogon\Brasil\Proxy\USR_RJOPF_PROXY_GERAL.pac</t>
  </si>
  <si>
    <r>
      <rPr>
        <b/>
        <sz val="11"/>
        <color theme="1"/>
        <rFont val="Calibri"/>
        <family val="2"/>
        <scheme val="minor"/>
      </rPr>
      <t>grupo (AD) = WEB-CTXBR-RJOPF-GNF-BackOffice
##ESTRUTURA DE AD
OU de Operação - contax-br.contax.root/Contax/RJOPF/Usuarios/Operacoes/GNF/Operadores/BackOffice
OU de Supervisão - contax-br.contax.root/Contax/RJOPF/Usuarios/Operacoes/GNF/Supervisores
OU de Computadores - contax-br.contax.root/Computadores/RJOPF/Operacoes/GNF</t>
    </r>
    <r>
      <rPr>
        <b/>
        <i/>
        <sz val="11"/>
        <color theme="1"/>
        <rFont val="Calibri"/>
        <family val="2"/>
        <scheme val="minor"/>
      </rPr>
      <t xml:space="preserve">
</t>
    </r>
  </si>
  <si>
    <t>ARQUIVO HOST</t>
  </si>
  <si>
    <t>TMG regra: (341) WEB-CTXBR-RJOPF-GNF-BackOffice</t>
  </si>
  <si>
    <t>CONFIG DAS MÁQUINAS</t>
  </si>
  <si>
    <t>##config de maquinas
Arquivo host - \\contax-br.contax.root\NETLOGON\RJOPF\file\GNF\hosts
Bloco de notas - \\contax-br.contax.root\NETLOGON\RJOPF\file\GNF\blocodenotas.exe</t>
  </si>
  <si>
    <t>GRUPO DE ACESSO / FILE SERVER</t>
  </si>
  <si>
    <t>CAMINHO: \\fssctx01rjopf\OPER\GNF\Coordenacao
GRUPO LEITURA E GRAVAÇÃO: NTFS_RJOPF_FSSCTX01RJOPF_GNF_COORD_MODIFY
GRUPO LEITURA: NTFS_RJOPF_FSSCTX01RJOPF_GNF_COORD_READ
CAMINHO:\\fssctx01rjopf\OPER\GNF\Supervisao
GRUPO LEITURA E GRAVAÇÃO: NTFS_RJOPF_FSSCTX01RJOPF_GNF_SUP_MODIFY
GRUPO LEITURA: NTFS_RJOPF_FSSCTX01RJOPF_GNF_SUP_READ
CAMINHO:\\fssctx01rjopf\OPER\GNF\Operacao
GRUPO LEITURA E GRAVAÇÃO: NTFS_RJOPF_FSSCTX01RJOPF_GNF_OPER_MODIFY
GRUPO LEITURA: NTFS_RJOPF_FSSCTX01RJOPF_GNF_OPER_READ</t>
  </si>
  <si>
    <t>NICE 2.0 - DAC, PROWLER E GRAVADOR NO DC ALPHAVILLE</t>
  </si>
  <si>
    <t>IPS / URLs</t>
  </si>
  <si>
    <t>10.14.178.3 - franquicias.net.gasnaturalfenosa.com</t>
  </si>
  <si>
    <t>10.14.178.4 - sbrpdb03p01.br.gasnatural.com</t>
  </si>
  <si>
    <t>10.14.178.5 - scrmprd2.br.gasnatural.com</t>
  </si>
  <si>
    <t>10.14.178.6 - scrmdb.br.gasnatural.com</t>
  </si>
  <si>
    <t>10.14.178.9 - scrmdb.br.gasnatural.com</t>
  </si>
  <si>
    <t>10.14.178.11 - psmlwebbradr.br.gasnatural.com</t>
  </si>
  <si>
    <t>10.14.178.1 - ibcbraa1.intranet.gasnatural.com</t>
  </si>
  <si>
    <t>10.14.178.2 - brasil_crm2.intranet.gasnatural.com</t>
  </si>
  <si>
    <t xml:space="preserve">10.14.178.3 - franquicias.net.gasnaturalfenosa.com    </t>
  </si>
  <si>
    <t>10.14.178.5 - vipa_brasil.intranet.gasnatural.com</t>
  </si>
  <si>
    <t>10.14.178.6 - scrmprd1.br.gasnatural.com</t>
  </si>
  <si>
    <t>10.14.178.7 - scrmprd2.br.gasnatural.com</t>
  </si>
  <si>
    <t>10.14.178.8 - scrmhom.br.gasnatural.com</t>
  </si>
  <si>
    <t>10.14.178.2 - braccess.intranet.gasnatural.com</t>
  </si>
  <si>
    <t>ATALHOS</t>
  </si>
  <si>
    <t>SUPERVISÃO</t>
  </si>
  <si>
    <t>OPERAÇÃO</t>
  </si>
  <si>
    <t>Sem desig. específica (Falar Sites: RC/GNF)</t>
  </si>
  <si>
    <t>Avaya</t>
  </si>
  <si>
    <t>21A</t>
  </si>
  <si>
    <t>Tenant 3</t>
  </si>
  <si>
    <t>DAC DC ALPHAVILLE - 10.200.12.23</t>
  </si>
  <si>
    <t xml:space="preserve">11 3995-4840 </t>
  </si>
  <si>
    <t>IDT - Alphaville</t>
  </si>
  <si>
    <t xml:space="preserve"> IDTALPHA03</t>
  </si>
  <si>
    <t>MENU</t>
  </si>
  <si>
    <t>601201000 a 601201000</t>
  </si>
  <si>
    <t>Detalhamento:</t>
  </si>
  <si>
    <t>\\10.5.0.12\Suporte Terceiro Nivel\Telecom\DOCUMENTAÇÃO - CONTAX 2.0</t>
  </si>
  <si>
    <t>Equipe CSE que implantou o projeto:</t>
  </si>
  <si>
    <t>10.14.90.0</t>
  </si>
  <si>
    <t>255.255.255.0</t>
  </si>
  <si>
    <t>10.209.140.0</t>
  </si>
  <si>
    <t>10.14.208.128</t>
  </si>
  <si>
    <t>10.14.90.1</t>
  </si>
  <si>
    <t>10.14.208.1</t>
  </si>
  <si>
    <t>10.14.208.129</t>
  </si>
  <si>
    <t>10.209.140.1</t>
  </si>
  <si>
    <t>RJOPF_GNF_OPE_90_VOZ_TC03</t>
  </si>
  <si>
    <t>RJOPF_GNF_OPE_98_DAT_TC03</t>
  </si>
  <si>
    <t>RJOPF_GNF_OPE_99_DAT_TC03</t>
  </si>
  <si>
    <t>RJOPF_GNF_OPE_100_VOZ_TC03</t>
  </si>
  <si>
    <t>RJOPF_GNF_OPE_101_VOZ_TC03</t>
  </si>
  <si>
    <t>10.209.140.0/25
10.209.140.128/26</t>
  </si>
  <si>
    <t>10.209.136.64/28</t>
  </si>
  <si>
    <t>100.100.14.20</t>
  </si>
  <si>
    <t>FWCCTX250RCDCPD</t>
  </si>
  <si>
    <t>10.14.208.0/25
10.14.208.128/26</t>
  </si>
  <si>
    <t>10.2.138.137/32
10.1.2.26/32
10.1.2.30/32
10.1.2.38/32
10.1.2.48/32
10.209.2.131/32
10.7.2.110/32
10.6.4.100/32
10.25.108.13/32
10.209.2.174/32
10.2.138.10/32
10.209.2.105/32
10.7.3.190/32
10.209.2.104/32
10.209.2.107/32
10.209.2.108/32
10.209.2.102/32</t>
  </si>
  <si>
    <t>172.31.14.20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</si>
</sst>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9" tint="0.39997558519241921"/>
      <name val="Arial"/>
      <family val="2"/>
    </font>
    <font>
      <sz val="10"/>
      <color theme="4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/>
      <name val="Wingdings"/>
      <charset val="2"/>
    </font>
    <font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2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/>
      <right style="thin">
        <color indexed="64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theme="3" tint="-0.24994659260841701"/>
      </bottom>
      <diagonal/>
    </border>
    <border>
      <left/>
      <right/>
      <top style="medium">
        <color indexed="64"/>
      </top>
      <bottom style="medium">
        <color theme="3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3" tint="-0.24994659260841701"/>
      </bottom>
      <diagonal/>
    </border>
    <border>
      <left style="medium">
        <color indexed="64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indexed="64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indexed="64"/>
      </left>
      <right/>
      <top style="medium">
        <color theme="3" tint="-0.24994659260841701"/>
      </top>
      <bottom style="medium">
        <color indexed="64"/>
      </bottom>
      <diagonal/>
    </border>
    <border>
      <left/>
      <right/>
      <top style="medium">
        <color theme="3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theme="3" tint="-0.2499465926084170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8" fillId="0" borderId="0">
      <alignment vertical="top"/>
    </xf>
    <xf numFmtId="0" fontId="16" fillId="0" borderId="0"/>
  </cellStyleXfs>
  <cellXfs count="172">
    <xf numFmtId="0" fontId="0" fillId="0" borderId="0" xfId="0"/>
    <xf numFmtId="0" fontId="4" fillId="2" borderId="0" xfId="1" applyFont="1" applyFill="1" applyBorder="1" applyAlignment="1">
      <alignment horizontal="right"/>
    </xf>
    <xf numFmtId="0" fontId="0" fillId="2" borderId="0" xfId="0" applyFill="1"/>
    <xf numFmtId="0" fontId="5" fillId="3" borderId="0" xfId="2" applyFont="1" applyFill="1"/>
    <xf numFmtId="0" fontId="5" fillId="3" borderId="0" xfId="2" applyNumberFormat="1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7" fillId="2" borderId="0" xfId="0" applyFont="1" applyFill="1"/>
    <xf numFmtId="0" fontId="4" fillId="2" borderId="0" xfId="0" applyFont="1" applyFill="1" applyAlignment="1"/>
    <xf numFmtId="0" fontId="6" fillId="2" borderId="0" xfId="0" applyFont="1" applyFill="1" applyAlignment="1"/>
    <xf numFmtId="0" fontId="8" fillId="0" borderId="0" xfId="0" applyFont="1" applyAlignment="1">
      <alignment horizontal="left" indent="5"/>
    </xf>
    <xf numFmtId="0" fontId="9" fillId="2" borderId="0" xfId="0" applyFont="1" applyFill="1"/>
    <xf numFmtId="0" fontId="10" fillId="2" borderId="0" xfId="0" applyFont="1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0" borderId="0" xfId="0" applyFont="1" applyFill="1" applyAlignment="1"/>
    <xf numFmtId="0" fontId="1" fillId="7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center"/>
    </xf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10" borderId="0" xfId="0" applyFill="1" applyBorder="1" applyAlignment="1"/>
    <xf numFmtId="0" fontId="20" fillId="10" borderId="0" xfId="0" applyFont="1" applyFill="1" applyBorder="1" applyAlignment="1"/>
    <xf numFmtId="0" fontId="0" fillId="10" borderId="0" xfId="0" applyFill="1" applyBorder="1" applyAlignment="1">
      <alignment horizontal="center"/>
    </xf>
    <xf numFmtId="0" fontId="17" fillId="10" borderId="0" xfId="0" applyFont="1" applyFill="1" applyBorder="1" applyAlignment="1">
      <alignment horizontal="center" vertical="center"/>
    </xf>
    <xf numFmtId="0" fontId="19" fillId="10" borderId="0" xfId="0" applyFont="1" applyFill="1" applyBorder="1" applyAlignment="1">
      <alignment horizontal="center"/>
    </xf>
    <xf numFmtId="0" fontId="17" fillId="10" borderId="0" xfId="4" applyFont="1" applyFill="1" applyBorder="1" applyAlignment="1">
      <alignment horizontal="center" vertical="center"/>
    </xf>
    <xf numFmtId="1" fontId="19" fillId="10" borderId="0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7" fillId="6" borderId="6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12" fillId="8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/>
    </xf>
    <xf numFmtId="0" fontId="17" fillId="9" borderId="3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7" fillId="9" borderId="3" xfId="4" applyFont="1" applyFill="1" applyBorder="1" applyAlignment="1">
      <alignment horizontal="center" vertical="center"/>
    </xf>
    <xf numFmtId="0" fontId="17" fillId="9" borderId="4" xfId="4" applyFont="1" applyFill="1" applyBorder="1" applyAlignment="1">
      <alignment horizontal="center" vertical="center"/>
    </xf>
    <xf numFmtId="0" fontId="17" fillId="9" borderId="5" xfId="4" applyFont="1" applyFill="1" applyBorder="1" applyAlignment="1">
      <alignment horizontal="center" vertical="center"/>
    </xf>
    <xf numFmtId="0" fontId="19" fillId="10" borderId="1" xfId="0" applyFont="1" applyFill="1" applyBorder="1" applyAlignment="1" applyProtection="1">
      <alignment horizontal="center"/>
      <protection locked="0"/>
    </xf>
    <xf numFmtId="1" fontId="17" fillId="9" borderId="18" xfId="0" applyNumberFormat="1" applyFont="1" applyFill="1" applyBorder="1" applyAlignment="1">
      <alignment horizontal="center" vertical="center"/>
    </xf>
    <xf numFmtId="1" fontId="17" fillId="9" borderId="19" xfId="0" applyNumberFormat="1" applyFont="1" applyFill="1" applyBorder="1" applyAlignment="1">
      <alignment horizontal="center" vertical="center"/>
    </xf>
    <xf numFmtId="1" fontId="17" fillId="9" borderId="20" xfId="0" applyNumberFormat="1" applyFont="1" applyFill="1" applyBorder="1" applyAlignment="1">
      <alignment horizontal="center" vertical="center"/>
    </xf>
    <xf numFmtId="0" fontId="0" fillId="9" borderId="4" xfId="0" applyFill="1" applyBorder="1" applyAlignment="1"/>
    <xf numFmtId="0" fontId="0" fillId="9" borderId="5" xfId="0" applyFill="1" applyBorder="1" applyAlignment="1"/>
    <xf numFmtId="1" fontId="19" fillId="10" borderId="1" xfId="0" applyNumberFormat="1" applyFont="1" applyFill="1" applyBorder="1" applyAlignment="1" applyProtection="1">
      <alignment horizontal="center" vertical="center"/>
      <protection locked="0"/>
    </xf>
    <xf numFmtId="0" fontId="17" fillId="9" borderId="21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0" xfId="0" applyFont="1" applyFill="1" applyBorder="1" applyAlignment="1">
      <alignment horizontal="center" vertical="center"/>
    </xf>
    <xf numFmtId="0" fontId="17" fillId="9" borderId="25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17" fillId="2" borderId="0" xfId="4" applyFont="1" applyFill="1" applyBorder="1" applyAlignment="1">
      <alignment horizontal="center" vertical="center"/>
    </xf>
    <xf numFmtId="0" fontId="16" fillId="0" borderId="3" xfId="5" applyBorder="1" applyAlignment="1">
      <alignment horizontal="center"/>
    </xf>
    <xf numFmtId="0" fontId="16" fillId="0" borderId="4" xfId="5" applyBorder="1" applyAlignment="1">
      <alignment horizontal="center"/>
    </xf>
    <xf numFmtId="0" fontId="16" fillId="0" borderId="5" xfId="5" applyBorder="1" applyAlignment="1">
      <alignment horizontal="center"/>
    </xf>
    <xf numFmtId="0" fontId="0" fillId="0" borderId="3" xfId="5" applyFont="1" applyBorder="1" applyAlignment="1">
      <alignment horizontal="center"/>
    </xf>
    <xf numFmtId="0" fontId="19" fillId="10" borderId="3" xfId="0" applyFont="1" applyFill="1" applyBorder="1" applyAlignment="1" applyProtection="1">
      <alignment horizontal="center"/>
      <protection locked="0"/>
    </xf>
    <xf numFmtId="0" fontId="19" fillId="10" borderId="4" xfId="0" applyFont="1" applyFill="1" applyBorder="1" applyAlignment="1" applyProtection="1">
      <alignment horizontal="center"/>
      <protection locked="0"/>
    </xf>
    <xf numFmtId="0" fontId="19" fillId="10" borderId="5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/>
    </xf>
    <xf numFmtId="0" fontId="14" fillId="0" borderId="3" xfId="3" applyBorder="1" applyAlignment="1" applyProtection="1">
      <alignment horizontal="left"/>
    </xf>
    <xf numFmtId="0" fontId="14" fillId="0" borderId="4" xfId="3" applyBorder="1" applyAlignment="1" applyProtection="1">
      <alignment horizontal="left"/>
    </xf>
    <xf numFmtId="0" fontId="14" fillId="0" borderId="5" xfId="3" applyBorder="1" applyAlignment="1" applyProtection="1">
      <alignment horizontal="left"/>
    </xf>
    <xf numFmtId="0" fontId="1" fillId="7" borderId="1" xfId="0" applyFont="1" applyFill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4" fillId="0" borderId="1" xfId="3" applyBorder="1" applyAlignment="1" applyProtection="1">
      <alignment horizontal="left"/>
    </xf>
    <xf numFmtId="0" fontId="14" fillId="0" borderId="3" xfId="3" applyBorder="1" applyAlignment="1" applyProtection="1">
      <alignment horizontal="left" shrinkToFit="1"/>
    </xf>
    <xf numFmtId="0" fontId="14" fillId="0" borderId="4" xfId="3" applyBorder="1" applyAlignment="1" applyProtection="1">
      <alignment horizontal="left" shrinkToFit="1"/>
    </xf>
    <xf numFmtId="0" fontId="14" fillId="0" borderId="5" xfId="3" applyBorder="1" applyAlignment="1" applyProtection="1">
      <alignment horizontal="left" shrinkToFit="1"/>
    </xf>
    <xf numFmtId="0" fontId="14" fillId="0" borderId="3" xfId="3" applyBorder="1" applyAlignment="1" applyProtection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2" borderId="0" xfId="0" applyFont="1" applyFill="1" applyAlignment="1">
      <alignment horizontal="left" wrapText="1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9" fillId="10" borderId="21" xfId="0" applyFont="1" applyFill="1" applyBorder="1" applyAlignment="1" applyProtection="1">
      <alignment horizontal="center" vertical="center"/>
      <protection locked="0"/>
    </xf>
    <xf numFmtId="0" fontId="19" fillId="10" borderId="22" xfId="0" applyFont="1" applyFill="1" applyBorder="1" applyAlignment="1" applyProtection="1">
      <alignment horizontal="center" vertical="center"/>
      <protection locked="0"/>
    </xf>
    <xf numFmtId="0" fontId="19" fillId="10" borderId="23" xfId="0" applyFont="1" applyFill="1" applyBorder="1" applyAlignment="1" applyProtection="1">
      <alignment horizontal="center" vertical="center"/>
      <protection locked="0"/>
    </xf>
    <xf numFmtId="0" fontId="19" fillId="10" borderId="24" xfId="0" applyFont="1" applyFill="1" applyBorder="1" applyAlignment="1" applyProtection="1">
      <alignment horizontal="center" vertical="center"/>
      <protection locked="0"/>
    </xf>
    <xf numFmtId="0" fontId="19" fillId="10" borderId="0" xfId="0" applyFont="1" applyFill="1" applyBorder="1" applyAlignment="1" applyProtection="1">
      <alignment horizontal="center" vertical="center"/>
      <protection locked="0"/>
    </xf>
    <xf numFmtId="0" fontId="19" fillId="10" borderId="25" xfId="0" applyFont="1" applyFill="1" applyBorder="1" applyAlignment="1" applyProtection="1">
      <alignment horizontal="center" vertical="center"/>
      <protection locked="0"/>
    </xf>
    <xf numFmtId="0" fontId="19" fillId="10" borderId="18" xfId="0" applyFont="1" applyFill="1" applyBorder="1" applyAlignment="1" applyProtection="1">
      <alignment horizontal="center" vertical="center"/>
      <protection locked="0"/>
    </xf>
    <xf numFmtId="0" fontId="19" fillId="10" borderId="19" xfId="0" applyFont="1" applyFill="1" applyBorder="1" applyAlignment="1" applyProtection="1">
      <alignment horizontal="center" vertical="center"/>
      <protection locked="0"/>
    </xf>
    <xf numFmtId="0" fontId="19" fillId="10" borderId="20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 applyProtection="1">
      <alignment horizontal="center"/>
      <protection locked="0"/>
    </xf>
    <xf numFmtId="1" fontId="17" fillId="0" borderId="0" xfId="0" applyNumberFormat="1" applyFont="1" applyFill="1" applyBorder="1" applyAlignment="1">
      <alignment horizontal="center" vertical="center"/>
    </xf>
    <xf numFmtId="0" fontId="21" fillId="2" borderId="0" xfId="4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31" xfId="0" applyFill="1" applyBorder="1" applyAlignment="1">
      <alignment horizontal="left"/>
    </xf>
    <xf numFmtId="0" fontId="14" fillId="2" borderId="29" xfId="3" applyFill="1" applyBorder="1" applyAlignment="1" applyProtection="1">
      <alignment horizontal="left"/>
    </xf>
    <xf numFmtId="3" fontId="0" fillId="2" borderId="3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6">
    <cellStyle name=" 1" xfId="4"/>
    <cellStyle name="Hyperlink" xfId="3" builtinId="8"/>
    <cellStyle name="Normal" xfId="0" builtinId="0"/>
    <cellStyle name="Normal 2 5" xfId="2"/>
    <cellStyle name="Normal 2 7" xfId="1"/>
    <cellStyle name="Normal 4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CIONAMENTOS!A1"/><Relationship Id="rId3" Type="http://schemas.openxmlformats.org/officeDocument/2006/relationships/hyperlink" Target="#TELECOM!A1"/><Relationship Id="rId7" Type="http://schemas.openxmlformats.org/officeDocument/2006/relationships/hyperlink" Target="#LAYOUT!A1"/><Relationship Id="rId2" Type="http://schemas.openxmlformats.org/officeDocument/2006/relationships/hyperlink" Target="#MICROSOFT!A1"/><Relationship Id="rId1" Type="http://schemas.openxmlformats.org/officeDocument/2006/relationships/hyperlink" Target="#Topologias!A1"/><Relationship Id="rId6" Type="http://schemas.openxmlformats.org/officeDocument/2006/relationships/hyperlink" Target="#APLICA&#199;&#213;ES!A1"/><Relationship Id="rId5" Type="http://schemas.openxmlformats.org/officeDocument/2006/relationships/hyperlink" Target="#GRAVA&#199;&#195;O!A1"/><Relationship Id="rId10" Type="http://schemas.openxmlformats.org/officeDocument/2006/relationships/image" Target="../media/image1.jpeg"/><Relationship Id="rId4" Type="http://schemas.openxmlformats.org/officeDocument/2006/relationships/hyperlink" Target="#REDES!A1"/><Relationship Id="rId9" Type="http://schemas.openxmlformats.org/officeDocument/2006/relationships/hyperlink" Target="#PROCESSO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13" Type="http://schemas.openxmlformats.org/officeDocument/2006/relationships/image" Target="../media/image4.png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12" Type="http://schemas.openxmlformats.org/officeDocument/2006/relationships/image" Target="../media/image3.jpeg"/><Relationship Id="rId2" Type="http://schemas.openxmlformats.org/officeDocument/2006/relationships/hyperlink" Target="#Topologias!A1"/><Relationship Id="rId1" Type="http://schemas.openxmlformats.org/officeDocument/2006/relationships/image" Target="../media/image2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2" Type="http://schemas.openxmlformats.org/officeDocument/2006/relationships/hyperlink" Target="#Topologias!A1"/><Relationship Id="rId1" Type="http://schemas.openxmlformats.org/officeDocument/2006/relationships/image" Target="../media/image5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13" Type="http://schemas.openxmlformats.org/officeDocument/2006/relationships/image" Target="../media/image8.png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12" Type="http://schemas.openxmlformats.org/officeDocument/2006/relationships/image" Target="../media/image7.png"/><Relationship Id="rId2" Type="http://schemas.openxmlformats.org/officeDocument/2006/relationships/hyperlink" Target="#Topologias!A1"/><Relationship Id="rId1" Type="http://schemas.openxmlformats.org/officeDocument/2006/relationships/image" Target="../media/image6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5" Type="http://schemas.openxmlformats.org/officeDocument/2006/relationships/image" Target="../media/image10.png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2" Type="http://schemas.openxmlformats.org/officeDocument/2006/relationships/hyperlink" Target="#Topologias!A1"/><Relationship Id="rId1" Type="http://schemas.openxmlformats.org/officeDocument/2006/relationships/image" Target="../media/image11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12" Type="http://schemas.openxmlformats.org/officeDocument/2006/relationships/image" Target="../media/image13.png"/><Relationship Id="rId2" Type="http://schemas.openxmlformats.org/officeDocument/2006/relationships/hyperlink" Target="#Topologias!A1"/><Relationship Id="rId1" Type="http://schemas.openxmlformats.org/officeDocument/2006/relationships/image" Target="../media/image12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2" Type="http://schemas.openxmlformats.org/officeDocument/2006/relationships/hyperlink" Target="#Topologias!A1"/><Relationship Id="rId1" Type="http://schemas.openxmlformats.org/officeDocument/2006/relationships/image" Target="../media/image14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2" Type="http://schemas.openxmlformats.org/officeDocument/2006/relationships/hyperlink" Target="#Topologias!A1"/><Relationship Id="rId1" Type="http://schemas.openxmlformats.org/officeDocument/2006/relationships/image" Target="../media/image15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LAYOUT!A1"/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hyperlink" Target="#Topologias!A1"/><Relationship Id="rId16" Type="http://schemas.openxmlformats.org/officeDocument/2006/relationships/image" Target="../media/image21.png"/><Relationship Id="rId1" Type="http://schemas.openxmlformats.org/officeDocument/2006/relationships/image" Target="../media/image16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5" Type="http://schemas.openxmlformats.org/officeDocument/2006/relationships/image" Target="../media/image20.png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Relationship Id="rId14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AS BUILT'!A1"/><Relationship Id="rId3" Type="http://schemas.openxmlformats.org/officeDocument/2006/relationships/hyperlink" Target="#MICROSOFT!A1"/><Relationship Id="rId7" Type="http://schemas.openxmlformats.org/officeDocument/2006/relationships/hyperlink" Target="#APLICA&#199;&#213;ES!A1"/><Relationship Id="rId2" Type="http://schemas.openxmlformats.org/officeDocument/2006/relationships/hyperlink" Target="#Topologias!A1"/><Relationship Id="rId1" Type="http://schemas.openxmlformats.org/officeDocument/2006/relationships/image" Target="../media/image24.png"/><Relationship Id="rId6" Type="http://schemas.openxmlformats.org/officeDocument/2006/relationships/hyperlink" Target="#GRAVA&#199;&#195;O!A1"/><Relationship Id="rId11" Type="http://schemas.openxmlformats.org/officeDocument/2006/relationships/hyperlink" Target="#Inicio!A1"/><Relationship Id="rId5" Type="http://schemas.openxmlformats.org/officeDocument/2006/relationships/hyperlink" Target="#REDES!A1"/><Relationship Id="rId10" Type="http://schemas.openxmlformats.org/officeDocument/2006/relationships/hyperlink" Target="#PROCESSOS!A1"/><Relationship Id="rId4" Type="http://schemas.openxmlformats.org/officeDocument/2006/relationships/hyperlink" Target="#TELECOM!A1"/><Relationship Id="rId9" Type="http://schemas.openxmlformats.org/officeDocument/2006/relationships/hyperlink" Target="#ACIONAMENT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1" tooltip="Topologias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2" tooltip="Microsoft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3" tooltip="Telecom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4" tooltip="Redes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1" name="Retângulo de cantos arredondados 10">
          <a:hlinkClick xmlns:r="http://schemas.openxmlformats.org/officeDocument/2006/relationships" r:id="rId5" tooltip="Gravação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2" name="Retângulo de cantos arredondados 11">
          <a:hlinkClick xmlns:r="http://schemas.openxmlformats.org/officeDocument/2006/relationships" r:id="rId6" tooltip="Aplicações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184362</xdr:rowOff>
    </xdr:to>
    <xdr:sp macro="" textlink="">
      <xdr:nvSpPr>
        <xdr:cNvPr id="14" name="Retângulo de cantos arredondados 13">
          <a:hlinkClick xmlns:r="http://schemas.openxmlformats.org/officeDocument/2006/relationships" r:id="rId7" tooltip="Layout"/>
        </xdr:cNvPr>
        <xdr:cNvSpPr/>
      </xdr:nvSpPr>
      <xdr:spPr>
        <a:xfrm>
          <a:off x="38100" y="3743325"/>
          <a:ext cx="1891030" cy="3653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22437</xdr:rowOff>
    </xdr:to>
    <xdr:sp macro="" textlink="">
      <xdr:nvSpPr>
        <xdr:cNvPr id="15" name="Retângulo de cantos arredondados 14">
          <a:hlinkClick xmlns:r="http://schemas.openxmlformats.org/officeDocument/2006/relationships" r:id="rId8" tooltip="Acionamentos"/>
        </xdr:cNvPr>
        <xdr:cNvSpPr/>
      </xdr:nvSpPr>
      <xdr:spPr>
        <a:xfrm>
          <a:off x="38100" y="4191000"/>
          <a:ext cx="1891030" cy="355812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104775</xdr:rowOff>
    </xdr:from>
    <xdr:to>
      <xdr:col>3</xdr:col>
      <xdr:colOff>90805</xdr:colOff>
      <xdr:row>25</xdr:row>
      <xdr:rowOff>79587</xdr:rowOff>
    </xdr:to>
    <xdr:sp macro="" textlink="">
      <xdr:nvSpPr>
        <xdr:cNvPr id="16" name="Retângulo de cantos arredondados 15">
          <a:hlinkClick xmlns:r="http://schemas.openxmlformats.org/officeDocument/2006/relationships" r:id="rId9" tooltip="Processos"/>
        </xdr:cNvPr>
        <xdr:cNvSpPr/>
      </xdr:nvSpPr>
      <xdr:spPr>
        <a:xfrm>
          <a:off x="28575" y="4629150"/>
          <a:ext cx="1891030" cy="3653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 editAs="oneCell">
    <xdr:from>
      <xdr:col>0</xdr:col>
      <xdr:colOff>114300</xdr:colOff>
      <xdr:row>0</xdr:row>
      <xdr:rowOff>0</xdr:rowOff>
    </xdr:from>
    <xdr:to>
      <xdr:col>16</xdr:col>
      <xdr:colOff>28575</xdr:colOff>
      <xdr:row>4</xdr:row>
      <xdr:rowOff>57150</xdr:rowOff>
    </xdr:to>
    <xdr:pic>
      <xdr:nvPicPr>
        <xdr:cNvPr id="17" name="Imagem 16" descr="cabeçalho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4300" y="0"/>
          <a:ext cx="9972675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152400</xdr:colOff>
      <xdr:row>4</xdr:row>
      <xdr:rowOff>66675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91725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3" name="Retângulo de cantos arredondados 2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4" name="Retângulo de cantos arredondados 3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5" name="Retângulo de cantos arredondados 4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6" name="Retângulo de cantos arredondados 5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1" name="Retângulo de cantos arredondados 10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2" name="Retângulo de cantos arredondados 11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174837</xdr:rowOff>
    </xdr:to>
    <xdr:sp macro="" textlink="">
      <xdr:nvSpPr>
        <xdr:cNvPr id="14" name="Retângulo de cantos arredondados 13">
          <a:hlinkClick xmlns:r="http://schemas.openxmlformats.org/officeDocument/2006/relationships" r:id="rId8" tooltip="REABERTURA"/>
        </xdr:cNvPr>
        <xdr:cNvSpPr/>
      </xdr:nvSpPr>
      <xdr:spPr>
        <a:xfrm>
          <a:off x="38100" y="36385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57150</xdr:rowOff>
    </xdr:from>
    <xdr:to>
      <xdr:col>3</xdr:col>
      <xdr:colOff>100330</xdr:colOff>
      <xdr:row>23</xdr:row>
      <xdr:rowOff>22437</xdr:rowOff>
    </xdr:to>
    <xdr:sp macro="" textlink="">
      <xdr:nvSpPr>
        <xdr:cNvPr id="15" name="Retângulo de cantos arredondados 14">
          <a:hlinkClick xmlns:r="http://schemas.openxmlformats.org/officeDocument/2006/relationships" r:id="rId9" tooltip="REABERTURA"/>
        </xdr:cNvPr>
        <xdr:cNvSpPr/>
      </xdr:nvSpPr>
      <xdr:spPr>
        <a:xfrm>
          <a:off x="38100" y="40576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85725</xdr:rowOff>
    </xdr:from>
    <xdr:to>
      <xdr:col>3</xdr:col>
      <xdr:colOff>90805</xdr:colOff>
      <xdr:row>25</xdr:row>
      <xdr:rowOff>51012</xdr:rowOff>
    </xdr:to>
    <xdr:sp macro="" textlink="">
      <xdr:nvSpPr>
        <xdr:cNvPr id="16" name="Retângulo de cantos arredondados 15">
          <a:hlinkClick xmlns:r="http://schemas.openxmlformats.org/officeDocument/2006/relationships" r:id="rId10" tooltip="REABERTURA"/>
        </xdr:cNvPr>
        <xdr:cNvSpPr/>
      </xdr:nvSpPr>
      <xdr:spPr>
        <a:xfrm>
          <a:off x="28575" y="44672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571500</xdr:colOff>
      <xdr:row>1</xdr:row>
      <xdr:rowOff>76200</xdr:rowOff>
    </xdr:from>
    <xdr:to>
      <xdr:col>16</xdr:col>
      <xdr:colOff>52704</xdr:colOff>
      <xdr:row>2</xdr:row>
      <xdr:rowOff>161925</xdr:rowOff>
    </xdr:to>
    <xdr:sp macro="" textlink="">
      <xdr:nvSpPr>
        <xdr:cNvPr id="17" name="Retângulo de cantos arredondados 16">
          <a:hlinkClick xmlns:r="http://schemas.openxmlformats.org/officeDocument/2006/relationships" r:id="rId11" tooltip="Voltar"/>
        </xdr:cNvPr>
        <xdr:cNvSpPr/>
      </xdr:nvSpPr>
      <xdr:spPr>
        <a:xfrm>
          <a:off x="9105900" y="266700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3</xdr:col>
      <xdr:colOff>247650</xdr:colOff>
      <xdr:row>4</xdr:row>
      <xdr:rowOff>104775</xdr:rowOff>
    </xdr:from>
    <xdr:to>
      <xdr:col>22</xdr:col>
      <xdr:colOff>428625</xdr:colOff>
      <xdr:row>40</xdr:row>
      <xdr:rowOff>104775</xdr:rowOff>
    </xdr:to>
    <xdr:pic>
      <xdr:nvPicPr>
        <xdr:cNvPr id="20" name="Imagem 19" descr="Topologia GNF_v5 - visão geral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76450" y="866775"/>
          <a:ext cx="10020300" cy="6858000"/>
        </a:xfrm>
        <a:prstGeom prst="rect">
          <a:avLst/>
        </a:prstGeom>
      </xdr:spPr>
    </xdr:pic>
    <xdr:clientData/>
  </xdr:twoCellAnchor>
  <xdr:twoCellAnchor>
    <xdr:from>
      <xdr:col>7</xdr:col>
      <xdr:colOff>219075</xdr:colOff>
      <xdr:row>40</xdr:row>
      <xdr:rowOff>104775</xdr:rowOff>
    </xdr:from>
    <xdr:to>
      <xdr:col>13</xdr:col>
      <xdr:colOff>276225</xdr:colOff>
      <xdr:row>77</xdr:row>
      <xdr:rowOff>0</xdr:rowOff>
    </xdr:to>
    <xdr:pic>
      <xdr:nvPicPr>
        <xdr:cNvPr id="4097" name="Picture 1" descr="image01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486275" y="7724775"/>
          <a:ext cx="3714750" cy="694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228600</xdr:colOff>
      <xdr:row>4</xdr:row>
      <xdr:rowOff>76200</xdr:rowOff>
    </xdr:to>
    <xdr:pic>
      <xdr:nvPicPr>
        <xdr:cNvPr id="5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72675" cy="8382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19</xdr:row>
      <xdr:rowOff>38100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4381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123825</xdr:rowOff>
    </xdr:from>
    <xdr:to>
      <xdr:col>3</xdr:col>
      <xdr:colOff>100330</xdr:colOff>
      <xdr:row>21</xdr:row>
      <xdr:rowOff>89112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7433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28575</xdr:colOff>
      <xdr:row>21</xdr:row>
      <xdr:rowOff>152401</xdr:rowOff>
    </xdr:from>
    <xdr:to>
      <xdr:col>3</xdr:col>
      <xdr:colOff>76200</xdr:colOff>
      <xdr:row>22</xdr:row>
      <xdr:rowOff>104776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28575" y="4152901"/>
          <a:ext cx="1876425" cy="3619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0</xdr:colOff>
      <xdr:row>22</xdr:row>
      <xdr:rowOff>171450</xdr:rowOff>
    </xdr:from>
    <xdr:to>
      <xdr:col>3</xdr:col>
      <xdr:colOff>62230</xdr:colOff>
      <xdr:row>22</xdr:row>
      <xdr:rowOff>552450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0" y="4581525"/>
          <a:ext cx="1891030" cy="3810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13</xdr:col>
      <xdr:colOff>161925</xdr:colOff>
      <xdr:row>1</xdr:row>
      <xdr:rowOff>85725</xdr:rowOff>
    </xdr:from>
    <xdr:to>
      <xdr:col>14</xdr:col>
      <xdr:colOff>338454</xdr:colOff>
      <xdr:row>2</xdr:row>
      <xdr:rowOff>171450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24950" y="27622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133350</xdr:colOff>
      <xdr:row>4</xdr:row>
      <xdr:rowOff>76200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72675" cy="8382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34290</xdr:colOff>
      <xdr:row>9</xdr:row>
      <xdr:rowOff>154517</xdr:rowOff>
    </xdr:from>
    <xdr:to>
      <xdr:col>3</xdr:col>
      <xdr:colOff>96520</xdr:colOff>
      <xdr:row>11</xdr:row>
      <xdr:rowOff>51224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34290" y="2097617"/>
          <a:ext cx="1891030" cy="4301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11</xdr:row>
      <xdr:rowOff>127848</xdr:rowOff>
    </xdr:from>
    <xdr:to>
      <xdr:col>3</xdr:col>
      <xdr:colOff>106045</xdr:colOff>
      <xdr:row>13</xdr:row>
      <xdr:rowOff>28576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604348"/>
          <a:ext cx="1891030" cy="43412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76200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79457"/>
          <a:ext cx="1891030" cy="439843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13</xdr:row>
      <xdr:rowOff>108797</xdr:rowOff>
    </xdr:from>
    <xdr:to>
      <xdr:col>3</xdr:col>
      <xdr:colOff>106045</xdr:colOff>
      <xdr:row>15</xdr:row>
      <xdr:rowOff>74084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3118697"/>
          <a:ext cx="1891030" cy="4224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15</xdr:row>
      <xdr:rowOff>152401</xdr:rowOff>
    </xdr:from>
    <xdr:to>
      <xdr:col>3</xdr:col>
      <xdr:colOff>109855</xdr:colOff>
      <xdr:row>17</xdr:row>
      <xdr:rowOff>142875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619501"/>
          <a:ext cx="1891030" cy="447674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18</xdr:row>
      <xdr:rowOff>28575</xdr:rowOff>
    </xdr:from>
    <xdr:to>
      <xdr:col>3</xdr:col>
      <xdr:colOff>100330</xdr:colOff>
      <xdr:row>19</xdr:row>
      <xdr:rowOff>209550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4143375"/>
          <a:ext cx="1891030" cy="4476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20</xdr:row>
      <xdr:rowOff>28575</xdr:rowOff>
    </xdr:from>
    <xdr:to>
      <xdr:col>3</xdr:col>
      <xdr:colOff>100330</xdr:colOff>
      <xdr:row>21</xdr:row>
      <xdr:rowOff>203412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676775"/>
          <a:ext cx="1891030" cy="4415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22</xdr:row>
      <xdr:rowOff>9525</xdr:rowOff>
    </xdr:from>
    <xdr:to>
      <xdr:col>3</xdr:col>
      <xdr:colOff>90805</xdr:colOff>
      <xdr:row>23</xdr:row>
      <xdr:rowOff>184362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5191125"/>
          <a:ext cx="1891030" cy="44153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600075</xdr:colOff>
      <xdr:row>1</xdr:row>
      <xdr:rowOff>104775</xdr:rowOff>
    </xdr:from>
    <xdr:to>
      <xdr:col>16</xdr:col>
      <xdr:colOff>81279</xdr:colOff>
      <xdr:row>3</xdr:row>
      <xdr:rowOff>0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34475" y="2952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>
    <xdr:from>
      <xdr:col>5</xdr:col>
      <xdr:colOff>9525</xdr:colOff>
      <xdr:row>27</xdr:row>
      <xdr:rowOff>66675</xdr:rowOff>
    </xdr:from>
    <xdr:to>
      <xdr:col>15</xdr:col>
      <xdr:colOff>118738</xdr:colOff>
      <xdr:row>49</xdr:row>
      <xdr:rowOff>114300</xdr:rowOff>
    </xdr:to>
    <xdr:pic>
      <xdr:nvPicPr>
        <xdr:cNvPr id="2049" name="Imagem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057525" y="6353175"/>
          <a:ext cx="6290938" cy="423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438150</xdr:colOff>
      <xdr:row>68</xdr:row>
      <xdr:rowOff>28575</xdr:rowOff>
    </xdr:from>
    <xdr:to>
      <xdr:col>15</xdr:col>
      <xdr:colOff>340918</xdr:colOff>
      <xdr:row>82</xdr:row>
      <xdr:rowOff>47625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876550" y="14277975"/>
          <a:ext cx="6694093" cy="26860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485776</xdr:colOff>
      <xdr:row>85</xdr:row>
      <xdr:rowOff>85849</xdr:rowOff>
    </xdr:from>
    <xdr:to>
      <xdr:col>15</xdr:col>
      <xdr:colOff>272733</xdr:colOff>
      <xdr:row>101</xdr:row>
      <xdr:rowOff>85725</xdr:rowOff>
    </xdr:to>
    <xdr:pic>
      <xdr:nvPicPr>
        <xdr:cNvPr id="2052" name="Imagem 4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924176" y="17573749"/>
          <a:ext cx="6578282" cy="3047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590550</xdr:colOff>
      <xdr:row>102</xdr:row>
      <xdr:rowOff>0</xdr:rowOff>
    </xdr:from>
    <xdr:to>
      <xdr:col>13</xdr:col>
      <xdr:colOff>371475</xdr:colOff>
      <xdr:row>127</xdr:row>
      <xdr:rowOff>171450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248150" y="20726400"/>
          <a:ext cx="4048125" cy="49339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142875</xdr:colOff>
      <xdr:row>4</xdr:row>
      <xdr:rowOff>57150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82200" cy="819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174837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6385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47625</xdr:rowOff>
    </xdr:from>
    <xdr:to>
      <xdr:col>3</xdr:col>
      <xdr:colOff>100330</xdr:colOff>
      <xdr:row>23</xdr:row>
      <xdr:rowOff>12912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481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85725</xdr:rowOff>
    </xdr:from>
    <xdr:to>
      <xdr:col>3</xdr:col>
      <xdr:colOff>90805</xdr:colOff>
      <xdr:row>25</xdr:row>
      <xdr:rowOff>51012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672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609600</xdr:colOff>
      <xdr:row>1</xdr:row>
      <xdr:rowOff>66675</xdr:rowOff>
    </xdr:from>
    <xdr:to>
      <xdr:col>16</xdr:col>
      <xdr:colOff>90804</xdr:colOff>
      <xdr:row>2</xdr:row>
      <xdr:rowOff>152400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44000" y="2571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142875</xdr:colOff>
      <xdr:row>4</xdr:row>
      <xdr:rowOff>66675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82200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174837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6385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104775</xdr:rowOff>
    </xdr:from>
    <xdr:to>
      <xdr:col>3</xdr:col>
      <xdr:colOff>90805</xdr:colOff>
      <xdr:row>25</xdr:row>
      <xdr:rowOff>70062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619125</xdr:colOff>
      <xdr:row>1</xdr:row>
      <xdr:rowOff>76200</xdr:rowOff>
    </xdr:from>
    <xdr:to>
      <xdr:col>16</xdr:col>
      <xdr:colOff>100329</xdr:colOff>
      <xdr:row>2</xdr:row>
      <xdr:rowOff>161925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53525" y="266700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7</xdr:col>
      <xdr:colOff>38100</xdr:colOff>
      <xdr:row>7</xdr:row>
      <xdr:rowOff>66675</xdr:rowOff>
    </xdr:from>
    <xdr:to>
      <xdr:col>13</xdr:col>
      <xdr:colOff>180975</xdr:colOff>
      <xdr:row>12</xdr:row>
      <xdr:rowOff>152400</xdr:rowOff>
    </xdr:to>
    <xdr:pic>
      <xdr:nvPicPr>
        <xdr:cNvPr id="717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305300" y="1400175"/>
          <a:ext cx="3800475" cy="103822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180975</xdr:colOff>
      <xdr:row>4</xdr:row>
      <xdr:rowOff>57150</xdr:rowOff>
    </xdr:to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82200" cy="819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30692</xdr:rowOff>
    </xdr:from>
    <xdr:to>
      <xdr:col>3</xdr:col>
      <xdr:colOff>106045</xdr:colOff>
      <xdr:row>12</xdr:row>
      <xdr:rowOff>3599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35692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43815</xdr:colOff>
      <xdr:row>7</xdr:row>
      <xdr:rowOff>150707</xdr:rowOff>
    </xdr:from>
    <xdr:to>
      <xdr:col>3</xdr:col>
      <xdr:colOff>106045</xdr:colOff>
      <xdr:row>9</xdr:row>
      <xdr:rowOff>142875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43815" y="1484207"/>
          <a:ext cx="1891030" cy="37316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118322</xdr:rowOff>
    </xdr:from>
    <xdr:to>
      <xdr:col>3</xdr:col>
      <xdr:colOff>106045</xdr:colOff>
      <xdr:row>16</xdr:row>
      <xdr:rowOff>83609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853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152400</xdr:rowOff>
    </xdr:from>
    <xdr:to>
      <xdr:col>3</xdr:col>
      <xdr:colOff>109855</xdr:colOff>
      <xdr:row>18</xdr:row>
      <xdr:rowOff>117687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004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18</xdr:row>
      <xdr:rowOff>190500</xdr:rowOff>
    </xdr:from>
    <xdr:to>
      <xdr:col>3</xdr:col>
      <xdr:colOff>100330</xdr:colOff>
      <xdr:row>20</xdr:row>
      <xdr:rowOff>146262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6195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19049</xdr:rowOff>
    </xdr:from>
    <xdr:to>
      <xdr:col>3</xdr:col>
      <xdr:colOff>100330</xdr:colOff>
      <xdr:row>22</xdr:row>
      <xdr:rowOff>171450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29074"/>
          <a:ext cx="1891030" cy="342901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47626</xdr:rowOff>
    </xdr:from>
    <xdr:to>
      <xdr:col>3</xdr:col>
      <xdr:colOff>90805</xdr:colOff>
      <xdr:row>25</xdr:row>
      <xdr:rowOff>38100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38651"/>
          <a:ext cx="1891030" cy="371474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12</xdr:col>
      <xdr:colOff>590550</xdr:colOff>
      <xdr:row>1</xdr:row>
      <xdr:rowOff>66675</xdr:rowOff>
    </xdr:from>
    <xdr:to>
      <xdr:col>14</xdr:col>
      <xdr:colOff>157479</xdr:colOff>
      <xdr:row>2</xdr:row>
      <xdr:rowOff>152400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72575" y="257175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133350</xdr:colOff>
      <xdr:row>4</xdr:row>
      <xdr:rowOff>66675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72675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174837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6385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47625</xdr:rowOff>
    </xdr:from>
    <xdr:to>
      <xdr:col>3</xdr:col>
      <xdr:colOff>100330</xdr:colOff>
      <xdr:row>23</xdr:row>
      <xdr:rowOff>12912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481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76200</xdr:rowOff>
    </xdr:from>
    <xdr:to>
      <xdr:col>3</xdr:col>
      <xdr:colOff>90805</xdr:colOff>
      <xdr:row>25</xdr:row>
      <xdr:rowOff>41487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5770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628650</xdr:colOff>
      <xdr:row>1</xdr:row>
      <xdr:rowOff>76200</xdr:rowOff>
    </xdr:from>
    <xdr:to>
      <xdr:col>16</xdr:col>
      <xdr:colOff>109854</xdr:colOff>
      <xdr:row>2</xdr:row>
      <xdr:rowOff>161925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63050" y="266700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152400</xdr:colOff>
      <xdr:row>4</xdr:row>
      <xdr:rowOff>66675</xdr:rowOff>
    </xdr:to>
    <xdr:pic>
      <xdr:nvPicPr>
        <xdr:cNvPr id="1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91725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19050</xdr:rowOff>
    </xdr:from>
    <xdr:to>
      <xdr:col>3</xdr:col>
      <xdr:colOff>100330</xdr:colOff>
      <xdr:row>20</xdr:row>
      <xdr:rowOff>174837</xdr:rowOff>
    </xdr:to>
    <xdr:sp macro="" textlink="">
      <xdr:nvSpPr>
        <xdr:cNvPr id="13" name="Retângulo de cantos arredondados 12">
          <a:hlinkClick xmlns:r="http://schemas.openxmlformats.org/officeDocument/2006/relationships" r:id="rId8" tooltip="REABERTURA"/>
        </xdr:cNvPr>
        <xdr:cNvSpPr/>
      </xdr:nvSpPr>
      <xdr:spPr>
        <a:xfrm>
          <a:off x="38100" y="36385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LAYOUT</a:t>
          </a:r>
        </a:p>
      </xdr:txBody>
    </xdr:sp>
    <xdr:clientData/>
  </xdr:twoCellAnchor>
  <xdr:twoCellAnchor>
    <xdr:from>
      <xdr:col>0</xdr:col>
      <xdr:colOff>38100</xdr:colOff>
      <xdr:row>21</xdr:row>
      <xdr:rowOff>47625</xdr:rowOff>
    </xdr:from>
    <xdr:to>
      <xdr:col>3</xdr:col>
      <xdr:colOff>100330</xdr:colOff>
      <xdr:row>23</xdr:row>
      <xdr:rowOff>12912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481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85725</xdr:rowOff>
    </xdr:from>
    <xdr:to>
      <xdr:col>3</xdr:col>
      <xdr:colOff>90805</xdr:colOff>
      <xdr:row>25</xdr:row>
      <xdr:rowOff>51012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6722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638175</xdr:colOff>
      <xdr:row>1</xdr:row>
      <xdr:rowOff>76200</xdr:rowOff>
    </xdr:from>
    <xdr:to>
      <xdr:col>16</xdr:col>
      <xdr:colOff>119379</xdr:colOff>
      <xdr:row>2</xdr:row>
      <xdr:rowOff>161925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72575" y="266700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  <xdr:twoCellAnchor editAs="oneCell">
    <xdr:from>
      <xdr:col>5</xdr:col>
      <xdr:colOff>47625</xdr:colOff>
      <xdr:row>5</xdr:row>
      <xdr:rowOff>76200</xdr:rowOff>
    </xdr:from>
    <xdr:to>
      <xdr:col>15</xdr:col>
      <xdr:colOff>567646</xdr:colOff>
      <xdr:row>24</xdr:row>
      <xdr:rowOff>38100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095625" y="1028700"/>
          <a:ext cx="6701746" cy="35814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247650</xdr:colOff>
      <xdr:row>40</xdr:row>
      <xdr:rowOff>104775</xdr:rowOff>
    </xdr:from>
    <xdr:to>
      <xdr:col>9</xdr:col>
      <xdr:colOff>352425</xdr:colOff>
      <xdr:row>45</xdr:row>
      <xdr:rowOff>180975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686050" y="7724775"/>
          <a:ext cx="3152775" cy="10287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409575</xdr:colOff>
      <xdr:row>40</xdr:row>
      <xdr:rowOff>142875</xdr:rowOff>
    </xdr:from>
    <xdr:to>
      <xdr:col>14</xdr:col>
      <xdr:colOff>561975</xdr:colOff>
      <xdr:row>46</xdr:row>
      <xdr:rowOff>95250</xdr:rowOff>
    </xdr:to>
    <xdr:pic>
      <xdr:nvPicPr>
        <xdr:cNvPr id="512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895975" y="7762875"/>
          <a:ext cx="3200400" cy="10953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361950</xdr:colOff>
      <xdr:row>47</xdr:row>
      <xdr:rowOff>38100</xdr:rowOff>
    </xdr:from>
    <xdr:to>
      <xdr:col>9</xdr:col>
      <xdr:colOff>285750</xdr:colOff>
      <xdr:row>52</xdr:row>
      <xdr:rowOff>152400</xdr:rowOff>
    </xdr:to>
    <xdr:pic>
      <xdr:nvPicPr>
        <xdr:cNvPr id="512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800350" y="8991600"/>
          <a:ext cx="2971800" cy="106680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533400</xdr:colOff>
      <xdr:row>47</xdr:row>
      <xdr:rowOff>28575</xdr:rowOff>
    </xdr:from>
    <xdr:to>
      <xdr:col>14</xdr:col>
      <xdr:colOff>238125</xdr:colOff>
      <xdr:row>51</xdr:row>
      <xdr:rowOff>152400</xdr:rowOff>
    </xdr:to>
    <xdr:pic>
      <xdr:nvPicPr>
        <xdr:cNvPr id="513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6019800" y="8982075"/>
          <a:ext cx="2752725" cy="8858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600076</xdr:colOff>
      <xdr:row>26</xdr:row>
      <xdr:rowOff>3617</xdr:rowOff>
    </xdr:from>
    <xdr:to>
      <xdr:col>16</xdr:col>
      <xdr:colOff>257175</xdr:colOff>
      <xdr:row>36</xdr:row>
      <xdr:rowOff>161925</xdr:rowOff>
    </xdr:to>
    <xdr:pic>
      <xdr:nvPicPr>
        <xdr:cNvPr id="513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038476" y="4956617"/>
          <a:ext cx="7058024" cy="2063308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247650</xdr:colOff>
      <xdr:row>54</xdr:row>
      <xdr:rowOff>0</xdr:rowOff>
    </xdr:from>
    <xdr:to>
      <xdr:col>9</xdr:col>
      <xdr:colOff>209550</xdr:colOff>
      <xdr:row>59</xdr:row>
      <xdr:rowOff>66675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686050" y="10287000"/>
          <a:ext cx="3009900" cy="10191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133350</xdr:colOff>
      <xdr:row>4</xdr:row>
      <xdr:rowOff>66675</xdr:rowOff>
    </xdr:to>
    <xdr:pic>
      <xdr:nvPicPr>
        <xdr:cNvPr id="1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972675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55245</xdr:colOff>
      <xdr:row>5</xdr:row>
      <xdr:rowOff>116417</xdr:rowOff>
    </xdr:from>
    <xdr:to>
      <xdr:col>3</xdr:col>
      <xdr:colOff>117475</xdr:colOff>
      <xdr:row>7</xdr:row>
      <xdr:rowOff>89324</xdr:rowOff>
    </xdr:to>
    <xdr:sp macro="" textlink="">
      <xdr:nvSpPr>
        <xdr:cNvPr id="2" name="Retângulo de cantos arredondados 1">
          <a:hlinkClick xmlns:r="http://schemas.openxmlformats.org/officeDocument/2006/relationships" r:id="rId2" tooltip="SDK - GERAL"/>
        </xdr:cNvPr>
        <xdr:cNvSpPr/>
      </xdr:nvSpPr>
      <xdr:spPr>
        <a:xfrm>
          <a:off x="55245" y="106891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TOPOLOGIAS</a:t>
          </a:r>
        </a:p>
      </xdr:txBody>
    </xdr:sp>
    <xdr:clientData/>
  </xdr:twoCellAnchor>
  <xdr:twoCellAnchor>
    <xdr:from>
      <xdr:col>0</xdr:col>
      <xdr:colOff>43815</xdr:colOff>
      <xdr:row>10</xdr:row>
      <xdr:rowOff>21167</xdr:rowOff>
    </xdr:from>
    <xdr:to>
      <xdr:col>3</xdr:col>
      <xdr:colOff>106045</xdr:colOff>
      <xdr:row>11</xdr:row>
      <xdr:rowOff>184574</xdr:rowOff>
    </xdr:to>
    <xdr:sp macro="" textlink="">
      <xdr:nvSpPr>
        <xdr:cNvPr id="3" name="Retângulo de cantos arredondados 2">
          <a:hlinkClick xmlns:r="http://schemas.openxmlformats.org/officeDocument/2006/relationships" r:id="rId3" tooltip="POR SEMANA"/>
        </xdr:cNvPr>
        <xdr:cNvSpPr/>
      </xdr:nvSpPr>
      <xdr:spPr>
        <a:xfrm>
          <a:off x="43815" y="192616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MICROSOFT</a:t>
          </a:r>
        </a:p>
      </xdr:txBody>
    </xdr:sp>
    <xdr:clientData/>
  </xdr:twoCellAnchor>
  <xdr:twoCellAnchor>
    <xdr:from>
      <xdr:col>0</xdr:col>
      <xdr:colOff>43815</xdr:colOff>
      <xdr:row>12</xdr:row>
      <xdr:rowOff>80222</xdr:rowOff>
    </xdr:from>
    <xdr:to>
      <xdr:col>3</xdr:col>
      <xdr:colOff>106045</xdr:colOff>
      <xdr:row>14</xdr:row>
      <xdr:rowOff>45509</xdr:rowOff>
    </xdr:to>
    <xdr:sp macro="" textlink="">
      <xdr:nvSpPr>
        <xdr:cNvPr id="4" name="Retângulo de cantos arredondados 3">
          <a:hlinkClick xmlns:r="http://schemas.openxmlformats.org/officeDocument/2006/relationships" r:id="rId4" tooltip="REABERTURA"/>
        </xdr:cNvPr>
        <xdr:cNvSpPr/>
      </xdr:nvSpPr>
      <xdr:spPr>
        <a:xfrm>
          <a:off x="43815" y="2366222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TELECOM</a:t>
          </a:r>
        </a:p>
      </xdr:txBody>
    </xdr:sp>
    <xdr:clientData/>
  </xdr:twoCellAnchor>
  <xdr:twoCellAnchor>
    <xdr:from>
      <xdr:col>0</xdr:col>
      <xdr:colOff>53340</xdr:colOff>
      <xdr:row>7</xdr:row>
      <xdr:rowOff>169757</xdr:rowOff>
    </xdr:from>
    <xdr:to>
      <xdr:col>3</xdr:col>
      <xdr:colOff>115570</xdr:colOff>
      <xdr:row>9</xdr:row>
      <xdr:rowOff>142664</xdr:rowOff>
    </xdr:to>
    <xdr:sp macro="" textlink="">
      <xdr:nvSpPr>
        <xdr:cNvPr id="5" name="Retângulo de cantos arredondados 4">
          <a:hlinkClick xmlns:r="http://schemas.openxmlformats.org/officeDocument/2006/relationships" r:id="rId5" tooltip="POR CATEGORIA"/>
        </xdr:cNvPr>
        <xdr:cNvSpPr/>
      </xdr:nvSpPr>
      <xdr:spPr>
        <a:xfrm>
          <a:off x="53340" y="1503257"/>
          <a:ext cx="1891030" cy="35390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REDES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43815</xdr:colOff>
      <xdr:row>14</xdr:row>
      <xdr:rowOff>127847</xdr:rowOff>
    </xdr:from>
    <xdr:to>
      <xdr:col>3</xdr:col>
      <xdr:colOff>106045</xdr:colOff>
      <xdr:row>16</xdr:row>
      <xdr:rowOff>93134</xdr:rowOff>
    </xdr:to>
    <xdr:sp macro="" textlink="">
      <xdr:nvSpPr>
        <xdr:cNvPr id="10" name="Retângulo de cantos arredondados 9">
          <a:hlinkClick xmlns:r="http://schemas.openxmlformats.org/officeDocument/2006/relationships" r:id="rId6" tooltip="REABERTURA"/>
        </xdr:cNvPr>
        <xdr:cNvSpPr/>
      </xdr:nvSpPr>
      <xdr:spPr>
        <a:xfrm>
          <a:off x="43815" y="2794847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GRAVAÇÃO</a:t>
          </a:r>
        </a:p>
      </xdr:txBody>
    </xdr:sp>
    <xdr:clientData/>
  </xdr:twoCellAnchor>
  <xdr:twoCellAnchor>
    <xdr:from>
      <xdr:col>0</xdr:col>
      <xdr:colOff>47625</xdr:colOff>
      <xdr:row>16</xdr:row>
      <xdr:rowOff>171450</xdr:rowOff>
    </xdr:from>
    <xdr:to>
      <xdr:col>3</xdr:col>
      <xdr:colOff>109855</xdr:colOff>
      <xdr:row>18</xdr:row>
      <xdr:rowOff>136737</xdr:rowOff>
    </xdr:to>
    <xdr:sp macro="" textlink="">
      <xdr:nvSpPr>
        <xdr:cNvPr id="11" name="Retângulo de cantos arredondados 10">
          <a:hlinkClick xmlns:r="http://schemas.openxmlformats.org/officeDocument/2006/relationships" r:id="rId7" tooltip="REABERTURA"/>
        </xdr:cNvPr>
        <xdr:cNvSpPr/>
      </xdr:nvSpPr>
      <xdr:spPr>
        <a:xfrm>
          <a:off x="47625" y="3219450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APLICAÇÕES</a:t>
          </a:r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3</xdr:col>
      <xdr:colOff>100330</xdr:colOff>
      <xdr:row>20</xdr:row>
      <xdr:rowOff>184362</xdr:rowOff>
    </xdr:to>
    <xdr:sp macro="" textlink="">
      <xdr:nvSpPr>
        <xdr:cNvPr id="12" name="Retângulo de cantos arredondados 11">
          <a:hlinkClick xmlns:r="http://schemas.openxmlformats.org/officeDocument/2006/relationships" r:id="rId8" tooltip="REABERTURA"/>
        </xdr:cNvPr>
        <xdr:cNvSpPr/>
      </xdr:nvSpPr>
      <xdr:spPr>
        <a:xfrm>
          <a:off x="38100" y="36480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AS BUILT</a:t>
          </a:r>
        </a:p>
      </xdr:txBody>
    </xdr:sp>
    <xdr:clientData/>
  </xdr:twoCellAnchor>
  <xdr:twoCellAnchor>
    <xdr:from>
      <xdr:col>0</xdr:col>
      <xdr:colOff>38100</xdr:colOff>
      <xdr:row>21</xdr:row>
      <xdr:rowOff>66675</xdr:rowOff>
    </xdr:from>
    <xdr:to>
      <xdr:col>3</xdr:col>
      <xdr:colOff>100330</xdr:colOff>
      <xdr:row>23</xdr:row>
      <xdr:rowOff>31962</xdr:rowOff>
    </xdr:to>
    <xdr:sp macro="" textlink="">
      <xdr:nvSpPr>
        <xdr:cNvPr id="14" name="Retângulo de cantos arredondados 13">
          <a:hlinkClick xmlns:r="http://schemas.openxmlformats.org/officeDocument/2006/relationships" r:id="rId9" tooltip="REABERTURA"/>
        </xdr:cNvPr>
        <xdr:cNvSpPr/>
      </xdr:nvSpPr>
      <xdr:spPr>
        <a:xfrm>
          <a:off x="38100" y="40671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ACIONAMENTOS</a:t>
          </a:r>
        </a:p>
      </xdr:txBody>
    </xdr:sp>
    <xdr:clientData/>
  </xdr:twoCellAnchor>
  <xdr:twoCellAnchor>
    <xdr:from>
      <xdr:col>0</xdr:col>
      <xdr:colOff>28575</xdr:colOff>
      <xdr:row>23</xdr:row>
      <xdr:rowOff>104775</xdr:rowOff>
    </xdr:from>
    <xdr:to>
      <xdr:col>3</xdr:col>
      <xdr:colOff>90805</xdr:colOff>
      <xdr:row>25</xdr:row>
      <xdr:rowOff>70062</xdr:rowOff>
    </xdr:to>
    <xdr:sp macro="" textlink="">
      <xdr:nvSpPr>
        <xdr:cNvPr id="15" name="Retângulo de cantos arredondados 14">
          <a:hlinkClick xmlns:r="http://schemas.openxmlformats.org/officeDocument/2006/relationships" r:id="rId10" tooltip="REABERTURA"/>
        </xdr:cNvPr>
        <xdr:cNvSpPr/>
      </xdr:nvSpPr>
      <xdr:spPr>
        <a:xfrm>
          <a:off x="28575" y="4486275"/>
          <a:ext cx="1891030" cy="346287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PROCESSOS</a:t>
          </a:r>
        </a:p>
      </xdr:txBody>
    </xdr:sp>
    <xdr:clientData/>
  </xdr:twoCellAnchor>
  <xdr:twoCellAnchor>
    <xdr:from>
      <xdr:col>14</xdr:col>
      <xdr:colOff>609600</xdr:colOff>
      <xdr:row>1</xdr:row>
      <xdr:rowOff>76200</xdr:rowOff>
    </xdr:from>
    <xdr:to>
      <xdr:col>16</xdr:col>
      <xdr:colOff>90804</xdr:colOff>
      <xdr:row>2</xdr:row>
      <xdr:rowOff>161925</xdr:rowOff>
    </xdr:to>
    <xdr:sp macro="" textlink="">
      <xdr:nvSpPr>
        <xdr:cNvPr id="16" name="Retângulo de cantos arredondados 15">
          <a:hlinkClick xmlns:r="http://schemas.openxmlformats.org/officeDocument/2006/relationships" r:id="rId11" tooltip="Voltar"/>
        </xdr:cNvPr>
        <xdr:cNvSpPr/>
      </xdr:nvSpPr>
      <xdr:spPr>
        <a:xfrm>
          <a:off x="9144000" y="266700"/>
          <a:ext cx="786129" cy="276225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file:///\\10.5.0.12\Suporte%20Terceiro%20Nivel\Telecom\DOCUMENTA&#199;&#195;O%20-%20CONTAX%202.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U33"/>
  <sheetViews>
    <sheetView showGridLines="0" showRowColHeaders="0" tabSelected="1" workbookViewId="0">
      <selection activeCell="H12" sqref="H12:P12"/>
    </sheetView>
  </sheetViews>
  <sheetFormatPr defaultRowHeight="15"/>
  <cols>
    <col min="1" max="5" width="9.140625" style="2"/>
    <col min="6" max="6" width="11.140625" style="2" customWidth="1"/>
    <col min="7" max="7" width="13" style="2" customWidth="1"/>
    <col min="8" max="14" width="9.140625" style="2"/>
    <col min="15" max="15" width="10.42578125" style="2" bestFit="1" customWidth="1"/>
    <col min="16" max="16" width="6.5703125" style="2" customWidth="1"/>
    <col min="17" max="17" width="9.140625" style="2"/>
    <col min="18" max="20" width="0" style="2" hidden="1" customWidth="1"/>
    <col min="21" max="16384" width="9.140625" style="2"/>
  </cols>
  <sheetData>
    <row r="6" spans="6:20">
      <c r="L6" s="1" t="str">
        <f ca="1">VLOOKUP(R6,R7:T9,3,1)</f>
        <v>Boa Tarde!</v>
      </c>
      <c r="M6" s="56">
        <f ca="1">NOW()</f>
        <v>42517.741031365738</v>
      </c>
      <c r="N6" s="56"/>
      <c r="O6" s="56"/>
      <c r="P6" s="56"/>
      <c r="R6" s="3">
        <f ca="1">HOUR(NOW())</f>
        <v>17</v>
      </c>
      <c r="S6" s="3" t="s">
        <v>0</v>
      </c>
      <c r="T6" s="3"/>
    </row>
    <row r="7" spans="6:20">
      <c r="R7" s="4">
        <v>0</v>
      </c>
      <c r="S7" s="4">
        <v>12</v>
      </c>
      <c r="T7" s="3" t="s">
        <v>1</v>
      </c>
    </row>
    <row r="8" spans="6:20" ht="15.75" thickBot="1">
      <c r="N8" s="57"/>
      <c r="O8" s="57"/>
      <c r="R8" s="4">
        <v>13</v>
      </c>
      <c r="S8" s="4">
        <v>18</v>
      </c>
      <c r="T8" s="3" t="s">
        <v>2</v>
      </c>
    </row>
    <row r="9" spans="6:20" ht="15.75" thickBot="1">
      <c r="F9" s="54" t="s">
        <v>6</v>
      </c>
      <c r="G9" s="54"/>
      <c r="H9" s="55" t="s">
        <v>62</v>
      </c>
      <c r="I9" s="55"/>
      <c r="J9" s="55"/>
      <c r="K9" s="55"/>
      <c r="L9" s="55"/>
      <c r="M9" s="55"/>
      <c r="N9" s="55"/>
      <c r="O9" s="55"/>
      <c r="P9" s="55"/>
      <c r="R9" s="4">
        <v>18</v>
      </c>
      <c r="S9" s="4">
        <v>24</v>
      </c>
      <c r="T9" s="3" t="s">
        <v>3</v>
      </c>
    </row>
    <row r="10" spans="6:20" ht="15.75" thickBot="1">
      <c r="F10" s="54" t="s">
        <v>5</v>
      </c>
      <c r="G10" s="54"/>
      <c r="H10" s="55" t="s">
        <v>63</v>
      </c>
      <c r="I10" s="55"/>
      <c r="J10" s="55"/>
      <c r="K10" s="55"/>
      <c r="L10" s="55"/>
      <c r="M10" s="55"/>
      <c r="N10" s="55"/>
      <c r="O10" s="55"/>
      <c r="P10" s="55"/>
    </row>
    <row r="11" spans="6:20" ht="15.75" thickBot="1">
      <c r="F11" s="54" t="s">
        <v>7</v>
      </c>
      <c r="G11" s="54"/>
      <c r="H11" s="55">
        <v>132</v>
      </c>
      <c r="I11" s="55"/>
      <c r="J11" s="55"/>
      <c r="K11" s="55"/>
      <c r="L11" s="55"/>
      <c r="M11" s="55"/>
      <c r="N11" s="55"/>
      <c r="O11" s="55"/>
      <c r="P11" s="55"/>
    </row>
    <row r="12" spans="6:20" ht="15.75" thickBot="1">
      <c r="F12" s="54" t="s">
        <v>26</v>
      </c>
      <c r="G12" s="54"/>
      <c r="H12" s="55"/>
      <c r="I12" s="55"/>
      <c r="J12" s="55"/>
      <c r="K12" s="55"/>
      <c r="L12" s="55"/>
      <c r="M12" s="55"/>
      <c r="N12" s="55"/>
      <c r="O12" s="55"/>
      <c r="P12" s="55"/>
    </row>
    <row r="13" spans="6:20" ht="15.75" thickBot="1">
      <c r="F13" s="54" t="s">
        <v>27</v>
      </c>
      <c r="G13" s="54"/>
      <c r="H13" s="55"/>
      <c r="I13" s="55"/>
      <c r="J13" s="55"/>
      <c r="K13" s="55"/>
      <c r="L13" s="55"/>
      <c r="M13" s="55"/>
      <c r="N13" s="55"/>
      <c r="O13" s="55"/>
      <c r="P13" s="55"/>
    </row>
    <row r="14" spans="6:20" ht="15.75" thickBot="1">
      <c r="F14" s="54" t="s">
        <v>28</v>
      </c>
      <c r="G14" s="54"/>
      <c r="H14" s="55" t="s">
        <v>67</v>
      </c>
      <c r="I14" s="55"/>
      <c r="J14" s="55"/>
      <c r="K14" s="55"/>
      <c r="L14" s="55"/>
      <c r="M14" s="55"/>
      <c r="N14" s="55"/>
      <c r="O14" s="55"/>
      <c r="P14" s="55"/>
    </row>
    <row r="15" spans="6:20" ht="15.75" thickBot="1">
      <c r="F15" s="54" t="s">
        <v>29</v>
      </c>
      <c r="G15" s="54"/>
      <c r="H15" s="55" t="s">
        <v>68</v>
      </c>
      <c r="I15" s="55"/>
      <c r="J15" s="55"/>
      <c r="K15" s="55"/>
      <c r="L15" s="55"/>
      <c r="M15" s="55"/>
      <c r="N15" s="55"/>
      <c r="O15" s="55"/>
      <c r="P15" s="55"/>
    </row>
    <row r="16" spans="6:20" ht="15.75" thickBot="1">
      <c r="F16" s="54" t="s">
        <v>30</v>
      </c>
      <c r="G16" s="54"/>
      <c r="H16" s="55" t="s">
        <v>45</v>
      </c>
      <c r="I16" s="55"/>
      <c r="J16" s="55"/>
      <c r="K16" s="55"/>
      <c r="L16" s="55"/>
      <c r="M16" s="55"/>
      <c r="N16" s="55"/>
      <c r="O16" s="55"/>
      <c r="P16" s="55"/>
    </row>
    <row r="17" spans="1:21" ht="15.75" thickBot="1">
      <c r="F17" s="54" t="s">
        <v>31</v>
      </c>
      <c r="G17" s="54"/>
      <c r="H17" s="55" t="s">
        <v>64</v>
      </c>
      <c r="I17" s="55"/>
      <c r="J17" s="55"/>
      <c r="K17" s="55"/>
      <c r="L17" s="55"/>
      <c r="M17" s="55"/>
      <c r="N17" s="55"/>
      <c r="O17" s="55"/>
      <c r="P17" s="55"/>
    </row>
    <row r="19" spans="1:21" ht="15.75" thickBot="1">
      <c r="F19" s="15" t="s">
        <v>36</v>
      </c>
      <c r="G19" s="21"/>
      <c r="H19" s="7"/>
      <c r="I19" s="7"/>
      <c r="J19" s="7"/>
      <c r="K19" s="7"/>
      <c r="L19" s="7"/>
      <c r="M19" s="7"/>
      <c r="N19" s="8"/>
      <c r="O19" s="9"/>
    </row>
    <row r="20" spans="1:21" ht="15.75" thickBot="1">
      <c r="F20" s="22" t="s">
        <v>37</v>
      </c>
      <c r="G20" s="50" t="s">
        <v>38</v>
      </c>
      <c r="H20" s="51"/>
      <c r="I20" s="53"/>
      <c r="J20" s="50" t="s">
        <v>39</v>
      </c>
      <c r="K20" s="51"/>
      <c r="L20" s="51"/>
      <c r="M20" s="53"/>
      <c r="N20" s="50" t="s">
        <v>40</v>
      </c>
      <c r="O20" s="53"/>
    </row>
    <row r="21" spans="1:21" ht="15.75" thickBot="1">
      <c r="F21" s="24">
        <v>42514</v>
      </c>
      <c r="G21" s="39" t="s">
        <v>66</v>
      </c>
      <c r="H21" s="40"/>
      <c r="I21" s="41"/>
      <c r="J21" s="39" t="s">
        <v>65</v>
      </c>
      <c r="K21" s="40"/>
      <c r="L21" s="40"/>
      <c r="M21" s="41"/>
      <c r="N21" s="39"/>
      <c r="O21" s="41"/>
    </row>
    <row r="22" spans="1:21" ht="15.75" thickBot="1">
      <c r="F22" s="23"/>
      <c r="G22" s="39"/>
      <c r="H22" s="40"/>
      <c r="I22" s="41"/>
      <c r="J22" s="39"/>
      <c r="K22" s="40"/>
      <c r="L22" s="40"/>
      <c r="M22" s="41"/>
      <c r="N22" s="39"/>
      <c r="O22" s="41"/>
    </row>
    <row r="23" spans="1:21" ht="15.75" thickBot="1">
      <c r="F23" s="23"/>
      <c r="G23" s="39"/>
      <c r="H23" s="40"/>
      <c r="I23" s="41"/>
      <c r="J23" s="39"/>
      <c r="K23" s="40"/>
      <c r="L23" s="40"/>
      <c r="M23" s="41"/>
      <c r="N23" s="39"/>
      <c r="O23" s="41"/>
    </row>
    <row r="24" spans="1:21" ht="15.75" thickBot="1">
      <c r="F24" s="23"/>
      <c r="G24" s="39"/>
      <c r="H24" s="40"/>
      <c r="I24" s="41"/>
      <c r="J24" s="39"/>
      <c r="K24" s="40"/>
      <c r="L24" s="40"/>
      <c r="M24" s="41"/>
      <c r="N24" s="39"/>
      <c r="O24" s="41"/>
    </row>
    <row r="26" spans="1:21" ht="15.75" thickBot="1">
      <c r="A26" s="7"/>
      <c r="D26" s="7"/>
      <c r="E26" s="7"/>
      <c r="F26" s="15" t="s">
        <v>41</v>
      </c>
    </row>
    <row r="27" spans="1:21" ht="15.75" thickBot="1">
      <c r="A27" s="7"/>
      <c r="D27" s="7"/>
      <c r="E27" s="7"/>
      <c r="F27" s="22" t="s">
        <v>42</v>
      </c>
      <c r="G27" s="22" t="s">
        <v>38</v>
      </c>
      <c r="H27" s="50" t="s">
        <v>43</v>
      </c>
      <c r="I27" s="51"/>
      <c r="J27" s="51"/>
      <c r="K27" s="51"/>
      <c r="L27" s="51"/>
      <c r="M27" s="51"/>
      <c r="N27" s="52"/>
      <c r="O27" s="50" t="s">
        <v>44</v>
      </c>
      <c r="P27" s="51"/>
      <c r="Q27" s="47" t="s">
        <v>40</v>
      </c>
      <c r="R27" s="48"/>
      <c r="S27" s="48"/>
      <c r="T27" s="48"/>
      <c r="U27" s="49"/>
    </row>
    <row r="28" spans="1:21" ht="15.75" thickBot="1">
      <c r="A28" s="10"/>
      <c r="B28" s="11"/>
      <c r="C28" s="11"/>
      <c r="D28" s="11"/>
      <c r="E28" s="11"/>
      <c r="F28" s="37"/>
      <c r="G28" s="35"/>
      <c r="H28" s="39"/>
      <c r="I28" s="40"/>
      <c r="J28" s="40"/>
      <c r="K28" s="40"/>
      <c r="L28" s="40"/>
      <c r="M28" s="40"/>
      <c r="N28" s="41"/>
      <c r="O28" s="39"/>
      <c r="P28" s="40"/>
      <c r="Q28" s="42"/>
      <c r="R28" s="40"/>
      <c r="S28" s="40"/>
      <c r="T28" s="40"/>
      <c r="U28" s="43"/>
    </row>
    <row r="29" spans="1:21" ht="15.75" thickBot="1">
      <c r="A29" s="10"/>
      <c r="B29" s="11"/>
      <c r="C29" s="11"/>
      <c r="D29" s="11"/>
      <c r="E29" s="11"/>
      <c r="F29" s="37"/>
      <c r="G29" s="35"/>
      <c r="H29" s="39"/>
      <c r="I29" s="40"/>
      <c r="J29" s="40"/>
      <c r="K29" s="40"/>
      <c r="L29" s="40"/>
      <c r="M29" s="40"/>
      <c r="N29" s="41"/>
      <c r="O29" s="39"/>
      <c r="P29" s="40"/>
      <c r="Q29" s="42"/>
      <c r="R29" s="40"/>
      <c r="S29" s="40"/>
      <c r="T29" s="40"/>
      <c r="U29" s="43"/>
    </row>
    <row r="30" spans="1:21" ht="15.75" thickBot="1">
      <c r="F30" s="37"/>
      <c r="G30" s="35"/>
      <c r="H30" s="39"/>
      <c r="I30" s="40"/>
      <c r="J30" s="40"/>
      <c r="K30" s="40"/>
      <c r="L30" s="40"/>
      <c r="M30" s="40"/>
      <c r="N30" s="41"/>
      <c r="O30" s="39"/>
      <c r="P30" s="40"/>
      <c r="Q30" s="42"/>
      <c r="R30" s="40"/>
      <c r="S30" s="40"/>
      <c r="T30" s="40"/>
      <c r="U30" s="43"/>
    </row>
    <row r="31" spans="1:21" ht="15.75" thickBot="1">
      <c r="F31" s="37"/>
      <c r="G31" s="35"/>
      <c r="H31" s="39"/>
      <c r="I31" s="40"/>
      <c r="J31" s="40"/>
      <c r="K31" s="40"/>
      <c r="L31" s="40"/>
      <c r="M31" s="40"/>
      <c r="N31" s="41"/>
      <c r="O31" s="39"/>
      <c r="P31" s="40"/>
      <c r="Q31" s="42"/>
      <c r="R31" s="40"/>
      <c r="S31" s="40"/>
      <c r="T31" s="40"/>
      <c r="U31" s="43"/>
    </row>
    <row r="32" spans="1:21" ht="15.75" thickBot="1">
      <c r="F32" s="35"/>
      <c r="G32" s="35"/>
      <c r="H32" s="39"/>
      <c r="I32" s="40"/>
      <c r="J32" s="40"/>
      <c r="K32" s="40"/>
      <c r="L32" s="40"/>
      <c r="M32" s="40"/>
      <c r="N32" s="41"/>
      <c r="O32" s="39"/>
      <c r="P32" s="40"/>
      <c r="Q32" s="42"/>
      <c r="R32" s="40"/>
      <c r="S32" s="40"/>
      <c r="T32" s="40"/>
      <c r="U32" s="43"/>
    </row>
    <row r="33" spans="6:21" ht="15.75" thickBot="1">
      <c r="F33" s="35"/>
      <c r="G33" s="35"/>
      <c r="H33" s="39"/>
      <c r="I33" s="40"/>
      <c r="J33" s="40"/>
      <c r="K33" s="40"/>
      <c r="L33" s="40"/>
      <c r="M33" s="40"/>
      <c r="N33" s="41"/>
      <c r="O33" s="39"/>
      <c r="P33" s="40"/>
      <c r="Q33" s="44"/>
      <c r="R33" s="45"/>
      <c r="S33" s="45"/>
      <c r="T33" s="45"/>
      <c r="U33" s="46"/>
    </row>
  </sheetData>
  <mergeCells count="56">
    <mergeCell ref="F15:G15"/>
    <mergeCell ref="H15:P15"/>
    <mergeCell ref="F16:G16"/>
    <mergeCell ref="H16:P16"/>
    <mergeCell ref="F17:G17"/>
    <mergeCell ref="H17:P17"/>
    <mergeCell ref="F12:G12"/>
    <mergeCell ref="H12:P12"/>
    <mergeCell ref="F13:G13"/>
    <mergeCell ref="H13:P13"/>
    <mergeCell ref="F14:G14"/>
    <mergeCell ref="H14:P14"/>
    <mergeCell ref="F11:G11"/>
    <mergeCell ref="H9:P9"/>
    <mergeCell ref="H10:P10"/>
    <mergeCell ref="H11:P11"/>
    <mergeCell ref="M6:P6"/>
    <mergeCell ref="N8:O8"/>
    <mergeCell ref="F9:G9"/>
    <mergeCell ref="F10:G10"/>
    <mergeCell ref="G20:I20"/>
    <mergeCell ref="J20:M20"/>
    <mergeCell ref="N20:O20"/>
    <mergeCell ref="G21:I21"/>
    <mergeCell ref="J21:M21"/>
    <mergeCell ref="N21:O21"/>
    <mergeCell ref="G22:I22"/>
    <mergeCell ref="J22:M22"/>
    <mergeCell ref="N22:O22"/>
    <mergeCell ref="G23:I23"/>
    <mergeCell ref="J23:M23"/>
    <mergeCell ref="N23:O23"/>
    <mergeCell ref="G24:I24"/>
    <mergeCell ref="J24:M24"/>
    <mergeCell ref="N24:O24"/>
    <mergeCell ref="H27:N27"/>
    <mergeCell ref="O27:P27"/>
    <mergeCell ref="Q27:U27"/>
    <mergeCell ref="O28:P28"/>
    <mergeCell ref="Q28:U28"/>
    <mergeCell ref="H29:N29"/>
    <mergeCell ref="O29:P29"/>
    <mergeCell ref="Q29:U29"/>
    <mergeCell ref="H28:N28"/>
    <mergeCell ref="H30:N30"/>
    <mergeCell ref="O30:P30"/>
    <mergeCell ref="Q30:U30"/>
    <mergeCell ref="H31:N31"/>
    <mergeCell ref="O31:P31"/>
    <mergeCell ref="Q31:U31"/>
    <mergeCell ref="H32:N32"/>
    <mergeCell ref="O32:P32"/>
    <mergeCell ref="Q32:U32"/>
    <mergeCell ref="H33:N33"/>
    <mergeCell ref="O33:P33"/>
    <mergeCell ref="Q33:U3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>
      <selection activeCell="L47" sqref="L47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5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5:20">
      <c r="R7" s="4">
        <v>0</v>
      </c>
      <c r="S7" s="4">
        <v>12</v>
      </c>
      <c r="T7" s="3" t="s">
        <v>1</v>
      </c>
    </row>
    <row r="8" spans="5:20">
      <c r="E8" s="15"/>
      <c r="N8" s="57"/>
      <c r="O8" s="57"/>
      <c r="R8" s="4">
        <v>13</v>
      </c>
      <c r="S8" s="4">
        <v>18</v>
      </c>
      <c r="T8" s="3" t="s">
        <v>2</v>
      </c>
    </row>
    <row r="9" spans="5:20">
      <c r="N9" s="5"/>
      <c r="O9" s="6"/>
      <c r="R9" s="4">
        <v>18</v>
      </c>
      <c r="S9" s="4">
        <v>24</v>
      </c>
      <c r="T9" s="3" t="s">
        <v>3</v>
      </c>
    </row>
    <row r="10" spans="5:20">
      <c r="N10" s="5"/>
      <c r="O10" s="6"/>
    </row>
    <row r="11" spans="5:20">
      <c r="N11" s="8"/>
      <c r="O11" s="8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2">
    <mergeCell ref="M6:P6"/>
    <mergeCell ref="N8:O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6:T30"/>
  <sheetViews>
    <sheetView showGridLines="0" workbookViewId="0">
      <selection activeCell="C23" sqref="C23"/>
    </sheetView>
  </sheetViews>
  <sheetFormatPr defaultRowHeight="15"/>
  <cols>
    <col min="1" max="5" width="9.140625" style="2"/>
    <col min="6" max="6" width="30" style="2" customWidth="1"/>
    <col min="7" max="10" width="9.140625" style="2"/>
    <col min="11" max="11" width="24.7109375" style="2" bestFit="1" customWidth="1"/>
    <col min="12" max="14" width="9.140625" style="2"/>
    <col min="15" max="15" width="10.42578125" style="2" bestFit="1" customWidth="1"/>
    <col min="16" max="16" width="7.7109375" style="2" customWidth="1"/>
    <col min="17" max="17" width="9.140625" style="2"/>
    <col min="18" max="20" width="0" style="2" hidden="1" customWidth="1"/>
    <col min="21" max="16384" width="9.140625" style="2"/>
  </cols>
  <sheetData>
    <row r="6" spans="5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5:20">
      <c r="E7" s="61" t="s">
        <v>8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R7" s="4">
        <v>0</v>
      </c>
      <c r="S7" s="4">
        <v>12</v>
      </c>
      <c r="T7" s="3" t="s">
        <v>1</v>
      </c>
    </row>
    <row r="8" spans="5:20">
      <c r="E8" s="59" t="s">
        <v>75</v>
      </c>
      <c r="F8" s="60"/>
      <c r="G8" s="59" t="s">
        <v>9</v>
      </c>
      <c r="H8" s="60"/>
      <c r="I8" s="59" t="s">
        <v>10</v>
      </c>
      <c r="J8" s="60"/>
      <c r="K8" s="18" t="s">
        <v>11</v>
      </c>
      <c r="L8" s="59" t="s">
        <v>12</v>
      </c>
      <c r="M8" s="60"/>
      <c r="N8" s="58" t="s">
        <v>15</v>
      </c>
      <c r="O8" s="58"/>
      <c r="P8" s="18" t="s">
        <v>14</v>
      </c>
      <c r="R8" s="4">
        <v>13</v>
      </c>
      <c r="S8" s="4">
        <v>18</v>
      </c>
      <c r="T8" s="3" t="s">
        <v>2</v>
      </c>
    </row>
    <row r="9" spans="5:20">
      <c r="E9" s="62" t="s">
        <v>76</v>
      </c>
      <c r="F9" s="62"/>
      <c r="G9" s="62" t="s">
        <v>69</v>
      </c>
      <c r="H9" s="62"/>
      <c r="I9" s="62" t="s">
        <v>70</v>
      </c>
      <c r="J9" s="62"/>
      <c r="K9" s="36" t="s">
        <v>72</v>
      </c>
      <c r="L9" s="62" t="s">
        <v>71</v>
      </c>
      <c r="M9" s="62"/>
      <c r="N9" s="63"/>
      <c r="O9" s="63"/>
      <c r="P9" s="17"/>
      <c r="R9" s="4">
        <v>18</v>
      </c>
      <c r="S9" s="4">
        <v>24</v>
      </c>
      <c r="T9" s="3" t="s">
        <v>3</v>
      </c>
    </row>
    <row r="10" spans="5:20">
      <c r="E10" s="62" t="s">
        <v>106</v>
      </c>
      <c r="F10" s="62"/>
      <c r="G10" s="62" t="s">
        <v>73</v>
      </c>
      <c r="H10" s="62"/>
      <c r="I10" s="62" t="s">
        <v>70</v>
      </c>
      <c r="J10" s="62"/>
      <c r="K10" s="36" t="s">
        <v>72</v>
      </c>
      <c r="L10" s="62" t="s">
        <v>71</v>
      </c>
      <c r="M10" s="62"/>
      <c r="N10" s="63"/>
      <c r="O10" s="63"/>
      <c r="P10" s="17"/>
    </row>
    <row r="11" spans="5:20">
      <c r="E11" s="14"/>
      <c r="F11" s="14"/>
      <c r="G11" s="14"/>
      <c r="H11" s="14"/>
      <c r="I11" s="14"/>
      <c r="J11" s="14"/>
      <c r="K11" s="14"/>
      <c r="L11" s="14"/>
      <c r="M11" s="14"/>
      <c r="N11" s="57"/>
      <c r="O11" s="57"/>
      <c r="P11" s="14"/>
    </row>
    <row r="12" spans="5:20">
      <c r="E12" s="61" t="s">
        <v>16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</row>
    <row r="13" spans="5:20">
      <c r="E13" s="59" t="s">
        <v>17</v>
      </c>
      <c r="F13" s="60"/>
      <c r="G13" s="59" t="s">
        <v>18</v>
      </c>
      <c r="H13" s="60"/>
      <c r="I13" s="59" t="s">
        <v>19</v>
      </c>
      <c r="J13" s="60"/>
      <c r="K13" s="18" t="s">
        <v>20</v>
      </c>
      <c r="L13" s="59" t="s">
        <v>21</v>
      </c>
      <c r="M13" s="64"/>
      <c r="N13" s="64"/>
      <c r="O13" s="60"/>
      <c r="P13" s="18" t="s">
        <v>22</v>
      </c>
    </row>
    <row r="14" spans="5:20">
      <c r="E14" s="65" t="s">
        <v>119</v>
      </c>
      <c r="F14" s="67"/>
      <c r="G14" s="62" t="s">
        <v>120</v>
      </c>
      <c r="H14" s="62"/>
      <c r="I14" s="62" t="s">
        <v>123</v>
      </c>
      <c r="J14" s="62"/>
      <c r="K14" s="27"/>
      <c r="L14" s="65" t="s">
        <v>127</v>
      </c>
      <c r="M14" s="66"/>
      <c r="N14" s="66"/>
      <c r="O14" s="67"/>
      <c r="P14" s="27">
        <v>90</v>
      </c>
    </row>
    <row r="15" spans="5:20">
      <c r="E15" s="65" t="s">
        <v>121</v>
      </c>
      <c r="F15" s="67"/>
      <c r="G15" s="161">
        <v>255255255128</v>
      </c>
      <c r="H15" s="62"/>
      <c r="I15" s="62" t="s">
        <v>124</v>
      </c>
      <c r="J15" s="62"/>
      <c r="K15" s="27"/>
      <c r="L15" s="65" t="s">
        <v>128</v>
      </c>
      <c r="M15" s="66"/>
      <c r="N15" s="66"/>
      <c r="O15" s="67"/>
      <c r="P15" s="27">
        <v>98</v>
      </c>
    </row>
    <row r="16" spans="5:20">
      <c r="E16" s="65" t="s">
        <v>122</v>
      </c>
      <c r="F16" s="67"/>
      <c r="G16" s="161">
        <v>255255255192</v>
      </c>
      <c r="H16" s="62"/>
      <c r="I16" s="62" t="s">
        <v>125</v>
      </c>
      <c r="J16" s="62"/>
      <c r="K16" s="27"/>
      <c r="L16" s="65" t="s">
        <v>129</v>
      </c>
      <c r="M16" s="66"/>
      <c r="N16" s="66"/>
      <c r="O16" s="67"/>
      <c r="P16" s="27">
        <v>99</v>
      </c>
    </row>
    <row r="17" spans="1:16">
      <c r="E17" s="65" t="s">
        <v>121</v>
      </c>
      <c r="F17" s="67"/>
      <c r="G17" s="161">
        <v>255255255128</v>
      </c>
      <c r="H17" s="62"/>
      <c r="I17" s="62" t="s">
        <v>126</v>
      </c>
      <c r="J17" s="62"/>
      <c r="K17" s="16"/>
      <c r="L17" s="65" t="s">
        <v>130</v>
      </c>
      <c r="M17" s="66"/>
      <c r="N17" s="66"/>
      <c r="O17" s="67"/>
      <c r="P17" s="38">
        <v>100</v>
      </c>
    </row>
    <row r="18" spans="1:16">
      <c r="E18" s="160">
        <v>10209140128</v>
      </c>
      <c r="F18" s="67"/>
      <c r="G18" s="161">
        <v>255255255192</v>
      </c>
      <c r="H18" s="62"/>
      <c r="I18" s="161">
        <v>10209140129</v>
      </c>
      <c r="J18" s="62"/>
      <c r="K18" s="16"/>
      <c r="L18" s="65" t="s">
        <v>131</v>
      </c>
      <c r="M18" s="66"/>
      <c r="N18" s="66"/>
      <c r="O18" s="67"/>
      <c r="P18" s="38">
        <v>101</v>
      </c>
    </row>
    <row r="20" spans="1:16">
      <c r="E20" s="61" t="s">
        <v>23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1:16">
      <c r="E21" s="59" t="s">
        <v>24</v>
      </c>
      <c r="F21" s="60"/>
      <c r="G21" s="59" t="s">
        <v>25</v>
      </c>
      <c r="H21" s="60"/>
      <c r="I21" s="59" t="s">
        <v>19</v>
      </c>
      <c r="J21" s="60"/>
      <c r="K21" s="18" t="s">
        <v>11</v>
      </c>
      <c r="L21" s="59" t="s">
        <v>13</v>
      </c>
      <c r="M21" s="64"/>
      <c r="N21" s="64"/>
      <c r="O21" s="64"/>
      <c r="P21" s="60"/>
    </row>
    <row r="22" spans="1:16" ht="32.25" customHeight="1">
      <c r="E22" s="162" t="s">
        <v>132</v>
      </c>
      <c r="F22" s="163"/>
      <c r="G22" s="163" t="s">
        <v>133</v>
      </c>
      <c r="H22" s="163"/>
      <c r="I22" s="163" t="s">
        <v>134</v>
      </c>
      <c r="J22" s="163"/>
      <c r="K22" s="164"/>
      <c r="L22" s="165" t="s">
        <v>135</v>
      </c>
      <c r="M22" s="166"/>
      <c r="N22" s="166"/>
      <c r="O22" s="166"/>
      <c r="P22" s="167"/>
    </row>
    <row r="23" spans="1:16" ht="263.25" customHeight="1">
      <c r="E23" s="162" t="s">
        <v>136</v>
      </c>
      <c r="F23" s="163"/>
      <c r="G23" s="162" t="s">
        <v>137</v>
      </c>
      <c r="H23" s="163"/>
      <c r="I23" s="163" t="s">
        <v>138</v>
      </c>
      <c r="J23" s="163"/>
      <c r="K23" s="168"/>
      <c r="L23" s="169" t="s">
        <v>135</v>
      </c>
      <c r="M23" s="170"/>
      <c r="N23" s="170"/>
      <c r="O23" s="170"/>
      <c r="P23" s="171"/>
    </row>
    <row r="24" spans="1:16">
      <c r="E24" s="62"/>
      <c r="F24" s="62"/>
      <c r="G24" s="62"/>
      <c r="H24" s="62"/>
      <c r="I24" s="62"/>
      <c r="J24" s="62"/>
      <c r="K24" s="16"/>
      <c r="L24" s="68"/>
      <c r="M24" s="69"/>
      <c r="N24" s="69"/>
      <c r="O24" s="69"/>
      <c r="P24" s="70"/>
    </row>
    <row r="25" spans="1:16">
      <c r="E25" s="62"/>
      <c r="F25" s="62"/>
      <c r="G25" s="62"/>
      <c r="H25" s="62"/>
      <c r="I25" s="62"/>
      <c r="J25" s="62"/>
      <c r="K25" s="16"/>
      <c r="L25" s="68"/>
      <c r="M25" s="69"/>
      <c r="N25" s="69"/>
      <c r="O25" s="69"/>
      <c r="P25" s="70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</row>
    <row r="28" spans="1:16">
      <c r="A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9"/>
      <c r="P28" s="9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  <row r="30" spans="1:16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O30" s="12"/>
      <c r="P30" s="12"/>
    </row>
  </sheetData>
  <mergeCells count="64">
    <mergeCell ref="L24:P24"/>
    <mergeCell ref="L25:P25"/>
    <mergeCell ref="E22:F22"/>
    <mergeCell ref="G22:H22"/>
    <mergeCell ref="I22:J22"/>
    <mergeCell ref="E23:F23"/>
    <mergeCell ref="G23:H23"/>
    <mergeCell ref="I23:J23"/>
    <mergeCell ref="L22:P22"/>
    <mergeCell ref="L23:P23"/>
    <mergeCell ref="E24:F24"/>
    <mergeCell ref="G24:H24"/>
    <mergeCell ref="I24:J24"/>
    <mergeCell ref="E25:F25"/>
    <mergeCell ref="G25:H25"/>
    <mergeCell ref="I25:J25"/>
    <mergeCell ref="I17:J17"/>
    <mergeCell ref="L17:O17"/>
    <mergeCell ref="E20:P20"/>
    <mergeCell ref="E21:F21"/>
    <mergeCell ref="G21:H21"/>
    <mergeCell ref="I21:J21"/>
    <mergeCell ref="L21:P21"/>
    <mergeCell ref="E17:F17"/>
    <mergeCell ref="G17:H17"/>
    <mergeCell ref="E18:F18"/>
    <mergeCell ref="G18:H18"/>
    <mergeCell ref="I18:J18"/>
    <mergeCell ref="L18:O18"/>
    <mergeCell ref="L15:O15"/>
    <mergeCell ref="E16:F16"/>
    <mergeCell ref="G16:H16"/>
    <mergeCell ref="I16:J16"/>
    <mergeCell ref="L16:O16"/>
    <mergeCell ref="E15:F15"/>
    <mergeCell ref="G15:H15"/>
    <mergeCell ref="I15:J15"/>
    <mergeCell ref="E14:F14"/>
    <mergeCell ref="G14:H14"/>
    <mergeCell ref="I14:J14"/>
    <mergeCell ref="L13:O13"/>
    <mergeCell ref="L14:O14"/>
    <mergeCell ref="L9:M9"/>
    <mergeCell ref="L10:M10"/>
    <mergeCell ref="E12:P12"/>
    <mergeCell ref="E13:F13"/>
    <mergeCell ref="G13:H13"/>
    <mergeCell ref="I13:J13"/>
    <mergeCell ref="M6:P6"/>
    <mergeCell ref="N8:O8"/>
    <mergeCell ref="N11:O11"/>
    <mergeCell ref="L8:M8"/>
    <mergeCell ref="E7:P7"/>
    <mergeCell ref="E8:F8"/>
    <mergeCell ref="G8:H8"/>
    <mergeCell ref="I8:J8"/>
    <mergeCell ref="E9:F9"/>
    <mergeCell ref="G9:H9"/>
    <mergeCell ref="I9:J9"/>
    <mergeCell ref="N9:O9"/>
    <mergeCell ref="E10:F10"/>
    <mergeCell ref="G10:H10"/>
    <mergeCell ref="I10:J10"/>
    <mergeCell ref="N10:O10"/>
  </mergeCells>
  <dataValidations count="4">
    <dataValidation type="list" allowBlank="1" showInputMessage="1" showErrorMessage="1" sqref="G9:H10">
      <formula1>"Intelig, GVT, Embratel, Oi, Hit Telecom, Outros"</formula1>
    </dataValidation>
    <dataValidation type="list" allowBlank="1" showInputMessage="1" showErrorMessage="1" sqref="I9:J9">
      <formula1>"Cliente, Contax"</formula1>
    </dataValidation>
    <dataValidation type="list" allowBlank="1" showInputMessage="1" showErrorMessage="1" sqref="L9:M10">
      <formula1>"256K, 512K, 1Mbps, 2Mbps, 10Mbps, 15Mbps, 34Mbps, 50Mbps, 100Mbps, 1GBps"</formula1>
    </dataValidation>
    <dataValidation type="list" allowBlank="1" showInputMessage="1" showErrorMessage="1" sqref="K9:K10">
      <formula1>"FastETH, MetroETH, V.35, P2P, Outros"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6:T85"/>
  <sheetViews>
    <sheetView showGridLines="0" showRowColHeaders="0" workbookViewId="0">
      <selection activeCell="F85" sqref="F85:P85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6:20" ht="21">
      <c r="F7" s="72" t="s">
        <v>32</v>
      </c>
      <c r="G7" s="72"/>
      <c r="H7" s="72"/>
      <c r="I7" s="72"/>
      <c r="J7" s="72"/>
      <c r="K7" s="72"/>
      <c r="L7" s="72"/>
      <c r="M7" s="72"/>
      <c r="N7" s="72"/>
      <c r="O7" s="72"/>
      <c r="R7" s="4">
        <v>0</v>
      </c>
      <c r="S7" s="4">
        <v>12</v>
      </c>
      <c r="T7" s="3" t="s">
        <v>1</v>
      </c>
    </row>
    <row r="8" spans="6:20" ht="21">
      <c r="F8" s="76" t="s">
        <v>80</v>
      </c>
      <c r="G8" s="77"/>
      <c r="H8" s="77"/>
      <c r="I8" s="77"/>
      <c r="J8" s="77"/>
      <c r="K8" s="77"/>
      <c r="L8" s="77"/>
      <c r="M8" s="77"/>
      <c r="N8" s="77"/>
      <c r="O8" s="77"/>
      <c r="P8" s="19"/>
      <c r="R8" s="4">
        <v>13</v>
      </c>
      <c r="S8" s="4">
        <v>18</v>
      </c>
      <c r="T8" s="3" t="s">
        <v>2</v>
      </c>
    </row>
    <row r="9" spans="6:20" ht="21">
      <c r="F9" s="77"/>
      <c r="G9" s="77"/>
      <c r="H9" s="77"/>
      <c r="I9" s="77"/>
      <c r="J9" s="77"/>
      <c r="K9" s="77"/>
      <c r="L9" s="77"/>
      <c r="M9" s="77"/>
      <c r="N9" s="77"/>
      <c r="O9" s="77"/>
      <c r="P9" s="19"/>
      <c r="R9" s="4"/>
      <c r="S9" s="4"/>
      <c r="T9" s="3"/>
    </row>
    <row r="10" spans="6:20" ht="21"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19"/>
      <c r="R10" s="4"/>
      <c r="S10" s="4"/>
      <c r="T10" s="3"/>
    </row>
    <row r="11" spans="6:20" ht="21"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19"/>
      <c r="R11" s="4"/>
      <c r="S11" s="4"/>
      <c r="T11" s="3"/>
    </row>
    <row r="12" spans="6:20" ht="21"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19"/>
      <c r="R12" s="4"/>
      <c r="S12" s="4"/>
      <c r="T12" s="3"/>
    </row>
    <row r="13" spans="6:20" ht="21"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19"/>
      <c r="R13" s="4"/>
      <c r="S13" s="4"/>
      <c r="T13" s="3"/>
    </row>
    <row r="14" spans="6:20" ht="21">
      <c r="F14" s="72" t="s">
        <v>33</v>
      </c>
      <c r="G14" s="72"/>
      <c r="H14" s="72"/>
      <c r="I14" s="72"/>
      <c r="J14" s="72"/>
      <c r="K14" s="72"/>
      <c r="L14" s="72"/>
      <c r="M14" s="72"/>
      <c r="N14" s="72"/>
      <c r="O14" s="72"/>
      <c r="R14" s="4">
        <v>18</v>
      </c>
      <c r="S14" s="4">
        <v>24</v>
      </c>
      <c r="T14" s="3" t="s">
        <v>3</v>
      </c>
    </row>
    <row r="15" spans="6:20">
      <c r="F15" s="74" t="s">
        <v>79</v>
      </c>
      <c r="G15" s="74"/>
      <c r="H15" s="74"/>
      <c r="I15" s="74"/>
      <c r="J15" s="74"/>
      <c r="K15" s="74"/>
      <c r="L15" s="74"/>
      <c r="M15" s="74"/>
      <c r="N15" s="74"/>
      <c r="O15" s="74"/>
    </row>
    <row r="16" spans="6:20" ht="21">
      <c r="F16" s="72" t="s">
        <v>34</v>
      </c>
      <c r="G16" s="72"/>
      <c r="H16" s="72"/>
      <c r="I16" s="72"/>
      <c r="J16" s="72"/>
      <c r="K16" s="72"/>
      <c r="L16" s="72"/>
      <c r="M16" s="72"/>
      <c r="N16" s="72"/>
      <c r="O16" s="72"/>
    </row>
    <row r="17" spans="6:15">
      <c r="F17" s="74" t="s">
        <v>77</v>
      </c>
      <c r="G17" s="74"/>
      <c r="H17" s="74"/>
      <c r="I17" s="74"/>
      <c r="J17" s="74"/>
      <c r="K17" s="74"/>
      <c r="L17" s="74"/>
      <c r="M17" s="74"/>
      <c r="N17" s="74"/>
      <c r="O17" s="74"/>
    </row>
    <row r="18" spans="6:15">
      <c r="F18" s="74" t="s">
        <v>82</v>
      </c>
      <c r="G18" s="74"/>
      <c r="H18" s="74"/>
      <c r="I18" s="74"/>
      <c r="J18" s="74"/>
      <c r="K18" s="74"/>
      <c r="L18" s="74"/>
      <c r="M18" s="74"/>
      <c r="N18" s="74"/>
      <c r="O18" s="74"/>
    </row>
    <row r="19" spans="6:15" ht="21">
      <c r="F19" s="72" t="s">
        <v>35</v>
      </c>
      <c r="G19" s="72"/>
      <c r="H19" s="72"/>
      <c r="I19" s="72"/>
      <c r="J19" s="72"/>
      <c r="K19" s="72"/>
      <c r="L19" s="72"/>
      <c r="M19" s="72"/>
      <c r="N19" s="72"/>
      <c r="O19" s="72"/>
    </row>
    <row r="20" spans="6:15" ht="21" customHeight="1">
      <c r="F20" s="75" t="s">
        <v>78</v>
      </c>
      <c r="G20" s="75"/>
      <c r="H20" s="75"/>
      <c r="I20" s="75"/>
      <c r="J20" s="75"/>
      <c r="K20" s="75"/>
      <c r="L20" s="75"/>
      <c r="M20" s="75"/>
      <c r="N20" s="75"/>
      <c r="O20" s="75"/>
    </row>
    <row r="21" spans="6:15" ht="21" customHeight="1"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6:15" ht="21" customHeight="1">
      <c r="F22" s="75"/>
      <c r="G22" s="75"/>
      <c r="H22" s="75"/>
      <c r="I22" s="75"/>
      <c r="J22" s="75"/>
      <c r="K22" s="75"/>
      <c r="L22" s="75"/>
      <c r="M22" s="75"/>
      <c r="N22" s="75"/>
      <c r="O22" s="75"/>
    </row>
    <row r="23" spans="6:15" ht="21">
      <c r="F23" s="72" t="s">
        <v>83</v>
      </c>
      <c r="G23" s="72"/>
      <c r="H23" s="72"/>
      <c r="I23" s="72"/>
      <c r="J23" s="72"/>
      <c r="K23" s="72"/>
      <c r="L23" s="72"/>
      <c r="M23" s="72"/>
      <c r="N23" s="72"/>
      <c r="O23" s="72"/>
    </row>
    <row r="24" spans="6:15" ht="15" customHeight="1">
      <c r="F24" s="75" t="s">
        <v>84</v>
      </c>
      <c r="G24" s="75"/>
      <c r="H24" s="75"/>
      <c r="I24" s="75"/>
      <c r="J24" s="75"/>
      <c r="K24" s="75"/>
      <c r="L24" s="75"/>
      <c r="M24" s="75"/>
      <c r="N24" s="75"/>
      <c r="O24" s="75"/>
    </row>
    <row r="25" spans="6:15"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spans="6:15"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6:15" ht="21">
      <c r="F27" s="72" t="s">
        <v>81</v>
      </c>
      <c r="G27" s="72"/>
      <c r="H27" s="72"/>
      <c r="I27" s="72"/>
      <c r="J27" s="72"/>
      <c r="K27" s="72"/>
      <c r="L27" s="72"/>
      <c r="M27" s="72"/>
      <c r="N27" s="72"/>
      <c r="O27" s="72"/>
    </row>
    <row r="34" spans="1:16">
      <c r="M34" s="13" t="s">
        <v>4</v>
      </c>
    </row>
    <row r="36" spans="1:16">
      <c r="A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  <c r="O36" s="9"/>
    </row>
    <row r="37" spans="1:16">
      <c r="A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9"/>
      <c r="P37" s="9"/>
    </row>
    <row r="38" spans="1:16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O38" s="12"/>
      <c r="P38" s="12"/>
    </row>
    <row r="39" spans="1:16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O39" s="12"/>
      <c r="P39" s="12"/>
    </row>
    <row r="52" spans="6:15" ht="21">
      <c r="F52" s="72" t="s">
        <v>85</v>
      </c>
      <c r="G52" s="72"/>
      <c r="H52" s="72"/>
      <c r="I52" s="72"/>
      <c r="J52" s="72"/>
      <c r="K52" s="72"/>
      <c r="L52" s="72"/>
      <c r="M52" s="72"/>
      <c r="N52" s="72"/>
      <c r="O52" s="72"/>
    </row>
    <row r="53" spans="6:15" ht="15" customHeight="1">
      <c r="F53" s="75" t="s">
        <v>86</v>
      </c>
      <c r="G53" s="75"/>
      <c r="H53" s="75"/>
      <c r="I53" s="75"/>
      <c r="J53" s="75"/>
      <c r="K53" s="75"/>
      <c r="L53" s="75"/>
      <c r="M53" s="75"/>
      <c r="N53" s="75"/>
      <c r="O53" s="75"/>
    </row>
    <row r="54" spans="6:15">
      <c r="F54" s="75"/>
      <c r="G54" s="75"/>
      <c r="H54" s="75"/>
      <c r="I54" s="75"/>
      <c r="J54" s="75"/>
      <c r="K54" s="75"/>
      <c r="L54" s="75"/>
      <c r="M54" s="75"/>
      <c r="N54" s="75"/>
      <c r="O54" s="75"/>
    </row>
    <row r="55" spans="6:15">
      <c r="F55" s="75"/>
      <c r="G55" s="75"/>
      <c r="H55" s="75"/>
      <c r="I55" s="75"/>
      <c r="J55" s="75"/>
      <c r="K55" s="75"/>
      <c r="L55" s="75"/>
      <c r="M55" s="75"/>
      <c r="N55" s="75"/>
      <c r="O55" s="75"/>
    </row>
    <row r="56" spans="6:15">
      <c r="F56" s="75"/>
      <c r="G56" s="75"/>
      <c r="H56" s="75"/>
      <c r="I56" s="75"/>
      <c r="J56" s="75"/>
      <c r="K56" s="75"/>
      <c r="L56" s="75"/>
      <c r="M56" s="75"/>
      <c r="N56" s="75"/>
      <c r="O56" s="75"/>
    </row>
    <row r="57" spans="6:15">
      <c r="F57" s="75"/>
      <c r="G57" s="75"/>
      <c r="H57" s="75"/>
      <c r="I57" s="75"/>
      <c r="J57" s="75"/>
      <c r="K57" s="75"/>
      <c r="L57" s="75"/>
      <c r="M57" s="75"/>
      <c r="N57" s="75"/>
      <c r="O57" s="75"/>
    </row>
    <row r="58" spans="6:15">
      <c r="F58" s="75"/>
      <c r="G58" s="75"/>
      <c r="H58" s="75"/>
      <c r="I58" s="75"/>
      <c r="J58" s="75"/>
      <c r="K58" s="75"/>
      <c r="L58" s="75"/>
      <c r="M58" s="75"/>
      <c r="N58" s="75"/>
      <c r="O58" s="75"/>
    </row>
    <row r="59" spans="6:15">
      <c r="F59" s="75"/>
      <c r="G59" s="75"/>
      <c r="H59" s="75"/>
      <c r="I59" s="75"/>
      <c r="J59" s="75"/>
      <c r="K59" s="75"/>
      <c r="L59" s="75"/>
      <c r="M59" s="75"/>
      <c r="N59" s="75"/>
      <c r="O59" s="75"/>
    </row>
    <row r="60" spans="6:15">
      <c r="F60" s="75"/>
      <c r="G60" s="75"/>
      <c r="H60" s="75"/>
      <c r="I60" s="75"/>
      <c r="J60" s="75"/>
      <c r="K60" s="75"/>
      <c r="L60" s="75"/>
      <c r="M60" s="75"/>
      <c r="N60" s="75"/>
      <c r="O60" s="75"/>
    </row>
    <row r="61" spans="6:15">
      <c r="F61" s="75"/>
      <c r="G61" s="75"/>
      <c r="H61" s="75"/>
      <c r="I61" s="75"/>
      <c r="J61" s="75"/>
      <c r="K61" s="75"/>
      <c r="L61" s="75"/>
      <c r="M61" s="75"/>
      <c r="N61" s="75"/>
      <c r="O61" s="75"/>
    </row>
    <row r="62" spans="6:15">
      <c r="F62" s="75"/>
      <c r="G62" s="75"/>
      <c r="H62" s="75"/>
      <c r="I62" s="75"/>
      <c r="J62" s="75"/>
      <c r="K62" s="75"/>
      <c r="L62" s="75"/>
      <c r="M62" s="75"/>
      <c r="N62" s="75"/>
      <c r="O62" s="75"/>
    </row>
    <row r="63" spans="6:15">
      <c r="F63" s="75"/>
      <c r="G63" s="75"/>
      <c r="H63" s="75"/>
      <c r="I63" s="75"/>
      <c r="J63" s="75"/>
      <c r="K63" s="75"/>
      <c r="L63" s="75"/>
      <c r="M63" s="75"/>
      <c r="N63" s="75"/>
      <c r="O63" s="75"/>
    </row>
    <row r="64" spans="6:15">
      <c r="F64" s="75"/>
      <c r="G64" s="75"/>
      <c r="H64" s="75"/>
      <c r="I64" s="75"/>
      <c r="J64" s="75"/>
      <c r="K64" s="75"/>
      <c r="L64" s="75"/>
      <c r="M64" s="75"/>
      <c r="N64" s="75"/>
      <c r="O64" s="75"/>
    </row>
    <row r="66" spans="6:15" ht="21">
      <c r="F66" s="72" t="s">
        <v>103</v>
      </c>
      <c r="G66" s="72"/>
      <c r="H66" s="72"/>
      <c r="I66" s="72"/>
      <c r="J66" s="72"/>
      <c r="K66" s="72"/>
      <c r="L66" s="72"/>
      <c r="M66" s="72"/>
      <c r="N66" s="72"/>
      <c r="O66" s="72"/>
    </row>
    <row r="68" spans="6:15">
      <c r="F68" s="73" t="s">
        <v>104</v>
      </c>
      <c r="G68" s="73"/>
      <c r="H68" s="73"/>
      <c r="I68" s="73"/>
      <c r="J68" s="73"/>
      <c r="K68" s="73"/>
      <c r="L68" s="73"/>
      <c r="M68" s="73"/>
      <c r="N68" s="73"/>
      <c r="O68" s="73"/>
    </row>
    <row r="85" spans="6:16">
      <c r="F85" s="74" t="s">
        <v>105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</row>
  </sheetData>
  <mergeCells count="18">
    <mergeCell ref="F19:O19"/>
    <mergeCell ref="F23:O23"/>
    <mergeCell ref="F27:O27"/>
    <mergeCell ref="M6:P6"/>
    <mergeCell ref="F7:O7"/>
    <mergeCell ref="F14:O14"/>
    <mergeCell ref="F16:O16"/>
    <mergeCell ref="F17:O17"/>
    <mergeCell ref="F15:O15"/>
    <mergeCell ref="F20:O22"/>
    <mergeCell ref="F8:O13"/>
    <mergeCell ref="F18:O18"/>
    <mergeCell ref="F66:O66"/>
    <mergeCell ref="F68:O68"/>
    <mergeCell ref="F85:P85"/>
    <mergeCell ref="F24:O26"/>
    <mergeCell ref="F52:O52"/>
    <mergeCell ref="F53:O6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6:V42"/>
  <sheetViews>
    <sheetView showGridLines="0" showRowColHeaders="0" workbookViewId="0">
      <selection activeCell="L45" sqref="L45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5:22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5:22">
      <c r="L7" s="1"/>
      <c r="M7" s="56"/>
      <c r="N7" s="56"/>
      <c r="O7" s="56"/>
      <c r="P7" s="56"/>
      <c r="R7" s="3">
        <f ca="1">HOUR(NOW())</f>
        <v>17</v>
      </c>
      <c r="S7" s="3" t="s">
        <v>0</v>
      </c>
      <c r="T7" s="3"/>
    </row>
    <row r="8" spans="5:22">
      <c r="E8" s="85" t="s">
        <v>110</v>
      </c>
      <c r="F8" s="86"/>
      <c r="G8" s="86"/>
      <c r="H8" s="86"/>
      <c r="I8" s="86"/>
      <c r="J8" s="87"/>
      <c r="K8" s="28"/>
      <c r="L8" s="28"/>
      <c r="M8" s="78" t="s">
        <v>47</v>
      </c>
      <c r="N8" s="88"/>
      <c r="O8" s="89"/>
      <c r="P8" s="28"/>
      <c r="Q8" s="78" t="s">
        <v>48</v>
      </c>
      <c r="R8" s="79"/>
      <c r="S8" s="79"/>
      <c r="T8" s="79"/>
      <c r="U8" s="79"/>
      <c r="V8" s="80"/>
    </row>
    <row r="9" spans="5:22">
      <c r="E9" s="81" t="s">
        <v>49</v>
      </c>
      <c r="F9" s="82"/>
      <c r="G9" s="83"/>
      <c r="H9" s="84" t="s">
        <v>107</v>
      </c>
      <c r="I9" s="84"/>
      <c r="J9" s="84"/>
      <c r="K9" s="28"/>
      <c r="L9" s="28"/>
      <c r="M9" s="84" t="s">
        <v>109</v>
      </c>
      <c r="N9" s="84"/>
      <c r="O9" s="84"/>
      <c r="P9" s="28"/>
      <c r="Q9" s="78" t="s">
        <v>48</v>
      </c>
      <c r="R9" s="79"/>
      <c r="S9" s="80"/>
      <c r="T9" s="78" t="s">
        <v>50</v>
      </c>
      <c r="U9" s="79"/>
      <c r="V9" s="80"/>
    </row>
    <row r="10" spans="5:22">
      <c r="E10" s="81" t="s">
        <v>51</v>
      </c>
      <c r="F10" s="82"/>
      <c r="G10" s="83"/>
      <c r="H10" s="90"/>
      <c r="I10" s="90"/>
      <c r="J10" s="90"/>
      <c r="K10" s="28"/>
      <c r="L10" s="28"/>
      <c r="M10" s="90"/>
      <c r="N10" s="90"/>
      <c r="O10" s="90"/>
      <c r="P10" s="29"/>
      <c r="Q10" s="126">
        <v>314840</v>
      </c>
      <c r="R10" s="126">
        <v>314840</v>
      </c>
      <c r="S10" s="126">
        <v>314840</v>
      </c>
      <c r="T10" s="127" t="s">
        <v>114</v>
      </c>
      <c r="U10" s="128" t="s">
        <v>114</v>
      </c>
      <c r="V10" s="71"/>
    </row>
    <row r="11" spans="5:22">
      <c r="E11" s="81" t="s">
        <v>52</v>
      </c>
      <c r="F11" s="82"/>
      <c r="G11" s="83"/>
      <c r="H11" s="90"/>
      <c r="I11" s="90"/>
      <c r="J11" s="90"/>
      <c r="K11" s="28"/>
      <c r="L11" s="28"/>
      <c r="M11" s="90"/>
      <c r="N11" s="90"/>
      <c r="O11" s="90"/>
      <c r="P11" s="30"/>
      <c r="Q11" s="127">
        <v>21001</v>
      </c>
      <c r="R11" s="127">
        <v>21001</v>
      </c>
      <c r="S11" s="127">
        <v>21001</v>
      </c>
      <c r="T11" s="126">
        <v>4841</v>
      </c>
      <c r="U11" s="129">
        <v>4841</v>
      </c>
      <c r="V11" s="130"/>
    </row>
    <row r="12" spans="5:22">
      <c r="E12" s="78" t="s">
        <v>53</v>
      </c>
      <c r="F12" s="79"/>
      <c r="G12" s="80"/>
      <c r="H12" s="90">
        <v>1</v>
      </c>
      <c r="I12" s="90"/>
      <c r="J12" s="90"/>
      <c r="K12" s="28"/>
      <c r="L12" s="28"/>
      <c r="M12" s="84"/>
      <c r="N12" s="84"/>
      <c r="O12" s="84"/>
      <c r="P12" s="30"/>
      <c r="Q12" s="127">
        <v>21002</v>
      </c>
      <c r="R12" s="127">
        <v>21002</v>
      </c>
      <c r="S12" s="127">
        <v>21002</v>
      </c>
      <c r="T12" s="127">
        <v>4842</v>
      </c>
      <c r="U12" s="128">
        <v>4842</v>
      </c>
      <c r="V12" s="71"/>
    </row>
    <row r="13" spans="5:22">
      <c r="E13" s="91" t="s">
        <v>54</v>
      </c>
      <c r="F13" s="92"/>
      <c r="G13" s="93"/>
      <c r="H13" s="140" t="s">
        <v>108</v>
      </c>
      <c r="I13" s="141"/>
      <c r="J13" s="142"/>
      <c r="K13" s="28"/>
      <c r="L13" s="28"/>
      <c r="M13" s="84"/>
      <c r="N13" s="84"/>
      <c r="O13" s="84"/>
      <c r="P13" s="30"/>
      <c r="Q13" s="127">
        <v>21003</v>
      </c>
      <c r="R13" s="127">
        <v>21003</v>
      </c>
      <c r="S13" s="127">
        <v>21003</v>
      </c>
      <c r="T13" s="126">
        <v>4843</v>
      </c>
      <c r="U13" s="129">
        <v>4843</v>
      </c>
      <c r="V13" s="130"/>
    </row>
    <row r="14" spans="5:22">
      <c r="E14" s="94"/>
      <c r="F14" s="95"/>
      <c r="G14" s="96"/>
      <c r="H14" s="143"/>
      <c r="I14" s="144"/>
      <c r="J14" s="145"/>
      <c r="K14" s="28"/>
      <c r="L14" s="28"/>
      <c r="M14" s="84"/>
      <c r="N14" s="84"/>
      <c r="O14" s="84"/>
      <c r="P14" s="30"/>
      <c r="Q14" s="127">
        <v>21004</v>
      </c>
      <c r="R14" s="127">
        <v>21004</v>
      </c>
      <c r="S14" s="127">
        <v>21004</v>
      </c>
      <c r="T14" s="127">
        <v>4844</v>
      </c>
      <c r="U14" s="128">
        <v>4844</v>
      </c>
      <c r="V14" s="71"/>
    </row>
    <row r="15" spans="5:22">
      <c r="E15" s="94"/>
      <c r="F15" s="95"/>
      <c r="G15" s="96"/>
      <c r="H15" s="143"/>
      <c r="I15" s="144"/>
      <c r="J15" s="145"/>
      <c r="K15" s="28"/>
      <c r="L15" s="28"/>
      <c r="M15" s="84"/>
      <c r="N15" s="84"/>
      <c r="O15" s="84"/>
      <c r="P15" s="30"/>
      <c r="Q15" s="126">
        <v>314841</v>
      </c>
      <c r="R15" s="126">
        <v>314841</v>
      </c>
      <c r="S15" s="126">
        <v>314841</v>
      </c>
      <c r="T15" s="127" t="s">
        <v>114</v>
      </c>
      <c r="U15" s="128" t="s">
        <v>114</v>
      </c>
      <c r="V15" s="71"/>
    </row>
    <row r="16" spans="5:22">
      <c r="E16" s="97"/>
      <c r="F16" s="95"/>
      <c r="G16" s="96"/>
      <c r="H16" s="143"/>
      <c r="I16" s="144"/>
      <c r="J16" s="145"/>
      <c r="K16" s="28"/>
      <c r="L16" s="28"/>
      <c r="M16" s="84"/>
      <c r="N16" s="84"/>
      <c r="O16" s="84"/>
      <c r="P16" s="28"/>
      <c r="Q16" s="127">
        <v>21005</v>
      </c>
      <c r="R16" s="127">
        <v>21005</v>
      </c>
      <c r="S16" s="127">
        <v>21005</v>
      </c>
      <c r="T16" s="131">
        <v>4845</v>
      </c>
      <c r="U16" s="133">
        <v>4845</v>
      </c>
      <c r="V16" s="134"/>
    </row>
    <row r="17" spans="1:22">
      <c r="E17" s="97"/>
      <c r="F17" s="95"/>
      <c r="G17" s="96"/>
      <c r="H17" s="143"/>
      <c r="I17" s="144"/>
      <c r="J17" s="145"/>
      <c r="K17" s="28"/>
      <c r="L17" s="28"/>
      <c r="M17" s="84"/>
      <c r="N17" s="84"/>
      <c r="O17" s="84"/>
      <c r="P17" s="28"/>
      <c r="Q17" s="127">
        <v>21006</v>
      </c>
      <c r="R17" s="127">
        <v>21006</v>
      </c>
      <c r="S17" s="127">
        <v>21006</v>
      </c>
      <c r="T17" s="131">
        <v>4846</v>
      </c>
      <c r="U17" s="133">
        <v>4846</v>
      </c>
      <c r="V17" s="134"/>
    </row>
    <row r="18" spans="1:22">
      <c r="E18" s="98"/>
      <c r="F18" s="99"/>
      <c r="G18" s="100"/>
      <c r="H18" s="146"/>
      <c r="I18" s="147"/>
      <c r="J18" s="148"/>
      <c r="K18" s="28"/>
      <c r="L18" s="28"/>
      <c r="M18" s="84"/>
      <c r="N18" s="84"/>
      <c r="O18" s="84"/>
      <c r="P18" s="28"/>
      <c r="Q18" s="127">
        <v>21007</v>
      </c>
      <c r="R18" s="127">
        <v>21007</v>
      </c>
      <c r="S18" s="127">
        <v>21007</v>
      </c>
      <c r="T18" s="132">
        <v>4847</v>
      </c>
      <c r="U18" s="135">
        <v>4847</v>
      </c>
      <c r="V18" s="136"/>
    </row>
    <row r="19" spans="1:22">
      <c r="E19" s="78" t="s">
        <v>55</v>
      </c>
      <c r="F19" s="79"/>
      <c r="G19" s="80"/>
      <c r="H19" s="90" t="s">
        <v>74</v>
      </c>
      <c r="I19" s="90"/>
      <c r="J19" s="90"/>
      <c r="K19" s="28"/>
      <c r="L19" s="28"/>
      <c r="M19" s="84"/>
      <c r="N19" s="84"/>
      <c r="O19" s="84"/>
      <c r="P19" s="28"/>
      <c r="Q19" s="127">
        <v>21008</v>
      </c>
      <c r="R19" s="127">
        <v>21008</v>
      </c>
      <c r="S19" s="127">
        <v>21008</v>
      </c>
      <c r="T19" s="38">
        <v>4848</v>
      </c>
      <c r="U19" s="65">
        <v>4848</v>
      </c>
      <c r="V19" s="67"/>
    </row>
    <row r="20" spans="1:22">
      <c r="E20" s="78"/>
      <c r="F20" s="79"/>
      <c r="G20" s="80"/>
      <c r="H20" s="90"/>
      <c r="I20" s="90"/>
      <c r="J20" s="90"/>
      <c r="K20" s="28"/>
      <c r="L20" s="28"/>
      <c r="M20" s="84"/>
      <c r="N20" s="84"/>
      <c r="O20" s="84"/>
      <c r="P20" s="28"/>
      <c r="Q20" s="126">
        <v>314842</v>
      </c>
      <c r="R20" s="126">
        <v>314842</v>
      </c>
      <c r="S20" s="126">
        <v>314842</v>
      </c>
      <c r="T20" s="137" t="s">
        <v>114</v>
      </c>
      <c r="U20" s="138" t="s">
        <v>114</v>
      </c>
      <c r="V20" s="139"/>
    </row>
    <row r="21" spans="1:22">
      <c r="E21" s="101" t="s">
        <v>56</v>
      </c>
      <c r="F21" s="101"/>
      <c r="G21" s="101"/>
      <c r="H21" s="90" t="s">
        <v>115</v>
      </c>
      <c r="I21" s="90"/>
      <c r="J21" s="90"/>
      <c r="K21" s="28"/>
      <c r="L21" s="28"/>
      <c r="M21" s="84"/>
      <c r="N21" s="84"/>
      <c r="O21" s="84"/>
      <c r="P21" s="28"/>
      <c r="Q21" s="126">
        <v>21009</v>
      </c>
      <c r="R21" s="126">
        <v>21009</v>
      </c>
      <c r="S21" s="126">
        <v>21009</v>
      </c>
      <c r="T21" s="137">
        <v>4949</v>
      </c>
      <c r="U21" s="138">
        <v>4949</v>
      </c>
      <c r="V21" s="139"/>
    </row>
    <row r="22" spans="1:22">
      <c r="E22" s="150"/>
      <c r="F22" s="149"/>
      <c r="G22" s="149"/>
      <c r="H22" s="151"/>
      <c r="I22" s="151"/>
      <c r="J22" s="151"/>
      <c r="K22" s="28"/>
      <c r="L22" s="28"/>
      <c r="M22" s="84"/>
      <c r="N22" s="84"/>
      <c r="O22" s="84"/>
      <c r="P22" s="28"/>
      <c r="Q22" s="126">
        <v>21010</v>
      </c>
      <c r="R22" s="126">
        <v>21010</v>
      </c>
      <c r="S22" s="126">
        <v>21010</v>
      </c>
      <c r="T22" s="137">
        <v>4950</v>
      </c>
      <c r="U22" s="138">
        <v>4950</v>
      </c>
      <c r="V22" s="139"/>
    </row>
    <row r="23" spans="1:22">
      <c r="E23" s="150"/>
      <c r="F23" s="149"/>
      <c r="G23" s="149"/>
      <c r="H23" s="151"/>
      <c r="I23" s="151"/>
      <c r="J23" s="151"/>
      <c r="K23" s="28"/>
      <c r="L23" s="28"/>
      <c r="M23" s="84"/>
      <c r="N23" s="84"/>
      <c r="O23" s="84"/>
      <c r="P23" s="28"/>
      <c r="Q23" s="126">
        <v>21011</v>
      </c>
      <c r="R23" s="126">
        <v>21011</v>
      </c>
      <c r="S23" s="126">
        <v>21011</v>
      </c>
      <c r="T23" s="137">
        <v>4951</v>
      </c>
      <c r="U23" s="138">
        <v>4951</v>
      </c>
      <c r="V23" s="139"/>
    </row>
    <row r="24" spans="1:22">
      <c r="E24" s="150"/>
      <c r="F24" s="149"/>
      <c r="G24" s="149"/>
      <c r="H24" s="151"/>
      <c r="I24" s="151"/>
      <c r="J24" s="151"/>
      <c r="K24" s="28"/>
      <c r="L24" s="28"/>
      <c r="M24" s="84"/>
      <c r="N24" s="84"/>
      <c r="O24" s="84"/>
      <c r="P24" s="28"/>
      <c r="Q24" s="126">
        <v>21012</v>
      </c>
      <c r="R24" s="126">
        <v>21012</v>
      </c>
      <c r="S24" s="126">
        <v>21012</v>
      </c>
      <c r="T24" s="137">
        <v>4952</v>
      </c>
      <c r="U24" s="138">
        <v>4952</v>
      </c>
      <c r="V24" s="139"/>
    </row>
    <row r="25" spans="1:22">
      <c r="E25" s="149"/>
      <c r="F25" s="149"/>
      <c r="G25" s="149"/>
      <c r="H25" s="151"/>
      <c r="I25" s="151"/>
      <c r="J25" s="151"/>
      <c r="K25" s="28"/>
      <c r="L25" s="28"/>
      <c r="M25" s="84"/>
      <c r="N25" s="84"/>
      <c r="O25" s="84"/>
      <c r="P25" s="28"/>
      <c r="Q25" s="131">
        <v>314845</v>
      </c>
      <c r="R25" s="131">
        <v>314845</v>
      </c>
      <c r="S25" s="131">
        <v>314845</v>
      </c>
      <c r="T25" s="131">
        <v>4845</v>
      </c>
      <c r="U25" s="133">
        <v>4845</v>
      </c>
      <c r="V25" s="134"/>
    </row>
    <row r="26" spans="1:22">
      <c r="A26" s="7"/>
      <c r="D26" s="7"/>
      <c r="E26" s="149"/>
      <c r="F26" s="149"/>
      <c r="G26" s="149"/>
      <c r="H26" s="151"/>
      <c r="I26" s="151"/>
      <c r="J26" s="151"/>
      <c r="K26" s="28"/>
      <c r="L26" s="28"/>
      <c r="M26" s="84"/>
      <c r="N26" s="84"/>
      <c r="O26" s="84"/>
      <c r="P26" s="28"/>
      <c r="Q26" s="131">
        <v>314846</v>
      </c>
      <c r="R26" s="131">
        <v>314846</v>
      </c>
      <c r="S26" s="131">
        <v>314846</v>
      </c>
      <c r="T26" s="131">
        <v>4846</v>
      </c>
      <c r="U26" s="133">
        <v>4846</v>
      </c>
      <c r="V26" s="134"/>
    </row>
    <row r="27" spans="1:22">
      <c r="A27" s="7"/>
      <c r="D27" s="7"/>
      <c r="E27" s="149"/>
      <c r="F27" s="149"/>
      <c r="G27" s="149"/>
      <c r="H27" s="151"/>
      <c r="I27" s="151"/>
      <c r="J27" s="151"/>
      <c r="K27" s="28"/>
      <c r="L27" s="28"/>
      <c r="M27" s="84"/>
      <c r="N27" s="84"/>
      <c r="O27" s="84"/>
      <c r="P27" s="28"/>
      <c r="Q27" s="131">
        <v>314847</v>
      </c>
      <c r="R27" s="131">
        <v>314847</v>
      </c>
      <c r="S27" s="131">
        <v>314847</v>
      </c>
      <c r="T27" s="131">
        <v>4847</v>
      </c>
      <c r="U27" s="133">
        <v>4847</v>
      </c>
      <c r="V27" s="134"/>
    </row>
    <row r="28" spans="1:22">
      <c r="A28" s="10"/>
      <c r="B28" s="11"/>
      <c r="C28" s="11"/>
      <c r="D28" s="11"/>
      <c r="E28" s="31"/>
      <c r="F28" s="31"/>
      <c r="G28" s="31"/>
      <c r="H28" s="32"/>
      <c r="I28" s="32"/>
      <c r="J28" s="32"/>
      <c r="K28" s="28"/>
      <c r="L28" s="28"/>
      <c r="M28" s="84"/>
      <c r="N28" s="84"/>
      <c r="O28" s="84"/>
      <c r="P28" s="28"/>
      <c r="Q28" s="84">
        <v>314844</v>
      </c>
      <c r="R28" s="84"/>
      <c r="S28" s="84"/>
      <c r="T28" s="84">
        <v>4840</v>
      </c>
      <c r="U28" s="84"/>
      <c r="V28" s="84"/>
    </row>
    <row r="29" spans="1:22">
      <c r="A29" s="10"/>
      <c r="B29" s="11"/>
      <c r="C29" s="11"/>
      <c r="D29" s="11"/>
      <c r="E29" s="152"/>
      <c r="F29" s="152"/>
      <c r="G29" s="152"/>
      <c r="H29" s="152"/>
      <c r="I29" s="152"/>
      <c r="J29" s="152"/>
      <c r="K29" s="28"/>
      <c r="L29" s="28"/>
      <c r="M29" s="84"/>
      <c r="N29" s="84"/>
      <c r="O29" s="84"/>
      <c r="P29" s="28"/>
      <c r="Q29" s="84"/>
      <c r="R29" s="84"/>
      <c r="S29" s="84"/>
      <c r="T29" s="84"/>
      <c r="U29" s="84"/>
      <c r="V29" s="84"/>
    </row>
    <row r="30" spans="1:22">
      <c r="E30" s="153"/>
      <c r="F30" s="102"/>
      <c r="G30" s="102"/>
      <c r="H30" s="102"/>
      <c r="I30" s="102"/>
      <c r="J30" s="102"/>
      <c r="K30" s="28"/>
      <c r="L30" s="28"/>
      <c r="M30" s="84"/>
      <c r="N30" s="84"/>
      <c r="O30" s="84"/>
      <c r="P30" s="28"/>
      <c r="Q30" s="84"/>
      <c r="R30" s="84"/>
      <c r="S30" s="84"/>
      <c r="T30" s="84"/>
      <c r="U30" s="84"/>
      <c r="V30" s="84"/>
    </row>
    <row r="31" spans="1:22">
      <c r="E31" s="102"/>
      <c r="F31" s="102"/>
      <c r="G31" s="102"/>
      <c r="H31" s="102"/>
      <c r="I31" s="102"/>
      <c r="J31" s="102"/>
      <c r="K31" s="28"/>
      <c r="L31" s="28"/>
      <c r="M31" s="84"/>
      <c r="N31" s="84"/>
      <c r="O31" s="84"/>
      <c r="P31" s="28"/>
      <c r="Q31" s="84"/>
      <c r="R31" s="84"/>
      <c r="S31" s="84"/>
      <c r="T31" s="84"/>
      <c r="U31" s="84"/>
      <c r="V31" s="84"/>
    </row>
    <row r="32" spans="1:22">
      <c r="E32" s="102"/>
      <c r="F32" s="102"/>
      <c r="G32" s="102"/>
      <c r="H32" s="102"/>
      <c r="I32" s="102"/>
      <c r="J32" s="102"/>
      <c r="K32" s="28"/>
      <c r="L32" s="28"/>
      <c r="M32" s="84"/>
      <c r="N32" s="84"/>
      <c r="O32" s="84"/>
      <c r="P32" s="28"/>
      <c r="Q32" s="84"/>
      <c r="R32" s="84"/>
      <c r="S32" s="84"/>
      <c r="T32" s="84"/>
      <c r="U32" s="84"/>
      <c r="V32" s="84"/>
    </row>
    <row r="33" spans="5:22">
      <c r="E33" s="33"/>
      <c r="F33" s="33"/>
      <c r="G33" s="33"/>
      <c r="H33" s="34"/>
      <c r="I33" s="34"/>
      <c r="J33" s="34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5:22">
      <c r="E34" s="101" t="s">
        <v>57</v>
      </c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</row>
    <row r="35" spans="5:22">
      <c r="E35" s="101" t="s">
        <v>58</v>
      </c>
      <c r="F35" s="101"/>
      <c r="G35" s="101"/>
      <c r="H35" s="101" t="s">
        <v>11</v>
      </c>
      <c r="I35" s="101"/>
      <c r="J35" s="101"/>
      <c r="K35" s="101" t="s">
        <v>59</v>
      </c>
      <c r="L35" s="101"/>
      <c r="M35" s="101"/>
      <c r="N35" s="101" t="s">
        <v>60</v>
      </c>
      <c r="O35" s="101"/>
      <c r="P35" s="101"/>
      <c r="Q35" s="78" t="s">
        <v>61</v>
      </c>
      <c r="R35" s="79"/>
      <c r="S35" s="79"/>
      <c r="T35" s="79"/>
      <c r="U35" s="79"/>
      <c r="V35" s="80"/>
    </row>
    <row r="36" spans="5:22">
      <c r="E36" s="106" t="s">
        <v>111</v>
      </c>
      <c r="F36" s="104"/>
      <c r="G36" s="105"/>
      <c r="H36" s="106"/>
      <c r="I36" s="104"/>
      <c r="J36" s="105"/>
      <c r="K36" s="106" t="s">
        <v>113</v>
      </c>
      <c r="L36" s="104"/>
      <c r="M36" s="105"/>
      <c r="N36" s="107"/>
      <c r="O36" s="108"/>
      <c r="P36" s="109"/>
      <c r="Q36" s="107" t="s">
        <v>112</v>
      </c>
      <c r="R36" s="108"/>
      <c r="S36" s="108"/>
      <c r="T36" s="108"/>
      <c r="U36" s="108"/>
      <c r="V36" s="109"/>
    </row>
    <row r="37" spans="5:22">
      <c r="E37" s="103"/>
      <c r="F37" s="104"/>
      <c r="G37" s="105"/>
      <c r="H37" s="106"/>
      <c r="I37" s="104"/>
      <c r="J37" s="105"/>
      <c r="K37" s="106"/>
      <c r="L37" s="104"/>
      <c r="M37" s="105"/>
      <c r="N37" s="107"/>
      <c r="O37" s="108"/>
      <c r="P37" s="109"/>
      <c r="Q37" s="107"/>
      <c r="R37" s="108"/>
      <c r="S37" s="108"/>
      <c r="T37" s="108"/>
      <c r="U37" s="108"/>
      <c r="V37" s="109"/>
    </row>
    <row r="38" spans="5:22">
      <c r="E38" s="103"/>
      <c r="F38" s="104"/>
      <c r="G38" s="105"/>
      <c r="H38" s="106"/>
      <c r="I38" s="104"/>
      <c r="J38" s="105"/>
      <c r="K38" s="106"/>
      <c r="L38" s="104"/>
      <c r="M38" s="105"/>
      <c r="N38" s="107"/>
      <c r="O38" s="108"/>
      <c r="P38" s="109"/>
      <c r="Q38" s="107"/>
      <c r="R38" s="108"/>
      <c r="S38" s="108"/>
      <c r="T38" s="108"/>
      <c r="U38" s="108"/>
      <c r="V38" s="109"/>
    </row>
    <row r="39" spans="5:22">
      <c r="E39" s="103"/>
      <c r="F39" s="104"/>
      <c r="G39" s="105"/>
      <c r="H39" s="106"/>
      <c r="I39" s="104"/>
      <c r="J39" s="105"/>
      <c r="K39" s="106"/>
      <c r="L39" s="104"/>
      <c r="M39" s="105"/>
      <c r="N39" s="107"/>
      <c r="O39" s="108"/>
      <c r="P39" s="109"/>
      <c r="Q39" s="107"/>
      <c r="R39" s="108"/>
      <c r="S39" s="108"/>
      <c r="T39" s="108"/>
      <c r="U39" s="108"/>
      <c r="V39" s="109"/>
    </row>
    <row r="40" spans="5:22" ht="15.75" thickBot="1"/>
    <row r="41" spans="5:22">
      <c r="E41" s="154" t="s">
        <v>116</v>
      </c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6"/>
    </row>
    <row r="42" spans="5:22" ht="15.75" thickBot="1">
      <c r="E42" s="159" t="s">
        <v>117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8"/>
    </row>
  </sheetData>
  <mergeCells count="112">
    <mergeCell ref="U25:V25"/>
    <mergeCell ref="U26:V26"/>
    <mergeCell ref="U27:V27"/>
    <mergeCell ref="H13:J18"/>
    <mergeCell ref="E42:V42"/>
    <mergeCell ref="E41:V41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E39:G39"/>
    <mergeCell ref="H39:J39"/>
    <mergeCell ref="K39:M39"/>
    <mergeCell ref="N39:P39"/>
    <mergeCell ref="Q39:V39"/>
    <mergeCell ref="E38:G38"/>
    <mergeCell ref="H38:J38"/>
    <mergeCell ref="K38:M38"/>
    <mergeCell ref="N38:P38"/>
    <mergeCell ref="Q38:V38"/>
    <mergeCell ref="E37:G37"/>
    <mergeCell ref="H37:J37"/>
    <mergeCell ref="K37:M37"/>
    <mergeCell ref="N37:P37"/>
    <mergeCell ref="Q37:V37"/>
    <mergeCell ref="E36:G36"/>
    <mergeCell ref="H36:J36"/>
    <mergeCell ref="K36:M36"/>
    <mergeCell ref="N36:P36"/>
    <mergeCell ref="Q36:V36"/>
    <mergeCell ref="E35:G35"/>
    <mergeCell ref="H35:J35"/>
    <mergeCell ref="K35:M35"/>
    <mergeCell ref="N35:P35"/>
    <mergeCell ref="Q35:V35"/>
    <mergeCell ref="E29:J29"/>
    <mergeCell ref="M29:O29"/>
    <mergeCell ref="Q29:S29"/>
    <mergeCell ref="T29:V29"/>
    <mergeCell ref="E30:J32"/>
    <mergeCell ref="M30:O30"/>
    <mergeCell ref="Q30:S30"/>
    <mergeCell ref="T30:V30"/>
    <mergeCell ref="M31:O31"/>
    <mergeCell ref="Q31:S31"/>
    <mergeCell ref="T31:V31"/>
    <mergeCell ref="M32:O32"/>
    <mergeCell ref="Q32:S32"/>
    <mergeCell ref="T32:V32"/>
    <mergeCell ref="M28:O28"/>
    <mergeCell ref="Q28:S28"/>
    <mergeCell ref="T28:V28"/>
    <mergeCell ref="H26:J26"/>
    <mergeCell ref="M26:O26"/>
    <mergeCell ref="E34:V34"/>
    <mergeCell ref="E22:G27"/>
    <mergeCell ref="H22:J22"/>
    <mergeCell ref="M22:O22"/>
    <mergeCell ref="H23:J23"/>
    <mergeCell ref="M23:O23"/>
    <mergeCell ref="H24:J24"/>
    <mergeCell ref="M24:O24"/>
    <mergeCell ref="H25:J25"/>
    <mergeCell ref="M25:O25"/>
    <mergeCell ref="H27:J27"/>
    <mergeCell ref="M27:O27"/>
    <mergeCell ref="E19:G19"/>
    <mergeCell ref="H19:J19"/>
    <mergeCell ref="M19:O19"/>
    <mergeCell ref="E21:G21"/>
    <mergeCell ref="H21:J21"/>
    <mergeCell ref="M21:O21"/>
    <mergeCell ref="E20:G20"/>
    <mergeCell ref="H20:J20"/>
    <mergeCell ref="M20:O20"/>
    <mergeCell ref="U22:V22"/>
    <mergeCell ref="U23:V23"/>
    <mergeCell ref="U24:V24"/>
    <mergeCell ref="M17:O17"/>
    <mergeCell ref="E13:G18"/>
    <mergeCell ref="M13:O13"/>
    <mergeCell ref="M14:O14"/>
    <mergeCell ref="M15:O15"/>
    <mergeCell ref="M16:O16"/>
    <mergeCell ref="M18:O18"/>
    <mergeCell ref="E12:G12"/>
    <mergeCell ref="H12:J12"/>
    <mergeCell ref="M12:O12"/>
    <mergeCell ref="E11:G11"/>
    <mergeCell ref="H11:J11"/>
    <mergeCell ref="M11:O11"/>
    <mergeCell ref="E10:G10"/>
    <mergeCell ref="H10:J10"/>
    <mergeCell ref="M10:O10"/>
    <mergeCell ref="U10:V10"/>
    <mergeCell ref="U11:V11"/>
    <mergeCell ref="U12:V12"/>
    <mergeCell ref="Q8:V8"/>
    <mergeCell ref="E9:G9"/>
    <mergeCell ref="H9:J9"/>
    <mergeCell ref="M9:O9"/>
    <mergeCell ref="Q9:S9"/>
    <mergeCell ref="T9:V9"/>
    <mergeCell ref="M6:P6"/>
    <mergeCell ref="M7:P7"/>
    <mergeCell ref="E8:J8"/>
    <mergeCell ref="M8:O8"/>
  </mergeCells>
  <hyperlinks>
    <hyperlink ref="E42" r:id="rId1"/>
  </hyperlinks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>
      <selection activeCell="K17" sqref="K17"/>
    </sheetView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8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8:20">
      <c r="H7" s="110" t="s">
        <v>87</v>
      </c>
      <c r="I7" s="110"/>
      <c r="J7" s="110"/>
      <c r="K7" s="110"/>
      <c r="L7" s="110"/>
      <c r="M7" s="110"/>
      <c r="N7" s="110"/>
      <c r="O7" s="110"/>
      <c r="P7" s="110"/>
      <c r="R7" s="4">
        <v>0</v>
      </c>
      <c r="S7" s="4">
        <v>12</v>
      </c>
      <c r="T7" s="3" t="s">
        <v>1</v>
      </c>
    </row>
    <row r="8" spans="8:20">
      <c r="N8" s="57"/>
      <c r="O8" s="57"/>
      <c r="R8" s="4">
        <v>13</v>
      </c>
      <c r="S8" s="4">
        <v>18</v>
      </c>
      <c r="T8" s="3" t="s">
        <v>2</v>
      </c>
    </row>
    <row r="9" spans="8:20">
      <c r="N9" s="5"/>
      <c r="O9" s="6"/>
      <c r="R9" s="4">
        <v>18</v>
      </c>
      <c r="S9" s="4">
        <v>24</v>
      </c>
      <c r="T9" s="3" t="s">
        <v>3</v>
      </c>
    </row>
    <row r="10" spans="8:20">
      <c r="N10" s="5"/>
      <c r="O10" s="6"/>
    </row>
    <row r="11" spans="8:20">
      <c r="N11" s="57"/>
      <c r="O11" s="57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4">
    <mergeCell ref="M6:P6"/>
    <mergeCell ref="N8:O8"/>
    <mergeCell ref="N11:O11"/>
    <mergeCell ref="H7:P7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6:T27"/>
  <sheetViews>
    <sheetView showGridLines="0" workbookViewId="0">
      <selection activeCell="E29" sqref="E29"/>
    </sheetView>
  </sheetViews>
  <sheetFormatPr defaultRowHeight="15"/>
  <cols>
    <col min="1" max="5" width="9.140625" style="2"/>
    <col min="6" max="6" width="28.140625" style="2" customWidth="1"/>
    <col min="7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6:20">
      <c r="F7" s="20" t="s">
        <v>46</v>
      </c>
      <c r="G7" s="114" t="s">
        <v>88</v>
      </c>
      <c r="H7" s="114"/>
      <c r="I7" s="114"/>
      <c r="J7" s="114"/>
      <c r="K7" s="114"/>
      <c r="L7" s="114"/>
      <c r="M7" s="114"/>
      <c r="N7" s="114"/>
      <c r="O7" s="114"/>
      <c r="P7" s="114"/>
      <c r="R7" s="4">
        <v>0</v>
      </c>
      <c r="S7" s="4">
        <v>12</v>
      </c>
      <c r="T7" s="3" t="s">
        <v>1</v>
      </c>
    </row>
    <row r="8" spans="6:20">
      <c r="F8" s="115" t="s">
        <v>63</v>
      </c>
      <c r="G8" s="116"/>
      <c r="H8" s="116"/>
      <c r="I8" s="116"/>
      <c r="J8" s="116"/>
      <c r="K8" s="116"/>
      <c r="L8" s="116"/>
      <c r="M8" s="116"/>
      <c r="N8" s="116"/>
      <c r="O8" s="116"/>
      <c r="P8" s="117"/>
      <c r="R8" s="4">
        <v>13</v>
      </c>
      <c r="S8" s="4">
        <v>18</v>
      </c>
      <c r="T8" s="3" t="s">
        <v>2</v>
      </c>
    </row>
    <row r="9" spans="6:20">
      <c r="F9" s="25"/>
      <c r="G9" s="118" t="s">
        <v>89</v>
      </c>
      <c r="H9" s="118"/>
      <c r="I9" s="118"/>
      <c r="J9" s="118"/>
      <c r="K9" s="118"/>
      <c r="L9" s="118"/>
      <c r="M9" s="118"/>
      <c r="N9" s="118"/>
      <c r="O9" s="118"/>
      <c r="P9" s="118"/>
    </row>
    <row r="10" spans="6:20">
      <c r="F10" s="25"/>
      <c r="G10" s="118" t="s">
        <v>90</v>
      </c>
      <c r="H10" s="118"/>
      <c r="I10" s="118"/>
      <c r="J10" s="118"/>
      <c r="K10" s="118"/>
      <c r="L10" s="118"/>
      <c r="M10" s="118"/>
      <c r="N10" s="118"/>
      <c r="O10" s="118"/>
      <c r="P10" s="118"/>
    </row>
    <row r="11" spans="6:20">
      <c r="F11" s="25"/>
      <c r="G11" s="118" t="s">
        <v>91</v>
      </c>
      <c r="H11" s="118"/>
      <c r="I11" s="118"/>
      <c r="J11" s="118"/>
      <c r="K11" s="118"/>
      <c r="L11" s="118"/>
      <c r="M11" s="118"/>
      <c r="N11" s="118"/>
      <c r="O11" s="118"/>
      <c r="P11" s="118"/>
    </row>
    <row r="12" spans="6:20">
      <c r="F12" s="25"/>
      <c r="G12" s="118" t="s">
        <v>92</v>
      </c>
      <c r="H12" s="118"/>
      <c r="I12" s="118"/>
      <c r="J12" s="118"/>
      <c r="K12" s="118"/>
      <c r="L12" s="118"/>
      <c r="M12" s="118"/>
      <c r="N12" s="118"/>
      <c r="O12" s="118"/>
      <c r="P12" s="118"/>
    </row>
    <row r="13" spans="6:20">
      <c r="F13" s="25"/>
      <c r="G13" s="118" t="s">
        <v>93</v>
      </c>
      <c r="H13" s="118"/>
      <c r="I13" s="118"/>
      <c r="J13" s="118"/>
      <c r="K13" s="118"/>
      <c r="L13" s="118"/>
      <c r="M13" s="118"/>
      <c r="N13" s="118"/>
      <c r="O13" s="118"/>
      <c r="P13" s="118"/>
    </row>
    <row r="14" spans="6:20">
      <c r="F14" s="25"/>
      <c r="G14" s="118" t="s">
        <v>94</v>
      </c>
      <c r="H14" s="118"/>
      <c r="I14" s="118"/>
      <c r="J14" s="118"/>
      <c r="K14" s="118"/>
      <c r="L14" s="118"/>
      <c r="M14" s="118"/>
      <c r="N14" s="118"/>
      <c r="O14" s="118"/>
      <c r="P14" s="118"/>
    </row>
    <row r="15" spans="6:20">
      <c r="F15" s="25"/>
      <c r="G15" s="118" t="s">
        <v>95</v>
      </c>
      <c r="H15" s="118"/>
      <c r="I15" s="118"/>
      <c r="J15" s="118"/>
      <c r="K15" s="118"/>
      <c r="L15" s="118"/>
      <c r="M15" s="118"/>
      <c r="N15" s="118"/>
      <c r="O15" s="118"/>
      <c r="P15" s="118"/>
    </row>
    <row r="16" spans="6:20">
      <c r="F16" s="25"/>
      <c r="G16" s="118" t="s">
        <v>96</v>
      </c>
      <c r="H16" s="118"/>
      <c r="I16" s="118"/>
      <c r="J16" s="118"/>
      <c r="K16" s="118"/>
      <c r="L16" s="118"/>
      <c r="M16" s="118"/>
      <c r="N16" s="118"/>
      <c r="O16" s="118"/>
      <c r="P16" s="118"/>
    </row>
    <row r="17" spans="1:16">
      <c r="F17" s="25"/>
      <c r="G17" s="118" t="s">
        <v>97</v>
      </c>
      <c r="H17" s="118"/>
      <c r="I17" s="118"/>
      <c r="J17" s="118"/>
      <c r="K17" s="118"/>
      <c r="L17" s="118"/>
      <c r="M17" s="118"/>
      <c r="N17" s="118"/>
      <c r="O17" s="118"/>
      <c r="P17" s="118"/>
    </row>
    <row r="18" spans="1:16">
      <c r="F18" s="25"/>
      <c r="G18" s="118" t="s">
        <v>90</v>
      </c>
      <c r="H18" s="118"/>
      <c r="I18" s="118"/>
      <c r="J18" s="118"/>
      <c r="K18" s="118"/>
      <c r="L18" s="118"/>
      <c r="M18" s="118"/>
      <c r="N18" s="118"/>
      <c r="O18" s="118"/>
      <c r="P18" s="118"/>
    </row>
    <row r="19" spans="1:16" ht="15.75" customHeight="1">
      <c r="F19" s="25"/>
      <c r="G19" s="111" t="s">
        <v>98</v>
      </c>
      <c r="H19" s="112"/>
      <c r="I19" s="112"/>
      <c r="J19" s="112"/>
      <c r="K19" s="112"/>
      <c r="L19" s="112"/>
      <c r="M19" s="112"/>
      <c r="N19" s="112"/>
      <c r="O19" s="112"/>
      <c r="P19" s="113"/>
    </row>
    <row r="20" spans="1:16">
      <c r="F20" s="26"/>
      <c r="G20" s="119" t="s">
        <v>99</v>
      </c>
      <c r="H20" s="120"/>
      <c r="I20" s="120"/>
      <c r="J20" s="120"/>
      <c r="K20" s="120"/>
      <c r="L20" s="120"/>
      <c r="M20" s="120"/>
      <c r="N20" s="120"/>
      <c r="O20" s="120"/>
      <c r="P20" s="121"/>
    </row>
    <row r="21" spans="1:16" ht="15" customHeight="1">
      <c r="F21" s="26"/>
      <c r="G21" s="122" t="s">
        <v>100</v>
      </c>
      <c r="H21" s="123"/>
      <c r="I21" s="123"/>
      <c r="J21" s="123"/>
      <c r="K21" s="123"/>
      <c r="L21" s="123"/>
      <c r="M21" s="123"/>
      <c r="N21" s="123"/>
      <c r="O21" s="123"/>
      <c r="P21" s="124"/>
    </row>
    <row r="22" spans="1:16">
      <c r="F22" s="26"/>
      <c r="G22" s="111" t="s">
        <v>101</v>
      </c>
      <c r="H22" s="112"/>
      <c r="I22" s="112"/>
      <c r="J22" s="112"/>
      <c r="K22" s="112"/>
      <c r="L22" s="112"/>
      <c r="M22" s="112"/>
      <c r="N22" s="112"/>
      <c r="O22" s="112"/>
      <c r="P22" s="113"/>
    </row>
    <row r="23" spans="1:16">
      <c r="A23" s="10"/>
      <c r="B23" s="11"/>
      <c r="C23" s="11"/>
      <c r="D23" s="11"/>
      <c r="E23" s="11"/>
      <c r="F23" s="25"/>
      <c r="G23" s="111" t="s">
        <v>93</v>
      </c>
      <c r="H23" s="112"/>
      <c r="I23" s="112"/>
      <c r="J23" s="112"/>
      <c r="K23" s="112"/>
      <c r="L23" s="112"/>
      <c r="M23" s="112"/>
      <c r="N23" s="112"/>
      <c r="O23" s="112"/>
      <c r="P23" s="113"/>
    </row>
    <row r="24" spans="1:16">
      <c r="F24" s="25"/>
      <c r="G24" s="111" t="s">
        <v>102</v>
      </c>
      <c r="H24" s="112"/>
      <c r="I24" s="112"/>
      <c r="J24" s="112"/>
      <c r="K24" s="112"/>
      <c r="L24" s="112"/>
      <c r="M24" s="112"/>
      <c r="N24" s="112"/>
      <c r="O24" s="112"/>
      <c r="P24" s="113"/>
    </row>
    <row r="25" spans="1:16">
      <c r="F25" s="25"/>
      <c r="G25" s="111"/>
      <c r="H25" s="112"/>
      <c r="I25" s="112"/>
      <c r="J25" s="112"/>
      <c r="K25" s="112"/>
      <c r="L25" s="112"/>
      <c r="M25" s="112"/>
      <c r="N25" s="112"/>
      <c r="O25" s="112"/>
      <c r="P25" s="113"/>
    </row>
    <row r="26" spans="1:16">
      <c r="F26" s="25"/>
      <c r="G26" s="111"/>
      <c r="H26" s="112"/>
      <c r="I26" s="112"/>
      <c r="J26" s="112"/>
      <c r="K26" s="112"/>
      <c r="L26" s="112"/>
      <c r="M26" s="112"/>
      <c r="N26" s="112"/>
      <c r="O26" s="112"/>
      <c r="P26" s="113"/>
    </row>
    <row r="27" spans="1:16">
      <c r="F27" s="25"/>
      <c r="G27" s="111"/>
      <c r="H27" s="112"/>
      <c r="I27" s="112"/>
      <c r="J27" s="112"/>
      <c r="K27" s="112"/>
      <c r="L27" s="112"/>
      <c r="M27" s="112"/>
      <c r="N27" s="112"/>
      <c r="O27" s="112"/>
      <c r="P27" s="113"/>
    </row>
  </sheetData>
  <mergeCells count="22">
    <mergeCell ref="G27:P27"/>
    <mergeCell ref="G21:P21"/>
    <mergeCell ref="G23:P23"/>
    <mergeCell ref="G24:P24"/>
    <mergeCell ref="G25:P25"/>
    <mergeCell ref="G26:P26"/>
    <mergeCell ref="G19:P19"/>
    <mergeCell ref="G22:P22"/>
    <mergeCell ref="M6:P6"/>
    <mergeCell ref="G7:P7"/>
    <mergeCell ref="F8:P8"/>
    <mergeCell ref="G14:P14"/>
    <mergeCell ref="G15:P15"/>
    <mergeCell ref="G16:P16"/>
    <mergeCell ref="G17:P17"/>
    <mergeCell ref="G18:P18"/>
    <mergeCell ref="G9:P9"/>
    <mergeCell ref="G10:P10"/>
    <mergeCell ref="G11:P11"/>
    <mergeCell ref="G12:P12"/>
    <mergeCell ref="G13:P13"/>
    <mergeCell ref="G20:P20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12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12:20">
      <c r="R7" s="4">
        <v>0</v>
      </c>
      <c r="S7" s="4">
        <v>12</v>
      </c>
      <c r="T7" s="3" t="s">
        <v>1</v>
      </c>
    </row>
    <row r="8" spans="12:20">
      <c r="N8" s="57"/>
      <c r="O8" s="57"/>
      <c r="R8" s="4">
        <v>13</v>
      </c>
      <c r="S8" s="4">
        <v>18</v>
      </c>
      <c r="T8" s="3" t="s">
        <v>2</v>
      </c>
    </row>
    <row r="9" spans="12:20">
      <c r="N9" s="5"/>
      <c r="O9" s="6"/>
      <c r="R9" s="4">
        <v>18</v>
      </c>
      <c r="S9" s="4">
        <v>24</v>
      </c>
      <c r="T9" s="3" t="s">
        <v>3</v>
      </c>
    </row>
    <row r="10" spans="12:20">
      <c r="N10" s="5"/>
      <c r="O10" s="6"/>
    </row>
    <row r="11" spans="12:20">
      <c r="N11" s="57"/>
      <c r="O11" s="57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6:T3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6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6:20" ht="15" customHeight="1"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R7" s="4">
        <v>0</v>
      </c>
      <c r="S7" s="4">
        <v>12</v>
      </c>
      <c r="T7" s="3" t="s">
        <v>1</v>
      </c>
    </row>
    <row r="8" spans="6:20">
      <c r="N8" s="57"/>
      <c r="O8" s="57"/>
      <c r="R8" s="4">
        <v>13</v>
      </c>
      <c r="S8" s="4">
        <v>18</v>
      </c>
      <c r="T8" s="3" t="s">
        <v>2</v>
      </c>
    </row>
    <row r="9" spans="6:20"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R9" s="4">
        <v>18</v>
      </c>
      <c r="S9" s="4">
        <v>24</v>
      </c>
      <c r="T9" s="3" t="s">
        <v>3</v>
      </c>
    </row>
    <row r="10" spans="6:20">
      <c r="N10" s="5"/>
      <c r="O10" s="6"/>
    </row>
    <row r="11" spans="6:20">
      <c r="N11" s="57"/>
      <c r="O11" s="57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  <row r="39" spans="6:17">
      <c r="F39" s="110" t="s">
        <v>118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</row>
  </sheetData>
  <mergeCells count="6">
    <mergeCell ref="F39:Q39"/>
    <mergeCell ref="M6:P6"/>
    <mergeCell ref="N8:O8"/>
    <mergeCell ref="N11:O11"/>
    <mergeCell ref="F7:P7"/>
    <mergeCell ref="F9:P9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6:T29"/>
  <sheetViews>
    <sheetView showGridLines="0" showRowColHeaders="0" workbookViewId="0"/>
  </sheetViews>
  <sheetFormatPr defaultRowHeight="15"/>
  <cols>
    <col min="1" max="14" width="9.140625" style="2"/>
    <col min="15" max="15" width="10.42578125" style="2" bestFit="1" customWidth="1"/>
    <col min="16" max="17" width="9.140625" style="2"/>
    <col min="18" max="20" width="0" style="2" hidden="1" customWidth="1"/>
    <col min="21" max="16384" width="9.140625" style="2"/>
  </cols>
  <sheetData>
    <row r="6" spans="12:20">
      <c r="L6" s="1"/>
      <c r="M6" s="56"/>
      <c r="N6" s="56"/>
      <c r="O6" s="56"/>
      <c r="P6" s="56"/>
      <c r="R6" s="3">
        <f ca="1">HOUR(NOW())</f>
        <v>17</v>
      </c>
      <c r="S6" s="3" t="s">
        <v>0</v>
      </c>
      <c r="T6" s="3"/>
    </row>
    <row r="7" spans="12:20">
      <c r="R7" s="4">
        <v>0</v>
      </c>
      <c r="S7" s="4">
        <v>12</v>
      </c>
      <c r="T7" s="3" t="s">
        <v>1</v>
      </c>
    </row>
    <row r="8" spans="12:20">
      <c r="N8" s="57"/>
      <c r="O8" s="57"/>
      <c r="R8" s="4">
        <v>13</v>
      </c>
      <c r="S8" s="4">
        <v>18</v>
      </c>
      <c r="T8" s="3" t="s">
        <v>2</v>
      </c>
    </row>
    <row r="9" spans="12:20">
      <c r="N9" s="5"/>
      <c r="O9" s="6"/>
      <c r="R9" s="4">
        <v>18</v>
      </c>
      <c r="S9" s="4">
        <v>24</v>
      </c>
      <c r="T9" s="3" t="s">
        <v>3</v>
      </c>
    </row>
    <row r="10" spans="12:20">
      <c r="N10" s="5"/>
      <c r="O10" s="6"/>
    </row>
    <row r="11" spans="12:20">
      <c r="N11" s="57"/>
      <c r="O11" s="57"/>
    </row>
    <row r="24" spans="1:16">
      <c r="M24" s="13" t="s">
        <v>4</v>
      </c>
    </row>
    <row r="26" spans="1:16">
      <c r="A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9"/>
    </row>
    <row r="27" spans="1:16">
      <c r="A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9"/>
      <c r="P27" s="9"/>
    </row>
    <row r="28" spans="1:16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O28" s="12"/>
      <c r="P28" s="12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O29" s="12"/>
      <c r="P29" s="12"/>
    </row>
  </sheetData>
  <mergeCells count="3">
    <mergeCell ref="M6:P6"/>
    <mergeCell ref="N8:O8"/>
    <mergeCell ref="N11:O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Inicio</vt:lpstr>
      <vt:lpstr>Topologias</vt:lpstr>
      <vt:lpstr>REDES</vt:lpstr>
      <vt:lpstr>MICROSOFT</vt:lpstr>
      <vt:lpstr>TELECOM</vt:lpstr>
      <vt:lpstr>GRAVAÇÃO</vt:lpstr>
      <vt:lpstr>APLICAÇÕES</vt:lpstr>
      <vt:lpstr>LAYOUT</vt:lpstr>
      <vt:lpstr>ACIONAMENTOS</vt:lpstr>
      <vt:lpstr>PROCESSOS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Nunes</dc:creator>
  <cp:lastModifiedBy>thiago.ferreira</cp:lastModifiedBy>
  <dcterms:created xsi:type="dcterms:W3CDTF">2011-04-08T17:19:40Z</dcterms:created>
  <dcterms:modified xsi:type="dcterms:W3CDTF">2016-05-27T20:48:36Z</dcterms:modified>
</cp:coreProperties>
</file>