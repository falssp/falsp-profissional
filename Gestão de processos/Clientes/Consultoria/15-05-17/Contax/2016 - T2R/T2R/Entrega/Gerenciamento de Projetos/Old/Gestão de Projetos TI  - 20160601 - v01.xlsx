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EstaPasta_de_trabalho"/>
  <bookViews>
    <workbookView xWindow="240" yWindow="1185" windowWidth="20730" windowHeight="11040" firstSheet="4" activeTab="4"/>
  </bookViews>
  <sheets>
    <sheet name="Filtro" sheetId="50" state="hidden" r:id="rId1"/>
    <sheet name="#projetos" sheetId="53" state="hidden" r:id="rId2"/>
    <sheet name="C ou S crono" sheetId="57" state="hidden" r:id="rId3"/>
    <sheet name="Plan1" sheetId="58" state="hidden" r:id="rId4"/>
    <sheet name="Priorizados" sheetId="48" r:id="rId5"/>
    <sheet name="Fechados Priorizados" sheetId="46" r:id="rId6"/>
    <sheet name="Despriorizados" sheetId="56" state="hidden" r:id="rId7"/>
    <sheet name="Não prioritários" sheetId="32" state="hidden" r:id="rId8"/>
    <sheet name="Plan3" sheetId="37" state="hidden" r:id="rId9"/>
    <sheet name="POP" sheetId="54" state="hidden" r:id="rId10"/>
  </sheets>
  <externalReferences>
    <externalReference r:id="rId11"/>
  </externalReferences>
  <definedNames>
    <definedName name="_xlnm._FilterDatabase" localSheetId="6" hidden="1">Despriorizados!$A$2:$Y$6</definedName>
    <definedName name="_xlnm._FilterDatabase" localSheetId="5" hidden="1">'Fechados Priorizados'!$A$2:$AB$475</definedName>
    <definedName name="_xlnm._FilterDatabase" localSheetId="7" hidden="1">'Não prioritários'!$A$1:$V$497</definedName>
    <definedName name="_xlnm._FilterDatabase" localSheetId="4" hidden="1">Priorizados!$A$2:$AD$217</definedName>
    <definedName name="ValoresAreasEnvolvidas" localSheetId="6">#REF!</definedName>
    <definedName name="ValoresAreasEnvolvidas">#REF!</definedName>
    <definedName name="ValoresAreasTratando" localSheetId="6">#REF!</definedName>
    <definedName name="ValoresAreasTratando">#REF!</definedName>
    <definedName name="ValoresAtraso" localSheetId="6">#REF!</definedName>
    <definedName name="ValoresAtraso">#REF!</definedName>
    <definedName name="ValoresDiretoria" localSheetId="6">#REF!</definedName>
    <definedName name="ValoresDiretoria" localSheetId="7">'[1]Dominios de valores'!$B$2:$B$13</definedName>
    <definedName name="ValoresDiretoria">#REF!</definedName>
    <definedName name="ValoresEtapa" localSheetId="6">#REF!</definedName>
    <definedName name="ValoresEtapa">#REF!</definedName>
    <definedName name="ValoresLideres" localSheetId="6">#REF!</definedName>
    <definedName name="ValoresLideres">#REF!</definedName>
    <definedName name="ValoresTipoDemanda" localSheetId="6">#REF!</definedName>
    <definedName name="ValoresTipoDemanda">#REF!</definedName>
  </definedNames>
  <calcPr calcId="145621"/>
  <pivotCaches>
    <pivotCache cacheId="0" r:id="rId12"/>
    <pivotCache cacheId="1" r:id="rId13"/>
    <pivotCache cacheId="2" r:id="rId14"/>
    <pivotCache cacheId="3" r:id="rId15"/>
  </pivotCaches>
</workbook>
</file>

<file path=xl/calcChain.xml><?xml version="1.0" encoding="utf-8"?>
<calcChain xmlns="http://schemas.openxmlformats.org/spreadsheetml/2006/main">
  <c r="T217" i="48" l="1"/>
  <c r="T216" i="48"/>
  <c r="T215" i="48"/>
  <c r="T214" i="48"/>
  <c r="T213" i="48"/>
  <c r="T212" i="48"/>
  <c r="T211" i="48"/>
  <c r="T210" i="48"/>
  <c r="T209" i="48"/>
  <c r="T208" i="48"/>
  <c r="T207" i="48"/>
  <c r="T206" i="48"/>
  <c r="T205" i="48"/>
  <c r="T204" i="48"/>
  <c r="T203" i="48"/>
  <c r="T202" i="48"/>
  <c r="T201" i="48"/>
  <c r="T200" i="48"/>
  <c r="T199" i="48"/>
  <c r="T198" i="48"/>
  <c r="T197" i="48"/>
  <c r="T196" i="48"/>
  <c r="T195" i="48"/>
  <c r="T194" i="48"/>
  <c r="T193" i="48"/>
  <c r="T192" i="48"/>
  <c r="T191" i="48"/>
  <c r="T190" i="48"/>
  <c r="T189" i="48"/>
  <c r="T188" i="48"/>
  <c r="T187" i="48"/>
  <c r="T186" i="48"/>
  <c r="T185" i="48"/>
  <c r="T184" i="48"/>
  <c r="T183" i="48"/>
  <c r="T182" i="48"/>
  <c r="T181" i="48"/>
  <c r="T180" i="48"/>
  <c r="T179" i="48"/>
  <c r="T178" i="48"/>
  <c r="T177" i="48"/>
  <c r="T176" i="48"/>
  <c r="T175" i="48"/>
  <c r="T174" i="48"/>
  <c r="T173" i="48"/>
  <c r="T172" i="48"/>
  <c r="T171" i="48"/>
  <c r="T170" i="48"/>
  <c r="T169" i="48"/>
  <c r="T168" i="48"/>
  <c r="T167" i="48"/>
  <c r="T166" i="48"/>
  <c r="T165" i="48"/>
  <c r="T164" i="48"/>
  <c r="T163" i="48"/>
  <c r="T162" i="48"/>
  <c r="T161" i="48"/>
  <c r="T160" i="48"/>
  <c r="T159" i="48"/>
  <c r="T158" i="48"/>
  <c r="T157" i="48"/>
  <c r="T156" i="48"/>
  <c r="T155" i="48"/>
  <c r="T154" i="48"/>
  <c r="T153" i="48"/>
  <c r="T152" i="48"/>
  <c r="T151" i="48"/>
  <c r="T150" i="48"/>
  <c r="T149" i="48"/>
  <c r="T148" i="48"/>
  <c r="T147" i="48"/>
  <c r="T146" i="48"/>
  <c r="T145" i="48"/>
  <c r="T144" i="48"/>
  <c r="T143" i="48"/>
  <c r="T142" i="48"/>
  <c r="T141" i="48"/>
  <c r="T140" i="48"/>
  <c r="T139" i="48"/>
  <c r="T138" i="48"/>
  <c r="T137" i="48"/>
  <c r="T136" i="48"/>
  <c r="T135" i="48"/>
  <c r="T134" i="48"/>
  <c r="T133" i="48"/>
  <c r="T132" i="48"/>
  <c r="T131" i="48"/>
  <c r="T130" i="48"/>
  <c r="T129" i="48"/>
  <c r="T128" i="48"/>
  <c r="T127" i="48"/>
  <c r="T126" i="48"/>
  <c r="T125" i="48"/>
  <c r="T124" i="48"/>
  <c r="T123" i="48"/>
  <c r="T122" i="48"/>
  <c r="T121" i="48"/>
  <c r="T120" i="48"/>
  <c r="T119" i="48"/>
  <c r="T118" i="48"/>
  <c r="T117" i="48"/>
  <c r="T116" i="48"/>
  <c r="T115" i="48"/>
  <c r="T114" i="48"/>
  <c r="T113" i="48"/>
  <c r="T112" i="48"/>
  <c r="T111" i="48"/>
  <c r="T110" i="48"/>
  <c r="T109" i="48"/>
  <c r="T108" i="48"/>
  <c r="T107" i="48"/>
  <c r="T106" i="48"/>
  <c r="T105" i="48"/>
  <c r="T104" i="48"/>
  <c r="T103" i="48"/>
  <c r="T102" i="48"/>
  <c r="T101" i="48"/>
  <c r="T100" i="48"/>
  <c r="T99" i="48"/>
  <c r="T98" i="48"/>
  <c r="T97" i="48"/>
  <c r="T96" i="48"/>
  <c r="T95" i="48"/>
  <c r="T94" i="48"/>
  <c r="T93" i="48"/>
  <c r="T92" i="48"/>
  <c r="T91" i="48"/>
  <c r="T90" i="48"/>
  <c r="T89" i="48"/>
  <c r="T88" i="48"/>
  <c r="T87" i="48"/>
  <c r="T86" i="48"/>
  <c r="T85" i="48"/>
  <c r="T84" i="48"/>
  <c r="T83" i="48"/>
  <c r="T82" i="48"/>
  <c r="T81" i="48"/>
  <c r="T80" i="48"/>
  <c r="T79" i="48"/>
  <c r="T78" i="48"/>
  <c r="T77" i="48"/>
  <c r="T76" i="48"/>
  <c r="T75" i="48"/>
  <c r="T74" i="48"/>
  <c r="T73" i="48"/>
  <c r="T72" i="48"/>
  <c r="T71" i="48"/>
  <c r="T70" i="48"/>
  <c r="T69" i="48"/>
  <c r="T68" i="48"/>
  <c r="T67" i="48"/>
  <c r="T66" i="48"/>
  <c r="T65" i="48"/>
  <c r="T64" i="48"/>
  <c r="T63" i="48"/>
  <c r="T62" i="48"/>
  <c r="T61" i="48"/>
  <c r="T60" i="48"/>
  <c r="T59" i="48"/>
  <c r="T58" i="48"/>
  <c r="T57" i="48"/>
  <c r="T56" i="48"/>
  <c r="T55" i="48"/>
  <c r="T54" i="48"/>
  <c r="T53" i="48"/>
  <c r="T52" i="48"/>
  <c r="T51" i="48"/>
  <c r="T50" i="48"/>
  <c r="T49" i="48"/>
  <c r="T48" i="48"/>
  <c r="T47" i="48"/>
  <c r="T46" i="48"/>
  <c r="T45" i="48"/>
  <c r="T44" i="48"/>
  <c r="T43" i="48"/>
  <c r="T42" i="48"/>
  <c r="T41" i="48"/>
  <c r="T40" i="48"/>
  <c r="T39" i="48"/>
  <c r="T38" i="48"/>
  <c r="T37" i="48"/>
  <c r="T36" i="48"/>
  <c r="T35" i="48"/>
  <c r="T34" i="48"/>
  <c r="T33" i="48"/>
  <c r="T32" i="48"/>
  <c r="T31" i="48"/>
  <c r="T30" i="48"/>
  <c r="T29" i="48"/>
  <c r="T28" i="48"/>
  <c r="T27" i="48"/>
  <c r="T26" i="48"/>
  <c r="T25" i="48"/>
  <c r="T24" i="48"/>
  <c r="T23" i="48"/>
  <c r="T22" i="48"/>
  <c r="T21" i="48"/>
  <c r="T20" i="48"/>
  <c r="T19" i="48"/>
  <c r="T18" i="48"/>
  <c r="T17" i="48"/>
  <c r="T16" i="48"/>
  <c r="T15" i="48"/>
  <c r="T14" i="48"/>
  <c r="T13" i="48"/>
  <c r="T12" i="48"/>
  <c r="T11" i="48"/>
  <c r="T10" i="48"/>
  <c r="T9" i="48"/>
  <c r="T8" i="48"/>
  <c r="T7" i="48"/>
  <c r="T6" i="48"/>
  <c r="T5" i="48"/>
  <c r="T4" i="48"/>
  <c r="T3" i="48"/>
  <c r="L571" i="46"/>
  <c r="L570" i="46"/>
  <c r="L569" i="46"/>
  <c r="L568" i="46"/>
  <c r="L566" i="46"/>
  <c r="L567" i="46"/>
  <c r="L565" i="46"/>
  <c r="L564" i="46"/>
  <c r="L563" i="46"/>
  <c r="L152" i="48"/>
  <c r="L151" i="48"/>
  <c r="L147" i="48" l="1"/>
  <c r="L146" i="48"/>
  <c r="L126" i="48"/>
  <c r="L120" i="48"/>
  <c r="L144" i="48"/>
  <c r="L137" i="48"/>
  <c r="L117" i="48"/>
  <c r="L116" i="48"/>
  <c r="L112" i="48"/>
  <c r="L104" i="48"/>
  <c r="L95" i="48"/>
  <c r="L91" i="48"/>
  <c r="L90" i="48"/>
  <c r="L123" i="48"/>
  <c r="L107" i="48"/>
  <c r="L72" i="48"/>
  <c r="L64" i="48"/>
  <c r="L124" i="48"/>
  <c r="L94" i="48"/>
  <c r="L102" i="48"/>
  <c r="L103" i="48"/>
  <c r="L73" i="48"/>
  <c r="L161" i="48" l="1"/>
  <c r="L128" i="48"/>
  <c r="L101" i="48"/>
  <c r="L24" i="48"/>
  <c r="L160" i="48" l="1"/>
  <c r="L157" i="48"/>
  <c r="L139" i="48"/>
  <c r="L136" i="48"/>
  <c r="L108" i="48"/>
  <c r="L93" i="48"/>
  <c r="L86" i="48"/>
  <c r="L85" i="48"/>
  <c r="L33" i="48"/>
  <c r="L25" i="48"/>
  <c r="L23" i="48"/>
  <c r="L22" i="48"/>
  <c r="L17" i="48"/>
  <c r="L16" i="48"/>
  <c r="L155" i="48" l="1"/>
  <c r="L154" i="48"/>
  <c r="L153" i="48"/>
  <c r="L150" i="48"/>
  <c r="L135" i="48"/>
  <c r="L149" i="48" l="1"/>
  <c r="L110" i="48"/>
  <c r="L70" i="48"/>
  <c r="L69" i="48"/>
  <c r="L67" i="48"/>
  <c r="L4" i="48"/>
  <c r="L3" i="48"/>
  <c r="L106" i="48" l="1"/>
  <c r="L105" i="48"/>
  <c r="L96" i="48"/>
  <c r="L89" i="48"/>
  <c r="L88" i="48"/>
  <c r="L87" i="48"/>
  <c r="L74" i="48"/>
  <c r="L46" i="48"/>
  <c r="L43" i="48"/>
  <c r="L6" i="48"/>
  <c r="L5" i="48"/>
  <c r="L159" i="48" l="1"/>
  <c r="L158" i="48"/>
  <c r="L140" i="48"/>
  <c r="L131" i="48"/>
  <c r="L130" i="48"/>
  <c r="L119" i="48"/>
  <c r="L118" i="48"/>
  <c r="L109" i="48"/>
  <c r="L92" i="48"/>
  <c r="L83" i="48"/>
  <c r="L76" i="48"/>
  <c r="L36" i="48"/>
  <c r="L35" i="48"/>
  <c r="L34" i="48"/>
  <c r="L32" i="48"/>
  <c r="L31" i="48"/>
  <c r="L30" i="48"/>
  <c r="L29" i="48"/>
  <c r="L28" i="48"/>
  <c r="L27" i="48"/>
  <c r="L26" i="48"/>
  <c r="L214" i="48" l="1"/>
  <c r="L213" i="48"/>
  <c r="L212" i="48"/>
  <c r="L211" i="48"/>
  <c r="L210" i="48"/>
  <c r="L209" i="48"/>
  <c r="L208" i="48"/>
  <c r="L207" i="48"/>
  <c r="L206" i="48"/>
  <c r="L205" i="48"/>
  <c r="L204" i="48"/>
  <c r="L203" i="48"/>
  <c r="L202" i="48"/>
  <c r="L201" i="48"/>
  <c r="L200" i="48"/>
  <c r="L199" i="48"/>
  <c r="L198" i="48"/>
  <c r="L197" i="48"/>
  <c r="L196" i="48"/>
  <c r="L195" i="48"/>
  <c r="L194" i="48"/>
  <c r="L193" i="48"/>
  <c r="L192" i="48"/>
  <c r="L191" i="48"/>
  <c r="L190" i="48"/>
  <c r="L189" i="48"/>
  <c r="L188" i="48"/>
  <c r="L187" i="48"/>
  <c r="L186" i="48"/>
  <c r="L185" i="48"/>
  <c r="L184" i="48"/>
  <c r="L183" i="48"/>
  <c r="L182" i="48"/>
  <c r="L181" i="48"/>
  <c r="L180" i="48"/>
  <c r="L179" i="48"/>
  <c r="L178" i="48"/>
  <c r="L177" i="48"/>
  <c r="L176" i="48"/>
  <c r="L175" i="48"/>
  <c r="L174" i="48"/>
  <c r="L173" i="48"/>
  <c r="L172" i="48"/>
  <c r="L171" i="48"/>
  <c r="L170" i="48"/>
  <c r="L169" i="48"/>
  <c r="L168" i="48"/>
  <c r="L167" i="48"/>
  <c r="L166" i="48"/>
  <c r="L165" i="48"/>
  <c r="L164" i="48"/>
  <c r="L148" i="48" l="1"/>
  <c r="L145" i="48"/>
  <c r="L143" i="48"/>
  <c r="L142" i="48"/>
  <c r="L141" i="48"/>
  <c r="L127" i="48"/>
  <c r="L121" i="48"/>
  <c r="L113" i="48"/>
  <c r="L82" i="48"/>
  <c r="L81" i="48"/>
  <c r="L80" i="48"/>
  <c r="L68" i="48"/>
  <c r="L66" i="48"/>
  <c r="L65" i="48"/>
  <c r="L63" i="48"/>
  <c r="L62" i="48"/>
  <c r="L61" i="48"/>
  <c r="L59" i="48"/>
  <c r="L58" i="48"/>
  <c r="L57" i="48"/>
  <c r="L56" i="48"/>
  <c r="L55" i="48"/>
  <c r="L53" i="48"/>
  <c r="L51" i="48"/>
  <c r="L562" i="46" l="1"/>
  <c r="L561" i="46"/>
  <c r="L133" i="48" l="1"/>
  <c r="L129" i="48"/>
  <c r="L125" i="48"/>
  <c r="L100" i="48"/>
  <c r="L99" i="48"/>
  <c r="L98" i="48"/>
  <c r="L97" i="48"/>
  <c r="L79" i="48"/>
  <c r="L78" i="48"/>
  <c r="L75" i="48"/>
  <c r="L54" i="48"/>
  <c r="L52" i="48"/>
  <c r="L49" i="48"/>
  <c r="L47" i="48"/>
  <c r="L42" i="48"/>
  <c r="L41" i="48"/>
  <c r="L40" i="48"/>
  <c r="L39" i="48"/>
  <c r="L38" i="48"/>
  <c r="L37" i="48"/>
  <c r="L21" i="48"/>
  <c r="L20" i="48"/>
  <c r="L19" i="48"/>
  <c r="L18" i="48"/>
  <c r="L15" i="48"/>
  <c r="L14" i="48"/>
  <c r="L13" i="48"/>
  <c r="L12" i="48"/>
  <c r="L11" i="48"/>
  <c r="L10" i="48"/>
  <c r="L9" i="48"/>
  <c r="L8" i="48"/>
  <c r="L7" i="48"/>
  <c r="L560" i="46" l="1"/>
  <c r="L559" i="46"/>
  <c r="L558" i="46"/>
  <c r="L557" i="46"/>
  <c r="L556" i="46"/>
  <c r="L554" i="46"/>
  <c r="L553" i="46"/>
  <c r="L552" i="46"/>
  <c r="L138" i="48" l="1"/>
  <c r="L132" i="48"/>
  <c r="L48" i="48"/>
  <c r="F5" i="58" l="1"/>
  <c r="L156" i="48" l="1"/>
  <c r="L551" i="46" l="1"/>
  <c r="L550" i="46" l="1"/>
  <c r="L549" i="46"/>
  <c r="L548" i="46"/>
  <c r="L547" i="46"/>
  <c r="L134" i="48" l="1"/>
  <c r="L546" i="46" l="1"/>
  <c r="L545" i="46" l="1"/>
  <c r="L544" i="46"/>
  <c r="L543" i="46"/>
  <c r="L542" i="46"/>
  <c r="L541" i="46"/>
  <c r="L540" i="46"/>
  <c r="L539" i="46"/>
  <c r="L537" i="46" l="1"/>
  <c r="L538" i="46"/>
  <c r="L536" i="46"/>
  <c r="L535" i="46"/>
  <c r="L534" i="46"/>
  <c r="L533" i="46"/>
  <c r="L490" i="46" l="1"/>
  <c r="L491" i="46"/>
  <c r="L492" i="46"/>
  <c r="L493" i="46"/>
  <c r="L494" i="46"/>
  <c r="L495" i="46"/>
  <c r="L496" i="46"/>
  <c r="L497" i="46"/>
  <c r="L498" i="46"/>
  <c r="L499" i="46"/>
  <c r="L500" i="46"/>
  <c r="L501" i="46"/>
  <c r="L502" i="46"/>
  <c r="L503" i="46"/>
  <c r="L504" i="46"/>
  <c r="L505" i="46"/>
  <c r="L506" i="46"/>
  <c r="L507" i="46"/>
  <c r="L508" i="46"/>
  <c r="L509" i="46"/>
  <c r="L510" i="46"/>
  <c r="L511" i="46"/>
  <c r="L512" i="46"/>
  <c r="L513" i="46"/>
  <c r="L514" i="46"/>
  <c r="L515" i="46"/>
  <c r="L516" i="46"/>
  <c r="L517" i="46"/>
  <c r="L518" i="46"/>
  <c r="L519" i="46"/>
  <c r="L520" i="46"/>
  <c r="L521" i="46"/>
  <c r="L522" i="46"/>
  <c r="L523" i="46"/>
  <c r="L524" i="46"/>
  <c r="L525" i="46"/>
  <c r="L526" i="46"/>
  <c r="L527" i="46"/>
  <c r="L528" i="46"/>
  <c r="L529" i="46"/>
  <c r="L530" i="46"/>
  <c r="L531" i="46"/>
  <c r="L532" i="46"/>
  <c r="O489" i="46" l="1"/>
  <c r="M488" i="46" l="1"/>
  <c r="M485" i="46"/>
  <c r="M486" i="46"/>
  <c r="M487" i="46"/>
  <c r="M482" i="46"/>
  <c r="M483" i="46"/>
  <c r="M484" i="46"/>
  <c r="M480" i="46"/>
  <c r="M481" i="46"/>
  <c r="M479" i="46"/>
  <c r="M477" i="46"/>
  <c r="M478" i="46"/>
  <c r="M476" i="46"/>
  <c r="M417" i="46" l="1"/>
  <c r="M418" i="46"/>
  <c r="M419" i="46"/>
  <c r="M367" i="46"/>
  <c r="M334" i="46"/>
  <c r="M335" i="46"/>
  <c r="M336" i="46"/>
  <c r="M321" i="46"/>
  <c r="M474" i="46" l="1"/>
  <c r="M475" i="46"/>
  <c r="M473" i="46"/>
  <c r="M472" i="46"/>
  <c r="M471" i="46"/>
  <c r="M470" i="46"/>
  <c r="M469" i="46"/>
  <c r="M468" i="46"/>
  <c r="M467" i="46" l="1"/>
  <c r="M466" i="46" l="1"/>
  <c r="M465" i="46"/>
  <c r="M464" i="46"/>
  <c r="M462" i="46"/>
  <c r="M463" i="46"/>
  <c r="M461" i="46"/>
  <c r="M460" i="46"/>
  <c r="M459" i="46"/>
  <c r="M458" i="46"/>
  <c r="M457" i="46"/>
  <c r="M456" i="46"/>
  <c r="L122" i="48" l="1"/>
  <c r="M454" i="46" l="1"/>
  <c r="M453" i="46" l="1"/>
  <c r="M452" i="46" l="1"/>
  <c r="L115" i="48" l="1"/>
  <c r="M451" i="46" l="1"/>
  <c r="M450" i="46" l="1"/>
  <c r="M449" i="46"/>
  <c r="M448" i="46"/>
  <c r="M447" i="46"/>
  <c r="M431" i="46"/>
  <c r="M432" i="46"/>
  <c r="M433" i="46"/>
  <c r="M434" i="46"/>
  <c r="M435" i="46"/>
  <c r="M436" i="46"/>
  <c r="M437" i="46"/>
  <c r="M438" i="46"/>
  <c r="M439" i="46"/>
  <c r="M440" i="46"/>
  <c r="M441" i="46"/>
  <c r="M442" i="46"/>
  <c r="M443" i="46"/>
  <c r="M444" i="46"/>
  <c r="M445" i="46"/>
  <c r="M446" i="46"/>
  <c r="M420" i="46"/>
  <c r="M421" i="46"/>
  <c r="M422" i="46"/>
  <c r="M423" i="46"/>
  <c r="M424" i="46"/>
  <c r="M425" i="46"/>
  <c r="M426" i="46"/>
  <c r="M427" i="46"/>
  <c r="M428" i="46"/>
  <c r="M429" i="46"/>
  <c r="M430" i="46"/>
  <c r="L114" i="48" l="1"/>
  <c r="M416" i="46" l="1"/>
  <c r="M414" i="46" l="1"/>
  <c r="M415" i="46"/>
  <c r="M413" i="46"/>
  <c r="M411" i="46"/>
  <c r="M412" i="46"/>
  <c r="M409" i="46"/>
  <c r="M410" i="46"/>
  <c r="M408" i="46"/>
  <c r="M407" i="46"/>
  <c r="M403" i="46"/>
  <c r="M404" i="46"/>
  <c r="M405" i="46"/>
  <c r="M406" i="46"/>
  <c r="M401" i="46"/>
  <c r="M402" i="46"/>
  <c r="M400" i="46"/>
  <c r="M399" i="46"/>
  <c r="M397" i="46"/>
  <c r="M398" i="46"/>
  <c r="M395" i="46"/>
  <c r="M396" i="46"/>
  <c r="M394" i="46"/>
  <c r="M393" i="46"/>
  <c r="M392" i="46"/>
  <c r="M391" i="46"/>
  <c r="M390" i="46"/>
  <c r="M389" i="46" l="1"/>
  <c r="M388" i="46" l="1"/>
  <c r="M387" i="46"/>
  <c r="M385" i="46"/>
  <c r="M386" i="46"/>
  <c r="M377" i="46"/>
  <c r="M378" i="46"/>
  <c r="M379" i="46"/>
  <c r="M380" i="46"/>
  <c r="M381" i="46"/>
  <c r="M382" i="46"/>
  <c r="M383" i="46"/>
  <c r="M384" i="46"/>
  <c r="M376" i="46"/>
  <c r="M375" i="46"/>
  <c r="M374" i="46" l="1"/>
  <c r="M373" i="46"/>
  <c r="M372" i="46"/>
  <c r="M371" i="46"/>
  <c r="M370" i="46"/>
  <c r="M369" i="46"/>
  <c r="M368" i="46"/>
  <c r="M365" i="46" l="1"/>
  <c r="M366" i="46"/>
  <c r="M364" i="46"/>
  <c r="M361" i="46" l="1"/>
  <c r="M362" i="46"/>
  <c r="M360" i="46" l="1"/>
  <c r="M359" i="46" l="1"/>
  <c r="M358" i="46"/>
  <c r="M357" i="46" l="1"/>
  <c r="M356" i="46"/>
  <c r="M355" i="46"/>
  <c r="M354" i="46"/>
  <c r="M353" i="46"/>
  <c r="M352" i="46"/>
  <c r="M351" i="46"/>
  <c r="M350" i="46"/>
  <c r="M349" i="46"/>
  <c r="M348" i="46" l="1"/>
  <c r="M347" i="46" l="1"/>
  <c r="M346" i="46" l="1"/>
  <c r="M345" i="46"/>
  <c r="M344" i="46"/>
  <c r="M342" i="46"/>
  <c r="M343" i="46"/>
  <c r="M341" i="46"/>
  <c r="M340" i="46" l="1"/>
  <c r="M339" i="46"/>
  <c r="M338" i="46"/>
  <c r="M337" i="46"/>
  <c r="L84" i="48" l="1"/>
  <c r="J6" i="56" l="1"/>
  <c r="J5" i="56"/>
  <c r="J4" i="56"/>
  <c r="J3" i="56"/>
  <c r="M330" i="46" l="1"/>
  <c r="M331" i="46"/>
  <c r="M332" i="46"/>
  <c r="M333" i="46"/>
  <c r="M329" i="46"/>
  <c r="M328" i="46"/>
  <c r="M327" i="46"/>
  <c r="M326" i="46"/>
  <c r="M325" i="46"/>
  <c r="M324" i="46"/>
  <c r="M323" i="46"/>
  <c r="M322" i="46"/>
  <c r="K10" i="54"/>
  <c r="K9" i="54"/>
  <c r="K8" i="54"/>
  <c r="K7" i="54"/>
  <c r="K6" i="54"/>
  <c r="K5" i="54"/>
  <c r="K4" i="54"/>
  <c r="K3" i="54"/>
  <c r="M320" i="46"/>
  <c r="M318" i="46"/>
  <c r="M319" i="46"/>
  <c r="M317" i="46"/>
  <c r="M316" i="46"/>
  <c r="M315" i="46"/>
  <c r="M314" i="46"/>
  <c r="M313" i="46"/>
  <c r="M312" i="46"/>
  <c r="L77" i="48"/>
  <c r="M311" i="46"/>
  <c r="M310" i="46"/>
  <c r="M309" i="46"/>
  <c r="M308" i="46"/>
  <c r="M307" i="46"/>
  <c r="M306" i="46"/>
  <c r="M305" i="46"/>
  <c r="M304" i="46"/>
  <c r="L71" i="48"/>
  <c r="M303" i="46"/>
  <c r="M302" i="46"/>
  <c r="M301" i="46"/>
  <c r="M300" i="46"/>
  <c r="M299" i="46"/>
  <c r="L60" i="48"/>
  <c r="M298" i="46"/>
  <c r="M296" i="46"/>
  <c r="M297" i="46"/>
  <c r="M295" i="46"/>
  <c r="M294" i="46"/>
  <c r="M293" i="46"/>
  <c r="M292" i="46"/>
  <c r="M291" i="46"/>
  <c r="M290" i="46"/>
  <c r="M289" i="46"/>
  <c r="M288" i="46"/>
  <c r="M287" i="46"/>
  <c r="M286" i="46"/>
  <c r="M285" i="46"/>
  <c r="M284" i="46"/>
  <c r="M283" i="46"/>
  <c r="M282" i="46"/>
  <c r="M281" i="46"/>
  <c r="M280" i="46"/>
  <c r="M279" i="46"/>
  <c r="M278" i="46"/>
  <c r="M277" i="46"/>
  <c r="M276" i="46"/>
  <c r="M275" i="46"/>
  <c r="M274" i="46"/>
  <c r="M273" i="46"/>
  <c r="M272" i="46"/>
  <c r="M271" i="46"/>
  <c r="M270" i="46"/>
  <c r="M269" i="46"/>
  <c r="M268" i="46"/>
  <c r="M267" i="46"/>
  <c r="M266" i="46"/>
  <c r="M265" i="46"/>
  <c r="M264" i="46"/>
  <c r="M263" i="46"/>
  <c r="M262" i="46"/>
  <c r="M261" i="46"/>
  <c r="M260" i="46"/>
  <c r="M259" i="46"/>
  <c r="M258" i="46"/>
  <c r="M257" i="46"/>
  <c r="M256" i="46"/>
  <c r="M255" i="46"/>
  <c r="M254" i="46"/>
  <c r="M253" i="46"/>
  <c r="M252" i="46"/>
  <c r="M251" i="46"/>
  <c r="M250" i="46"/>
  <c r="M249" i="46"/>
  <c r="M248" i="46"/>
  <c r="M247" i="46"/>
  <c r="M246" i="46"/>
  <c r="M245" i="46"/>
  <c r="M244" i="46"/>
  <c r="M231" i="46"/>
  <c r="M232" i="46"/>
  <c r="M233" i="46"/>
  <c r="M234" i="46"/>
  <c r="M235" i="46"/>
  <c r="M236" i="46"/>
  <c r="M237" i="46"/>
  <c r="M238" i="46"/>
  <c r="M239" i="46"/>
  <c r="M240" i="46"/>
  <c r="M241" i="46"/>
  <c r="M242" i="46"/>
  <c r="M243" i="46"/>
  <c r="M224" i="46"/>
  <c r="M225" i="46"/>
  <c r="M226" i="46"/>
  <c r="M227" i="46"/>
  <c r="M228" i="46"/>
  <c r="M229" i="46"/>
  <c r="M230" i="46"/>
  <c r="M223" i="46"/>
  <c r="M222" i="46"/>
  <c r="L50" i="48"/>
  <c r="L45" i="48"/>
  <c r="L44" i="48"/>
  <c r="M200" i="46"/>
  <c r="M199" i="46"/>
  <c r="M198" i="46"/>
  <c r="M197" i="46"/>
  <c r="M196" i="46"/>
  <c r="M195" i="46"/>
  <c r="M194" i="46"/>
  <c r="M193" i="46"/>
  <c r="M192" i="46"/>
  <c r="M191" i="46"/>
  <c r="M190" i="46"/>
  <c r="M189" i="46"/>
  <c r="M188" i="46"/>
  <c r="M187" i="46"/>
  <c r="M186" i="46"/>
  <c r="M185" i="46"/>
  <c r="M184" i="46"/>
  <c r="M183" i="46"/>
  <c r="M182" i="46"/>
  <c r="M181" i="46"/>
  <c r="M180" i="46"/>
  <c r="M179" i="46"/>
  <c r="M178" i="46"/>
  <c r="M177" i="46"/>
  <c r="M176" i="46"/>
  <c r="M175" i="46"/>
  <c r="M174" i="46"/>
  <c r="M173" i="46"/>
  <c r="M172" i="46"/>
  <c r="M171" i="46"/>
  <c r="M170" i="46"/>
  <c r="M169" i="46"/>
  <c r="M168" i="46"/>
  <c r="M167" i="46"/>
  <c r="M166" i="46"/>
  <c r="M165" i="46"/>
  <c r="M164" i="46"/>
  <c r="M163" i="46"/>
  <c r="M162" i="46"/>
  <c r="M161" i="46"/>
  <c r="M160" i="46"/>
  <c r="M159" i="46"/>
  <c r="M158" i="46"/>
  <c r="M157" i="46"/>
  <c r="M156" i="46"/>
  <c r="M155" i="46"/>
  <c r="M154" i="46"/>
  <c r="M153" i="46"/>
  <c r="M152" i="46"/>
  <c r="M151" i="46"/>
  <c r="M150" i="46"/>
  <c r="M149" i="46"/>
  <c r="M148" i="46"/>
  <c r="M147" i="46"/>
  <c r="M146" i="46"/>
  <c r="M145" i="46"/>
  <c r="M144" i="46"/>
  <c r="M143" i="46"/>
  <c r="M142" i="46"/>
  <c r="M141" i="46"/>
  <c r="M140" i="46"/>
  <c r="M139" i="46"/>
  <c r="M138" i="46"/>
  <c r="M137" i="46"/>
  <c r="M136" i="46"/>
  <c r="M135" i="46"/>
  <c r="M134" i="46"/>
  <c r="M133" i="46"/>
  <c r="M132" i="46"/>
  <c r="M131" i="46"/>
  <c r="M130" i="46"/>
  <c r="M129" i="46"/>
  <c r="M128" i="46"/>
  <c r="M127" i="46"/>
  <c r="M126" i="46"/>
  <c r="M125" i="46"/>
  <c r="M124" i="46"/>
  <c r="M123" i="46"/>
  <c r="M122" i="46"/>
  <c r="M121" i="46"/>
  <c r="M120" i="46"/>
  <c r="M119" i="46"/>
  <c r="M118" i="46"/>
  <c r="M117" i="46"/>
  <c r="M116" i="46"/>
  <c r="M115" i="46"/>
  <c r="M114" i="46"/>
  <c r="M113" i="46"/>
  <c r="M112" i="46"/>
  <c r="M111" i="46"/>
  <c r="M110" i="46"/>
  <c r="M109" i="46"/>
  <c r="M108" i="46"/>
  <c r="M107" i="46"/>
  <c r="M106" i="46"/>
  <c r="M105" i="46"/>
  <c r="M104" i="46"/>
  <c r="M103" i="46"/>
  <c r="M102" i="46"/>
  <c r="M101" i="46"/>
  <c r="M100" i="46"/>
  <c r="M99" i="46"/>
  <c r="M98" i="46"/>
  <c r="M97" i="46"/>
  <c r="M96" i="46"/>
  <c r="M95" i="46"/>
  <c r="M94" i="46"/>
  <c r="M93" i="46"/>
  <c r="M92" i="46"/>
  <c r="M91" i="46"/>
  <c r="M90" i="46"/>
  <c r="M89" i="46"/>
  <c r="M88" i="46"/>
  <c r="M87" i="46"/>
  <c r="M86" i="46"/>
  <c r="M85" i="46"/>
  <c r="M84" i="46"/>
  <c r="M83" i="46"/>
  <c r="M82" i="46"/>
  <c r="M81" i="46"/>
  <c r="M80" i="46"/>
  <c r="M79" i="46"/>
  <c r="M78" i="46"/>
  <c r="M77" i="46"/>
  <c r="M76" i="46"/>
  <c r="M75" i="46"/>
  <c r="M74" i="46"/>
  <c r="M73" i="46"/>
  <c r="M72" i="46"/>
  <c r="M71" i="46"/>
  <c r="M70" i="46"/>
  <c r="M69" i="46"/>
  <c r="M68" i="46"/>
  <c r="M67" i="46"/>
  <c r="M66" i="46"/>
  <c r="M65" i="46"/>
  <c r="M64" i="46"/>
  <c r="M63" i="46"/>
  <c r="M62" i="46"/>
  <c r="M61" i="46"/>
  <c r="M60" i="46"/>
  <c r="M59" i="46"/>
  <c r="M58" i="46"/>
  <c r="M57" i="46"/>
  <c r="M56" i="46"/>
  <c r="M55" i="46"/>
  <c r="M54" i="46"/>
  <c r="M53" i="46"/>
  <c r="M52" i="46"/>
  <c r="M51" i="46"/>
  <c r="M50" i="46"/>
  <c r="M49" i="46"/>
  <c r="M48" i="46"/>
  <c r="M47" i="46"/>
  <c r="M46" i="46"/>
  <c r="M45" i="46"/>
  <c r="M44" i="46"/>
  <c r="M43" i="46"/>
  <c r="M42" i="46"/>
  <c r="M41" i="46"/>
  <c r="M40" i="46"/>
  <c r="M39" i="46"/>
  <c r="M38" i="46"/>
  <c r="M37" i="46"/>
  <c r="M36" i="46"/>
  <c r="M35" i="46"/>
  <c r="M34" i="46"/>
  <c r="M33" i="46"/>
  <c r="M32" i="46"/>
  <c r="M31" i="46"/>
  <c r="M30" i="46"/>
  <c r="M29" i="46"/>
  <c r="M28" i="46"/>
  <c r="M27" i="46"/>
  <c r="M26" i="46"/>
  <c r="M25" i="46"/>
  <c r="M24" i="46"/>
  <c r="M23" i="46"/>
  <c r="M22" i="46"/>
  <c r="M21" i="46"/>
  <c r="M20" i="46"/>
  <c r="M19" i="46"/>
  <c r="M18" i="46"/>
  <c r="M17" i="46"/>
  <c r="M16" i="46"/>
  <c r="M15" i="46"/>
  <c r="M14" i="46"/>
  <c r="M13" i="46"/>
  <c r="M12" i="46"/>
  <c r="M11" i="46"/>
  <c r="M10" i="46"/>
  <c r="M9" i="46"/>
  <c r="M8" i="46"/>
  <c r="M7" i="46"/>
  <c r="M6" i="46"/>
  <c r="M5" i="46"/>
  <c r="M4" i="46"/>
  <c r="M3" i="46"/>
  <c r="B10" i="37"/>
  <c r="B9" i="37"/>
  <c r="B8" i="37"/>
  <c r="B7" i="37"/>
  <c r="B6" i="37"/>
  <c r="B5" i="37"/>
  <c r="B4" i="37"/>
  <c r="B3" i="37"/>
  <c r="B2" i="37"/>
</calcChain>
</file>

<file path=xl/comments1.xml><?xml version="1.0" encoding="utf-8"?>
<comments xmlns="http://schemas.openxmlformats.org/spreadsheetml/2006/main">
  <authors>
    <author>Bruno Guerra Ferreira</author>
    <author>Debora Gercke Dominas</author>
  </authors>
  <commentList>
    <comment ref="R2" authorId="0">
      <text>
        <r>
          <rPr>
            <b/>
            <sz val="9"/>
            <color indexed="81"/>
            <rFont val="Tahoma"/>
            <family val="2"/>
          </rPr>
          <t>Bruno Guerra Ferreira:</t>
        </r>
        <r>
          <rPr>
            <sz val="9"/>
            <color indexed="81"/>
            <rFont val="Tahoma"/>
            <family val="2"/>
          </rPr>
          <t xml:space="preserve">
Verde (em andamento conforme cronograma)
Amarelo (em andamento com risco de atraso)
Vermelho (atrasado)
Preto (Parado)
</t>
        </r>
      </text>
    </comment>
    <comment ref="O104" authorId="1">
      <text>
        <r>
          <rPr>
            <b/>
            <sz val="9"/>
            <color indexed="81"/>
            <rFont val="Tahoma"/>
            <family val="2"/>
          </rPr>
          <t>Debora Gercke Dominas:</t>
        </r>
        <r>
          <rPr>
            <sz val="9"/>
            <color indexed="81"/>
            <rFont val="Tahoma"/>
            <family val="2"/>
          </rPr>
          <t xml:space="preserve">
Aguardando retorno da operação quanto ao cancelamento do projeto.</t>
        </r>
      </text>
    </comment>
    <comment ref="O120" authorId="1">
      <text>
        <r>
          <rPr>
            <b/>
            <sz val="9"/>
            <color indexed="81"/>
            <rFont val="Tahoma"/>
            <family val="2"/>
          </rPr>
          <t>Debora Gercke Dominas:</t>
        </r>
        <r>
          <rPr>
            <sz val="9"/>
            <color indexed="81"/>
            <rFont val="Tahoma"/>
            <family val="2"/>
          </rPr>
          <t xml:space="preserve">
Projeto sem EF. Não temos como fornecer um cronograma</t>
        </r>
      </text>
    </comment>
    <comment ref="P120" authorId="1">
      <text>
        <r>
          <rPr>
            <b/>
            <sz val="9"/>
            <color indexed="81"/>
            <rFont val="Tahoma"/>
            <family val="2"/>
          </rPr>
          <t>Debora Gercke Dominas:</t>
        </r>
        <r>
          <rPr>
            <sz val="9"/>
            <color indexed="81"/>
            <rFont val="Tahoma"/>
            <family val="2"/>
          </rPr>
          <t xml:space="preserve">
Projeto sem EF. Não temos como fornecer um cronograma</t>
        </r>
      </text>
    </comment>
    <comment ref="Q120" authorId="1">
      <text>
        <r>
          <rPr>
            <b/>
            <sz val="9"/>
            <color indexed="81"/>
            <rFont val="Tahoma"/>
            <family val="2"/>
          </rPr>
          <t>Debora Gercke Dominas:</t>
        </r>
        <r>
          <rPr>
            <sz val="9"/>
            <color indexed="81"/>
            <rFont val="Tahoma"/>
            <family val="2"/>
          </rPr>
          <t xml:space="preserve">
Projeto sem EF. Não temos como fornecer um cronograma</t>
        </r>
      </text>
    </comment>
    <comment ref="Q121" authorId="1">
      <text>
        <r>
          <rPr>
            <b/>
            <sz val="9"/>
            <color indexed="81"/>
            <rFont val="Tahoma"/>
            <family val="2"/>
          </rPr>
          <t>Debora Gercke Dominas:</t>
        </r>
        <r>
          <rPr>
            <sz val="9"/>
            <color indexed="81"/>
            <rFont val="Tahoma"/>
            <family val="2"/>
          </rPr>
          <t xml:space="preserve">
Projeto sem EF. Não temos como fornecer um cronograma</t>
        </r>
      </text>
    </comment>
    <comment ref="O123" authorId="1">
      <text>
        <r>
          <rPr>
            <b/>
            <sz val="9"/>
            <color indexed="81"/>
            <rFont val="Tahoma"/>
            <family val="2"/>
          </rPr>
          <t>Debora Gercke Dominas:</t>
        </r>
        <r>
          <rPr>
            <sz val="9"/>
            <color indexed="81"/>
            <rFont val="Tahoma"/>
            <family val="2"/>
          </rPr>
          <t xml:space="preserve">
Projeto sem EF. Não temos como fornecer um cronograma</t>
        </r>
      </text>
    </comment>
    <comment ref="P123" authorId="1">
      <text>
        <r>
          <rPr>
            <b/>
            <sz val="9"/>
            <color indexed="81"/>
            <rFont val="Tahoma"/>
            <family val="2"/>
          </rPr>
          <t>Debora Gercke Dominas:</t>
        </r>
        <r>
          <rPr>
            <sz val="9"/>
            <color indexed="81"/>
            <rFont val="Tahoma"/>
            <family val="2"/>
          </rPr>
          <t xml:space="preserve">
Projeto sem EF. Não temos como fornecer um cronograma</t>
        </r>
      </text>
    </comment>
    <comment ref="Q123" authorId="1">
      <text>
        <r>
          <rPr>
            <b/>
            <sz val="9"/>
            <color indexed="81"/>
            <rFont val="Tahoma"/>
            <family val="2"/>
          </rPr>
          <t>Debora Gercke Dominas:</t>
        </r>
        <r>
          <rPr>
            <sz val="9"/>
            <color indexed="81"/>
            <rFont val="Tahoma"/>
            <family val="2"/>
          </rPr>
          <t xml:space="preserve">
Projeto sem EF. Não temos como fornecer um cronograma</t>
        </r>
      </text>
    </comment>
    <comment ref="Q125" authorId="1">
      <text>
        <r>
          <rPr>
            <b/>
            <sz val="9"/>
            <color indexed="81"/>
            <rFont val="Tahoma"/>
            <family val="2"/>
          </rPr>
          <t>Debora Gercke Dominas:</t>
        </r>
        <r>
          <rPr>
            <sz val="9"/>
            <color indexed="81"/>
            <rFont val="Tahoma"/>
            <family val="2"/>
          </rPr>
          <t xml:space="preserve">
Projeto sem EF. Não temos como fornecer um cronograma</t>
        </r>
      </text>
    </comment>
    <comment ref="Q126" authorId="1">
      <text>
        <r>
          <rPr>
            <b/>
            <sz val="9"/>
            <color indexed="81"/>
            <rFont val="Tahoma"/>
            <family val="2"/>
          </rPr>
          <t>Debora Gercke Dominas:</t>
        </r>
        <r>
          <rPr>
            <sz val="9"/>
            <color indexed="81"/>
            <rFont val="Tahoma"/>
            <family val="2"/>
          </rPr>
          <t xml:space="preserve">
Projeto sem EF. Não temos como fornecer um cronograma</t>
        </r>
      </text>
    </comment>
  </commentList>
</comments>
</file>

<file path=xl/comments2.xml><?xml version="1.0" encoding="utf-8"?>
<comments xmlns="http://schemas.openxmlformats.org/spreadsheetml/2006/main">
  <authors>
    <author>Bruno Guerra Ferreira</author>
    <author>Debora Gercke Dominas</author>
  </authors>
  <commentList>
    <comment ref="R2" authorId="0">
      <text>
        <r>
          <rPr>
            <b/>
            <sz val="9"/>
            <color indexed="81"/>
            <rFont val="Tahoma"/>
            <family val="2"/>
          </rPr>
          <t>Bruno Guerra Ferreira:</t>
        </r>
        <r>
          <rPr>
            <sz val="9"/>
            <color indexed="81"/>
            <rFont val="Tahoma"/>
            <family val="2"/>
          </rPr>
          <t xml:space="preserve">
Verde (em andamento conforme cronograma)
Amarelo (em andamento com risco de atraso)
Vermelho (atrasado)
Preto (Parado)
</t>
        </r>
      </text>
    </comment>
    <comment ref="O558" authorId="1">
      <text>
        <r>
          <rPr>
            <b/>
            <sz val="9"/>
            <color indexed="81"/>
            <rFont val="Tahoma"/>
            <family val="2"/>
          </rPr>
          <t>Debora Gercke Dominas:</t>
        </r>
        <r>
          <rPr>
            <sz val="9"/>
            <color indexed="81"/>
            <rFont val="Tahoma"/>
            <family val="2"/>
          </rPr>
          <t xml:space="preserve">
Projeto sem EF. Não temos como fornecer um cronograma</t>
        </r>
      </text>
    </comment>
    <comment ref="P558" authorId="1">
      <text>
        <r>
          <rPr>
            <b/>
            <sz val="9"/>
            <color indexed="81"/>
            <rFont val="Tahoma"/>
            <family val="2"/>
          </rPr>
          <t>Debora Gercke Dominas:</t>
        </r>
        <r>
          <rPr>
            <sz val="9"/>
            <color indexed="81"/>
            <rFont val="Tahoma"/>
            <family val="2"/>
          </rPr>
          <t xml:space="preserve">
Projeto sem EF. Não temos como fornecer um cronograma</t>
        </r>
      </text>
    </comment>
    <comment ref="Q558" authorId="1">
      <text>
        <r>
          <rPr>
            <b/>
            <sz val="9"/>
            <color indexed="81"/>
            <rFont val="Tahoma"/>
            <family val="2"/>
          </rPr>
          <t>Debora Gercke Dominas:</t>
        </r>
        <r>
          <rPr>
            <sz val="9"/>
            <color indexed="81"/>
            <rFont val="Tahoma"/>
            <family val="2"/>
          </rPr>
          <t xml:space="preserve">
Projeto sem EF. Não temos como fornecer um cronograma</t>
        </r>
      </text>
    </comment>
    <comment ref="Q559" authorId="1">
      <text>
        <r>
          <rPr>
            <b/>
            <sz val="9"/>
            <color indexed="81"/>
            <rFont val="Tahoma"/>
            <family val="2"/>
          </rPr>
          <t>Debora Gercke Dominas:</t>
        </r>
        <r>
          <rPr>
            <sz val="9"/>
            <color indexed="81"/>
            <rFont val="Tahoma"/>
            <family val="2"/>
          </rPr>
          <t xml:space="preserve">
Projeto sem EF. Não temos como fornecer um cronograma</t>
        </r>
      </text>
    </comment>
  </commentList>
</comments>
</file>

<file path=xl/comments3.xml><?xml version="1.0" encoding="utf-8"?>
<comments xmlns="http://schemas.openxmlformats.org/spreadsheetml/2006/main">
  <authors>
    <author>Alexandre Batista dos Anjos</author>
  </authors>
  <commentList>
    <comment ref="A1" authorId="0">
      <text>
        <r>
          <rPr>
            <b/>
            <sz val="9"/>
            <color indexed="81"/>
            <rFont val="Tahoma"/>
            <family val="2"/>
          </rPr>
          <t>Alexandre Batista dos Anjos:</t>
        </r>
        <r>
          <rPr>
            <sz val="9"/>
            <color indexed="81"/>
            <rFont val="Tahoma"/>
            <family val="2"/>
          </rPr>
          <t xml:space="preserve">
&gt;TEM QUE TER TPROCESS
&gt;SE NÃO TIVER É NECESSARIO SOLICITAR ABERTURA</t>
        </r>
      </text>
    </comment>
    <comment ref="B1" authorId="0">
      <text>
        <r>
          <rPr>
            <b/>
            <sz val="9"/>
            <color indexed="81"/>
            <rFont val="Tahoma"/>
            <family val="2"/>
          </rPr>
          <t>Alexandre Batista dos Anjos:</t>
        </r>
        <r>
          <rPr>
            <sz val="9"/>
            <color indexed="81"/>
            <rFont val="Tahoma"/>
            <family val="2"/>
          </rPr>
          <t xml:space="preserve">
&gt; NOME DO PROJETO
</t>
        </r>
      </text>
    </comment>
    <comment ref="C1" authorId="0">
      <text>
        <r>
          <rPr>
            <b/>
            <sz val="9"/>
            <color indexed="81"/>
            <rFont val="Tahoma"/>
            <family val="2"/>
          </rPr>
          <t>Alexandre Batista dos Anjos:</t>
        </r>
        <r>
          <rPr>
            <sz val="9"/>
            <color indexed="81"/>
            <rFont val="Tahoma"/>
            <family val="2"/>
          </rPr>
          <t xml:space="preserve">
&gt;OPERAÇÃO ATENDIDA PELO PROJETO</t>
        </r>
      </text>
    </comment>
    <comment ref="D1" authorId="0">
      <text>
        <r>
          <rPr>
            <b/>
            <sz val="9"/>
            <color indexed="81"/>
            <rFont val="Tahoma"/>
            <family val="2"/>
          </rPr>
          <t>Alexandre Batista dos Anjos:</t>
        </r>
        <r>
          <rPr>
            <sz val="9"/>
            <color indexed="81"/>
            <rFont val="Tahoma"/>
            <family val="2"/>
          </rPr>
          <t xml:space="preserve">
&gt;DIRETORIA ATENDIDA PELO PROJETO
&gt;OBSERVAR DOMÍNIO DE VALORES</t>
        </r>
      </text>
    </comment>
    <comment ref="F1" authorId="0">
      <text>
        <r>
          <rPr>
            <b/>
            <sz val="9"/>
            <color indexed="81"/>
            <rFont val="Tahoma"/>
            <family val="2"/>
          </rPr>
          <t>Alexandre Batista dos Anjos:</t>
        </r>
        <r>
          <rPr>
            <sz val="9"/>
            <color indexed="81"/>
            <rFont val="Tahoma"/>
            <family val="2"/>
          </rPr>
          <t xml:space="preserve">
&gt;CLASSIFICAÇÃO DO TIPO DE DEMANDA
&gt;OBSERVAR DOMÍNIO DE VALORES</t>
        </r>
      </text>
    </comment>
  </commentList>
</comments>
</file>

<file path=xl/sharedStrings.xml><?xml version="1.0" encoding="utf-8"?>
<sst xmlns="http://schemas.openxmlformats.org/spreadsheetml/2006/main" count="14457" uniqueCount="3874">
  <si>
    <t>Número do tProcess</t>
  </si>
  <si>
    <t>Tipo Demanda</t>
  </si>
  <si>
    <t>Comentário</t>
  </si>
  <si>
    <t>CTXSPOLP-108263</t>
  </si>
  <si>
    <t>CTXSPOLP-104454</t>
  </si>
  <si>
    <t>CTXSPOBF-122931</t>
  </si>
  <si>
    <t>CTXSPOBF-122327</t>
  </si>
  <si>
    <t>CTXSPOBF-122237</t>
  </si>
  <si>
    <t>CTXSPOBF-120183</t>
  </si>
  <si>
    <t>CTXSPOBF-119316</t>
  </si>
  <si>
    <t>CTXSPOBF-117894</t>
  </si>
  <si>
    <t>CTXSPOBF-116627</t>
  </si>
  <si>
    <t>CTXSPOBF-115983</t>
  </si>
  <si>
    <t>CTXSPOBF-115615</t>
  </si>
  <si>
    <t>CTXSPOAP407-11788</t>
  </si>
  <si>
    <t>CTXSPOAP407-11705</t>
  </si>
  <si>
    <t>CTXSPOAP407-11263</t>
  </si>
  <si>
    <t>CTXSPOAP407-11247</t>
  </si>
  <si>
    <t>CTXSPOAP407-10684</t>
  </si>
  <si>
    <t>CTXSPOAP407-10523</t>
  </si>
  <si>
    <t>CTXSPOAP407-10425</t>
  </si>
  <si>
    <t>CTXSPOAP407-10419</t>
  </si>
  <si>
    <t>CTXSPOAP407-10418</t>
  </si>
  <si>
    <t>CTXSPOAP407-10411</t>
  </si>
  <si>
    <t>CTXSPOAP407-10410</t>
  </si>
  <si>
    <t>CTXSPOAP407-10293</t>
  </si>
  <si>
    <t>CTXSALSM-80185</t>
  </si>
  <si>
    <t>CTXSALPB-31209</t>
  </si>
  <si>
    <t>CTXSALLM-113867</t>
  </si>
  <si>
    <t>CTXSALAS-152897</t>
  </si>
  <si>
    <t>CTXRJORB-30504</t>
  </si>
  <si>
    <t>CTXRJOPF-61675</t>
  </si>
  <si>
    <t>CTXRJOMK-118626</t>
  </si>
  <si>
    <t>CTXRJOMA-71836</t>
  </si>
  <si>
    <t>CTXRJOMA-71835</t>
  </si>
  <si>
    <t>CTXRJOMA-71833</t>
  </si>
  <si>
    <t>CTXRECSA-410083</t>
  </si>
  <si>
    <t>CTXRECSA-408302</t>
  </si>
  <si>
    <t>CTXRECSA-407387</t>
  </si>
  <si>
    <t>CTXRECSA-407337</t>
  </si>
  <si>
    <t>CTXRECSA-405869</t>
  </si>
  <si>
    <t>CTXRECSA-403870</t>
  </si>
  <si>
    <t>CTXRECSA-402181</t>
  </si>
  <si>
    <t>CTXRECSA-389041</t>
  </si>
  <si>
    <t>CTXRECSA-387904</t>
  </si>
  <si>
    <t>CTXRECSA-387803</t>
  </si>
  <si>
    <t>CTXRECSA-387239</t>
  </si>
  <si>
    <t>CTXRECPR-10360</t>
  </si>
  <si>
    <t>CTXRECAM-54264</t>
  </si>
  <si>
    <t>CTXRECAM-51761</t>
  </si>
  <si>
    <t>CTXPOARB-92042</t>
  </si>
  <si>
    <t>CTXPOARB-90275</t>
  </si>
  <si>
    <t>CTXNITSP-162166</t>
  </si>
  <si>
    <t>CTXNITSP-161536</t>
  </si>
  <si>
    <t>CTXNITSP-160928</t>
  </si>
  <si>
    <t>CTXNITSP-159595</t>
  </si>
  <si>
    <t>CTXNITSP-159594</t>
  </si>
  <si>
    <t>CTXMTZRP-43492</t>
  </si>
  <si>
    <t>CTXMTZRP-43386</t>
  </si>
  <si>
    <t>CTXMTZRP-43360</t>
  </si>
  <si>
    <t>CTXMTZRP-43359</t>
  </si>
  <si>
    <t>CTXMTZRP-43357</t>
  </si>
  <si>
    <t>CTXMTZRP-43237</t>
  </si>
  <si>
    <t>CTXMTZRP-43093</t>
  </si>
  <si>
    <t>CTXMTZRP-41564</t>
  </si>
  <si>
    <t>CTXMTZRP-41562</t>
  </si>
  <si>
    <t>CTXMTZRP-41561</t>
  </si>
  <si>
    <t>CTXMTZRP-41360</t>
  </si>
  <si>
    <t>CTXMTZRP-41354</t>
  </si>
  <si>
    <t>CTXMTZRP-40585</t>
  </si>
  <si>
    <t>CTXLONLA-22614</t>
  </si>
  <si>
    <t>CTXFORNA-25208</t>
  </si>
  <si>
    <t>CTXFORNA-25206</t>
  </si>
  <si>
    <t>CTXFORBM-301497</t>
  </si>
  <si>
    <t>CTXFORBM-298858</t>
  </si>
  <si>
    <t>CTXFORBM-292853</t>
  </si>
  <si>
    <t>CTXFORBM-291834</t>
  </si>
  <si>
    <t>CTXFORBM-291231</t>
  </si>
  <si>
    <t>CTXFORBM-286285</t>
  </si>
  <si>
    <t>CTXFORBM-285846</t>
  </si>
  <si>
    <t>CTXCASQC-13853</t>
  </si>
  <si>
    <t>CTXCASQC-13269</t>
  </si>
  <si>
    <t>CTXCASQC-13048</t>
  </si>
  <si>
    <t>CTXBHZRI-88879</t>
  </si>
  <si>
    <t>CTXBHZRI-87549</t>
  </si>
  <si>
    <t>CTXBHZRI-87303</t>
  </si>
  <si>
    <t>Análise da RFP com descrição da solução e custos.</t>
  </si>
  <si>
    <t>Consulta de mercado para prestadores de serviços feito pelo prospect CETELEM - RFI (Request For Information) - Contact Center para o BANCO CETELEM.</t>
  </si>
  <si>
    <t xml:space="preserve">Abaixo, no anexo e no chamado estou elencando o escopo de o que o projeto pede quanto a infraestrutura operacional direta (não especifiquei o que é de apoio como treinamento, qualidade, planejamento, etc.): 
São 3 escopos que se somam (não são cenários), em ambientes segregados individualmente. 
ESCOPO 1) (PAS COMPLETAS) Suporte ao Produto Net Empresas =&gt; total de 362 PAs operacionais, 31 PAs Supervisão além de: 
A. 1 Sala de cliente com 14 posições (1 gerente + 13 Adm/suporte), 1 impressora multifuncional, acesso wireless, mesa de reunião redonda de 1,20m/d com 4 cadeiras, apoio para os pés em todas as mesas, 4 armários baixos com chaves, 4 TVs 42" + 1 desktop para projeção de informações da operação (CMS), espaço para mais 2 computadores (1 comunicação e 1 homologação aplicações e sistemas); 
B. 1 Sala de treinamento exclusiva, com 25 posições + micro, projetor, telão, quadro branco em vidro de 5,00m x 1,20m e ar condicionado; 
ESCOPO 2) (PAS COMPLETAS) Suporte ao Produto Office Banking =&gt; total de 103 PAs operacionais, 9 PAs Supervisão além de: 
A. 1 Sala de Cliente com 12 posições (1 gerente + 11 Adm/suporte), 1 impressora multifuncional, acesso wireless, mesa de reunião redonda de 1,20m/d com 4 cadeiras, apoio para os pés em todas as mesas, 4 armários baixos com chaves, 3 TVs 42" + 1 desktop para projeção de informações da operação (CMS), espaço para mais 2 computadores (1 comunicação e 1 homologação aplicações e sistemas); 
B. 1 Sala de treinamento exclusiva, com 25 posições + micro, projetor, telão, quadro branco em vidro de 5,00m x 1,20m e ar condicionado; 
ESCOPO 3) (PAS INFRAESTRUTURA Funcionários Bradesco ) Suporte operacional =&gt; total de 128 PAs operacionais, 15 PAs Supervisão, além de: 
A. SALA 1: Sala de gestores com 20 posições (5 gerentes + 15 Adm/suporte); 
B. SALA 2: Sala de Segundo nível com 10 posições; 
C. SALA 3: Atendimento E-mail com 5 posições; 
D. 1 SALA RH BRADESCO: 4 mesas administrativas; 
E. 1 SALA MONITORIA BRADESCO: 4 mesas administrativas; 
F. 2 SALAS DE FEEDBACK BRADESCO: com 1 mesa administrativa em cada; 
G. 1 SALA DE TREINAMENTO BRADESCO: exclusiva, com 25 posições + micro, projetor, telão, quadro branco em vidro de 5,00m x 1,20m e ar condicionado; 
H. PORTARIA EXCLUXIVA ACESSO FUNCIONARIOS BRADESCO: catracas, controle de acessos, portinhola para acesso cadeirantes, 3 porta guarda chuvas, 2 embaladores guarda chuvas; 
I. AMBIENTE E COPA EXCLUSIVA FUNCIONARIOS BRADESCO: 
I. 4 banheiros (2 masc. 2 fem.), 2 pontos wireless, 2 bebedouros, 
II. 1 COPA: 12 MESAS com 4 lugares cada, 1 balcão com micro e ramal para fornecimento de lanches, 1 ponto wireless, 3 armários pequenos, 1 pia com cuba, 2 bebedouros, 2 geladeiras (branca, 340 litros), e refrigeradores verticais (400 litros porta de vidro), 5 micro-ondas (20 litros), 4 multi grill (Black&amp; Decker), 1 TV 50", 2 maquina snaks (1 lanches e salgados + 1 sucos e refrigerante), 2 máquinas de bebidas quentes (café, chá, leite, achocolatado e capputino), ar condicionado com medidor de temperatura; 
III. 351 escaninhos; 
J. Portaria exclusiva/segregada para o ambiente de infraestrutura do Bradesco: 
K. Para uso comum das salas acima: 1 impressora multifuncional, acesso wireless, mesa de reunião redonda de 1,20m/d com 4 cadeiras, apoio para os pés em todas as mesas, 1 armários baixos e 1 alto todos com chaves, 6 TVs 42" + 1 desktop para projeção de informações da operação (CMS), espaço para mais 2 computadores (1 comunicação e 1 homologação aplicações e sistemas); 
L. Espaço para manobra, fora do site principal, para atender 21 linhas de fretados contratados pelo Bradesco; 
</t>
  </si>
  <si>
    <t>Implantar ferramenta Perficall no BO Anatel (Elo Técnico) em 138 PA's.</t>
  </si>
  <si>
    <t>Caros, precisamos liberar 140 cadastro de logins no discador APC por solicitação do cliente.</t>
  </si>
  <si>
    <t xml:space="preserve">RTIs com objetivo de minimizar etapas manuais através de automatização de algumas interfaces do operador 
</t>
  </si>
  <si>
    <t>Dalton Bondesan</t>
  </si>
  <si>
    <t>Contax - Outro</t>
  </si>
  <si>
    <t>Oi - Retenção</t>
  </si>
  <si>
    <t>Oi - SAC</t>
  </si>
  <si>
    <t>Crescimento/Expansão</t>
  </si>
  <si>
    <t>Desenvolvimento</t>
  </si>
  <si>
    <t>Upgrade de Tecnologia</t>
  </si>
  <si>
    <t>Instalação de Software</t>
  </si>
  <si>
    <t>Desmobilização Site/Operação</t>
  </si>
  <si>
    <t>Proposta comercial</t>
  </si>
  <si>
    <t>Requisição de Serviços</t>
  </si>
  <si>
    <t>Cliente/Operação</t>
  </si>
  <si>
    <t>Crescimento de PA's</t>
  </si>
  <si>
    <t xml:space="preserve">Diretoria </t>
  </si>
  <si>
    <t>Itaú</t>
  </si>
  <si>
    <t>Na Fila</t>
  </si>
  <si>
    <t>Corporativo</t>
  </si>
  <si>
    <t>CTXPOARB-85983</t>
  </si>
  <si>
    <t>CTXPOARB-85984</t>
  </si>
  <si>
    <t>CTXPOARB-85985</t>
  </si>
  <si>
    <t>CTXPOARB-85986</t>
  </si>
  <si>
    <t>CTXRECSA-358319</t>
  </si>
  <si>
    <t>CTXSPOAL-81981</t>
  </si>
  <si>
    <t>CTXNITSP-161292</t>
  </si>
  <si>
    <t>CTXSPOAP407-11304</t>
  </si>
  <si>
    <t>CTXMTZRP-39707</t>
  </si>
  <si>
    <t>Plano Recuperação</t>
  </si>
  <si>
    <t>S&amp;OP</t>
  </si>
  <si>
    <t>CTXSPOAP407-11306</t>
  </si>
  <si>
    <t>Desmobilização Alameda Santos</t>
  </si>
  <si>
    <t>Desmobilização Jurubatuba</t>
  </si>
  <si>
    <t>Projeto - RTI - Auxílio no atendimento de Busca Pagamentos</t>
  </si>
  <si>
    <t>RTI - Alerta para confirmação de Dados Pessoais do Cliente</t>
  </si>
  <si>
    <t>Projeto RTI - Registro da Ocorrência de Callback</t>
  </si>
  <si>
    <t>Projeto - RTI - Alerta no Cancelamento de Fatura</t>
  </si>
  <si>
    <t xml:space="preserve">Projetos CO - TLV e Discador Triagem Velox / Suporte Avançado velox  </t>
  </si>
  <si>
    <t>DAC Único Fixa</t>
  </si>
  <si>
    <t>JIRA 6.0   Abertura de Projeto - Implantação do novo Sistema de Chamados JIRA 6.0</t>
  </si>
  <si>
    <t>CTXSPOAP407-12054</t>
  </si>
  <si>
    <t>CTXSPOAP407-12033</t>
  </si>
  <si>
    <t>CTXSPOAP407-12031</t>
  </si>
  <si>
    <t>CTXSPOAP407-12030</t>
  </si>
  <si>
    <t>CTXSPOAP407-12000</t>
  </si>
  <si>
    <t>CTXRJOPF-65588</t>
  </si>
  <si>
    <t>CTXRJOED-54040</t>
  </si>
  <si>
    <t>CTXRECSA-414952</t>
  </si>
  <si>
    <t>CTXPOARB-92355</t>
  </si>
  <si>
    <t>CTXMTZRP-43581</t>
  </si>
  <si>
    <t>CTXMTZRP-43580</t>
  </si>
  <si>
    <t>CTXMTZRP-43579</t>
  </si>
  <si>
    <t>CTXMTZRP-43578</t>
  </si>
  <si>
    <t>CTXMTZRP-43576</t>
  </si>
  <si>
    <t>CTXMTZRP-43575</t>
  </si>
  <si>
    <t>CTXMTZRP-43574</t>
  </si>
  <si>
    <t>Desmobilização do prédio CTC Fortaleza, levando as salas de treinamento para o subsolo do site Borges de Melo, também em Fortaleza</t>
  </si>
  <si>
    <t xml:space="preserve">Sistemas de interface: STC e JIRA/Evalyze 
Descrição do RTI: Identificação de BDs já fechados no STC para fechamento das tarefas de forma automática no JIRA através do uso de uma macro. São necessários no mínimo 6 uploads por dia. 
</t>
  </si>
  <si>
    <t>Outros - N/A - TLV PA VIP</t>
  </si>
  <si>
    <t>CTXMTZRP-38967</t>
  </si>
  <si>
    <t>Implantar Discador Aspect + TLV em todas as células da Auditoria SAV CADASTRO</t>
  </si>
  <si>
    <t>Discador do GFE RJ</t>
  </si>
  <si>
    <t>Instalar  SMPA Mauá</t>
  </si>
  <si>
    <t>Operações Especializadas</t>
  </si>
  <si>
    <t>POP</t>
  </si>
  <si>
    <t xml:space="preserve">Vivo   </t>
  </si>
  <si>
    <t>Concluído</t>
  </si>
  <si>
    <t>CTXSALSM-74754</t>
  </si>
  <si>
    <t>Comercial</t>
  </si>
  <si>
    <t>América Móvil</t>
  </si>
  <si>
    <t>OI SAC</t>
  </si>
  <si>
    <t>Clientes Especiais</t>
  </si>
  <si>
    <t>Oi SAC</t>
  </si>
  <si>
    <t xml:space="preserve">Santander  </t>
  </si>
  <si>
    <t>Por favor realizar a instalação de mais dois pontos de rede na sala do cliente Oi, no site Santo Amaro, a sala fica no 6º da torre 1 neste site. É a primeira sala do corredor, não tem identificação na porta da sala.</t>
  </si>
  <si>
    <t>CTXSPOAL-77756</t>
  </si>
  <si>
    <t>Proposta de migração da central RJ para SP (custo de migração)</t>
  </si>
  <si>
    <t>Topologia tGuindance</t>
  </si>
  <si>
    <t>CTXSPOBF-113203</t>
  </si>
  <si>
    <t>Discador para Ciclo de Vida e Finauto</t>
  </si>
  <si>
    <t>CTXSPOBF-123916</t>
  </si>
  <si>
    <t xml:space="preserve">N/A Expansão Memoria </t>
  </si>
  <si>
    <t>CTXSPOBF-113014 </t>
  </si>
  <si>
    <t xml:space="preserve">N/A - SMS - Implementação da Nova Assinatura Volvo - Operação Santander Financiamentos </t>
  </si>
  <si>
    <t>Santander</t>
  </si>
  <si>
    <t>?</t>
  </si>
  <si>
    <t>Outro</t>
  </si>
  <si>
    <t>Bruno Ribeiro</t>
  </si>
  <si>
    <t>Dias corridos até hoje</t>
  </si>
  <si>
    <t>Roll Out</t>
  </si>
  <si>
    <t>Projeto</t>
  </si>
  <si>
    <t>CTXNITSP-142379</t>
  </si>
  <si>
    <t xml:space="preserve">CTXNITSP-142379_Projeto -Adequação de Mailing Multiprodutos </t>
  </si>
  <si>
    <t xml:space="preserve">R1 e R2_Criação de uma macro para o procedimento de consulta a inviabilidade total RI e RII. </t>
  </si>
  <si>
    <t xml:space="preserve"> Abertura dos registros automáticos pelo Front Fácil - Fase 2</t>
  </si>
  <si>
    <t>Sem Data</t>
  </si>
  <si>
    <t>Item 5_Conf da Base para imput no formato CSV</t>
  </si>
  <si>
    <t>Front End do OFF Line - Melhoria TLV OFF Line</t>
  </si>
  <si>
    <t>Cancelado</t>
  </si>
  <si>
    <t>Concluido</t>
  </si>
  <si>
    <t>Desenvolvimento ate 30/11/15</t>
  </si>
  <si>
    <t>Desenvolvimento ate 20/10/15</t>
  </si>
  <si>
    <t>CTXSPOAP407-12185</t>
  </si>
  <si>
    <t>Desenvolvimento 03/10/15</t>
  </si>
  <si>
    <t xml:space="preserve">Desenvolvimento de Tabulador da Vivo (Ilha de Contas) </t>
  </si>
  <si>
    <t>DAC Único Movel</t>
  </si>
  <si>
    <t>CTXSPOBF-124602</t>
  </si>
  <si>
    <t>CTXSALLM-114829</t>
  </si>
  <si>
    <t>Projeto - Transformar 5 PAs da operação em ADM Contax</t>
  </si>
  <si>
    <t>CTXSPOAP407-12333</t>
  </si>
  <si>
    <t>Evalyze - Integrar T-Guidance com Evalyze</t>
  </si>
  <si>
    <t xml:space="preserve">Evalyze - Definir solução definitiva para carregamento dos tickets para tratativa </t>
  </si>
  <si>
    <t>Evalyze - Preenchimento automático de campos na abertura de chamado no COM</t>
  </si>
  <si>
    <t>OI</t>
  </si>
  <si>
    <t>Adequação Aurora - Substituição do link pois apresenta instabilidade</t>
  </si>
  <si>
    <t>Adequação Aurora - Substituição dos HW</t>
  </si>
  <si>
    <t>[Projeto Ford] Solicitação RFP</t>
  </si>
  <si>
    <t>PRÉ VENDA - ORIZON</t>
  </si>
  <si>
    <t>RFP ESTÁCIO DE SÁ</t>
  </si>
  <si>
    <t>Pre Venda Citibank</t>
  </si>
  <si>
    <t>Avaliação de BID - Grupo RBS | Convergência | RFP | SAC, COB e TLV</t>
  </si>
  <si>
    <t>RFP Anatel OI TV</t>
  </si>
  <si>
    <t>Edital - Prefeitura de Porto Alegre</t>
  </si>
  <si>
    <t>RFP Telesales 2015</t>
  </si>
  <si>
    <t>RFP SOC / CO</t>
  </si>
  <si>
    <t xml:space="preserve">Desenvolvimento de uma nova campanha na Ferramenta BO Strategy, a fim de 'automatizar' o processo de tratativas dos casos gerados no Multiprodutos Primeiro Nível. </t>
  </si>
  <si>
    <t>Transferência de Contexto - Nas Transferências "Cegas" da operação os mesmos possam escrever um texto que será visualizado no setor destino</t>
  </si>
  <si>
    <t>Aplicação/URA</t>
  </si>
  <si>
    <t>Projeto Instalação de SGL</t>
  </si>
  <si>
    <t>Realizada a atualização de versão do FF Habilitar Conferencia</t>
  </si>
  <si>
    <t>Retire a opção de logar no receptivo para o Front Fácil nas operações de Blindagem</t>
  </si>
  <si>
    <t>Desmobilização Beneditinos - GFE</t>
  </si>
  <si>
    <t>Desmobilização Beneditinos - DTH</t>
  </si>
  <si>
    <t>Desmobilização Beneditinos - FAC</t>
  </si>
  <si>
    <t>Projeto - Projeto - Migração Quality p/ Sto. Amaro</t>
  </si>
  <si>
    <t>Projeto - Projeto - Migração SAC Velox p/ Sto. Amaro</t>
  </si>
  <si>
    <t>Projeto - Projeto - Migração Ilha de Contas Velox p/ Sto. Amaro</t>
  </si>
  <si>
    <t>Projeto - Melhoria no RTI da operação NET - Mudança de Sinal Analógico para Digital</t>
  </si>
  <si>
    <t>uraco</t>
  </si>
  <si>
    <t>Credibilidade na VIVO</t>
  </si>
  <si>
    <t>CredVIVO</t>
  </si>
  <si>
    <t>Piloto/Homologação</t>
  </si>
  <si>
    <t>Crescimento Claro Acre</t>
  </si>
  <si>
    <t>Crescimento Cielo L5 33posições</t>
  </si>
  <si>
    <t>Crescimento ilha Preço Unico - REDE</t>
  </si>
  <si>
    <t>MIGRAÇÃO CONTESTAÇÃO PARCEIROS</t>
  </si>
  <si>
    <t>Projeto - Madrugada - B2B FIXO BORGES DE MELO</t>
  </si>
  <si>
    <t>Crescimento de 9 PA's na ilha BO IT AT</t>
  </si>
  <si>
    <t>Migração de 342 posições remanescentes na Vector para Borges de Melo</t>
  </si>
  <si>
    <t>Oi - Televendas e Cobrança</t>
  </si>
  <si>
    <t>Oi Sac</t>
  </si>
  <si>
    <t>? S&amp;OP</t>
  </si>
  <si>
    <t>INFRA</t>
  </si>
  <si>
    <t>Desenvolvimento/Execução</t>
  </si>
  <si>
    <t>Alexandre Batista</t>
  </si>
  <si>
    <t>Erica Cotrim</t>
  </si>
  <si>
    <t>Edison Siqueira</t>
  </si>
  <si>
    <t>Data Criação tProcess</t>
  </si>
  <si>
    <t>Etapa</t>
  </si>
  <si>
    <t>Data Conclusão</t>
  </si>
  <si>
    <t>Discador do OFF Line - Enriquecimento de contatos</t>
  </si>
  <si>
    <t>CTXRECSA-413131</t>
  </si>
  <si>
    <t>Reestruturação da URA do CO Recife</t>
  </si>
  <si>
    <t>Discador off line - Discador</t>
  </si>
  <si>
    <t>DEMANDAS NO PERFILADOR ONLINE</t>
  </si>
  <si>
    <t xml:space="preserve">Disponibilizar uma sala com uma quantidade de computadores e pontos de instalação de modems para que sejam realizados treinamentos práticos da célula de triagem velox </t>
  </si>
  <si>
    <t xml:space="preserve">Desmobilização Site Prado 1 - Prazo Previsto 31/07/2015 </t>
  </si>
  <si>
    <t>Edison Nei Siqueira added a comment - 04/Set/15 12:02
CTXMTZRP-43576 - foram endereçadas para o fornecedor Closer, ele irá desenvolver dentro da ferramenta Evalyze, pode desconsiderar</t>
  </si>
  <si>
    <t xml:space="preserve">Implantar um discador para a célula Quality Voicer
</t>
  </si>
  <si>
    <t>CTXSPOAP407-12032</t>
  </si>
  <si>
    <t>CTXLONLA-26408</t>
  </si>
  <si>
    <t>Execução</t>
  </si>
  <si>
    <t>CTXLONLA-26411</t>
  </si>
  <si>
    <t>Projeto se encontra na fila de infra estrutura, devido ao tempo entrei em contato com o solicitante para validar o encerramento do mesmo.</t>
  </si>
  <si>
    <t xml:space="preserve"> </t>
  </si>
  <si>
    <t>Projeto já tinha sido concluido, Alinhei com o solicitante Agnaldo e me retornou que já tinha sido tratado, anexei o e-mail no chamado.</t>
  </si>
  <si>
    <t>_email</t>
  </si>
  <si>
    <t xml:space="preserve">Integração do discador Aspect com a ferramenta Evalyze </t>
  </si>
  <si>
    <t xml:space="preserve">Solicitação para configuração de 06 máquinas no Site Santo Amaro para atendimento de clientes Empresarial Fixo. 
</t>
  </si>
  <si>
    <t>Projeto cancelado por solicitação do Cliente.</t>
  </si>
  <si>
    <t xml:space="preserve">16/09 - projeto finalizado em 21/08.
</t>
  </si>
  <si>
    <t>Ampliar o armazenamento das gravações do Televendas e Retenção para 60 meses.</t>
  </si>
  <si>
    <t xml:space="preserve">2a.fase do TTV </t>
  </si>
  <si>
    <t>Não</t>
  </si>
  <si>
    <t>CTXRECSA-389505</t>
  </si>
  <si>
    <t>CTXBHZRI-88913</t>
  </si>
  <si>
    <t>CTXRBRSA-28</t>
  </si>
  <si>
    <t>CTXMTZRP-42689</t>
  </si>
  <si>
    <t>Citrix Web</t>
  </si>
  <si>
    <t>Ura CO / Pesquisa (Bilhete UUI, Relatório de URA e Repetidas, Upgrade de Infra)</t>
  </si>
  <si>
    <t>Debora Gercke Dominas</t>
  </si>
  <si>
    <t>[Fabiana 18/09] - 405 PAS ITAU 30 HORAS - Implantação concluída em 01/08. Chamado pode ser fechado.</t>
  </si>
  <si>
    <t>CONCLUIDO</t>
  </si>
  <si>
    <t xml:space="preserve">CONCLUIDO
</t>
  </si>
  <si>
    <t>CTXSPOAL-91736</t>
  </si>
  <si>
    <t>CTXSPOBF-125287</t>
  </si>
  <si>
    <t>Atualização de Sistema Operacional para Windows 8</t>
  </si>
  <si>
    <t>CTXSPOAP407-12457</t>
  </si>
  <si>
    <t>P7 Fraseologia Central Lojista e Operador</t>
  </si>
  <si>
    <t>Pesquisa de Satisfação Eletrônica URA</t>
  </si>
  <si>
    <t>Correção do Screem Pop (aparece no envio como não identificado)</t>
  </si>
  <si>
    <t>Edison Nei Siqueira added a comment - 22/Set/15 19:06
rollout realizado para 100% da operação realizando ajustes nos encaminhamentos de chamadas através de vdns.</t>
  </si>
  <si>
    <t>4000 usuários</t>
  </si>
  <si>
    <t>CTXNITSP-155994</t>
  </si>
  <si>
    <t xml:space="preserve">Tetris para desmobilização da Vector da Visconde do Rio branco. 
</t>
  </si>
  <si>
    <t xml:space="preserve">Desmobilização Site Príncipe - Prazo Previsto 31/09/2015 
</t>
  </si>
  <si>
    <t>Farol Geral</t>
  </si>
  <si>
    <t>CTXRECAM-55055</t>
  </si>
  <si>
    <t>CTXRECAM-55054</t>
  </si>
  <si>
    <t>CTXRECSA-419337</t>
  </si>
  <si>
    <t>CTXSPOAP407-10430</t>
  </si>
  <si>
    <t>CTXSALSM-81975</t>
  </si>
  <si>
    <t>CTXRECAM-55053</t>
  </si>
  <si>
    <t>CTXRECSA-422496</t>
  </si>
  <si>
    <t>CTXSALSM-82024</t>
  </si>
  <si>
    <t>CTXRECAM-55052</t>
  </si>
  <si>
    <t>CTXSALAS-155279</t>
  </si>
  <si>
    <t>Implantar 10 PV´s atendendo Televenas Outbound Empresarial em home office, utilizando o serviço pacote Smart Office fornecido pela OI.</t>
  </si>
  <si>
    <t>implantação da operação Portabilidade Pós/OCT</t>
  </si>
  <si>
    <t>CTXSALSM-81985</t>
  </si>
  <si>
    <t>CTXFORBM-304805</t>
  </si>
  <si>
    <t>Gravar as chamadas realizadas pelos BackOffices TV, OCT e PÓS(mobilidade)</t>
  </si>
  <si>
    <t>Realizar gravação de callback via POP Oi em todas as posições da Retençãop que utilizarem esta função no Front-Fácil</t>
  </si>
  <si>
    <t>implantação de um atendimento receptivo intitulado "Receptivo Refidelização" que tratará de clientes 1p</t>
  </si>
  <si>
    <t>CTXSPOAP407-10493</t>
  </si>
  <si>
    <t>tSupervisor - Atualização da ferramenta tSupervisor para todas as operações da OI</t>
  </si>
  <si>
    <t>Crescimento Operação TAM - Multiplus</t>
  </si>
  <si>
    <t>CLIENTES ESPECIAIS</t>
  </si>
  <si>
    <t>Projeto - Crescimento/Forecast Bradesco</t>
  </si>
  <si>
    <t>Retrofit TAM Site Augusta</t>
  </si>
  <si>
    <t>CTXSPOLP-108376</t>
  </si>
  <si>
    <t>CIELO</t>
  </si>
  <si>
    <t>CTXSPOLP-97254</t>
  </si>
  <si>
    <t>CTXSPOAP407-9627</t>
  </si>
  <si>
    <t>CTXSPOLP-105717</t>
  </si>
  <si>
    <t>CTXSPOLP-107037</t>
  </si>
  <si>
    <t>Troca de mailings, arquivos de carga e retorno está sendo feita pelo antigo servidor como um paliativo.O Cliente irá desligar este servidor e se não resolvermos o problema da solução CONNECT isso irá inviabilizar a continuidade da operação.</t>
  </si>
  <si>
    <t>Concluída a implantação e testes de transferência no servidor novo. Aguardando a Cielo desativar o servidor  antigo.</t>
  </si>
  <si>
    <t>CTXSPOLP-105680</t>
  </si>
  <si>
    <t>CTXSPOLP-106246</t>
  </si>
  <si>
    <t>CTXSPOAL-81007</t>
  </si>
  <si>
    <t>Implantação da ferramenta Tguidance na operação. A continuidade da operação pelo cliente na Contax, está atrelada a este projeto. Considerado como ganho o seu faturamento mensal.</t>
  </si>
  <si>
    <t>CTXSPOAL-87590</t>
  </si>
  <si>
    <t>Substituição do parque de máquinas da operação devido lentidão e travamento excessivo que impactam a produtividade da operação.</t>
  </si>
  <si>
    <t>Substituição do parque de 114  máquinas da operação + Adequação do Layout + Instalação de Links</t>
  </si>
  <si>
    <t>CTXSPOAL-89128</t>
  </si>
  <si>
    <t>Instalar aparelhos Avaya em 100% das PAs da operação, para caso de contingência quando houver indisponibilidade no Aspect.</t>
  </si>
  <si>
    <t>CTXFORNA-25436</t>
  </si>
  <si>
    <t>Implantar Front End e discador</t>
  </si>
  <si>
    <t>CTXRJOED-54029</t>
  </si>
  <si>
    <t>Projeto para o APP 1746</t>
  </si>
  <si>
    <t>Projeto crescimento 44 PVs da retenção OI TV</t>
  </si>
  <si>
    <t>CTXRECAM-54339</t>
  </si>
  <si>
    <t>Crescimento/Expansão/Migração</t>
  </si>
  <si>
    <t>CTXMTZPB-594</t>
  </si>
  <si>
    <t>implantação da ferramenta Evalize no BO ANATEL no dia 02/10</t>
  </si>
  <si>
    <t>Definida a prioridade</t>
  </si>
  <si>
    <t>Disponibilizar Gravação NICE na Operação SOC GFE PE/RJ e SOC OffLines</t>
  </si>
  <si>
    <t>N/A</t>
  </si>
  <si>
    <t>Demanda cancelada por solicitação do demandante.</t>
  </si>
  <si>
    <t xml:space="preserve">Realizar o transbordo entre as células do CRV e da Sinergia. 
</t>
  </si>
  <si>
    <t>29/09 -Fluxo foi homologado com sucesso
---------------------------------
22/09 - A estrutura está configurada corretamente por Telecom, operação validando.</t>
  </si>
  <si>
    <t xml:space="preserve">22/09 - Conforme retorno formalizado da Coord Alice Oliveira referente ao projeto da  URA do CO (Bilhete UUI, Relatório de URA e Repetidas) está OK não temos mas pendências. Já foram homologadas pela OI , podendo considerar como entregue  a URA CO. 
16/09 - Upgrade de infra foi cancelado devido ao cancelamento da Ura de Pesquisa. </t>
  </si>
  <si>
    <t>PROJETO DOWNGRADE DO LINK DA OPERAÇÃO CITIBANK COBRANÇA</t>
  </si>
  <si>
    <t>Downgrade de Tecnologia</t>
  </si>
  <si>
    <t>BASELINE ITAÚ (APLICAR TODAS AS OPERAÇÕES)</t>
  </si>
  <si>
    <t>BASELINE - ITAU TELEVENDAS</t>
  </si>
  <si>
    <t>Implantação ferramenta RTI - CAC Itaú</t>
  </si>
  <si>
    <t>Projeto - Projeto</t>
  </si>
  <si>
    <t>Projeto - Projeto Implantar nova operação de Infra do Itaú 30 horas</t>
  </si>
  <si>
    <t>Necessário Analista MS para atuar no projeto Crescimento 450 Itaú</t>
  </si>
  <si>
    <t xml:space="preserve">O chamado já foi fechado e não haverá necessidade de reabertura. Alinhado com Fabiana e Marco Brandão em 22,09 às 10h54. Débora 25/09/15. </t>
  </si>
  <si>
    <t>195-PE</t>
  </si>
  <si>
    <t>110-BA / 57-PE</t>
  </si>
  <si>
    <t>CTXSPOBF-123648</t>
  </si>
  <si>
    <t>[23/09 - Leandro] De: 300 estações / 275 estações realizadas (92%)[]
[18/09 – Leandro] Atividades em execução segundo feed-back de Cleverson.</t>
  </si>
  <si>
    <t>Migração de 99 PA´s da cobrança do CE para o Prado II</t>
  </si>
  <si>
    <t>Projeto - Projeto 8ª onda MIgração BH x NIT - Receptivo Fixo RI</t>
  </si>
  <si>
    <t>Projeto - Projeto 9ª onda MIgração BH x NIT - Receptivo Fixo RI</t>
  </si>
  <si>
    <t>Projeto - Projeto - Ampliação da necessidade de PAs - 8ª e 9ª onda - Receptivo Fixo - MIgração BH x NIT</t>
  </si>
  <si>
    <t>Projeto Refazer Operação SAC Pré PE</t>
  </si>
  <si>
    <t>Projeto - IMPLANTACAO SKY</t>
  </si>
  <si>
    <t xml:space="preserve">Projeto - Crescimento/Forecast - Nova operação - Claro </t>
  </si>
  <si>
    <t xml:space="preserve">Projeto -Desmobilização Hicham CAS - Movimentação </t>
  </si>
  <si>
    <t>Projeto - Desmobilização SIte QC Campinas</t>
  </si>
  <si>
    <t>Projeto - ligações em sala de treinamento</t>
  </si>
  <si>
    <t>Projeto - Projeto = [RTI] - Direcionamento ao Portal de informações da Vivo</t>
  </si>
  <si>
    <t>Crescimento Operação Vivo João Pessoa - Outubro 2015</t>
  </si>
  <si>
    <t>Crescimento Operação Vivo - Londrina - Out/2015</t>
  </si>
  <si>
    <t>Projeto - Projeto - [VIVO]; [RTI] - Automação da Consulta do Vencimento de Promoções</t>
  </si>
  <si>
    <t xml:space="preserve">Projeto - Plataforma Avaya </t>
  </si>
  <si>
    <t>Desmbilização do prédio da Ability em São Paulo</t>
  </si>
  <si>
    <t>Desmobilização CTC D. Pedro</t>
  </si>
  <si>
    <t>Desmobilização site Joinville</t>
  </si>
  <si>
    <t>Projeto - Projeto - Desmobilização Paulista 07</t>
  </si>
  <si>
    <t>Projeto - Migração Operações Suporte do Lapa para o Antartica</t>
  </si>
  <si>
    <t>Projeto - Crescimento/Forecast</t>
  </si>
  <si>
    <t>Tabulador e Relatórios p/ os GT's (Móvel)</t>
  </si>
  <si>
    <t>Projeto - Implantação Nova Operação Banco do Brasil - Infra</t>
  </si>
  <si>
    <t>Projeto - DESMOBILIZAÇÃO SITE BENEDITINOS</t>
  </si>
  <si>
    <t>Projeto - Implantação Nova Operação Banco do Brasil</t>
  </si>
  <si>
    <t>Projeto - Projeto - RFI Everis</t>
  </si>
  <si>
    <t>Projeto - Projeto - Mudança de Discador da Operação CR - Clico de Vida para Dicador AYTY</t>
  </si>
  <si>
    <t>Desmembramento URA Finauto</t>
  </si>
  <si>
    <t>Projeto - Gravação de chamadas Retenção Empresarial</t>
  </si>
  <si>
    <t xml:space="preserve">Projeto - Projeto - Novo Layout Mailing Retenção Involuntária Fixo R1 </t>
  </si>
  <si>
    <t>Projeto - Projeto Criação de Macro de Inviabilidade Total R2</t>
  </si>
  <si>
    <t>Migração do DAC da operação do Corporativo do DAC Mck D para o Mck B</t>
  </si>
  <si>
    <t>Plano de Recuperação - Projeto Rentabilização BO Anatel - Nice</t>
  </si>
  <si>
    <t>Plano de Recuperação - Projeto Rentabilização BO Anatel - Evalyze</t>
  </si>
  <si>
    <t>Projeto - Projeto Implantação do TLV Preview 5.0 na ilha Multiprodutos</t>
  </si>
  <si>
    <t>Front Facil no CRV</t>
  </si>
  <si>
    <t>Adequação versão 1117022 RTI NET - de SIGMA para NOVOSIGMA</t>
  </si>
  <si>
    <t>Projeto - Projeto - Santander_Transferencia_entre_Centrais</t>
  </si>
  <si>
    <t>Projeto - Projeto - Mudança de Layout Operação CR - Santander Financiamentos - Site Antartica</t>
  </si>
  <si>
    <t>Melhoria Relatório Screen Pop</t>
  </si>
  <si>
    <t>STD Fin - Levantamento de custo para armazenamento por 10 anos - Hyundai</t>
  </si>
  <si>
    <t xml:space="preserve">CONTROLE DE ACESSO COM O PROTOCOLO 802.1x </t>
  </si>
  <si>
    <t>BASELINE: IMPLANTAÇÃO DO CONTROLE DE ACESSO COM 802.1X DO ITAÚ TELEVENDAS</t>
  </si>
  <si>
    <t>Aplicação - Desenvolvimento: Alteração nos layouts atuais dos arquivos do Gerenciador de Campanhas</t>
  </si>
  <si>
    <t>Projeto - Continuidade no desenvolvimento do t!guidance da célula Fidelidade</t>
  </si>
  <si>
    <t>Projeto - Desenvolvimento do Front End para possibilitar vendas encadeadas</t>
  </si>
  <si>
    <t>Projeto - Projeto - Instalação de aparelhos Avaya | Cielo</t>
  </si>
  <si>
    <t>Projeto - Implantação de Front End Ayty na célula Alelo</t>
  </si>
  <si>
    <t>Data Abertura Tprocess</t>
  </si>
  <si>
    <t>Área de TI envolvida</t>
  </si>
  <si>
    <t>Reponsável de TI envolvido</t>
  </si>
  <si>
    <t>Data de retorno prevista de TI</t>
  </si>
  <si>
    <t>Conclusão</t>
  </si>
  <si>
    <t>Data de envio para TI/Fornecedor</t>
  </si>
  <si>
    <t>Data de retorno efetiva de TI</t>
  </si>
  <si>
    <t>Projeto - Projeto - [ITAU]; [RTI] - Desenvolvimento das Integrações para operação CAC - Fase 2</t>
  </si>
  <si>
    <t>Implantação do Front Fácil na operação Multiplus (70 PAs))</t>
  </si>
  <si>
    <t xml:space="preserve">CONCLUÍDO
[23/09 - Leandro] Gmud agendada. Deploy será executado em operação dia 26/9 às 19:00.
[18/09 – Leandro] Aguardando Homologação do cliente.
[16/09 - Leandro] Correções realizadas pela Information Systems e aguardando  retorno da nova homologação por parte do cliente.
</t>
  </si>
  <si>
    <t>Dalton Bondesan added a comment - 19/Ago/15 11:30 
Identificado os equipamentos no site LAPA, iniciando a liberação do depto de Ativos e a contratação do transporte dos mesmos.</t>
  </si>
  <si>
    <t xml:space="preserve">1- Plano de Recuperação - Projeto Rentabilização BO Anatel Automações (RTIs) - Direcionamento Automático para Área Sem SLOT
</t>
  </si>
  <si>
    <t xml:space="preserve">2- Plano de Recuperação - Projeto Rentabilização BO Anatel Automações (RTIs) - Direcionamento Automático para Área Potes Não Agendáveis </t>
  </si>
  <si>
    <t>Plano de Recuperação - Projeto Rentabilização BO Anatel Automações (RTIs) - Bloqueio motivo 25/17</t>
  </si>
  <si>
    <t>Plano de Recuperação - Projeto Rentabilização BO Anatel Automações (RTIs) - Não recebimento de gravações de atendimento.</t>
  </si>
  <si>
    <t>Plano de Recuperação - Projeto Rentabilização BO Anatel Automações (RTIs) - Planejamento TUP</t>
  </si>
  <si>
    <t>Plano de Recuperação - Projeto Rentabilização BO Anatel Automações (RTIs) - Serviço proteção ao crédito</t>
  </si>
  <si>
    <t xml:space="preserve">Projeto - Projeto - Criar uma ferramenta para atender a equipe Blitz. Segue em anexo a EF para auxiliar no desenvolvimento da solução. </t>
  </si>
  <si>
    <t>CTXFORBM-322513</t>
  </si>
  <si>
    <t>Projeto - Projeto - Sup. Tec. Velox (Forecast)</t>
  </si>
  <si>
    <t xml:space="preserve">Precisamos alterar o DAC de 21 posições no 5º andar do site Borges de Melo do DAC LAPA B para MCK A. O Layout que precisa ser alterado está anexado. </t>
  </si>
  <si>
    <t xml:space="preserve">Projeto - Monitoria da Qualidade </t>
  </si>
  <si>
    <t>29/09 - Projetdo encerrado. Alterado para o CTXCASQC-13853;
22/09 - Mantem-se a migração das operações ate 30/09;
16/09 - Migrações de operações em execução, prevista para finalizar ate 30/09.</t>
  </si>
  <si>
    <t xml:space="preserve">28/09 - Projeto concluido.
22/09 - Aguardando definição do CTC Dom Pedro;
16/09 - Sala de TRN em LDA esta com as PA's prontas. site CTC Dom Pedro, pendente de definição sobre a desmobilização do site, com isso, temos que aguardar a definição do destino dessa sala de TRN, caso nacessario implantar no CTC DP, haverá um investimento de hardware e software pois o site nao esta aptos a atender chamadas.
</t>
  </si>
  <si>
    <t xml:space="preserve">23/09 - Projeto finalizado / Conacelado, pois a solutiva não atende a necessidade da operação;
22/09 - Desde 03/09 - Previsão de conclusão de desenvolvimento esta pata 16/11;
</t>
  </si>
  <si>
    <t xml:space="preserve">25/09 - Projeto cancelado pelo solicitante (Allus);
22/09 - PC aprovado em 22/09 e encaminhado para a transportadora trasnportar de BH para GRU - SP;
16/09 - Aguardando aprovação da SI de transporte 31271 (Marco), para transportar equipamentos de BH para SP, e depois enviar todos os insumos para Lima - Peru
</t>
  </si>
  <si>
    <t xml:space="preserve">16/09 - Projeto cancelado em 04/09.
</t>
  </si>
  <si>
    <t xml:space="preserve">16/09 - Projeto concluido em 28/08.
</t>
  </si>
  <si>
    <t>Avon (?)</t>
  </si>
  <si>
    <t>Ticket (?)</t>
  </si>
  <si>
    <t>Dimed (?)</t>
  </si>
  <si>
    <t>Sulgas (?)</t>
  </si>
  <si>
    <t>CTXSALSM-82548</t>
  </si>
  <si>
    <t>CTXSALLM-115737</t>
  </si>
  <si>
    <t>Projeto - Citibank - Nova operação de Ativação/Desbloqueio de Cartões</t>
  </si>
  <si>
    <t>Marcelo Rosim</t>
  </si>
  <si>
    <t>05/10- Projeto cancelado, solicitante informou que foi aberto em duplicidade.
05/10- Tentativa de contato por telefone com o solicitante sem sucesso, encaminhado um e-mail cobrando.
Projeto encaminhado sem detalhamento ou documentação cobrado documentação tentativa de contato telefonico sem sucesso.</t>
  </si>
  <si>
    <t xml:space="preserve">05/10- Projeto homologado e concluido com sucesso.
05/10- Solicitado um retorno referente a homologação.
19/08- Finalizado por TI, solicitado homologação do mesmo. 
</t>
  </si>
  <si>
    <t xml:space="preserve">CONCLUÍDO
[23/09 - Leandro] De: 300 estações / 275 estações realizadas (92%)
[18/09 – Leandro] Implantação em andamento (144 posições realizadas)
[16/09 - Leandro] Projeto em execução.
</t>
  </si>
  <si>
    <t>Edison Nei Siqueira added a comment - 06/Out/15 17:52
Liberações realizadas conforme solicitado, confirmado pelo demandante junto as operações a inserção do atalho de acesso ao Evalyze Anatel.</t>
  </si>
  <si>
    <t>NA</t>
  </si>
  <si>
    <t>CTXFORBM-320984</t>
  </si>
  <si>
    <t>06/10 - 
29/09 - Aguardando negociação com as operadoras para reduzir o prazo de migração dos links;
22/09 - Risco nas migrações dos links (previsão das operadoras á de migrar ate 30/12/15).
22/09 - Precisamos de transporte de insumos de TI (estoque e parados nas operações), mas ainda nao temos esse transporte aprovado;
16/09 - Migrações em andamento. CDP estamos migrando aos poucos pois estamos migrando tambem os links, LP's, servidores do QC para o EH.</t>
  </si>
  <si>
    <t>CTXSPOBF-125971</t>
  </si>
  <si>
    <t>CTXSPOBF-126596</t>
  </si>
  <si>
    <t>Crescimento Massivo Segmentado SP - Antartica</t>
  </si>
  <si>
    <t>Migração equipe de Suporte Vivo - De Pta para Antartica</t>
  </si>
  <si>
    <t>CTXSPOBF-121922</t>
  </si>
  <si>
    <t>Migração Retenção PF</t>
  </si>
  <si>
    <t>CTXSPOBF-126597</t>
  </si>
  <si>
    <t xml:space="preserve"> Implantação Basico Comercial de CAS para Antártica</t>
  </si>
  <si>
    <t>Não Tem</t>
  </si>
  <si>
    <t xml:space="preserve">Migração Servidores de BI </t>
  </si>
  <si>
    <t>[07/10] De acordo com a Fabiana esse projeto foi cancelado, pois está sendo tratado pelo novo chamado CTXRECSA-422212 
O piloto está previsto para iniciar em 19/10 à 21/10 no site Mackenzie. 
Esse chamado se aplica ao site Cabula. Débora 05/10/15
[Fabiana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
Esse chamado se aplica ao site Cabula.</t>
  </si>
  <si>
    <t>[07/10] De acordo com a Fabiana esse projeto foi cancelado, pois está sendo tratado pelo novo chamado CTXRECSA-422212 
O piloto está previsto para iniciar em 19/10 à 21/10 no site Mackenzie.
Esse chamado se aplica ao site Conquista. Débora 05/10/15
[Fabiana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
Esse chamado se aplica ao site Conquista.</t>
  </si>
  <si>
    <t>[07/10] De acordo com a Fabiana esse projeto foi cancelado, pois está sendo tratado pelo novo chamado CTXRECSA-422212 
O piloto está previsto para iniciar em 19/10 à 21/10 no site Mackenzie. Débora 05/10/15
[Fabiana 18/09] - BASE LINE ITAÚ TELEVENDAS (802.1x)-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
Esse item está em andamento, com previsão de conclusão em Dezembro, sendo acompanhado por Rogério Veloso.</t>
  </si>
  <si>
    <t>Projeto RTI</t>
  </si>
  <si>
    <t>Projeto - Projeto - [ITAU]; [RTI]; Desenvolvimento das Integrações para operação CAC - Fase 1</t>
  </si>
  <si>
    <t>CTXPOARB-94402</t>
  </si>
  <si>
    <t>RTI - Aviso sobre abertura/geração de ocorrências duplicadas no N1</t>
  </si>
  <si>
    <t>RTI - Verificar e validar Lançamentos Futuros para Reembolso</t>
  </si>
  <si>
    <t>CTXPOARB-94401</t>
  </si>
  <si>
    <t>CTXPOARB-94403</t>
  </si>
  <si>
    <t>CTXPOARB-94608</t>
  </si>
  <si>
    <t>Implantação do sistema Nice RTAM para BKO NET</t>
  </si>
  <si>
    <t>[08/out] cancelado, pois seu retorno (no escopo atual) não trará benefícios imediatos
05/10 - Em análise por equipe de RTI
[28/09 - Leandro] Automação de Processos devendo um posicionamento, cobrado hoje por um status sobre o assunto &gt; Devolveu resposta dizendo que ainda não foi iniciado esforço para tal.</t>
  </si>
  <si>
    <t>[08/10] Cancelado, pois seu retorno (no escopo atual) não trará benefícios imediatos
[28/09 - Dalton] Em levantamento de esforço com fornecedor Betta
[14/09 – Cleonice] Aguardando recurso para realizar a análise da documentação e disponibilizar cronograma de desenvolvimento.</t>
  </si>
  <si>
    <t>CTXBHZRI-89938</t>
  </si>
  <si>
    <t>CTXBHZRI-89939</t>
  </si>
  <si>
    <t>CTXBHZRI-89940</t>
  </si>
  <si>
    <t>CTXBHZRI-89556</t>
  </si>
  <si>
    <t>Projeto - Alteração do mailing de Carga do Tcollect</t>
  </si>
  <si>
    <t>Projeto - Implantação do TCollect para a operação de Escob</t>
  </si>
  <si>
    <t>Projeto - Implantação do TCollect para a operação CD</t>
  </si>
  <si>
    <t>Implantação de Gravador</t>
  </si>
  <si>
    <t>[08/10] Projeto cancelado. Existe um projeto de recuperação tocado pela Karen para implantar o ASPECT integrado ao Evalyzer
Edison Nei Siqueira added a comment - 06/Out/15 16:56
Continuamos aguardando retorno da análise de aplicações NGR para que seja feita a OG da demanda.
Edison Nei Siqueira added a comment - 29/Set/15 16:01
Continuamos aguardando retorno da análise de aplicações NGR para que seja feita a OG da demanda.</t>
  </si>
  <si>
    <t>Implantar  8 pv's + 1 de supervisor de auditoria Oi Internet</t>
  </si>
  <si>
    <t xml:space="preserve"> Crescimento das operações Controle e Receptivo Oi Pós</t>
  </si>
  <si>
    <t xml:space="preserve">13/10 - Projeto Finalizado em 09/10;
06/10 - Transporte de insumos realizado, Links migrados e/ou desativados;
29/09 - Migração do insumos de TI do CPD e Links, previsão 30/09;
22/09 - Em execução de TETRIS dos grupos  Adm's para os sites AS e PL407. preparando o ambiente das migrações para o CTC Dom Pedro previsão de todos serem finalizados até 30/09;
16/09 - Estamos migrando os recursos para os sites Alameda Santos, PL407 e CTC Dom Pedro. Previsão de conclusão ate 30/09. para o CPD - em paralelo - estamos migrando os servidores, e hardware necessarios .
</t>
  </si>
  <si>
    <t xml:space="preserve">13/10 - Projeto Finalizado em 09/10;
06/10 - Migrações / TETRIS finalizado em 30/09. 0800's e links ja OK;
29/09 - TETRIS em andamento, previsão de conclusão em 30/09;
22/09 - Em execução de TETRIS dos grupos  Adm's para os sites AS e PL407. preparando o ambiente das migrações para o CTC Dom Pedro previsão de todos serem finalizados até 30/09;
16/09 - Estamos migrando os recursos para os sites Alameda Santos, PL407 e CTC Dom Pedro. Previsão de conclusão ate 30/09. para o CPD - em paralelo - estamos migrando os servidores, e hardware necessarios .
</t>
  </si>
  <si>
    <t xml:space="preserve">13/10 - Projeto Finalizado;
06/10 - Previsão de finalizar as obras no 12° e 13° andar, esta para 10/10. após iremos iniciar as migrações;
29/09 - Aguardando execuções das obras, sem previsão;
22/09 - Em Andamento com as execuções;
Preciso da definição de qual andar será desmobilizado 13° ou 11°?
</t>
  </si>
  <si>
    <t>Planejamento</t>
  </si>
  <si>
    <t>13/10 - Projeto Finalizado.
06/10 - Configurações de maquinas/ramais/rede até 08/10. Migrações em 09/10;
29/09 - Migração será executada após as configurações de maquinas, previstas para o dia 05/10. em 29/10 termos a hoologação de uma posição;</t>
  </si>
  <si>
    <t xml:space="preserve">13/10 - Estamos finalizando os ultimos ajustes, com previsão de 19/10;
06/10 - Houve a necessidade de alguns ajustes nas arvores de perfilamento. Nova previsão esta para 09/10;
29/09 - Piloto iniciado em 22/09. em acompanhamento;
16/09 - Desenvolvimento / Configurações previstos para finalizar até 21/09. Após finalizar precisamos fazer o piloto.
</t>
  </si>
  <si>
    <t>13/10 - Projeto implantado em 02/10</t>
  </si>
  <si>
    <t>CTXSPOBF-127125</t>
  </si>
  <si>
    <t>Projeto - Projeto - Crescimento de 60 PA's - Ilha Retenção PF</t>
  </si>
  <si>
    <t>Roberto Elias</t>
  </si>
  <si>
    <t>Alexandre Gustavo</t>
  </si>
  <si>
    <t>Fase</t>
  </si>
  <si>
    <t>STATUS</t>
  </si>
  <si>
    <t>Criador</t>
  </si>
  <si>
    <t>Data Inicio Projeto</t>
  </si>
  <si>
    <t>Data Planejada Conclusão Projeto</t>
  </si>
  <si>
    <t>CTXSPOAL-57726</t>
  </si>
  <si>
    <t>BRADESCO</t>
  </si>
  <si>
    <t xml:space="preserve">Bradesco - Bradesco Seguros </t>
  </si>
  <si>
    <t>Estimativa</t>
  </si>
  <si>
    <t>Demanda</t>
  </si>
  <si>
    <t>Em Andamento</t>
  </si>
  <si>
    <t>TI-Engenharia</t>
  </si>
  <si>
    <t>Anderson Pinheiro Raposo</t>
  </si>
  <si>
    <r>
      <rPr>
        <b/>
        <sz val="8"/>
        <color indexed="8"/>
        <rFont val="Calibri"/>
        <family val="2"/>
      </rPr>
      <t>31/8/2015</t>
    </r>
    <r>
      <rPr>
        <sz val="8"/>
        <color indexed="8"/>
        <rFont val="Calibri"/>
        <family val="2"/>
      </rPr>
      <t xml:space="preserve"> Projeto cancelado conforme solicitação.</t>
    </r>
  </si>
  <si>
    <t>CTXSPOAL-57727</t>
  </si>
  <si>
    <t xml:space="preserve">Bradesco - Bradesco Cap </t>
  </si>
  <si>
    <t>CTXSPOBF-100889</t>
  </si>
  <si>
    <t>Projeto - Front End Ayty Cross Sell Citibank</t>
  </si>
  <si>
    <t>Citibank</t>
  </si>
  <si>
    <t xml:space="preserve">Citibank - Cross Sell </t>
  </si>
  <si>
    <t>TI-Desenvolvimento</t>
  </si>
  <si>
    <t>Cristiane Sasaki</t>
  </si>
  <si>
    <t>Priscila Roberta dos S. Freitas</t>
  </si>
  <si>
    <t>06/10- Aguardando negociação do depto comercial</t>
  </si>
  <si>
    <t>CTXRECSA-354556</t>
  </si>
  <si>
    <t>Reservar 300 licenças do DAC Santo Amaro que estaão disponiveis.</t>
  </si>
  <si>
    <t>CONTAX</t>
  </si>
  <si>
    <t xml:space="preserve">Contax - Ger Produtos </t>
  </si>
  <si>
    <t>Encerramento</t>
  </si>
  <si>
    <t>Fabio Prazeres da Silva</t>
  </si>
  <si>
    <t>21/09- Projeto homologado e concluido com sucesso.</t>
  </si>
  <si>
    <t>CTXFORBM-269983</t>
  </si>
  <si>
    <t>Projeto - Confidencial</t>
  </si>
  <si>
    <t xml:space="preserve">Oi - Retenção </t>
  </si>
  <si>
    <t>Seleção e Priorização</t>
  </si>
  <si>
    <t>Sterlaine Priscila Araujo Gomes</t>
  </si>
  <si>
    <t>16/06-STATUS-Aguardando Recurso e Priorização.
27/03-Encaminhado para área de TI-Desenvolvimento para efetuar a estimativa detalhada.
10 / 03- Encaminhada a Estimativa  Preliminar de alta complexidade,maior de 800 horas para aprovação .</t>
  </si>
  <si>
    <t>CTXSPOLP-99392</t>
  </si>
  <si>
    <t>Projeto - Crescimento/Forecast da Operação CIELO L5</t>
  </si>
  <si>
    <t xml:space="preserve">Cielo - ARV </t>
  </si>
  <si>
    <t>30/04-Aguardando a homologação do Apspect 7.1, para continuidade da estimativa,
14 / 04- aguardando definiçãodeDiscadorAspect-AlexaBarreira.</t>
  </si>
  <si>
    <t>CTXSPOAP407-9113</t>
  </si>
  <si>
    <t>Aplicação - Manutenção no Tprocess</t>
  </si>
  <si>
    <t>TI_PROJETOS</t>
  </si>
  <si>
    <r>
      <t>22/05-STATUS-Aguardando o desenvolvimento da manutenção solicitada, e cronograma.
15/04-</t>
    </r>
    <r>
      <rPr>
        <b/>
        <sz val="8"/>
        <rFont val="Calibri"/>
        <family val="2"/>
      </rPr>
      <t>STATUS</t>
    </r>
    <r>
      <rPr>
        <sz val="8"/>
        <rFont val="Calibri"/>
        <family val="2"/>
      </rPr>
      <t>-Aprovada a execução do ajuste do Tprocess para area de TI-Projetos, aguardando o cronograma de execução da area de TI desenvolvimento.</t>
    </r>
  </si>
  <si>
    <t>CTXSPOBF-114042</t>
  </si>
  <si>
    <t>Projeto - Projeto - Incluir um Pesquisa no Final da Ligação URA FINAUTO</t>
  </si>
  <si>
    <t>Sergio Franca Souza</t>
  </si>
  <si>
    <r>
      <t>19/06-</t>
    </r>
    <r>
      <rPr>
        <b/>
        <sz val="8"/>
        <rFont val="Calibri"/>
        <family val="2"/>
      </rPr>
      <t xml:space="preserve">STATUS- </t>
    </r>
    <r>
      <rPr>
        <sz val="8"/>
        <rFont val="Calibri"/>
        <family val="2"/>
      </rPr>
      <t>Projeto Homologado com sucesso GMUD em produção programada para ser executada em 23/06.
21/05-</t>
    </r>
    <r>
      <rPr>
        <b/>
        <sz val="8"/>
        <rFont val="Calibri"/>
        <family val="2"/>
      </rPr>
      <t>STATUS-</t>
    </r>
    <r>
      <rPr>
        <sz val="8"/>
        <rFont val="Calibri"/>
        <family val="2"/>
      </rPr>
      <t>Solicitado o status do Projeto para a Information System.
12/05-</t>
    </r>
    <r>
      <rPr>
        <b/>
        <sz val="8"/>
        <rFont val="Calibri"/>
        <family val="2"/>
      </rPr>
      <t>STATUS-</t>
    </r>
    <r>
      <rPr>
        <sz val="8"/>
        <rFont val="Calibri"/>
        <family val="2"/>
      </rPr>
      <t>Cronograma aprovado para execução do desenvolvimento de 13/05 a 26/05, aguardando a data de homologação e GMUD do Cliente Santander.
31 / 03- Encaminhado para o Fornecedor aguardando agendamento para Reunião de entendimento</t>
    </r>
  </si>
  <si>
    <t>CTXFORBM-275906</t>
  </si>
  <si>
    <t>Projeto - Projeto - Blindagem Fixa Blended</t>
  </si>
  <si>
    <t>13/04 - Reportado ao solicitante - Demanda corresponde a 21º da Estimativa Detalhada da área de Aplicações de Negócios.</t>
  </si>
  <si>
    <t>David Lima Cavalcante</t>
  </si>
  <si>
    <t>CTXFORBM-275919</t>
  </si>
  <si>
    <t>Projeto - Projeto - Blindagem Móvel + TV Blended</t>
  </si>
  <si>
    <t>19/03 - Aguardando detalhamento da da área solicitante.</t>
  </si>
  <si>
    <t>CTXRJOED-48383</t>
  </si>
  <si>
    <r>
      <t>12/05-</t>
    </r>
    <r>
      <rPr>
        <b/>
        <sz val="8"/>
        <rFont val="Calibri"/>
        <family val="2"/>
      </rPr>
      <t>STATUS</t>
    </r>
    <r>
      <rPr>
        <sz val="8"/>
        <rFont val="Calibri"/>
        <family val="2"/>
      </rPr>
      <t xml:space="preserve">- Estimativa aprovada- Encaminhada para TI-Desenvolvimento iniciar o detalhamento e cronograma.
 19 / 03- Encaminhado a Estimativa  Preliminar para aprovação </t>
    </r>
  </si>
  <si>
    <t>Livia de Deus Henriques Rodrigues</t>
  </si>
  <si>
    <t>Juliano Molina</t>
  </si>
  <si>
    <t>CTXBHZRI-84138</t>
  </si>
  <si>
    <t>30/04-Cobrando o de acordo com da EF para a Elaine.
25 / 03- Encaminha a a proposta para o solicitante efetuar a aprovação da mesma.
26 / 03- Encaminhada a especificação funcional pela PRGSOFT</t>
  </si>
  <si>
    <t>Elaine Cristina Ferreira</t>
  </si>
  <si>
    <t>CTXMTZRP-39417</t>
  </si>
  <si>
    <t>Projeto Automatização de registros SAC (Gerência de NegóciosFixa)</t>
  </si>
  <si>
    <t xml:space="preserve">30/04-Solicitado uma previsão de quando essa demanda entrara para estimativa preliminar. 
Precisamos de uma definição de priorização entre as demandas devido à limitação de recursos: Sugerimos priorizar o inicio de desenvolvimento da 629 visto que foi mapeado um ganho de 97K/mês junto à operação e a 626 fase 2 ainda não nos foi apresentado nenhum ganho financeiro. – Aguardamos o OK da proposta em priorizar a solicitação DEMANDAS 629.
a)    DEMANDAS-626 - [OI]; [RTI]; [ST VOZ] - Abertura dos registros automáticos pelo Front Fácil
b)   DEMANDAS-629 - CTXMTZRP-39417 - [SAC FIXO e VELOX] - [OI]; [RTI]; [CTXMTZRP-39417] - Projeto Automatização de registros SAC (Gerência de NegóciosFixa)
STATUS 24/04 – Ainda aguardando retorno da área Cliente
13/04 - Demanda em Estimativa Detalhada. Solicitação corresponde a 42º demanda.
08/04 - Estimativa detalhada - Solicitação corresponde as 47º </t>
  </si>
  <si>
    <t>Alexsander Alves Santos</t>
  </si>
  <si>
    <t>CTXRECSA-371176</t>
  </si>
  <si>
    <t>Projeto - Projeto Campanha de Vendas Itaú Televendas</t>
  </si>
  <si>
    <t>ITAÚ</t>
  </si>
  <si>
    <t xml:space="preserve">Itaú Cartão </t>
  </si>
  <si>
    <t>Mariana da Costa Mello</t>
  </si>
  <si>
    <t>09/09-STATUS_FINAL - Projeto homologado e concluido com sucesso.
09/09- cobrado se o projeto foi homologado.</t>
  </si>
  <si>
    <t>CTXSPOBF-114642</t>
  </si>
  <si>
    <t>Projeto - Projeto - Pesquisa Final de Atendimento URA - Santander Financiamentos</t>
  </si>
  <si>
    <t>14/04-Aguardando aprovação do Orçamento do Cliente.</t>
  </si>
  <si>
    <t>CTXSPOBF-114650</t>
  </si>
  <si>
    <t>Projeto - Projeto - Vocalização de CPF para Identificação do Cliente - Santander Financiamentos</t>
  </si>
  <si>
    <t>CTXSALSM-74725</t>
  </si>
  <si>
    <t>Front Fácil - Nova Operação - Criar _ Oi Internet_TLV Oi Soluções</t>
  </si>
  <si>
    <t xml:space="preserve">Contax - Ger Processos, Metodologia e MIS </t>
  </si>
  <si>
    <t>Priscila Menezes de Sousa Pinto</t>
  </si>
  <si>
    <t>03/09- Alinahmento com o site, e irão iniciar o projeto.
16/06-aguardando recurso e/ou prorização</t>
  </si>
  <si>
    <t>CTXSALSM-74752</t>
  </si>
  <si>
    <t>Projeto - Projeto Adequação de layouts entre operações Itaú no Site Cabula (Linha de Frente, CAE e Sl. do Planejamento</t>
  </si>
  <si>
    <t xml:space="preserve">Itaú - Itaucred </t>
  </si>
  <si>
    <t>Julio Cesar</t>
  </si>
  <si>
    <t>05/10-Finalizamos a migração de 100% parque do OI Internet para win7 e iremos dar foco  nas avaliações para essaimplantação!
                Iremos realizar avaliação dos pre-requisitos abaixo e ,em seguida, daremos um retorno ate quarta.
09/09-STATUS_FINAL- Projeto homologao e concluido com sucesso.
19/03-Aguardando Layout</t>
  </si>
  <si>
    <t>CTXRJOPF-58955</t>
  </si>
  <si>
    <t>Projeto - Projeto: Discador do Elo Técnico</t>
  </si>
  <si>
    <t xml:space="preserve">Contax - Dir. Oi </t>
  </si>
  <si>
    <t>Rodrigo Ribeiro de Araujo</t>
  </si>
  <si>
    <t>16/06-aguardando recurso e/ou prorização</t>
  </si>
  <si>
    <t>CTXNITSP-153177</t>
  </si>
  <si>
    <t>Outros - N/A -Customizar a ferramenta BOS FIXA - SAV Cadastro - Niterói - RJ. A customização deve proporcionar duas filas de tratamento para imputar dois malings distintos. Além do input o customização deve garantir a regra de aleatoriedade descrita.</t>
  </si>
  <si>
    <t>08/09- STATUS- Projeto planejado para implantação de 14 a 19 de setembro.</t>
  </si>
  <si>
    <t>CTXNITSP-153179</t>
  </si>
  <si>
    <t>Projeto - Projeto - Criar um versão da ferramenta BOS, para atender a célula de Auditoria CPF Duplicado.</t>
  </si>
  <si>
    <t>24/04-Status- Projeto aguardando aprovação para execução.</t>
  </si>
  <si>
    <t>CTXMTZRP-39640</t>
  </si>
  <si>
    <t>Migração URA Corporativo para NGR</t>
  </si>
  <si>
    <t>25/09-STATUS- Projeto sendo tratado em outro chamado conforme email anexo.</t>
  </si>
  <si>
    <t>Alex Tonini Nogueira</t>
  </si>
  <si>
    <t>CTXSALAS-149443</t>
  </si>
  <si>
    <t xml:space="preserve">16/06/2015 - Aguardando recurso/priorização </t>
  </si>
  <si>
    <t>Tiago dos Santos Fialho</t>
  </si>
  <si>
    <t>CTXRJOMK-110270</t>
  </si>
  <si>
    <t xml:space="preserve">Dir. Oi </t>
  </si>
  <si>
    <t>Eugenio Silva</t>
  </si>
  <si>
    <t>Henrique Lopes da Silva Moreira</t>
  </si>
  <si>
    <t>01/09-STATUS_FINAL- Projeto homologado e concluido com sucesso.</t>
  </si>
  <si>
    <t>CTXRJOMK-110280</t>
  </si>
  <si>
    <t>Renato Cosme de Carvalho Santos</t>
  </si>
  <si>
    <t>CTXPOARB-85969</t>
  </si>
  <si>
    <t>Projeto - Alteração no entroncamento Algar x Contax x Callinl</t>
  </si>
  <si>
    <t>CTXSPOBF-115489</t>
  </si>
  <si>
    <t>Projeto - Projeto - Excluir Opção 5 Web Motors - Santander Financiamentos</t>
  </si>
  <si>
    <t>CTXSALSM-75110</t>
  </si>
  <si>
    <t>Projeto - Projeto Migração de DAC DE ATC PARA CPQ - Operação CAC</t>
  </si>
  <si>
    <t>CTXSALSM-75150</t>
  </si>
  <si>
    <t>Projeto - Aplicação/URA - Criação URA Empresarial_Oi Internet</t>
  </si>
  <si>
    <t>Contax - Ger Processos, Metodologia e MIS</t>
  </si>
  <si>
    <t>URA TODO</t>
  </si>
  <si>
    <t>Daniel Farias</t>
  </si>
  <si>
    <t>10/09- Projeto cancelado conforme solicitação do Cliente.</t>
  </si>
  <si>
    <t>CTXMLTREG-3647</t>
  </si>
  <si>
    <t>Erika Andrade Miguel</t>
  </si>
  <si>
    <t>CTXSALAS-150015</t>
  </si>
  <si>
    <t>CTXSPOAL-81556</t>
  </si>
  <si>
    <t>Projeto - Sistema CW e Dashboard</t>
  </si>
  <si>
    <t>Robson da Costa</t>
  </si>
  <si>
    <t>CTXSPOAL-81651</t>
  </si>
  <si>
    <t>Projeto - Projeto: Precificação de novo áudio para anúncio da operação Volkswagen</t>
  </si>
  <si>
    <t>Rogerio Luiz da Silva</t>
  </si>
  <si>
    <t>CTXSPOLP-102317</t>
  </si>
  <si>
    <t>Outros - N/A - Configuração de Link</t>
  </si>
  <si>
    <t>Ivani Marques Martins</t>
  </si>
  <si>
    <t>CTXNITSP-155126</t>
  </si>
  <si>
    <t>Projeto - Projeto - Migrar atividade de input do mailing BOS, Auditoria Fixo e Pós, para MIS NIterói. PRGSOFT Anderson Marques.</t>
  </si>
  <si>
    <t>CTXSPOBF-115988</t>
  </si>
  <si>
    <t>Projeto - Projeto - SMS SANTANDER - ENVIO DA LINHA DIGITÁVEL (OPÇÃO NA URA A SER IMPLEMENTADA)</t>
  </si>
  <si>
    <t>CTXMLTREG-3663</t>
  </si>
  <si>
    <t>Liberação de novo link para Operações Oi</t>
  </si>
  <si>
    <t>Maiara Tavares da Cruz</t>
  </si>
  <si>
    <t>CTXSPOBF-116082</t>
  </si>
  <si>
    <t>Projeto - Projeto - Máquinas para o Grupo Fale Conosco</t>
  </si>
  <si>
    <t>VIVO</t>
  </si>
  <si>
    <t>Vania de Moraes Colella</t>
  </si>
  <si>
    <t>24/09- projeto homologado e concluido com sucesso.</t>
  </si>
  <si>
    <t>CTXRJOED-49497</t>
  </si>
  <si>
    <t>Marco Aurelio Chuim Cruz Filho</t>
  </si>
  <si>
    <t>CTXMTZRP-40301</t>
  </si>
  <si>
    <t xml:space="preserve">Oi - NID </t>
  </si>
  <si>
    <t>PRojeto</t>
  </si>
  <si>
    <t>Luiz Matheus Aragao do Nascimento</t>
  </si>
  <si>
    <t>27/08-STATUS_FINAL-Projeto homologado e concluido com sucesso.</t>
  </si>
  <si>
    <t>CTXSPOAP407-9710</t>
  </si>
  <si>
    <t>Projeto - Desenvolvimento Ferramenta no TPROCESS para controle de HEADSET'S</t>
  </si>
  <si>
    <t>Augusto Santiago Silva</t>
  </si>
  <si>
    <t>CTXSPOAP407-9711</t>
  </si>
  <si>
    <t>Gestão de Demandas - tReports!</t>
  </si>
  <si>
    <t>Gabriela Ferreira Campos Fontoura de Castro</t>
  </si>
  <si>
    <t>CTXMTZRP-40457</t>
  </si>
  <si>
    <t>Projeto - Projeto - Atualização RTI SAC Fixo</t>
  </si>
  <si>
    <t>CTXRJOMK-111933</t>
  </si>
  <si>
    <t>Aplicação - Atualização (versão) - Flash</t>
  </si>
  <si>
    <t>Amanda Marinho Coimbra</t>
  </si>
  <si>
    <t>CTXFORBM-286122</t>
  </si>
  <si>
    <t>Contratos com débito &gt; 90 dias</t>
  </si>
  <si>
    <t>15/09-Aguardando recurso ou priorização</t>
  </si>
  <si>
    <t>Dennys Cla�dio Vieira Cruz</t>
  </si>
  <si>
    <t>CTXFORBM-286210</t>
  </si>
  <si>
    <t>CTXRJOMA-71103</t>
  </si>
  <si>
    <t>Projeto - Extração Relatório Pesquisa Ativa (Generation)</t>
  </si>
  <si>
    <t>Carlos Batista Alves</t>
  </si>
  <si>
    <t>CTXRJOMA-71104</t>
  </si>
  <si>
    <t>Projeto - Habilitar G!Customer (G!neration) Para Atendimento Ativo</t>
  </si>
  <si>
    <t>CTXPOARB-87226</t>
  </si>
  <si>
    <t>Projeto - Substituição de servidor - MIS operação NET</t>
  </si>
  <si>
    <t>CTXFORBM-286544</t>
  </si>
  <si>
    <t>Projeto - Projeto - Configurar 20 máquinas com perfil Retenção Invol Fixa R1</t>
  </si>
  <si>
    <t>Cristiano Fernandes Melo</t>
  </si>
  <si>
    <t>CTXSPOBF-116862</t>
  </si>
  <si>
    <t>MARCOS FRANCISCO DELGADO</t>
  </si>
  <si>
    <t>CTXRJOMK-112428</t>
  </si>
  <si>
    <t>M�rcia Estima da C. Tavares</t>
  </si>
  <si>
    <t>CTXSPOAP407-9908</t>
  </si>
  <si>
    <t>Projeto - Projeto - Colocation de URA DNK_Ticket</t>
  </si>
  <si>
    <t>Fabiane Evangelista Cavalcante</t>
  </si>
  <si>
    <t>CTXRECAM-51211</t>
  </si>
  <si>
    <t>Migração do Data Center da Rede</t>
  </si>
  <si>
    <t>Marco Aurelio Brandao Duarte</t>
  </si>
  <si>
    <t>CTXFORBM-287648</t>
  </si>
  <si>
    <t>Projeto - Projeto - Ajuste BO Strategy</t>
  </si>
  <si>
    <t>CTXMLTREG-3703</t>
  </si>
  <si>
    <t>CTXFORBM-288047</t>
  </si>
  <si>
    <t>Projeto - Projeto - Blended Blindagem Refidelização</t>
  </si>
  <si>
    <t>CTXRJOPF-60874</t>
  </si>
  <si>
    <t>Cintia Giraldo da Silva</t>
  </si>
  <si>
    <t>CTXSALAS-151508</t>
  </si>
  <si>
    <t>Cristiane Gon�alves Kuzuhara</t>
  </si>
  <si>
    <t>CTXSPOAP407-10019</t>
  </si>
  <si>
    <t>Jonathan Goya Nogiri</t>
  </si>
  <si>
    <t>CTXRECSA-385378</t>
  </si>
  <si>
    <t>Instalar Ferramenta GED na Retenção</t>
  </si>
  <si>
    <t>CTXSPOBF-117665</t>
  </si>
  <si>
    <t>Projeto - Projeto - Discador Ticket B2B</t>
  </si>
  <si>
    <t>CTXSPOAP407-10077</t>
  </si>
  <si>
    <t>Abertura de portas firewall antivirus local de todas as estações.</t>
  </si>
  <si>
    <t>Wanderson Marques</t>
  </si>
  <si>
    <t>CTXSPOAP407-10078</t>
  </si>
  <si>
    <t>Projeto - Projeto - URA Volks Dealer - gravação de fraseologia e configurações</t>
  </si>
  <si>
    <t>VOLKSWAGEM</t>
  </si>
  <si>
    <t>Dir. Clientes Especiais</t>
  </si>
  <si>
    <t xml:space="preserve"> NP MIDIA</t>
  </si>
  <si>
    <t>25/08 projeto cancelado</t>
  </si>
  <si>
    <t>CTXPOARB-88034</t>
  </si>
  <si>
    <t>Projeto - Implantar Firewall na plataforma Genesys NET</t>
  </si>
  <si>
    <t>NET</t>
  </si>
  <si>
    <t xml:space="preserve">Dir. Clientes Premium </t>
  </si>
  <si>
    <t xml:space="preserve">10/09- Conforme conversamos o contato que possuímos para este projeto era Fernando Gomes, porem ao tentar o contato com este descobri que o mesmo não trabalha mais na Genesys, consegui contato com Rafael Taveres, gestor da equipe, este informou que no momento estão sem recurso para alocar neste projeto, o mesmo fara um novo contato quando tiver disponibilidade de recurso.
Vamos manter este projeto congelado até recebermos novo contato da Genesys.
</t>
  </si>
  <si>
    <t>CTXPOARB-88045</t>
  </si>
  <si>
    <t>Projeto - Movimentação 69 PAs do BKO NET - Salão 2 do site Navegantes</t>
  </si>
  <si>
    <t>CTXCASEH-16321</t>
  </si>
  <si>
    <t>Projeto - Pop-Up Informativos</t>
  </si>
  <si>
    <t>CTXCASQC-12886</t>
  </si>
  <si>
    <t>PA - Movimentação</t>
  </si>
  <si>
    <t>DIEGO BARBOSA FRANCA TITO</t>
  </si>
  <si>
    <t>CTXCASEH-16343</t>
  </si>
  <si>
    <t>Projeto - Projeto - Disponibilizar Quis</t>
  </si>
  <si>
    <t>Paloma de Azevedo Almeida</t>
  </si>
  <si>
    <t>CTXRECSA-387599</t>
  </si>
  <si>
    <t>Projeto - Projeto Roll out do Portal de Comunicação acessando via PRC</t>
  </si>
  <si>
    <t>CTXSPOAP407-10149</t>
  </si>
  <si>
    <t>Projeto - Projeto - Arquivos de extração com o numero do blihete da gravação</t>
  </si>
  <si>
    <t>Cristiane Akiko Sasaki</t>
  </si>
  <si>
    <t>CTXFORBM-291164</t>
  </si>
  <si>
    <t>Projeto - Projeto - nova campanha BO Strategy DACC (Fixo e Velox)</t>
  </si>
  <si>
    <t>CTXMTZRP-41268</t>
  </si>
  <si>
    <t>Projeto Contax 2.0 - Praça RS</t>
  </si>
  <si>
    <t>CTXMTZRP-41269</t>
  </si>
  <si>
    <t>Projeto Contax 2.0 - Praça PR</t>
  </si>
  <si>
    <t>CTXSPOAP407-10180</t>
  </si>
  <si>
    <t>Projeto - Projeto - Adequação URA SAC Volks - Lançamento de veículos</t>
  </si>
  <si>
    <t>CTXSPOAP407-10198</t>
  </si>
  <si>
    <t>Anuncio - Criação</t>
  </si>
  <si>
    <t>CTXNITSP-158443</t>
  </si>
  <si>
    <t>Projeto - Projeto - Favor criar versão da Ferramenta BOS STRATEGY para atender a Auditoria Multiprodutos. É importante que o sistema seja capaz de oferecer oportunidade de perfilamento com visão dos produtos: Fixo, Velox, TV e Móvel.</t>
  </si>
  <si>
    <t>CTXFORBM-291757</t>
  </si>
  <si>
    <t>Projeto - Projeto - SISGO</t>
  </si>
  <si>
    <t>José Perboyre Cavalcante Pinheiro Neto</t>
  </si>
  <si>
    <t>CTXBHZRI-87861</t>
  </si>
  <si>
    <t>Walternei Aparecido Pizii</t>
  </si>
  <si>
    <t>CTXSPOAP407-10289</t>
  </si>
  <si>
    <t>Projeto - Projeto - Alvará de resgate - DEMANDAS-1808</t>
  </si>
  <si>
    <t>CTXSPOAP407-10291</t>
  </si>
  <si>
    <t>Projeto - Projeto - Implantação do painel de senha ACI - Rio Branco</t>
  </si>
  <si>
    <t>CTXSPOAP407-10292</t>
  </si>
  <si>
    <t>Projeto - Projeto - [Nextel] - Implantação tGuidance com Aspect</t>
  </si>
  <si>
    <t>CTXSPOAP407-10323</t>
  </si>
  <si>
    <t>Projeto - Projeto Unificação das URAs do SAC - Migração Tráfego 103 14</t>
  </si>
  <si>
    <t>Joice Pereira De Souza</t>
  </si>
  <si>
    <t>CTXSPOAP407-10335</t>
  </si>
  <si>
    <t>CTXPOARB-88806</t>
  </si>
  <si>
    <t>Projeto - Configurar Imagem Sala de Treinamento 6</t>
  </si>
  <si>
    <t>CTXSPOAP407-10381</t>
  </si>
  <si>
    <t>Projeto - Projeto - Teste de Acesso</t>
  </si>
  <si>
    <t>CTXPOARB-88844</t>
  </si>
  <si>
    <t>Projeto - alterar apontamento no servidor para o novosigma NET</t>
  </si>
  <si>
    <t>CTXSPOAP407-10403</t>
  </si>
  <si>
    <t>Projeto - Projeto - DEMANDAS-1740 - [OI RETENÇÃO INVOL]- Painel de Status Mailing</t>
  </si>
  <si>
    <t>CTXSPOAP407-10405</t>
  </si>
  <si>
    <t>Projeto - Projeto - [TAM] - Automatização de Emissão de Passagens Nacionais - FASE 3</t>
  </si>
  <si>
    <t>CTXSPOAP407-10406</t>
  </si>
  <si>
    <t>CTXSPOAP407-10407</t>
  </si>
  <si>
    <t>Projeto - Projeto TAM - tReports! / Call Center</t>
  </si>
  <si>
    <t>CTXSPOAP407-10408</t>
  </si>
  <si>
    <t>Projeto - Projeto - Reprocessamento consolidações WS - TAM</t>
  </si>
  <si>
    <t>CTXSPOAP407-10409</t>
  </si>
  <si>
    <t>Projeto - Projeto - [Vivo];[SICAU] - Ajuste do SICAU para usar ECADOP ao Inves de Tephra</t>
  </si>
  <si>
    <t>CTXSPOAP407-10421</t>
  </si>
  <si>
    <t>Projeto - Projeto - [VIVO] - Integrar tGuidance! com Genesys diretamente</t>
  </si>
  <si>
    <t>CTXSPOAP407-10422</t>
  </si>
  <si>
    <t>Projeto - Projeto - [VIVO] - Fazer com o que tGuidance! lite passe a senha do ramal para se autenticar com o One-x (Registrar Ramal)</t>
  </si>
  <si>
    <t>CTXSPOAP407-10423</t>
  </si>
  <si>
    <t>Projeto - Projeto - [VIVO];Ajustes tGuidance Lite</t>
  </si>
  <si>
    <t>CTXSPOAP407-10428</t>
  </si>
  <si>
    <t>Projeto - Projeto - [SANTANDER]; Implantação tFamily</t>
  </si>
  <si>
    <t>CTXSPOAP407-10432</t>
  </si>
  <si>
    <t>Projeto - Projeto - [NET] [TGUIDANCE] - Envio de bilhete para URA - FASE 2</t>
  </si>
  <si>
    <t>CTXSPOAP407-10434</t>
  </si>
  <si>
    <t>Projeto - Projeto - [NET] - Migração da solução para a versão 4.9.3 de RTI</t>
  </si>
  <si>
    <t>CTXSPOAP407-10435</t>
  </si>
  <si>
    <t>Projeto - Projeto - [NET] - RTI Check-list atendimento técnico</t>
  </si>
  <si>
    <t>CTXSPOAL-84942</t>
  </si>
  <si>
    <t>IMPLANTAÇÃO DE SERVIDOR PARA BASE DE RELATÓRIOS</t>
  </si>
  <si>
    <t>CTXCASEK-1292</t>
  </si>
  <si>
    <t>Projeto - Gravação de tela cliente Elektro</t>
  </si>
  <si>
    <t>Alexandre Magno Pereira da Silva</t>
  </si>
  <si>
    <t>CTXFORBM-294169</t>
  </si>
  <si>
    <t>Projeto - Servidores - Itau</t>
  </si>
  <si>
    <t>CTXRECSA-391509</t>
  </si>
  <si>
    <t>Liberação do portal Credibilidade na operação Bradesco Financiamento em PE</t>
  </si>
  <si>
    <t>Luciana da Silva Cardoso</t>
  </si>
  <si>
    <t>CTXRECAM-52332</t>
  </si>
  <si>
    <t>Projeto - Projeto Criar uma estrutura dentro da ferramenta Tsuperviser para a operação do Itaú Televendas</t>
  </si>
  <si>
    <t xml:space="preserve">Itaú - Itaú Cartão </t>
  </si>
  <si>
    <t>cancelado</t>
  </si>
  <si>
    <t>Projeto cancelado devido que sera tratado em um projeto total do cliente</t>
  </si>
  <si>
    <t>CTXRECSA-391574</t>
  </si>
  <si>
    <t>Projeto - Projeto Criar uma estrutura dentro da ferramenta Tsuperviser para a auditoria da operação do Itaú Televendas</t>
  </si>
  <si>
    <t>CTXMLTREG-3757</t>
  </si>
  <si>
    <t>CTXSPOAP407-10496</t>
  </si>
  <si>
    <t>Projeto - Projeto - [Orbitall] - Integração do tGuidance! com AccessPlus</t>
  </si>
  <si>
    <t>CTXSPOAP407-10510</t>
  </si>
  <si>
    <t>Relatórios - Desenvolvimento</t>
  </si>
  <si>
    <t>Carlla Coelho Del Sarto</t>
  </si>
  <si>
    <t>CTXCASEH-16551</t>
  </si>
  <si>
    <t>Projeto - Projeto - UNIFICAÇÃO MADRUGADA</t>
  </si>
  <si>
    <t>CTXSPOAP407-10545</t>
  </si>
  <si>
    <t>Projeto - Projeto - [Engenharia - Infra e Plataforma] - PRJ-ENG-014-15 Azure</t>
  </si>
  <si>
    <t>CTXSPOAP407-10546</t>
  </si>
  <si>
    <t>Projeto - Projeto - [Engenharia - Infra e Plataforma] - PRJ-ENG-012-15 Exadata</t>
  </si>
  <si>
    <t>CTXSPOAP407-10550</t>
  </si>
  <si>
    <t>Projeto - Projeto - [Engenharia - Infra e Plataforma] - PRJ-ENG-050-15 Mcafee DLP</t>
  </si>
  <si>
    <t>CTXSPOAP407-10551</t>
  </si>
  <si>
    <t>Projeto - Projeto - [Engenharia - Infra e Plataforma] - PRJ-ENG-051-15 Ajuste NAS HP X9730</t>
  </si>
  <si>
    <t>CTXSPOAP407-10552</t>
  </si>
  <si>
    <t>Projeto - Projeto - [Orbitall] - Integração do tGuidance com Cyber</t>
  </si>
  <si>
    <t>CTXSPOLP-105693</t>
  </si>
  <si>
    <t>Projeto - Atendimento ShopFácil Veículos - Op. Bradesco Financiamentos Veículos</t>
  </si>
  <si>
    <r>
      <t>08/06-</t>
    </r>
    <r>
      <rPr>
        <b/>
        <sz val="8"/>
        <rFont val="Calibri"/>
        <family val="2"/>
      </rPr>
      <t>STATUS</t>
    </r>
    <r>
      <rPr>
        <sz val="8"/>
        <rFont val="Calibri"/>
        <family val="2"/>
      </rPr>
      <t>-Encaminhado para analise e estimativa.</t>
    </r>
  </si>
  <si>
    <t>CTXMTZRP-42143</t>
  </si>
  <si>
    <t>Projeto - Projeto - Implantar o Projeto JiraDemandas no Data Center</t>
  </si>
  <si>
    <t>CTXMTZRP-42159</t>
  </si>
  <si>
    <t>Joyce Faria Barbosa</t>
  </si>
  <si>
    <t>CTXSPOAP407-10660</t>
  </si>
  <si>
    <t>Projeto - Projeto - Organograma Corporativo</t>
  </si>
  <si>
    <t>CTXSPOAP407-10661</t>
  </si>
  <si>
    <t>CTXMTZRP-42198</t>
  </si>
  <si>
    <t>Projeto - Projeto - Requisitos de hardware OTP</t>
  </si>
  <si>
    <t>CTXMTZRP-42208</t>
  </si>
  <si>
    <t>Projeto - Transferidas ECH</t>
  </si>
  <si>
    <t>CTXSALAS-154241</t>
  </si>
  <si>
    <t>CTXRECAM-52843</t>
  </si>
  <si>
    <t>Projeto - Projeto Orçamento para desenvolvimento de relatórios para a operação REDE</t>
  </si>
  <si>
    <t>CTXSPOAP407-10718</t>
  </si>
  <si>
    <t>Cristiano de Albuquerque</t>
  </si>
  <si>
    <t>CTXRJOMK-116141</t>
  </si>
  <si>
    <t>CTXSPOAS-4247</t>
  </si>
  <si>
    <t>Integração E-cadop e Disca Facil</t>
  </si>
  <si>
    <t>Mariana de Lima Boschiero</t>
  </si>
  <si>
    <t>CTXSPOAS-4248</t>
  </si>
  <si>
    <t>Integração E-cadop e Disca Fácil</t>
  </si>
  <si>
    <t>CTXRECAM-52871</t>
  </si>
  <si>
    <t>Projeto - Projeto Criar uma estrutura dentro da ferramenta Tsuperviser para a operação REDE</t>
  </si>
  <si>
    <t>Projeto cancelado, sendo tratado em outro projeto.</t>
  </si>
  <si>
    <t>CTXMTZRP-42356</t>
  </si>
  <si>
    <t>Azure - Desenvolvimento e publicação em Nuvem</t>
  </si>
  <si>
    <t>CTXCASEK-1359</t>
  </si>
  <si>
    <t>Projeto - Interligação SIP PABX Cisco x PABX Avaya</t>
  </si>
  <si>
    <t>CTXLONLA-23955</t>
  </si>
  <si>
    <t>Projeto - Mudança de Piso grupos Londrina</t>
  </si>
  <si>
    <t>Fernanda Aparecida Tonon Barreiros</t>
  </si>
  <si>
    <t>CTXPOARB-90125</t>
  </si>
  <si>
    <t>RTI NET- Desabilitado por Opção</t>
  </si>
  <si>
    <t>Flavio Reto</t>
  </si>
  <si>
    <t>CTXPOARB-90126</t>
  </si>
  <si>
    <t>RTI NET - Alteração na mensagem do Pop Up</t>
  </si>
  <si>
    <t>CTXRECSA-397929</t>
  </si>
  <si>
    <t>Projeto - Projeto Domínio Operação Itaucred</t>
  </si>
  <si>
    <t>CTXSPOAP407-10900</t>
  </si>
  <si>
    <t>Lucas Francisco de Oliveira</t>
  </si>
  <si>
    <t>CTXSPOAP407-10905</t>
  </si>
  <si>
    <t>CTXCASEH-16731</t>
  </si>
  <si>
    <t>Movimentação interna de Máquinas - GRE ANATEL FIXA</t>
  </si>
  <si>
    <t>03/09-STATUS_FINAL- Projeto homologado e concluido com sucesso.</t>
  </si>
  <si>
    <t>CTXSALLM-113330</t>
  </si>
  <si>
    <t>Andr� dos Santos</t>
  </si>
  <si>
    <t>CTXMTZRP-42663</t>
  </si>
  <si>
    <t>Painel Credibilidade - Ajustar indicadores de Disponibilidade e indisponibilidade</t>
  </si>
  <si>
    <t>CTXNITSP-162696</t>
  </si>
  <si>
    <t>Projeto - Projeto - Favor precificar alteração/customização da ferramenta BOS Fixo. Essa projeto deve ser direcionado para PRG SOFT(Anderson Marques).</t>
  </si>
  <si>
    <t>CTXRECAM-53258</t>
  </si>
  <si>
    <t>Contax | Migração Data Center Rede</t>
  </si>
  <si>
    <t>CTXFORBM-302024</t>
  </si>
  <si>
    <t>Projeto - Implantação ferramenta NBA (Piloto)_Ilha de contas Fixo</t>
  </si>
  <si>
    <t>CTXSPOBF-121132</t>
  </si>
  <si>
    <t>Elaine Aparecida de Lima Luzio</t>
  </si>
  <si>
    <t>CTXSPOBF-121133</t>
  </si>
  <si>
    <t>CTXSPOBF-121148</t>
  </si>
  <si>
    <t>Projeto - Projeto - Implantar ferramenta RTI - Ticket B2B</t>
  </si>
  <si>
    <t>31/08-Solicitado atualização da EF do projeto</t>
  </si>
  <si>
    <t>CTXSPOAP407-11039</t>
  </si>
  <si>
    <t>CTXSPOBF-121332</t>
  </si>
  <si>
    <t>Projeto - Projeto Troca de Máquinas Operações Site Antartica</t>
  </si>
  <si>
    <t>CTXSALSM-78558</t>
  </si>
  <si>
    <t>Projeto: FRONT FÁCIL NGR - ITAÚ CAC</t>
  </si>
  <si>
    <t>CTXSPOAP407-11089</t>
  </si>
  <si>
    <t>CTXMLTREG-3841</t>
  </si>
  <si>
    <t>Anderson Luiz Gon�alves de Alcantara</t>
  </si>
  <si>
    <t>CTXLONLA-24408</t>
  </si>
  <si>
    <t>Projeto - Implantação Tecnico Massivo LDN</t>
  </si>
  <si>
    <t>CTXNITSP-163395</t>
  </si>
  <si>
    <t>CTXBHZRI-90211</t>
  </si>
  <si>
    <t>Avaliar pesquisa no tcollect</t>
  </si>
  <si>
    <t>Neilor Marcio Gualberto</t>
  </si>
  <si>
    <t>CTXRECSA-401969</t>
  </si>
  <si>
    <t>Contax - Liberação de Firewall - Novos Servidores NICE - PE</t>
  </si>
  <si>
    <t>CTXSALSM-78825</t>
  </si>
  <si>
    <t>Contax - Liberação de Firewall - Novos Servidores NICE - BA</t>
  </si>
  <si>
    <t>CTXSPOAP407-11137</t>
  </si>
  <si>
    <t>CTXSPOAP407-11138</t>
  </si>
  <si>
    <t>CTXSPOAP407-11140</t>
  </si>
  <si>
    <t>Frederico Crespo Henriques de Paula Aguiar</t>
  </si>
  <si>
    <t>CTXNITSP-163520</t>
  </si>
  <si>
    <t>ine Goncalves Ramalho</t>
  </si>
  <si>
    <t>CTXSPOAL-88112</t>
  </si>
  <si>
    <t>CTXRJOMK-118064</t>
  </si>
  <si>
    <t>CTXMTZRP-42974</t>
  </si>
  <si>
    <t>Criação de SVN para Diretoria de Mobilidade</t>
  </si>
  <si>
    <t>ALEXANDRE FONSECA PAPANIS</t>
  </si>
  <si>
    <t>CTXSPOLP-108012</t>
  </si>
  <si>
    <t>Implantar URA de pesquisa de qualidade - Ilha de Contas</t>
  </si>
  <si>
    <r>
      <t xml:space="preserve">17/07 - </t>
    </r>
    <r>
      <rPr>
        <b/>
        <sz val="8"/>
        <rFont val="Calibri"/>
        <family val="2"/>
      </rPr>
      <t>STATUS</t>
    </r>
    <r>
      <rPr>
        <sz val="8"/>
        <rFont val="Calibri"/>
        <family val="2"/>
      </rPr>
      <t xml:space="preserve"> - recebido a documentção e encaminhado para equipe de URA efetuar a analsie e stimativa..
15/08-</t>
    </r>
    <r>
      <rPr>
        <b/>
        <sz val="8"/>
        <rFont val="Calibri"/>
        <family val="2"/>
      </rPr>
      <t>STATUS -</t>
    </r>
    <r>
      <rPr>
        <sz val="8"/>
        <rFont val="Calibri"/>
        <family val="2"/>
      </rPr>
      <t xml:space="preserve"> Projeto sem preenchimento do detalhamento Retorno financeiro esperado, aguardando o retorno com esta analise.</t>
    </r>
  </si>
  <si>
    <t>CTXMLTREG-3862</t>
  </si>
  <si>
    <t>Fernando Silva Oliveira</t>
  </si>
  <si>
    <t>CTXSPOBF-122048</t>
  </si>
  <si>
    <t>Projeto - Instalação Adobe -Tecnico Massivo</t>
  </si>
  <si>
    <t>CTXFORBM-306968</t>
  </si>
  <si>
    <t>Projeto - Instalação/Liebração para SIEBEL e CITRIX</t>
  </si>
  <si>
    <t>Lucas Lourenco de Melo</t>
  </si>
  <si>
    <t>CTXSALAS-156270</t>
  </si>
  <si>
    <t>CTXFORBM-307164</t>
  </si>
  <si>
    <t>Projeto - Projeto -</t>
  </si>
  <si>
    <t>Lisandra Pereira do Nascimento</t>
  </si>
  <si>
    <t>CTXNITSP-164357</t>
  </si>
  <si>
    <t>Projeto - Projeto: Migração da URA Dealer (*803) p/ NGR</t>
  </si>
  <si>
    <t>Leonardo Pellegrini Vieira</t>
  </si>
  <si>
    <t>CTXNITSP-164365</t>
  </si>
  <si>
    <t>Pastas &amp; Arquivos - Criar</t>
  </si>
  <si>
    <t>CTXPOARB-91289</t>
  </si>
  <si>
    <t>Projeto - Ampliar 90 portas de URA do atendimento RJO (Tronco Chave 051 3455-1300)</t>
  </si>
  <si>
    <t>CTXRJOMK-118558</t>
  </si>
  <si>
    <t>Projeto - Troca do parque de máquinas da operação Bradesco Seguros</t>
  </si>
  <si>
    <t>CTXMTZRP-43045</t>
  </si>
  <si>
    <t>Projeto - Projeto (Restrições e Liberações de Proxy - Operação itau)</t>
  </si>
  <si>
    <t>David Lopes da Costa Chaves</t>
  </si>
  <si>
    <t>CTXNITSP-164460</t>
  </si>
  <si>
    <t>Projeto - Projeto - URA Oi total</t>
  </si>
  <si>
    <t>CTXRJOMK-118628</t>
  </si>
  <si>
    <t>CTXSALSM-79594</t>
  </si>
  <si>
    <t>CTXSALPB-38362</t>
  </si>
  <si>
    <t>CTXPOARB-91371</t>
  </si>
  <si>
    <t>Projeto - Implantar um novo tronco entre Almaviva Aracaju X Contax com 60 canais</t>
  </si>
  <si>
    <t>CTXRECSA-405116</t>
  </si>
  <si>
    <t>CTXSPOAP407-11421</t>
  </si>
  <si>
    <t>CTXSPOAL-89142</t>
  </si>
  <si>
    <t>Projeto - Projeto - Alteração na URA SAC | Volkswagen</t>
  </si>
  <si>
    <t>CTXSPOBF-122424</t>
  </si>
  <si>
    <t>Migração Qualidade - De Lapa para Antartica</t>
  </si>
  <si>
    <t>CTXSPOBF-122472</t>
  </si>
  <si>
    <t>TLS, Transport Layer Security : Email Blocking Notification from the Content Monitoring Program</t>
  </si>
  <si>
    <t>CTXRJOMA-73560</t>
  </si>
  <si>
    <t>CTXSALLM-113978</t>
  </si>
  <si>
    <t>CTXNITSP-164920</t>
  </si>
  <si>
    <t>Projeto - Projeto - Favor liberar endereço: http://contax-ftp.cloudapp.net/MOToolsQual/Login.aspx e inserir o ícone no menu inciar com o nome: Evalyzer Front</t>
  </si>
  <si>
    <t>CTXMTZRP-43198</t>
  </si>
  <si>
    <t>Maria da Conceicao Paiva</t>
  </si>
  <si>
    <t>CTXSPOAL-89400</t>
  </si>
  <si>
    <t>Projeto - Crescimento 3 PA's Cielo L5</t>
  </si>
  <si>
    <t xml:space="preserve">Cielo - Campo </t>
  </si>
  <si>
    <t>10/09-Projeto cancelado conforme solicitação do cliente.</t>
  </si>
  <si>
    <t>CTXMTZRP-43213</t>
  </si>
  <si>
    <t>Criação de ambiente de staging para o Whatacenter - Central de Atendimento via Whatsapp</t>
  </si>
  <si>
    <t>CTXRJOMK-119144</t>
  </si>
  <si>
    <t>Projeto - Projeto - Turn Around do Bo Anatel - Células ODC SOC</t>
  </si>
  <si>
    <t>Elaine Fortunato da Silva</t>
  </si>
  <si>
    <t>CTXSALAS-156730</t>
  </si>
  <si>
    <t>CTXSPOAL-89502</t>
  </si>
  <si>
    <t>José Ballock Neto</t>
  </si>
  <si>
    <t>CTXPOARB-91679</t>
  </si>
  <si>
    <t>Projeto - Melhoria no discador da Operação Souza Cruz</t>
  </si>
  <si>
    <t>CTXPOARB-91713</t>
  </si>
  <si>
    <t>Projeto - Implantar infra para projetar conteúdo em 2 TVs - Operação Souza Cruz</t>
  </si>
  <si>
    <t>SOUZA CRUZ</t>
  </si>
  <si>
    <t>28/09- Projeto cancelado, será tratado pela equipe de infra.</t>
  </si>
  <si>
    <t>CTXRECAM-54106</t>
  </si>
  <si>
    <t>Projeto - Projeto Substituir à operadora i360 por outra com melhor eficiência e custo beneficio.</t>
  </si>
  <si>
    <t>CTXSALPB-38928</t>
  </si>
  <si>
    <t>Projeto - Projeto Implantar Transferências Inbound Rentabilização</t>
  </si>
  <si>
    <t>Alexandre Teixeira de Pinho</t>
  </si>
  <si>
    <t>CTXLONLA-24973</t>
  </si>
  <si>
    <t>Crescimento Basico PJ</t>
  </si>
  <si>
    <t>CTXNITSP-165356</t>
  </si>
  <si>
    <t>Projeto - Projeto - Disponibilizar um servidor de armazenamento de dados para a equipe de planejamento MIS Niterói, onde será possível, guardar grande volume de informações para agilizar e centralizar a busca e localização de informações com a finalidade</t>
  </si>
  <si>
    <t>CTXSPOLP-108931</t>
  </si>
  <si>
    <t>Projeto - Inserção de Frase Temporária da URA Cielo Fidelidade</t>
  </si>
  <si>
    <r>
      <t>04/08-</t>
    </r>
    <r>
      <rPr>
        <b/>
        <sz val="8"/>
        <rFont val="Calibri"/>
        <family val="2"/>
      </rPr>
      <t xml:space="preserve"> STATUS -</t>
    </r>
    <r>
      <rPr>
        <sz val="8"/>
        <rFont val="Calibri"/>
        <family val="2"/>
      </rPr>
      <t xml:space="preserve"> Projeto encaminhado para analise e estimativa do Fornecedor DNK.
31/07-</t>
    </r>
    <r>
      <rPr>
        <b/>
        <sz val="8"/>
        <rFont val="Calibri"/>
        <family val="2"/>
      </rPr>
      <t>STATUS -</t>
    </r>
    <r>
      <rPr>
        <sz val="8"/>
        <rFont val="Calibri"/>
        <family val="2"/>
      </rPr>
      <t xml:space="preserve"> Projeto encaminhado para area de URA TODO, iniciar a analise e estimativa. </t>
    </r>
  </si>
  <si>
    <t>CTXNITSP-165439</t>
  </si>
  <si>
    <t>Outros - N/A</t>
  </si>
  <si>
    <t>Fernanda Nazario Menezes</t>
  </si>
  <si>
    <t>CTXSPOAP407-11630</t>
  </si>
  <si>
    <t>Tabulador - Motivos de Contato Operações Movel</t>
  </si>
  <si>
    <t>CTXSALAS-156916</t>
  </si>
  <si>
    <t>CTXBHZRI-91136</t>
  </si>
  <si>
    <t>Outros - N/A - Configurar PA de teste para tratamento de demandas do corporativo</t>
  </si>
  <si>
    <t>CTXRJOMK-119586</t>
  </si>
  <si>
    <t>Lilian Bille Mesquita</t>
  </si>
  <si>
    <t>CTXSPOAL-89899</t>
  </si>
  <si>
    <t>CTXPOARB-91944</t>
  </si>
  <si>
    <t>Projeto - Implantar 5 máquinas com o sistema NET UNO na área de Qualidade</t>
  </si>
  <si>
    <t>CTXSPOAS-4345</t>
  </si>
  <si>
    <t>Criação SFTP de compartilhamento de Materiais</t>
  </si>
  <si>
    <t>Daniela de Freitas Pereira</t>
  </si>
  <si>
    <t xml:space="preserve">CTXSPOBF-123243 </t>
  </si>
  <si>
    <t>Projeto - Realizar DE PARA entre as células DUT X Apoio (movimentação de 18 desktops) na operação Bradesco</t>
  </si>
  <si>
    <t>Bradesco</t>
  </si>
  <si>
    <t xml:space="preserve">Bradesco - Back Office Bradesco Seguros </t>
  </si>
  <si>
    <t>CTXFORBM-311603</t>
  </si>
  <si>
    <t>Projeto - Disponibilizar acesso a servidor SFTP Contax para o envio e recebimento de arquivos</t>
  </si>
  <si>
    <t>CTXRECAU-58843</t>
  </si>
  <si>
    <t>Projeto - Instalar ferramenta GED na operação NET N1</t>
  </si>
  <si>
    <t>233/09- projeto homologado e concluido com sucesso.</t>
  </si>
  <si>
    <t>CTXMTZPB-88</t>
  </si>
  <si>
    <t>Alteração de Layout do Mailing do Televendas</t>
  </si>
  <si>
    <t>Tatiane Rodrigues Dallecrode</t>
  </si>
  <si>
    <t>CTXFORBM-311916</t>
  </si>
  <si>
    <t>Projeto - Projeto - Crescimento de P.A's na Blindagem Multiprodutos</t>
  </si>
  <si>
    <t>CTXRECSA-410251</t>
  </si>
  <si>
    <t>Substituição de Ramais Contax Recife - Urgente (envolvimento de gravação)</t>
  </si>
  <si>
    <t>CTXRECSA-410282</t>
  </si>
  <si>
    <t>Projeto - Projeto - Instalação WEDO SAC pós e OCT</t>
  </si>
  <si>
    <t>CTXNITSP-165986</t>
  </si>
  <si>
    <t>Software - Instalação</t>
  </si>
  <si>
    <t>CTXMTZPB-90</t>
  </si>
  <si>
    <t>Aquisição de servidor - verificar disponibilidade</t>
  </si>
  <si>
    <t>CTXSPOBF-123431</t>
  </si>
  <si>
    <t>Projeto Epiron</t>
  </si>
  <si>
    <t xml:space="preserve">Ger Implantação </t>
  </si>
  <si>
    <t>31/08- STATUS- Liberado a parte de infra estrutura pelo Site, solicitado iniciar a homologação.</t>
  </si>
  <si>
    <t>CTXPOARB-92178</t>
  </si>
  <si>
    <t>Projeto - Migrar operação NET do Site Aurora para o Santo Amaro em Recife</t>
  </si>
  <si>
    <t>CTXRJOED-53627</t>
  </si>
  <si>
    <t>PCRJ - Relase 0964</t>
  </si>
  <si>
    <t>Barbara Louise Boff</t>
  </si>
  <si>
    <t>CTXRJOMA-73885</t>
  </si>
  <si>
    <t>Projeto - Aplicação/URA</t>
  </si>
  <si>
    <t>CTXSPOBF-123499</t>
  </si>
  <si>
    <t>Projeto - Configurar infraestrutura de DAC Contax para integração do SACL (automatização de protocolo)</t>
  </si>
  <si>
    <t>CTXRJOMA-73893</t>
  </si>
  <si>
    <t>Projeto - Desmobilização da operação Brasil Cap - 122 PA's e 4 mesas do cliente no site Mauá</t>
  </si>
  <si>
    <t>CTXSPOLP-109516</t>
  </si>
  <si>
    <t>Migração Ilha de Contas para SP</t>
  </si>
  <si>
    <t>09/09-Projeto homologado e concluido com sucesso.</t>
  </si>
  <si>
    <t>CTXSPOAL-90727</t>
  </si>
  <si>
    <t>Implementação de Monitoração de Perda de Pacotes, QA e Capacity Links de Dados Contax através do HPOPENVIEW</t>
  </si>
  <si>
    <t>Daniel Donaire</t>
  </si>
  <si>
    <t>CTXSPOBF-123720</t>
  </si>
  <si>
    <t>Troca de Máquinas Grupo Gestão de Acessos</t>
  </si>
  <si>
    <t>CTXFORBM-314015</t>
  </si>
  <si>
    <t>Projeto - Projeto - Alteração Layout Mailing Oi TV Retenção Invol</t>
  </si>
  <si>
    <t>CTXMTZRP-43671</t>
  </si>
  <si>
    <t>Projeto - Projeto - Configuração de máquinas Pré pago Sto. Amaro</t>
  </si>
  <si>
    <t>CTXMTZRP-43701</t>
  </si>
  <si>
    <t>PA - Expansão</t>
  </si>
  <si>
    <t>Raphael Almeida Mariano</t>
  </si>
  <si>
    <t>CTXSPOAP407-11965</t>
  </si>
  <si>
    <t>Daniela Mesquita Monteiro</t>
  </si>
  <si>
    <t>CTXNITSP-166707</t>
  </si>
  <si>
    <t>Projeto - Projeto URA Incluir opção na URA do PAP para atender as chamadas do Oi Total</t>
  </si>
  <si>
    <t>Josiane Pereira Bello</t>
  </si>
  <si>
    <t>CTXMTZRP-43749</t>
  </si>
  <si>
    <t>Liberação do Closer e Novo Portal de Vendas</t>
  </si>
  <si>
    <t xml:space="preserve">09/09-Projeto reencaminhado para o site, </t>
  </si>
  <si>
    <t>CTXNITSP-166786</t>
  </si>
  <si>
    <t>Projeto - Projeto Criação Macro de Consulta no STC e SAC</t>
  </si>
  <si>
    <t>CTXSPOAP407-12001</t>
  </si>
  <si>
    <t>Implementação ACI em todos os prédios</t>
  </si>
  <si>
    <t>Paulo Roberto Sim�es</t>
  </si>
  <si>
    <t>CTXFORBM-314772</t>
  </si>
  <si>
    <t>Projeto - Projeto Simulador Pós e OCT Ilha de Migração</t>
  </si>
  <si>
    <t>CTXBHZRI-91902</t>
  </si>
  <si>
    <t>Projeto - Projeto - Novo Layout Mailing Ret. Invol R2</t>
  </si>
  <si>
    <t>CTXRJOMA-74154</t>
  </si>
  <si>
    <t>Projeto - Alteração em Todos os Relatórios Automáticos da Rede Globo</t>
  </si>
  <si>
    <t>CTXFORBM-315247</t>
  </si>
  <si>
    <t>Projeto - Projeto - Crescimento de P.A's na Ilha de Receita TV</t>
  </si>
  <si>
    <t>CTXRJOPF-65696</t>
  </si>
  <si>
    <t>Projeto - Projeto Implantar Solução Discador + Front Fácil</t>
  </si>
  <si>
    <t xml:space="preserve">Oi - Outras Atividades </t>
  </si>
  <si>
    <t>CTXSPOAL-91546</t>
  </si>
  <si>
    <t>Projeto Infraestrutura para implantação da Assinatura Digital no tClock Contax</t>
  </si>
  <si>
    <t>CTXSPOAL-91568</t>
  </si>
  <si>
    <t>Criação de servidor</t>
  </si>
  <si>
    <t>José Adriano Costa</t>
  </si>
  <si>
    <t>CTXBHZRI-92004</t>
  </si>
  <si>
    <t>01/09-STATUS - Projeto aguardando recurso/e/ou priorização.</t>
  </si>
  <si>
    <t>CTXSPOAL-91696</t>
  </si>
  <si>
    <t>Projeto - Implantar Link de Dados Cielo</t>
  </si>
  <si>
    <t>CTXSPOAL-91798</t>
  </si>
  <si>
    <t>Diego Vivanco Fernandez</t>
  </si>
  <si>
    <t>CTXMTZRP-43918</t>
  </si>
  <si>
    <t>Projeto - Projeto - TReport</t>
  </si>
  <si>
    <t>CTXRECSA-416295</t>
  </si>
  <si>
    <t>CTXBHZRI-92125</t>
  </si>
  <si>
    <t>Projeto - Projeto - Migração Cobrança CE x MG</t>
  </si>
  <si>
    <t>CTXRECSA-416451</t>
  </si>
  <si>
    <t>04/09-STATUS_FINAL- Projeto homologado e finalizado com sucesso.</t>
  </si>
  <si>
    <t>CTXSPOBF-124407</t>
  </si>
  <si>
    <t>Projeto - Projeto - Migração 23 máquinas - Site Antártica</t>
  </si>
  <si>
    <t>134/09</t>
  </si>
  <si>
    <t>28/09- Projeto homologado e concluido com sucesso.
08/09-Encaminhado para o site iniciar a analise e estimativa.</t>
  </si>
  <si>
    <t>CTXRJOED-54357</t>
  </si>
  <si>
    <t>PCRJ - Relase 0965 - SISO</t>
  </si>
  <si>
    <t>31/08- STATUS- Solicitado detalhamento do Projeto</t>
  </si>
  <si>
    <t>CTXSALAS-158220</t>
  </si>
  <si>
    <t>Venda de Produtos Alone no Televendas OCT Receptivo</t>
  </si>
  <si>
    <t>03/09-STATUS- Projeto em execução por TI-SITE de 03/09 a 09/09.
01/09 - STATUS- encaminhado para o site iniciar analise e estimativa, Bernardo.
31/08- STATUS- Solicitado detalhamento da volumetria e retorno financeiro.</t>
  </si>
  <si>
    <t xml:space="preserve">CTXSPOAP407-12241 </t>
  </si>
  <si>
    <t>Disca Fácil - Bradesco Auto</t>
  </si>
  <si>
    <t xml:space="preserve">Agnaldo Jose de Freitas Caetano </t>
  </si>
  <si>
    <t>CTXSPOAP407-12222</t>
  </si>
  <si>
    <t xml:space="preserve"> Aplicação - Desenvolvimento</t>
  </si>
  <si>
    <t xml:space="preserve">27/08-STATUS - Projeto encaminhado para área de TI-Desenvolvimento iniciar analise e estimativa. 
</t>
  </si>
  <si>
    <t xml:space="preserve">Gabriela Ferreira Campos Fontoura de Castro </t>
  </si>
  <si>
    <t>CTXRJOSC-14121</t>
  </si>
  <si>
    <t>Projeto - Migração DASA (LAFÊ) da Contax Para o Endereço do Cliente</t>
  </si>
  <si>
    <t>DASA</t>
  </si>
  <si>
    <t>TI-engenharia</t>
  </si>
  <si>
    <t>Rogerio Veloso</t>
  </si>
  <si>
    <t xml:space="preserve">27/08-STATUS - Projeto encaminhado para área de TI, Eugenio, Klaus, Celio e Villa.
</t>
  </si>
  <si>
    <t>CTXSPOAL-92374</t>
  </si>
  <si>
    <t>Projeto - Implantação Nextel Retenção</t>
  </si>
  <si>
    <t>01/09- STAUTS - encaminhado para o site Cleverson e Telecom Simone para iniciar analise e estimativa do mesmo.</t>
  </si>
  <si>
    <t>CTXSPOLP-110663</t>
  </si>
  <si>
    <t xml:space="preserve"> Outros - N/A aci</t>
  </si>
  <si>
    <t>03/09- STATUS- Solicitado detalhamento do Projeto</t>
  </si>
  <si>
    <t xml:space="preserve">Joaquim de Santana Francisco </t>
  </si>
  <si>
    <t xml:space="preserve">CTXSPOAL-92544 </t>
  </si>
  <si>
    <t xml:space="preserve">Priscila Brasileiro Machado Claros </t>
  </si>
  <si>
    <t xml:space="preserve">CTXSPOAL-92422 </t>
  </si>
  <si>
    <t>Projeto - Alteração da URL atual do web service da URA Cielo Fidelidade (Fornecedor Exclusivo)</t>
  </si>
  <si>
    <t>Contratação</t>
  </si>
  <si>
    <t>03/09- STATUS - Projeto já encaminhado para o Financeiro gerar a SC.</t>
  </si>
  <si>
    <t xml:space="preserve">Rogerio Luiz da Silva </t>
  </si>
  <si>
    <t>CTXSALPB-41460</t>
  </si>
  <si>
    <t xml:space="preserve"> Projeto - Projeto</t>
  </si>
  <si>
    <t xml:space="preserve">03/09- STAUTS - encaminhado para as áreas de  TI iniciarem a analise e estimativa. </t>
  </si>
  <si>
    <t xml:space="preserve">Alexandre Teixeira de Pinho </t>
  </si>
  <si>
    <t xml:space="preserve">CTXMTZPB-201 </t>
  </si>
  <si>
    <t>Ambiente de Homologação e Produção do 1746</t>
  </si>
  <si>
    <t xml:space="preserve">CTXBHZRI-92351 </t>
  </si>
  <si>
    <t xml:space="preserve">CLIORBCG-217 </t>
  </si>
  <si>
    <t>Arquivo CALLTRANS</t>
  </si>
  <si>
    <t>Juliana Brandao</t>
  </si>
  <si>
    <t>CTXSPOAP407-12306</t>
  </si>
  <si>
    <t>04/09- STATUS- Solicitado detalhamento do Projeto</t>
  </si>
  <si>
    <t xml:space="preserve">CTXSPOLP-110901 </t>
  </si>
  <si>
    <t xml:space="preserve">Melhorias relatório GT - Vivo </t>
  </si>
  <si>
    <t>04/09- STAUTS - encaminhado para TI-Desenvolvimento iniciar a analise e estimativa.</t>
  </si>
  <si>
    <t>CTXSPOLP-110890</t>
  </si>
  <si>
    <t xml:space="preserve"> Novas árvores de perfilamento - Tabulador e Relatórios p/ os GT's (Móvel)</t>
  </si>
  <si>
    <t>CTXFORBM-318635</t>
  </si>
  <si>
    <t xml:space="preserve"> Projeto - Projeto - Crescimento de p.a's Ativo de Reversão Fixo e Velox</t>
  </si>
  <si>
    <t>09/09- Projeto finalizado por TI, solicitado o inicio da homologação.
04/09- STAUTS - encaminhado para site. Alexandre.</t>
  </si>
  <si>
    <t xml:space="preserve">CTXSPOLP-110808 </t>
  </si>
  <si>
    <t>Projeto - Disponibilização WiFi para cliente Cielo</t>
  </si>
  <si>
    <t>04/09- STAUTS - encaminhado para site. Cleverson</t>
  </si>
  <si>
    <t>CTXSPOAP407-12307</t>
  </si>
  <si>
    <t>Julio Botelho</t>
  </si>
  <si>
    <t>CTXSPOAL-92702</t>
  </si>
  <si>
    <t>08/09- STAUTS - encaminhado para engenharia, Klaus</t>
  </si>
  <si>
    <t>CTXSPOLP-111004</t>
  </si>
  <si>
    <t>Maquinas para instalar</t>
  </si>
  <si>
    <t>Pendência Externa</t>
  </si>
  <si>
    <t>08/09- STATUS- Solicitado detalhamento do Projeto</t>
  </si>
  <si>
    <t>CTXSPOAL-92650</t>
  </si>
  <si>
    <t xml:space="preserve"> Projeto - Instalar SMPA em 110 PA's da infra da operação Ticket</t>
  </si>
  <si>
    <t>08/09- STAUTS - encaminhado para o site Cleverson</t>
  </si>
  <si>
    <t>CTXRJOMK-121807</t>
  </si>
  <si>
    <t xml:space="preserve"> Hardware - Trocar</t>
  </si>
  <si>
    <t xml:space="preserve">CTXPOARB-93327 </t>
  </si>
  <si>
    <t>Projeto - Implantar o link de dados e voz da Operação Souza Cruz</t>
  </si>
  <si>
    <t>08/09- STAUTS - encaminhado para o Celio, Villa e Klaus conforme alinhamento com o LW.</t>
  </si>
  <si>
    <t xml:space="preserve">CTXNITSP-167961 </t>
  </si>
  <si>
    <t xml:space="preserve">Projeto - Projeto - Reconstrução da SALA MIS - Realizar alterações físicas, instalações necessárias e levantamentos. </t>
  </si>
  <si>
    <t>09/09-Encaminhado para o site e TI-engenharia para iniciar a analise e estimativa.
08/09- STATUS- Solicitado detalhamento do Projeto</t>
  </si>
  <si>
    <t>Projeto - Projeto - Linhas para Modem externo SA</t>
  </si>
  <si>
    <t xml:space="preserve">CTXBHZRI-92508 </t>
  </si>
  <si>
    <t>Outros - N/A - Substituição de máquinas Oi por máquina CTX</t>
  </si>
  <si>
    <t>09/09-Projeto encaminhado para o site, Eugenio.
08/09- STATUS- Solicitado detalhamento do Projeto</t>
  </si>
  <si>
    <t xml:space="preserve">CTXSPOAP407-12402 </t>
  </si>
  <si>
    <t>CTXSPOBF-125012</t>
  </si>
  <si>
    <t>Projeto - Alterar Papel de Parede de E-mail Customizado</t>
  </si>
  <si>
    <t>08/09- STAUTS - encaminhado para fornecedor externo redeservice</t>
  </si>
  <si>
    <t xml:space="preserve">CTXSPOLP-111077 </t>
  </si>
  <si>
    <t>Projeto - Projeto - Ajuste no Relatório GT</t>
  </si>
  <si>
    <t>09/09- STAUTS - encaminhado para TI-Desenvolvimento iniciar analise e estimativa.</t>
  </si>
  <si>
    <t>CTXSALLM-115129</t>
  </si>
  <si>
    <t xml:space="preserve"> Projeto - Adicionar VLAN para Atendimento do BBJapão</t>
  </si>
  <si>
    <t>09/09- STAUTS - encaminhado para TI-Engenharia - Celio e Villa.</t>
  </si>
  <si>
    <t xml:space="preserve">CTXSPOAP407-12490 </t>
  </si>
  <si>
    <t>10/09- STATUS- Solicitado detalhamento do Projeto</t>
  </si>
  <si>
    <t xml:space="preserve">CTXPOARB-93625 </t>
  </si>
  <si>
    <t>Projeto - Remanejar 06 máquinas de suporte volante no Ambiente 4 do Site Navegantes</t>
  </si>
  <si>
    <t>23/09- projeto homologado e concluido com sucesso.
10/09- STATUS- Encaminhado para o Site Iniciar a analise e estimativa. Rafael</t>
  </si>
  <si>
    <t xml:space="preserve">CTXPOARB-93622 </t>
  </si>
  <si>
    <t>Projeto - Remanejar 14 máquinas dentro do Ambiente 4 do Site Navegantes</t>
  </si>
  <si>
    <t>10/09- STATUS- Encaminhado para o Site Iniciar a analise e estimativa. Rafael</t>
  </si>
  <si>
    <t xml:space="preserve">CTXPOARB-93628 </t>
  </si>
  <si>
    <t>Projeto - Atualização do SO da operação para Windows 7</t>
  </si>
  <si>
    <t>11/09- STATUS- Encaminhado para o Site Iniciar a analise e estimativa. Rafael</t>
  </si>
  <si>
    <t xml:space="preserve">CTXRECAU-60229 </t>
  </si>
  <si>
    <t>Projeto - Atualizar SO das máquinas da operação NET para Windows 7</t>
  </si>
  <si>
    <t>11/09- STATUS- Encaminhado para o Site Iniciar a analise e estimativa. Rosim</t>
  </si>
  <si>
    <t>CTXSALPB-42304</t>
  </si>
  <si>
    <t xml:space="preserve"> Projeto - Projeto Tetris Boa Viagem (Televendas e Rentabilização)</t>
  </si>
  <si>
    <t>11/09- STATUS- Pendente de detalhamento de projeto e lay out de para.</t>
  </si>
  <si>
    <t>CTXSPOLP-111381</t>
  </si>
  <si>
    <t xml:space="preserve"> Projeto - Contratação de 3 E1's, do fornecedor Option para Alelo</t>
  </si>
  <si>
    <t>14/09- STATUS- Projeto encaminhado para TI-Engenharia - Villa</t>
  </si>
  <si>
    <t>CTXSPOAL-93333</t>
  </si>
  <si>
    <t xml:space="preserve"> Projeto - Projeto ERP - RH + Portal - Configuração Ambiente Produção</t>
  </si>
  <si>
    <t>14/09- STATUS- Projeto encaminhado para TI-Engenharia - Klaus</t>
  </si>
  <si>
    <t>CTXFORBM-320345</t>
  </si>
  <si>
    <t>14/09- STATUS- Projeto encaminhado para TI-Engenharia - Alexandre Gustavo</t>
  </si>
  <si>
    <t>CTXMLTREG-4077</t>
  </si>
  <si>
    <t>16/09- STATUS- Projeto encaminhado para o TI-Engenharia iniciar a analise e estimatva - Villa</t>
  </si>
  <si>
    <t>CTXSPOAS-4528</t>
  </si>
  <si>
    <t>16/09- STATUS- Projeto pendente de detalhamento.</t>
  </si>
  <si>
    <t>CTXSALSM-82047</t>
  </si>
  <si>
    <t>13/101</t>
  </si>
  <si>
    <t>CTXRECSA-422165</t>
  </si>
  <si>
    <t>16/09- STATUS- Projeto encaminhado para osite, Rosim.</t>
  </si>
  <si>
    <t>CTXPOARB-93805</t>
  </si>
  <si>
    <t xml:space="preserve"> Projeto - Implantar sistema de Prova on Line na operação N1 NET</t>
  </si>
  <si>
    <t xml:space="preserve">Contax - Dir. Clientes Premium </t>
  </si>
  <si>
    <t>16/09- STATUS- Projeto encaminhado para osite, Rafael.</t>
  </si>
  <si>
    <t>Projeto - Projeto - Necessário a disponibilização/verificação da infra de voz para implantação de aplicação CMS/Avaya ou Softfone para operação BO Contratos para apuração do log das PA's. Criação de login de CMS/Avaya para os supervisores e ADM's para adm</t>
  </si>
  <si>
    <t xml:space="preserve">CTXMLTREG-4086 </t>
  </si>
  <si>
    <t>17/09- Encaminhado para TI-desenvolvimento.
16/09- STATUS- Projeto pendente de detalhamento.</t>
  </si>
  <si>
    <t xml:space="preserve">CTXSPOBF-125609 </t>
  </si>
  <si>
    <t>Projeto - Transporte de 20 desktops entre os sites Alegria X Antártica</t>
  </si>
  <si>
    <t>21/09- Projeto encaminhado para planejamento, conforme de acor17/09- STATUS- Projeto pendente de aprovação de ativos.</t>
  </si>
  <si>
    <t>CTXSPOBF-125608</t>
  </si>
  <si>
    <t xml:space="preserve">CTXFORBM-320984 </t>
  </si>
  <si>
    <t>Unificação de DAC SAC Fixo - Desmobilização Vector</t>
  </si>
  <si>
    <t>17/09- STATUS- Projeto pendente de detalhamento do projeto</t>
  </si>
  <si>
    <t>CTXRJOMK-122778</t>
  </si>
  <si>
    <t xml:space="preserve"> Projeto - Projeto - Liberação de link ferremanta Turbina - Célula Prioridades</t>
  </si>
  <si>
    <t>Contax - Dir. Oi</t>
  </si>
  <si>
    <t>18/09- STATUS- Projeto pendente de detalhamento do projeto</t>
  </si>
  <si>
    <t>CTXRJOMA-74866</t>
  </si>
  <si>
    <t xml:space="preserve"> Projeto - Projeto - Liberação de link MUA DTH (Agendamento, Off Line e Prioridades)</t>
  </si>
  <si>
    <t>CTXMTZPB-452</t>
  </si>
  <si>
    <t xml:space="preserve"> Base NBA intraday</t>
  </si>
  <si>
    <t xml:space="preserve">18/09- Encaminhado para TI-desenvolvimento.
</t>
  </si>
  <si>
    <t>CTXFORBM-321380</t>
  </si>
  <si>
    <t xml:space="preserve"> Projeto - Projeto - Configuração de 8 p.a's para a Blindagem (NBA + APC) NICE 2.0</t>
  </si>
  <si>
    <t xml:space="preserve">18/09- Encaminhado para site, Alexandre Gustavo.
</t>
  </si>
  <si>
    <t xml:space="preserve">CTXSPOAL-94114 </t>
  </si>
  <si>
    <t xml:space="preserve">22/09- Encaminhado para TI-Engenharia Klaus
</t>
  </si>
  <si>
    <t xml:space="preserve">CTXRECSA-424149 </t>
  </si>
  <si>
    <t xml:space="preserve">Oi - Pré Pago </t>
  </si>
  <si>
    <t xml:space="preserve">22/09- Encaminhado para site Rosim
</t>
  </si>
  <si>
    <t>Fabiana Hoffman</t>
  </si>
  <si>
    <t xml:space="preserve">CTXPOARB-94081 </t>
  </si>
  <si>
    <t>Projeto - Instalar 2 máquinas administrativas no Staff da Souza Cruz</t>
  </si>
  <si>
    <t xml:space="preserve">22/09- Encaminhado para site Rafael
</t>
  </si>
  <si>
    <t>CTXPOARB-88039</t>
  </si>
  <si>
    <t xml:space="preserve"> Movimentar as 2 PAs do chat DA</t>
  </si>
  <si>
    <t xml:space="preserve">ELEKTRO </t>
  </si>
  <si>
    <t>CTXLONLA-26543</t>
  </si>
  <si>
    <t>TETRIS VIVO - TECNICO UNIFICADO</t>
  </si>
  <si>
    <t xml:space="preserve">Vania de Moraes Colella </t>
  </si>
  <si>
    <t>22/09- STATUS- Projeto pendente de detalhamento do projeto, solicitado o Layout.</t>
  </si>
  <si>
    <t>Nelson Klaus</t>
  </si>
  <si>
    <t>24/09- STATUS- Projeto pendente de detalhamento do projeto</t>
  </si>
  <si>
    <t>CTXSPOBF-125921</t>
  </si>
  <si>
    <t>Projeto - Instalação do Tsupervisor na Operação Santander nos Sites Antártica e Mackenzie</t>
  </si>
  <si>
    <t>FILA</t>
  </si>
  <si>
    <t>TI-Engenharia/TI-Desenvolvimento</t>
  </si>
  <si>
    <t>Cristiane Sasaki / Nelson Klaus</t>
  </si>
  <si>
    <t xml:space="preserve">George Silva Dimitrov </t>
  </si>
  <si>
    <t xml:space="preserve">24/09- Encaminhado para site alexandre gustavo
</t>
  </si>
  <si>
    <t xml:space="preserve">CTXFORBM-322513 </t>
  </si>
  <si>
    <t xml:space="preserve">OI  </t>
  </si>
  <si>
    <t>Oi - Suporte Técnico</t>
  </si>
  <si>
    <t>Infra Fortalexa</t>
  </si>
  <si>
    <t>Anderson Luiz Gonçalves de Alcantara</t>
  </si>
  <si>
    <t>CTXFORBM-321509</t>
  </si>
  <si>
    <t xml:space="preserve"> Projeto - Projeto - Criação de operação 4p na blindagem</t>
  </si>
  <si>
    <t>CTXFORBM-322055</t>
  </si>
  <si>
    <t xml:space="preserve"> Projeto - Projeto - Cochicho nas gravações para a TSA de chamadas transferidas da Ilha de Contas para a Retenção de Receitas</t>
  </si>
  <si>
    <t>Projeto - Desenvolvimento de tabulador Contax para substituição do DefyIT</t>
  </si>
  <si>
    <t xml:space="preserve">CTXFORBM-322126 </t>
  </si>
  <si>
    <t>Projeto - Projeto Simulador Retenção Involuntária</t>
  </si>
  <si>
    <t xml:space="preserve">PRGSOFT
</t>
  </si>
  <si>
    <t>Anderson</t>
  </si>
  <si>
    <t>25/09-aguardando aprovação da SC</t>
  </si>
  <si>
    <t>CTXSPOBF-126235</t>
  </si>
  <si>
    <t xml:space="preserve">CTXSPOBF-126151 </t>
  </si>
  <si>
    <t xml:space="preserve"> Projeto: Implantar Ferramenta RTI - Ticket B2C Usuários</t>
  </si>
  <si>
    <t>TICKET</t>
  </si>
  <si>
    <t>Ticket Serviços S/A - Usuários/Autorizações</t>
  </si>
  <si>
    <t xml:space="preserve">29/09- Encaminhado para desenvolvimento Sasaki
</t>
  </si>
  <si>
    <t xml:space="preserve">CTXSPOBF-126223 </t>
  </si>
  <si>
    <t>Projeto - Implantar Total View na Operação Interodonto</t>
  </si>
  <si>
    <t>INTERODONTO</t>
  </si>
  <si>
    <t>29/09- STATUS- Projeto pendente de retorno financeiro</t>
  </si>
  <si>
    <t>CTXBHZRI-93377</t>
  </si>
  <si>
    <t xml:space="preserve"> Projeto_OI TV ESCOB _2ª VIA E-MAIL</t>
  </si>
  <si>
    <t xml:space="preserve">Contax - Ger Estratégia e Análise </t>
  </si>
  <si>
    <t>Erickson Madsen Ferreira Medeiros</t>
  </si>
  <si>
    <t xml:space="preserve">CTXBHZRI-93394 </t>
  </si>
  <si>
    <t>Projeto - Projeto - Instalador Dr. Soft</t>
  </si>
  <si>
    <t>Infra - Prado II</t>
  </si>
  <si>
    <t>Rogerio Mendonça</t>
  </si>
  <si>
    <t>Jill Ullmann Ortiz</t>
  </si>
  <si>
    <t xml:space="preserve">01/10-reencaminhado para site proado II29/09- Encaminhado para desenvolvimento Sasaki
</t>
  </si>
  <si>
    <t xml:space="preserve">CTXFORBM-323275 </t>
  </si>
  <si>
    <t>OI -Retenção</t>
  </si>
  <si>
    <t>CTXSPOAP407-12854</t>
  </si>
  <si>
    <t>Projeto Separação URA Multiplus da TAM</t>
  </si>
  <si>
    <t>FORNECEDOR EXTERNO</t>
  </si>
  <si>
    <t>CTXSPOBF-126487</t>
  </si>
  <si>
    <t>Projeto: Alteração do Arquivo RAW - Operação Serasa Cobrança</t>
  </si>
  <si>
    <t>SERASA</t>
  </si>
  <si>
    <t xml:space="preserve">Serasa - Célula Inadimplência </t>
  </si>
  <si>
    <t>REDESERVICE</t>
  </si>
  <si>
    <t>CTXRECAU-60796</t>
  </si>
  <si>
    <t>Projeto - Adequar a Sala de Treinamento Beberibe para treinamento da NET</t>
  </si>
  <si>
    <t>CTXRECAU-60793</t>
  </si>
  <si>
    <t>Projeto - Adequar a Sala de Treinamento Ipojuca para treinamento da NET</t>
  </si>
  <si>
    <t>CTXPOARB-94404</t>
  </si>
  <si>
    <t xml:space="preserve"> Cristiane Sasaki</t>
  </si>
  <si>
    <t>CTXPOARB-94333</t>
  </si>
  <si>
    <t xml:space="preserve"> Projeto - Adequação do RTI NET para uso com o Internet Explorer 10</t>
  </si>
  <si>
    <t>CTXBHZRP-216637</t>
  </si>
  <si>
    <t xml:space="preserve">Oi - Cobrança </t>
  </si>
  <si>
    <t xml:space="preserve">Caroline Rocha Nogueira </t>
  </si>
  <si>
    <t>CTXMTZRP-42345</t>
  </si>
  <si>
    <t>Solução para rede IBM/Orbitall dentro da rede todo</t>
  </si>
  <si>
    <t>ORBITAL</t>
  </si>
  <si>
    <t>Orbitall - Bonsucesso</t>
  </si>
  <si>
    <t>TI-TELECOM</t>
  </si>
  <si>
    <t>Felipe Villa</t>
  </si>
  <si>
    <t>Edson Pereira da Silva</t>
  </si>
  <si>
    <t>CTXSPOLP-111079</t>
  </si>
  <si>
    <t>Projeto - Criar Plano Documento de Draft PCN para BV Financeira</t>
  </si>
  <si>
    <t>BV FINANCEIRA</t>
  </si>
  <si>
    <t xml:space="preserve">BV Financeira - SAC </t>
  </si>
  <si>
    <t>A definir</t>
  </si>
  <si>
    <t>CTXSPOAS-4642</t>
  </si>
  <si>
    <t xml:space="preserve"> Adequação do tProcess - Criação de fluxo de atendimento e controle de projetos</t>
  </si>
  <si>
    <t xml:space="preserve">Contax - Ger Sistemas Corporativos </t>
  </si>
  <si>
    <t>Alexandre Batista dos Anjos</t>
  </si>
  <si>
    <t>CTXSPOAL-95026</t>
  </si>
  <si>
    <t>FILA/Pendencia Externa</t>
  </si>
  <si>
    <t>CTXSPOLP-112537</t>
  </si>
  <si>
    <t xml:space="preserve"> Projeto: Implantar tGuidance na Operação BV Financeira</t>
  </si>
  <si>
    <t xml:space="preserve">Priscila Roberta dos S. Freitas </t>
  </si>
  <si>
    <t xml:space="preserve">CTXFORBM-324853 </t>
  </si>
  <si>
    <t>Projeto - Projeto - Gravações Oi atende (Lojas) Fixo e Velox</t>
  </si>
  <si>
    <t xml:space="preserve">CTXFORBM-325001 </t>
  </si>
  <si>
    <t>Projeto - Projeto - Alteração no fluxo de carga da operação Retenção Invol TV</t>
  </si>
  <si>
    <t>CTXRECAU-61197</t>
  </si>
  <si>
    <t xml:space="preserve"> Projeto - Adequar a Sala de Treinamento Capibaribe para treinamento da NET</t>
  </si>
  <si>
    <t xml:space="preserve">CTXPOARB-94642 </t>
  </si>
  <si>
    <t>Projeto - Gravar imagem de supervisão em 6 máquinas</t>
  </si>
  <si>
    <t>CTXSPOAP407-12991</t>
  </si>
  <si>
    <t>CTXRECAM-55397</t>
  </si>
  <si>
    <t xml:space="preserve">Oi - Oi SAC </t>
  </si>
  <si>
    <t>CTXSPOAP407-10553</t>
  </si>
  <si>
    <t xml:space="preserve"> Projeto - Projeto - desenvolvimento do Integrador que atenda a operação Blindagem</t>
  </si>
  <si>
    <t>CTXSPOAP407-10512</t>
  </si>
  <si>
    <t xml:space="preserve"> Projeto - Projeto - Nome do cliente no agendamento</t>
  </si>
  <si>
    <t>CTXNITSP-161527</t>
  </si>
  <si>
    <t xml:space="preserve"> Projeto - Projeto - Complementar estrutura da 5ª onda Migração BH x NIT (Ativo Fixo)</t>
  </si>
  <si>
    <t xml:space="preserve">Rodrigo Ribeiro de Araujo </t>
  </si>
  <si>
    <t>CTXMTZRP-42201</t>
  </si>
  <si>
    <t xml:space="preserve"> Projeto - Dynamic Routing </t>
  </si>
  <si>
    <t xml:space="preserve">Rodrigo Ribeiro de Araujo Fabricio Hinein Peixoto Guimaraes </t>
  </si>
  <si>
    <t xml:space="preserve">CTXMLTREG-3442 </t>
  </si>
  <si>
    <t>Projeto Atendimento 102 (URA unificada R1 e R2)</t>
  </si>
  <si>
    <t xml:space="preserve">Oi - 102 </t>
  </si>
  <si>
    <t xml:space="preserve">Maiara Tavares da Cruz Sabino </t>
  </si>
  <si>
    <t>CTXBHZRI-90263</t>
  </si>
  <si>
    <t xml:space="preserve">CTX – Prado2 – BHZRI </t>
  </si>
  <si>
    <t xml:space="preserve">Fabiana Carla de Souza Dias </t>
  </si>
  <si>
    <t xml:space="preserve">CTXFORBM-320922 </t>
  </si>
  <si>
    <t>Projeto - Projeto - alteração no fluxo de envio do arquivo de retorno TLV / ASPECT</t>
  </si>
  <si>
    <t xml:space="preserve">David Lima Cavalcante </t>
  </si>
  <si>
    <t>CTXFORBM-324853</t>
  </si>
  <si>
    <t xml:space="preserve"> Projeto - Projeto - Gravações Oi atende (Lojas) Fixo e Velox</t>
  </si>
  <si>
    <t>OI - Retenção</t>
  </si>
  <si>
    <t xml:space="preserve">José Perboyre Cavalcante Pinheiro Neto </t>
  </si>
  <si>
    <t>CTXSPOAL-95566</t>
  </si>
  <si>
    <t>CTXMLTREG-4307</t>
  </si>
  <si>
    <t>Orbitall - Central Bancos</t>
  </si>
  <si>
    <t>Criador: Juliana Souza de Moraes</t>
  </si>
  <si>
    <t>CTXFORBM-326194</t>
  </si>
  <si>
    <t xml:space="preserve"> Projeto - Projeto - JOB BO</t>
  </si>
  <si>
    <t xml:space="preserve">CTXFORBM-326265 </t>
  </si>
  <si>
    <t>Projeto - Projeto - Crescimento de 15 p.a's Propenso Pós</t>
  </si>
  <si>
    <t>INFRA/ATIVOS/CSE</t>
  </si>
  <si>
    <t>14/10- Projeto Homologado e concluido com sucesso.
13/10- Projeto em andamento de substituição das PA's.
Houve um problema com a emissão da Nota Fiscal de transporte dos equipamentos, estava programado para sair de BH em 09/09. Em tratativa com o Fiscal Contax (nova expectativa até 30/09).</t>
  </si>
  <si>
    <t>Bruno Guerra</t>
  </si>
  <si>
    <t>CTXMLTREG-4245</t>
  </si>
  <si>
    <t>Implantar a integração do tControl com o tGuidance</t>
  </si>
  <si>
    <t>CTXRJOMA-72849</t>
  </si>
  <si>
    <t>CTXSPOLP-111956</t>
  </si>
  <si>
    <t xml:space="preserve">16/10 - Projeto cancelado
13/10 - Acionado Fornecedor para validar necessidade e elaborar proposta. sem previsão de retorno.
29/09 - Elaborando TO-BE, previsão ate 02/10, (informaçõa interna, ainda em defenição de fazer o desenvolvimento interno ou com fornecedor, sendo tratado pela equipe do Rivaldo);
18/09 - Recurso disponibilizado;
16/09 - Aguardando recurso da equipe do Rivaldo;
</t>
  </si>
  <si>
    <t>[16/10] Projeto Concluído.
[05/10 - Dalton] Em análise e estudo com fornecedor
Desmembramento de Ura</t>
  </si>
  <si>
    <t>16/10 - Projeto Concluído
06/10 - Cobrando formalização de entrega do projeto;
29/09 - Em andamento. Devido a ter assumido as atividades a pouco tempo, estou atras de historicos;</t>
  </si>
  <si>
    <t>Projeto - Contax Store (Plano de Recuperação)</t>
  </si>
  <si>
    <r>
      <rPr>
        <b/>
        <sz val="11"/>
        <color indexed="8"/>
        <rFont val="Calibri"/>
        <family val="2"/>
      </rPr>
      <t>13/10 -</t>
    </r>
    <r>
      <rPr>
        <sz val="11"/>
        <color theme="1"/>
        <rFont val="Calibri"/>
        <family val="2"/>
        <scheme val="minor"/>
      </rPr>
      <t xml:space="preserve"> Chamado não encontrado no sistema tProcess</t>
    </r>
  </si>
  <si>
    <r>
      <rPr>
        <b/>
        <sz val="11"/>
        <color indexed="8"/>
        <rFont val="Calibri"/>
        <family val="2"/>
      </rPr>
      <t>13/10 -</t>
    </r>
    <r>
      <rPr>
        <sz val="11"/>
        <color theme="1"/>
        <rFont val="Calibri"/>
        <family val="2"/>
        <scheme val="minor"/>
      </rPr>
      <t xml:space="preserve"> Recebido o Termo de Encerramento da Fase 1 deste projeto, seguiremos com a Fase 2 pelo chamado CTXRECSA-405869 - Fase2_Item 5_Conf da Base para imput no formato CSV.</t>
    </r>
    <r>
      <rPr>
        <b/>
        <sz val="11"/>
        <color indexed="8"/>
        <rFont val="Calibri"/>
        <family val="2"/>
      </rPr>
      <t xml:space="preserve">
</t>
    </r>
    <r>
      <rPr>
        <sz val="11"/>
        <color theme="1"/>
        <rFont val="Calibri"/>
        <family val="2"/>
        <scheme val="minor"/>
      </rPr>
      <t>06/10</t>
    </r>
    <r>
      <rPr>
        <b/>
        <sz val="11"/>
        <color indexed="8"/>
        <rFont val="Calibri"/>
        <family val="2"/>
      </rPr>
      <t xml:space="preserve"> -</t>
    </r>
    <r>
      <rPr>
        <sz val="11"/>
        <color theme="1"/>
        <rFont val="Calibri"/>
        <family val="2"/>
        <scheme val="minor"/>
      </rPr>
      <t xml:space="preserve"> Homologação em finalização, hoje 07/10 , definiremos o Rollout da Fase 1.
29/09 - GMUD realizada com sucesso. Hoje estamos com 5 pas com a nova versão 1526 sendo homologada a parte funcional do FF e todas os itens da EF já foram homologados.
----------------------------------------
22/09 - Fase 1 - Arquivo FTP disponibilizado pela Oi.
Aguardando o "De Acordo" da operação a GMUD para o dia 24/09 a partir das 21:30hs e previsto para finalizar as 00:00hs.
--------------------------------------------------
07/08 - Iniciado o Desenvolvimento 
19/10 - Final de Desenvolvimento 
20/10 à 23/10 - Piloto 
26/10 às 30/10 - Rollout 
(Fase 2 - Pelo chamado CTXRECSA-405869)</t>
    </r>
  </si>
  <si>
    <r>
      <rPr>
        <b/>
        <sz val="11"/>
        <color indexed="8"/>
        <rFont val="Calibri"/>
        <family val="2"/>
      </rPr>
      <t xml:space="preserve">13/10 - </t>
    </r>
    <r>
      <rPr>
        <sz val="11"/>
        <color theme="1"/>
        <rFont val="Calibri"/>
        <family val="2"/>
        <scheme val="minor"/>
      </rPr>
      <t>Projeto realizado dentro do Escopo, Termo de Encerramento enviado.</t>
    </r>
    <r>
      <rPr>
        <b/>
        <sz val="11"/>
        <color indexed="8"/>
        <rFont val="Calibri"/>
        <family val="2"/>
      </rPr>
      <t xml:space="preserve">
</t>
    </r>
    <r>
      <rPr>
        <sz val="11"/>
        <color theme="1"/>
        <rFont val="Calibri"/>
        <family val="2"/>
        <scheme val="minor"/>
      </rPr>
      <t>06/10</t>
    </r>
    <r>
      <rPr>
        <b/>
        <sz val="11"/>
        <color indexed="8"/>
        <rFont val="Calibri"/>
        <family val="2"/>
      </rPr>
      <t xml:space="preserve"> -</t>
    </r>
    <r>
      <rPr>
        <sz val="11"/>
        <color theme="1"/>
        <rFont val="Calibri"/>
        <family val="2"/>
        <scheme val="minor"/>
      </rPr>
      <t xml:space="preserve"> Aguardando retorno do Site com Estimativa de Esforço</t>
    </r>
  </si>
  <si>
    <r>
      <rPr>
        <b/>
        <sz val="11"/>
        <color indexed="8"/>
        <rFont val="Calibri"/>
        <family val="2"/>
      </rPr>
      <t xml:space="preserve">06/10 - </t>
    </r>
    <r>
      <rPr>
        <sz val="11"/>
        <color theme="1"/>
        <rFont val="Calibri"/>
        <family val="2"/>
        <scheme val="minor"/>
      </rPr>
      <t>Conforme Termo de Encerramento, projeto foi concluído</t>
    </r>
  </si>
  <si>
    <t>Não Encontrado</t>
  </si>
  <si>
    <t>Retorno Financeiro estimado</t>
  </si>
  <si>
    <t>Desmobilização 11° Andar Botafogo</t>
  </si>
  <si>
    <t>[01/10] Projeto Cancelado
[28/09 - Dalton] Aplicações enviou proposta para fornecedor fazer a OG.
[17/09 – Dalton] Aguardando recurso para realizar a análise da documentação e disponibilizar cronograma de desenvolvimento.</t>
  </si>
  <si>
    <t>CTXSALAS-160605</t>
  </si>
  <si>
    <t>Projeto - Alteração de infra para Crescimento Ativo</t>
  </si>
  <si>
    <t>Oi</t>
  </si>
  <si>
    <t xml:space="preserve">Tiago dos Santos Fialho </t>
  </si>
  <si>
    <t>20/10 - Projeto encerrado
08/09- STATUS- Solicitado detalhamento do Projeto</t>
  </si>
  <si>
    <r>
      <rPr>
        <b/>
        <sz val="11"/>
        <color indexed="8"/>
        <rFont val="Calibri"/>
        <family val="2"/>
      </rPr>
      <t xml:space="preserve">20/10 - Projeto Concluído
13/10 - </t>
    </r>
    <r>
      <rPr>
        <sz val="11"/>
        <color theme="1"/>
        <rFont val="Calibri"/>
        <family val="2"/>
        <scheme val="minor"/>
      </rPr>
      <t>Cobrado novamente o Termo de Encerramento</t>
    </r>
    <r>
      <rPr>
        <b/>
        <sz val="11"/>
        <color indexed="8"/>
        <rFont val="Calibri"/>
        <family val="2"/>
      </rPr>
      <t xml:space="preserve">
</t>
    </r>
    <r>
      <rPr>
        <sz val="11"/>
        <color theme="1"/>
        <rFont val="Calibri"/>
        <family val="2"/>
        <scheme val="minor"/>
      </rPr>
      <t>06/10- Aguardando o Termo de Encerramento
29/09 - Em homologação final do mailing gerado para RI e RII após a inclusão do campo UF e do separador (;) no produto fixo
-----------------------------------
22/09 - Realizadas algumas inclusõesde campo no arquivo de mailing 
16/09 - Já foi enviado o mailing para a TQS estando em validação, até o final de semana conseguimos um parecer.</t>
    </r>
  </si>
  <si>
    <r>
      <rPr>
        <b/>
        <sz val="11"/>
        <color theme="1"/>
        <rFont val="Calibri"/>
        <family val="2"/>
        <scheme val="minor"/>
      </rPr>
      <t xml:space="preserve">20/10 - Projeto Cancelado
20/10 - </t>
    </r>
    <r>
      <rPr>
        <sz val="11"/>
        <color theme="1"/>
        <rFont val="Calibri"/>
        <family val="2"/>
        <scheme val="minor"/>
      </rPr>
      <t>Por decisão da diretoria de negócios, o projeto está in hold até a Oi dar uma resposta sobre a variabilização</t>
    </r>
    <r>
      <rPr>
        <b/>
        <sz val="11"/>
        <color theme="1"/>
        <rFont val="Calibri"/>
        <family val="2"/>
        <scheme val="minor"/>
      </rPr>
      <t xml:space="preserve">
</t>
    </r>
    <r>
      <rPr>
        <sz val="11"/>
        <color theme="1"/>
        <rFont val="Calibri"/>
        <family val="2"/>
        <scheme val="minor"/>
      </rPr>
      <t>13/10 - Por decisão da diretoria de negócios, o projeto está on hold até a Oi dar uma resposta sobre a variabilização
06/10 - Por decisão da diretoria de negócios, o projeto está on hold até a Oi dar uma resposta sobre a variabilização
29/09 - Por decisão da diretoria de negócios, o projeto está on hold até a Oi dar uma resposta sobre a variabilização
-----------------------------------------------
22/09 - Por decisão da diretoria de negócios, o projeto está on hold até a Oi dar uma resposta sobre a variabilização</t>
    </r>
  </si>
  <si>
    <t>20/10 - Concluído
Edison Nei Siqueira added a comment - 13/Out/15 14:51
Entramos em produção com a célula de Campanha Desconto no dia 07/10 conforme planejamento junto ao cliente.
06/10.   Por conta do treinamento dos operadores a entrada da Campanha Desconto ficou alinhada com o cliente o replanejamento para o dia 07/10.
21/09. Em produção a primeira onda da mudança do Mailing e migração da operação de CE para BH em 21/09.
A Campanha Desconto está prevista para o dia 05/10, utilizando também o polo Aspect de BH, conforme a quantidade de PAs informada pela operação, chegando a um total de 29 PAs não afetando a auditoria do polo Aspect BHY.</t>
  </si>
  <si>
    <t>Projeto já foi concluído conforme informação de Bruno Ribeito. Débora 20/10/15
Projeto em verificação com Alexandre Batista e Bruno Guerra, pois não há número de tProcess e nem histórico. Débora 13/10/15.
Bruno Guerra está verificando informações sobre este projeto, pois não há número do tProcess e nem responsável anterior. Débora 05/10/15</t>
  </si>
  <si>
    <t>20/01 - projeto encerrado em 17/10.</t>
  </si>
  <si>
    <t>[20/10] Projeto Concluído
[14/10 – Dalton/Leandro] A guardando agendamento de data para o deploy
[05/10 – Dalton/Leandro] Aguardando homologação por parte do cliente.
[23/09 - Leandro] Configuração realizada pela Empresa Certsys 23/09 no local, ficou pendente homologação por Daniela Santander no dia seguinte 24/09 &gt;será necessário um novo retorno da Certsys para complementar um ajuste no front, em processo de agendamento de nova visita.
Demanda priorizada junto a Milene.</t>
  </si>
  <si>
    <t xml:space="preserve">20/10 - Projeto Concluído
06/10 - Projeto entregue em 05/10 e acompanhado ate 06/10. aguardando a formalização dde aceite do prjeto;
29/09 - 1° onda em 28/09, com entrega de 56 PA's OK, as demais 262 PA's já estão prontas para serem homologadas conforem planejado, em 01 e 02/10;
22/09 -  Em andamento a criação de vLan para atender ao crescimento / Pendente 85 maquinas a serem liberadas ate 25/09 vindas do Santander / Cronograma OK (18/09) / Heads USB OK (em 18/09) / Ambiente de treinamento OK (15/09).
16/09 - Planejmento (elaboração de cronograma, validação de hardqare e software), previsto para ter essas informações até 17/09.
</t>
  </si>
  <si>
    <t xml:space="preserve">20/10 - Projeto Concluído
06/10 - Projeto entregue em 05/10 e acompanhado ate 06/10. aguardando a formalização dde aceite do prjeto;
29/09 - 1° onda 29/09 entrega de TI OK, 2° onda 02/10 entrega de TI OK, 3° onda 03/10 entraga de TI OK, 4° onda 05/10 enga de TI OK. Vamos acompanhar.
22/07 - Aguardando definição de Lay Out. Hardware e Software OK;
16/09 - Planejmento (elaboração de cronograma, validação de hardqare e software), previsto para ter essas informações até 17/09.
</t>
  </si>
  <si>
    <t>14/10 - Concluído
Edison Nei Siqueira added a comment - 06/Out/15 14:51
Aguardando validação da operação para envio do termo de encerramento.
Edison Nei Siqueira added a comment - 22/Set/15 19:13
Em homologação do ambiente, alguma posições de atendimento apresentando problemas de comunicação.</t>
  </si>
  <si>
    <t>20/10 - Concluído
Prazo para implantação exigido pelo cliente Oi: 06/10</t>
  </si>
  <si>
    <t>Edison Nei Siqueira added a comment - 14/Out/15 16:05
Demanda concluída conforme solicitado.</t>
  </si>
  <si>
    <t>Concluído
Edison Nei Siqueira added a comment - 14/Out/15 17:22
Layout alterado conforme solicitação feita junto a área de desenvolvimento.</t>
  </si>
  <si>
    <t>21/10 - CANCELADA</t>
  </si>
  <si>
    <t>CTXFORBM-326265</t>
  </si>
  <si>
    <t>CTXFORBM-326264</t>
  </si>
  <si>
    <t>CTXFORBM-327347</t>
  </si>
  <si>
    <t>CTXFORBM-323275</t>
  </si>
  <si>
    <t>Projeto - Projeto - Crescimento de 14 p.a's Blindagem Refidelização</t>
  </si>
  <si>
    <t>Projeto - Projeto - Crescimento de 15 p.a's no receptivo TV</t>
  </si>
  <si>
    <t>CTXFORBM-326758</t>
  </si>
  <si>
    <t>CTXSPOAP407-12466</t>
  </si>
  <si>
    <t>CTXSPOAP407-12490</t>
  </si>
  <si>
    <t>CTXSPOAP407-12241</t>
  </si>
  <si>
    <t>Pre-Venda - Bradesco auto</t>
  </si>
  <si>
    <t>Não possui</t>
  </si>
  <si>
    <t>RFP - GAS NATURAL FENOSA</t>
  </si>
  <si>
    <t>RFP-BO NET</t>
  </si>
  <si>
    <t>Proposta comercial – VW</t>
  </si>
  <si>
    <t>Projeto Proposta Chat Online RCI</t>
  </si>
  <si>
    <t xml:space="preserve">Pro-echo – Validação da proposta </t>
  </si>
  <si>
    <t xml:space="preserve">Caixa - Contingência para Greve </t>
  </si>
  <si>
    <t xml:space="preserve">Prefeitura de Campinas </t>
  </si>
  <si>
    <t>Pré Venda - cliente Omni</t>
  </si>
  <si>
    <t>CTXSPOAP407-13231</t>
  </si>
  <si>
    <t>20/10/2015 - Solicitado número do tProcess e algumas informações para dar andamento à proposta</t>
  </si>
  <si>
    <t>CTXSPOAP407-13166</t>
  </si>
  <si>
    <t>RFP - Ticket B2B - Ferramenta de acompanhamento de produtividade</t>
  </si>
  <si>
    <t>Projeto - Cielo 2 Novos Links de 70 MBPS</t>
  </si>
  <si>
    <t xml:space="preserve">BB Mafre - Troca de servidores </t>
  </si>
  <si>
    <t>Nova operação Infoglobo – Infraestrutura</t>
  </si>
  <si>
    <t xml:space="preserve">Prefeitura de SP </t>
  </si>
  <si>
    <t xml:space="preserve">Basicamente precisamos dos insumos abaixo para 453 PA’s no site Alegria. Os demais itens, tais como portal web, aplicativo móvel e o SIGRC serão disponibilizados pela Accenture/Salesforce
• DAC;
• Gravador de voz e tela;
• Call Back;
• URA;
• SMS – preciso saber qual será a solução;
• E-mail;
• Link de dados – não informam o tamanho.
• CTI.
</t>
  </si>
  <si>
    <t>Projeto - Crescimento de 6 p.a's para o Ativo de Reversão p.a's híbridas</t>
  </si>
  <si>
    <t>CTXPOARB-95445</t>
  </si>
  <si>
    <t>CTXPOARB-95467</t>
  </si>
  <si>
    <t>CTXPOARB-95468</t>
  </si>
  <si>
    <t>CTXPOARB-95442</t>
  </si>
  <si>
    <t>RTI - Preenchimento automático do Data Center</t>
  </si>
  <si>
    <t>RTI - Preenchimento automático texto padrão</t>
  </si>
  <si>
    <t>RTI - Status financeiros Inad 45 dias</t>
  </si>
  <si>
    <t>RTI - Preenchimento automático do Infomaker</t>
  </si>
  <si>
    <t>22/10 - Fechado, pois a operação de TLV foi migrada do Santo Amaro para Conquista
Rogério Veoloso informou que o término do desenhor de  construção do BCP/DR TLV está previsto para 16/10. AS demais operações TBD. Débora 13/10/15
Rogério Veoloso informou que o término do desenhor de  construção do BCP/DR TLV está previsto para 16/10. AS demais operações TBD. Débora 05/10/15
[Fabiana 18/09] - BASE LINE ITAÚ TELEVENDAS - São 9 itens pendentes de análise o base line. Esse chamado trata-se de 8 deles, sendo 2 refernete a criação do BCP/Disaster Recovery e 6 outras análise técnicas. Esse chamado aplica-se ao site Santo Amaro.</t>
  </si>
  <si>
    <t xml:space="preserve">22/10 -  Os chamados abaixo podem ser fechados, pois foram substituidos pelos novos chamados de hardenings.O chamado já foi reaberto e permanece com o status registrado/não resolvido. Comentário adicionado: Projeto em hold. Alinhado com Fabiana e Marco Brandão em 22,09 às 10h54. Débora 25/09/15. </t>
  </si>
  <si>
    <t xml:space="preserve">22/10 -  Os chamados abaixo podem ser fechados, pois foram substituidos pelos novos chamados de hardenings.
O chamado já foi reaberto e permanece com o status registrado/não resolvido. Comentário adicionado: Projeto em hold. Alinhado com Fabiana e Marco Brandão em 22,09 às 10h54. Débora 25/09/15. </t>
  </si>
  <si>
    <t>22/10 - Aguardando priorização. Enviado e-mail ao demandante para ciência</t>
  </si>
  <si>
    <t>22/10 - Aguardando priorização. Enviado e-mail ao solicitante</t>
  </si>
  <si>
    <t>CTXMLTREG-4438</t>
  </si>
  <si>
    <t>Projeto - Piloto de Reconhecimento de Voz na Aplicação 10331 - Alteração de Vlan</t>
  </si>
  <si>
    <t>Klaus / LW</t>
  </si>
  <si>
    <t>TI-Engenharia / CSE</t>
  </si>
  <si>
    <t xml:space="preserve">Ricardo Jose Souza de Albuquerque </t>
  </si>
  <si>
    <t>22/10 - Klaus envolvido para análise</t>
  </si>
  <si>
    <t>RTI - PopUP no momento da geração de Visita Técnica e abertura de IE</t>
  </si>
  <si>
    <t>RTI - Aviso com Link para Oferta Vigente</t>
  </si>
  <si>
    <t>[26/10 - Leandro] Projeto cancelado, devido ao alto valor do fornecedor</t>
  </si>
  <si>
    <t>26/10 - Projeto concluído
01/09- STAUTS - encaminhado para o site Cleverson e Telecom Simone para iniciar analise e estimativa do mesmo.</t>
  </si>
  <si>
    <t>27/10 - Finalizado em 22/10
20/10 - Em fase final de rollout. Previsão de 30/10.</t>
  </si>
  <si>
    <t>Providenciar o desenho de topologia para a liberação da rede Nextel (MIGRAÇÃO)</t>
  </si>
  <si>
    <t>27/10 - Projeto entregue.
20/10 - E-mail da PA - Funcionando /// CMS - Funcionando /// Estamos solicitando novas liberações de redes e firewall, previsão de ate dia 23/10 esta funcionando;
06/10 - Chamado CMS - Em tratativa.
Chamados Riversoft e FTP, ja estão solucionados e foram validados;
29/09 - cobarndo Resolução dos chamados: SPOBF-356469 – FTP (aberto há mais de 6 dias)
SPOAL-176053 – Riversoft (aberto há mais de 7 dias)
SPOAP407-15874 – Liberação de acesso ao CMS (aberto hoje);
14/09 - Operações entregue e produzindo;</t>
  </si>
  <si>
    <t>27/10 - Aguardando desde julho/2015 a definição do Comercial, pois ainda falta fechar alguns pontos e nao tive o OK para fechar a demanda. Teremos que aguardar;
22/09 - Alem do link, precisamos da definição da parte comercial. Já solicitei um OK para cancelar a demanda pois esta há amsi de tres meses sem evolução.
16/09 - Aguardando instalação de link's de dados e voz para receber o cliente. há mais de 3 meses.</t>
  </si>
  <si>
    <t xml:space="preserve">27/10 - Projeto finalizado em 16/10. aguardando formalização.
20/10 - Aguardando formalização do cliente com o "ACEITE" da demanda entregue. ajustes finalizados em 16/10;
13/10 - Finalizando alguns ajustes em posições pontuais. Previsão de finalizar esta para 16/10;
06/10 - 200 PA's e 11 PG's entregues (com alguns ajustes pontuais, mas nada de impeditivo para a performace da operação); </t>
  </si>
  <si>
    <t>27/10 - Projeto Cancelado
[15/10 – Leandro] Aguardando um parecer por parte do Flávio Reto se daremos continuidade ao projeto ou não.  Fila do demandante
Com o projeto de internalização aonde toda infra será do cliente, este projeto deixaria de fazer sentido.</t>
  </si>
  <si>
    <r>
      <t xml:space="preserve">29/out - Concluído
</t>
    </r>
    <r>
      <rPr>
        <b/>
        <sz val="11"/>
        <color theme="1"/>
        <rFont val="Calibri"/>
        <family val="2"/>
        <scheme val="minor"/>
      </rPr>
      <t>27/10 -</t>
    </r>
    <r>
      <rPr>
        <sz val="11"/>
        <color theme="1"/>
        <rFont val="Calibri"/>
        <family val="2"/>
        <scheme val="minor"/>
      </rPr>
      <t xml:space="preserve"> na última homologação o cliente não aceitou o sistema, conforme interação foi solicitado o entendimento pelo material do sistema para assim entender como funciona as regras de negocio. Aguardando retorno do mesmo.</t>
    </r>
    <r>
      <rPr>
        <b/>
        <sz val="11"/>
        <color theme="1"/>
        <rFont val="Calibri"/>
        <family val="2"/>
        <scheme val="minor"/>
      </rPr>
      <t xml:space="preserve"> 
</t>
    </r>
    <r>
      <rPr>
        <sz val="11"/>
        <color theme="1"/>
        <rFont val="Calibri"/>
        <family val="2"/>
        <scheme val="minor"/>
      </rPr>
      <t>20/10 - Ações do Site já estão ok como Aplic Instalada e Host padrão. Estamos aguardando o retorno da operação perante o treinamento para definirmos o cronograma de Piloto / Rollout.
13/10 - Todas as premissas já foram realizadas, estamos aguardando o retorno sobre o Treinamento da operação (Material de Sup ao Treinamento já foi enviado) e posteriormente seguiremos com o cronograma de Rollout</t>
    </r>
    <r>
      <rPr>
        <b/>
        <sz val="11"/>
        <color theme="1"/>
        <rFont val="Calibri"/>
        <family val="2"/>
        <scheme val="minor"/>
      </rPr>
      <t xml:space="preserve">
</t>
    </r>
    <r>
      <rPr>
        <sz val="11"/>
        <color theme="1"/>
        <rFont val="Calibri"/>
        <family val="2"/>
        <scheme val="minor"/>
      </rPr>
      <t>06/10 - Desenvolvimento em andamento pela equipe de TI.</t>
    </r>
  </si>
  <si>
    <t>Edison Nei Siqueira added a comment - 03/Nov/15 11:55
Termo de encerramento enviado para o demandante.
Edison Nei Siqueira added a comment - 20/Out/15 17:39
Rollout realizado para 100% da operação, estamos realizando ajustes com relação a regra de distribuição do mailing.
Edison Nei Siqueira added a comment - 06/Out/15 12:45
Estamos iniciando o rollout hoje na operação utilizando o modulo preview do TLV.
Edison Nei Siqueira added a comment - 22/Set/15 18:32
Atividades programadas junto ao fornecedor TQS. 
Atividade: Implantação Projeto Auditoria (CTXTV072) 
Período: 28/9 a 2/10 (segunda a sexta) 
Local: Site Contax Niterói – RJ 
Observações: 
                               - Apoio ao recurso do site para instalação 
                               - Testes no ambiente de produção, apoio na configuração da operação 
                               - Treinamento Inicial 
Atividade: Acompanhamento Projeto Auditoria (CTXTV072) 
Período: 5/10 a 9/10 (segunda a sexta) 
Local: Site Contax Niterói – RJ 
Observações: 
                               - Acompanhamento da operação</t>
  </si>
  <si>
    <t>Edison Nei Siqueira added a comment - 03/Nov/15 15:51
Neto. por gentileza sinalizar se a demanda foi concluída conforme histórico abaixo. 
Dalton Bondesan added a comment - 09/Set/15 18:00 
Finalizado por TI, solicitado o inicio da homologação.
Edison Nei Siqueira added a comment - 06/Out/15 17:49
Demanda atribuída a minha responsabilidade no dia 02/10, amanhã estarei realizando contato com o demandante para entendimento da demanda.</t>
  </si>
  <si>
    <t>Crescimento Tecnico Unificado - LDA</t>
  </si>
  <si>
    <t>CTXRECSA-425792</t>
  </si>
  <si>
    <t>Crescimento Básico / Segmentado - JPA</t>
  </si>
  <si>
    <t>CTXSPOBF-128461</t>
  </si>
  <si>
    <t>Crescimento de 19 PA's - Massivo Segmentado</t>
  </si>
  <si>
    <t>CTXSPOAP407-13330</t>
  </si>
  <si>
    <t>Projeto - Implantação Nova Operação - Santander CP</t>
  </si>
  <si>
    <t>Análise</t>
  </si>
  <si>
    <t>CTXSPOBF-120109</t>
  </si>
  <si>
    <t>Serasa Experian - Adequação Ambiente Físico (50 posições)</t>
  </si>
  <si>
    <t>23/10 - Projeto Concluído</t>
  </si>
  <si>
    <t>Projeto - Migração POP3 - SKY Antartica - Alegria</t>
  </si>
  <si>
    <t>CTXSALLM-116537</t>
  </si>
  <si>
    <t xml:space="preserve">Implantação de 60 PV´ps de outbound OI Contorle no site Comércio conforme layout em anexo. </t>
  </si>
  <si>
    <r>
      <rPr>
        <b/>
        <sz val="11"/>
        <color theme="1"/>
        <rFont val="Calibri"/>
        <family val="2"/>
        <scheme val="minor"/>
      </rPr>
      <t>10/11 - Projeto concluído
30/10 -</t>
    </r>
    <r>
      <rPr>
        <sz val="11"/>
        <color theme="1"/>
        <rFont val="Calibri"/>
        <family val="2"/>
        <scheme val="minor"/>
      </rPr>
      <t xml:space="preserve"> Esta confirmado para colocarmos em produção no dia 05/11</t>
    </r>
    <r>
      <rPr>
        <b/>
        <sz val="11"/>
        <color theme="1"/>
        <rFont val="Calibri"/>
        <family val="2"/>
        <scheme val="minor"/>
      </rPr>
      <t xml:space="preserve">
27/10 - </t>
    </r>
    <r>
      <rPr>
        <sz val="11"/>
        <color theme="1"/>
        <rFont val="Calibri"/>
        <family val="2"/>
        <scheme val="minor"/>
      </rPr>
      <t>Processo de agendamento de GMUD para atualização da versão</t>
    </r>
    <r>
      <rPr>
        <b/>
        <sz val="11"/>
        <color theme="1"/>
        <rFont val="Calibri"/>
        <family val="2"/>
        <scheme val="minor"/>
      </rPr>
      <t xml:space="preserve">
</t>
    </r>
    <r>
      <rPr>
        <sz val="11"/>
        <color theme="1"/>
        <rFont val="Calibri"/>
        <family val="2"/>
        <scheme val="minor"/>
      </rPr>
      <t>20/10 -</t>
    </r>
    <r>
      <rPr>
        <b/>
        <sz val="11"/>
        <color theme="1"/>
        <rFont val="Calibri"/>
        <family val="2"/>
        <scheme val="minor"/>
      </rPr>
      <t xml:space="preserve"> </t>
    </r>
    <r>
      <rPr>
        <sz val="11"/>
        <color theme="1"/>
        <rFont val="Calibri"/>
        <family val="2"/>
        <scheme val="minor"/>
      </rPr>
      <t>Interação sobre a EF , Em fase de Desenvolvimento.
13/10 - Em Desenvolvimento 
06/10 -</t>
    </r>
    <r>
      <rPr>
        <b/>
        <sz val="11"/>
        <color theme="1"/>
        <rFont val="Calibri"/>
        <family val="2"/>
        <scheme val="minor"/>
      </rPr>
      <t xml:space="preserve"> </t>
    </r>
    <r>
      <rPr>
        <sz val="11"/>
        <color theme="1"/>
        <rFont val="Calibri"/>
        <family val="2"/>
        <scheme val="minor"/>
      </rPr>
      <t>Fase 2 do Projeto CTXRECSA-387239, Desenvolvimento irá iniciar após entrega da Fase 1 que já está em definição de Rollout.
29/09 - Fase 2 do Projeto CTXRECSA-387239, Desenvolvimento irá iniciar após entrega da Fase 1.
------------------------------------------
22/09 - Fase 2 do Projeto CTXRECSA-387239, Desenvolvimento irá iniciar após entrega da Fase 1.</t>
    </r>
  </si>
  <si>
    <t>Edison Nei Siqueira added a comment - 10/Nov/15 17:16
Demanda concluída e já sendo tratada em produção.
Edison Nei Siqueira added a comment - 20/Out/15 19:34
Replanejado o rollout conforme a mudança de escopo solicitado pelo client Oi.
Edison Nei Siqueira added a comment - 22/Set/15 19:37
Atividades programadas: Testes de Integração STC e SAC - Projetos Auditoria (CTXTV072) e Multiprodutos (CTXTV073) 
Período: 21/9 a 25/9 (segunda a sexta) 
Local: Site Contax Niterói – RJ 
Requisitos: 
                               - Ambiente da aplicação (BD e sistema) instalados com acesso em 2 PA para a realização de testes de integração 
                               - Fornecimento de Login e Senha de STC e SAC para acessos aos circuitos de navegação (HOB, ACH, I7JB, ACL, BDAD) 
Atividade: Implantação Projeto OI Total (CTXTV073) 
Período: 5/10 a 9/10 (segunda a sexta) 
Local: Site Contax Niterói – RJ 
Observações: 
                               - Apoio ao recurso do site para instalação 
                               - Testes no ambiente de produção, apoio na configuração da operação e 
                               - Treinamento Inicial 
Atividade: Acompanhamento Projeto OI Total (CTXTV073) 
Período: 12/10 a 16/10 (segunda a sexta) 
Local: Site Contax Niterói – RJ 
Observações: 
                               - Acompanhamento da operação</t>
  </si>
  <si>
    <t xml:space="preserve">Crescimento Oi Total Novembro </t>
  </si>
  <si>
    <t xml:space="preserve">Crescimento de 22 p.a's para Propenso Pós </t>
  </si>
  <si>
    <t>Crescimento de 21 p.a's para Propenso OCT</t>
  </si>
  <si>
    <t xml:space="preserve">Crescimento de 20 p.a's para Refidelização </t>
  </si>
  <si>
    <t xml:space="preserve">Crescimento de 15 p.a's para Propenso TV </t>
  </si>
  <si>
    <t xml:space="preserve">Crescimento de 5 p.a's para Propenso R1 </t>
  </si>
  <si>
    <t xml:space="preserve">Crescimento de 4 p.a's para Propenso R2 </t>
  </si>
  <si>
    <t>06/11 - Concluído
03/11 - Maquinas entregue em 03/11. aguardando o DA de operações para finalizar a demanda;
20710 - Disponivel para homologação. Previsão entre 28 e 29/10;
20/10 - Em Configuração, homologação prevista para 28 e 29/10;
13/10 - Em Configurações de ambiente. 
06/10 - Planejamento das atividades (localização de insumos, ramais, gravação, etc)</t>
  </si>
  <si>
    <t>06/11 - Concluído
03/11 - Posições em configuração até 04/11, Homologação prevista para 05/11;</t>
  </si>
  <si>
    <t xml:space="preserve">apraposo@contax.com.br </t>
  </si>
  <si>
    <t xml:space="preserve">prsfreitas@contax.com.br </t>
  </si>
  <si>
    <t>Continuaremos com esse projeto?
Ainda não foi priorizado</t>
  </si>
  <si>
    <t xml:space="preserve">sfsouza@contax.com.br </t>
  </si>
  <si>
    <t>Status atual?</t>
  </si>
  <si>
    <t xml:space="preserve">dlcavalcante@contax.com.br </t>
  </si>
  <si>
    <t xml:space="preserve">ldrodrigues@contax.com.br </t>
  </si>
  <si>
    <t>Continuaremos com esse projeto?
Ainda não foi priorizado
Status atual?</t>
  </si>
  <si>
    <t xml:space="preserve">jmolina@contax.com.br </t>
  </si>
  <si>
    <t xml:space="preserve">Status atual? </t>
  </si>
  <si>
    <t xml:space="preserve">elferreira@contax.com.br </t>
  </si>
  <si>
    <t xml:space="preserve">alealves@contax.com.br </t>
  </si>
  <si>
    <t xml:space="preserve">pmpinto@contax.com.br </t>
  </si>
  <si>
    <t>Complexo. Continuaremos com esse projeto?
Ainda não foi priorizado
Status atual?</t>
  </si>
  <si>
    <t xml:space="preserve">rcsantos@contax.com.br </t>
  </si>
  <si>
    <t xml:space="preserve">tfialho@contax.com.br </t>
  </si>
  <si>
    <t xml:space="preserve">raraujo@contax.com.br </t>
  </si>
  <si>
    <t xml:space="preserve">erika.miguel@todo.com.br </t>
  </si>
  <si>
    <t xml:space="preserve">rodcosta@contax.com.br </t>
  </si>
  <si>
    <t>Status atual</t>
  </si>
  <si>
    <t xml:space="preserve">100749@contax.com.br </t>
  </si>
  <si>
    <t>Preenchimento do formulário? Continuaremos com esse projeto?
Status atual?</t>
  </si>
  <si>
    <t xml:space="preserve">maccfilho@contax.com.br </t>
  </si>
  <si>
    <t xml:space="preserve">lmnascimento@contax.com.br </t>
  </si>
  <si>
    <t>Continuaremos com esse projeto? Não foi priorizado
Status atual?</t>
  </si>
  <si>
    <t xml:space="preserve">spgomes@contax.com.br </t>
  </si>
  <si>
    <t xml:space="preserve">fecavalcante@contax.com.br </t>
  </si>
  <si>
    <t>Preenchimento do formulário?
Status atual?
Continuará?</t>
  </si>
  <si>
    <t xml:space="preserve">ckuzuhara@contax.com.br </t>
  </si>
  <si>
    <t xml:space="preserve">jgnogiri@contax.com.br </t>
  </si>
  <si>
    <t xml:space="preserve">wanderson.marques@todo.com.br </t>
  </si>
  <si>
    <t xml:space="preserve">vcolella@contax.com.br </t>
  </si>
  <si>
    <t xml:space="preserve">mcmello@contax.com.br </t>
  </si>
  <si>
    <t xml:space="preserve">cristiane.sasaki@todo.com.br </t>
  </si>
  <si>
    <t xml:space="preserve">atonini@contax.com.br </t>
  </si>
  <si>
    <t>Status?</t>
  </si>
  <si>
    <t xml:space="preserve">jopneto@grupocontax.com </t>
  </si>
  <si>
    <t xml:space="preserve">wpizii@contax.com.br </t>
  </si>
  <si>
    <t>[16/11] Aguardando recurso / priorização</t>
  </si>
  <si>
    <t xml:space="preserve">mlgarrido@contax.com.br </t>
  </si>
  <si>
    <t xml:space="preserve">Maria Lorena Garrido Sandoval </t>
  </si>
  <si>
    <t xml:space="preserve">lscardoso@contax.com.br </t>
  </si>
  <si>
    <t xml:space="preserve">palmeida1@contax.com.br </t>
  </si>
  <si>
    <t xml:space="preserve">rlsilva@contax.com.br </t>
  </si>
  <si>
    <t xml:space="preserve">jfbarbosa@contax.com.br </t>
  </si>
  <si>
    <t>Status atual? Concluído?</t>
  </si>
  <si>
    <t xml:space="preserve">155048@contax.com.br </t>
  </si>
  <si>
    <t xml:space="preserve">mariana.boschiero@grupocontax.com </t>
  </si>
  <si>
    <t xml:space="preserve">alexandre.magno@todo.com.br </t>
  </si>
  <si>
    <t xml:space="preserve">fatbarreiros@contax.com.br </t>
  </si>
  <si>
    <t xml:space="preserve">freto@contax.com.br </t>
  </si>
  <si>
    <t xml:space="preserve">lucasoliveira@contax.net.br </t>
  </si>
  <si>
    <t xml:space="preserve">andsantos@contax.com.br </t>
  </si>
  <si>
    <t xml:space="preserve">mabrandao@contax.com.br </t>
  </si>
  <si>
    <t xml:space="preserve">363119@contax.com.br </t>
  </si>
  <si>
    <t xml:space="preserve">algalcantara@contax.com.br </t>
  </si>
  <si>
    <t xml:space="preserve">nmgualberto@contax.com.br </t>
  </si>
  <si>
    <t xml:space="preserve">kathleen.porto@todo.com.br </t>
  </si>
  <si>
    <t>Concluído?</t>
  </si>
  <si>
    <t xml:space="preserve">karamalho@contax.com.br </t>
  </si>
  <si>
    <t>Foi homologado?</t>
  </si>
  <si>
    <t xml:space="preserve">584455@contax.com.br </t>
  </si>
  <si>
    <r>
      <t xml:space="preserve">16/11 - Aguardando priorização
17/07 - </t>
    </r>
    <r>
      <rPr>
        <b/>
        <sz val="8"/>
        <rFont val="Calibri"/>
        <family val="2"/>
      </rPr>
      <t>STATUS</t>
    </r>
    <r>
      <rPr>
        <sz val="8"/>
        <rFont val="Calibri"/>
        <family val="2"/>
      </rPr>
      <t xml:space="preserve"> - recebido a documentção e encaminhado para equipe de URA efetuar a analsie e stimativa..
15/08-</t>
    </r>
    <r>
      <rPr>
        <b/>
        <sz val="8"/>
        <rFont val="Calibri"/>
        <family val="2"/>
      </rPr>
      <t>STATUS -</t>
    </r>
    <r>
      <rPr>
        <sz val="8"/>
        <rFont val="Calibri"/>
        <family val="2"/>
      </rPr>
      <t xml:space="preserve"> Projeto sem preenchimento do detalhamento Retorno financeiro esperado, aguardando o retorno com esta analise.</t>
    </r>
  </si>
  <si>
    <t xml:space="preserve">fernando.silva@todo.com.br </t>
  </si>
  <si>
    <t xml:space="preserve">lpvieira@contax.com.br </t>
  </si>
  <si>
    <t xml:space="preserve">david.chaves@todo.com.br </t>
  </si>
  <si>
    <t>14/10 - Aguardando disponibildiade de recurso / priorização</t>
  </si>
  <si>
    <t xml:space="preserve">mapaiva@contax.com.br </t>
  </si>
  <si>
    <t xml:space="preserve">efortunato@contax.com.br </t>
  </si>
  <si>
    <t>Status atrual? Concluído?</t>
  </si>
  <si>
    <t xml:space="preserve">ATPinho@contax.com.br </t>
  </si>
  <si>
    <t>Status atrual? Temos layout?</t>
  </si>
  <si>
    <t>vcolella@contax.com.br</t>
  </si>
  <si>
    <t xml:space="preserve">lbmesquita@contax.com.br </t>
  </si>
  <si>
    <t xml:space="preserve">dafpereira@contax.com.br </t>
  </si>
  <si>
    <t xml:space="preserve">trdallecrode@contax.com.br </t>
  </si>
  <si>
    <t xml:space="preserve">lpenascimento@contax.com.br </t>
  </si>
  <si>
    <t>Homologado? Status atual?</t>
  </si>
  <si>
    <t xml:space="preserve">fnmenezes@contax.com.br </t>
  </si>
  <si>
    <t xml:space="preserve">barbara.boff@todo.com.br </t>
  </si>
  <si>
    <t>16/11 - Aguardando disponibilidade de recurso ou priorização</t>
  </si>
  <si>
    <t xml:space="preserve">daniel.donaire@contax.com.br </t>
  </si>
  <si>
    <t xml:space="preserve">ramariano@contax.com.br </t>
  </si>
  <si>
    <t xml:space="preserve">591070@contax.com.br </t>
  </si>
  <si>
    <t xml:space="preserve">jpbello@contax.com.br </t>
  </si>
  <si>
    <t xml:space="preserve">prsimoes@contax.com.br </t>
  </si>
  <si>
    <t xml:space="preserve">cbalves@contax.com.br </t>
  </si>
  <si>
    <t xml:space="preserve">diego.fernandez@todo.com.br </t>
  </si>
  <si>
    <t xml:space="preserve">jsfrancisco@contax.com.br </t>
  </si>
  <si>
    <t xml:space="preserve">priscila.claros@grupocontax.com </t>
  </si>
  <si>
    <t>jsfrancisco@contax.com.br</t>
  </si>
  <si>
    <t xml:space="preserve">557934@contax.com.br </t>
  </si>
  <si>
    <t xml:space="preserve">589671@contax.com.br </t>
  </si>
  <si>
    <t xml:space="preserve">493041@contax.com.br </t>
  </si>
  <si>
    <t xml:space="preserve">JESSICA UBALDO MACHADO </t>
  </si>
  <si>
    <t xml:space="preserve">dlchagas@contax.com.br </t>
  </si>
  <si>
    <t xml:space="preserve">Darlin Lina Alexandre das Chagas </t>
  </si>
  <si>
    <t xml:space="preserve">Juliano Molina </t>
  </si>
  <si>
    <t xml:space="preserve">Carlos Batista Alves </t>
  </si>
  <si>
    <t xml:space="preserve">Daniela Mesquita Monteiro </t>
  </si>
  <si>
    <t xml:space="preserve">Erika Andrade Miguel </t>
  </si>
  <si>
    <t xml:space="preserve">juliana.moraes@todo.com.br </t>
  </si>
  <si>
    <t>Juliana Souza de Moraes</t>
  </si>
  <si>
    <t>Tatiana Aparecida Barbosa</t>
  </si>
  <si>
    <t xml:space="preserve">Diego Vivanco Fernandez </t>
  </si>
  <si>
    <t xml:space="preserve">fhoffmann@contax.com.br </t>
  </si>
  <si>
    <t xml:space="preserve">06/10 - Aguardando priorização
24/09- Encaminhado para site alexandre gustavo
</t>
  </si>
  <si>
    <t xml:space="preserve">cfmelo@grupocontax.com </t>
  </si>
  <si>
    <t>06/11 - Aguardando priorização
29/09- STATUS- Projeto pendente de retorno financeiro</t>
  </si>
  <si>
    <t xml:space="preserve">851730@contax.com.br </t>
  </si>
  <si>
    <t xml:space="preserve">crocha@contax.com.br </t>
  </si>
  <si>
    <t>07/10 - Em fila de TI</t>
  </si>
  <si>
    <t>07/10 - Em fila de TI
Projeto sem aprovação do S&amp;OP ou priorização</t>
  </si>
  <si>
    <t xml:space="preserve">Cristiane Akiko Sasaki </t>
  </si>
  <si>
    <t>08/10 - Sem priorização</t>
  </si>
  <si>
    <t>06/11 - Aguardando priorização</t>
  </si>
  <si>
    <t>Joice</t>
  </si>
  <si>
    <t>Projeto - Projeto - Substituição das maquinas Oi da sala de Macros</t>
  </si>
  <si>
    <t xml:space="preserve">CTXBHZRI-93948 </t>
  </si>
  <si>
    <t xml:space="preserve">Jill Ullmann Ortiz </t>
  </si>
  <si>
    <t xml:space="preserve">jortiz@contax.com.br </t>
  </si>
  <si>
    <t xml:space="preserve">16/11 - Não temos disponibilidade de licenças de hosteplorer e do Enterprise Manager (SQL). </t>
  </si>
  <si>
    <t>CTXRECSA-430340</t>
  </si>
  <si>
    <t>Projeto - Projeto Instalar Totem para Campanha da Fatura Digital (RECIFE)</t>
  </si>
  <si>
    <t xml:space="preserve">16/11 -  Pendencias: Providenciar instalação de um ponto de rede. Dois transformadores para alimentação dos Totens (totem 110 v - sala 220 v)
16/11 - O cliente confirmou as datas abaixo: 
Recife – Site Santo Amaro: Entrega e instalação dos equipamentos dia 24/11, Inauguração dia 26/11. </t>
  </si>
  <si>
    <t>CTXRECAM-55620</t>
  </si>
  <si>
    <t>Projeto - Implantar o Portal Clientis na operação REDE</t>
  </si>
  <si>
    <t>Pendente: • Colocar 1 ponto de ramal na operação REDE no Site Conquista</t>
  </si>
  <si>
    <t>CTXRECAM-55921</t>
  </si>
  <si>
    <t>Implantar o processo de auditoria Clientis em uma posição de antedimento da REDE</t>
  </si>
  <si>
    <t>Iosmar</t>
  </si>
  <si>
    <t>16/11 - Aguardando analise do site</t>
  </si>
  <si>
    <t>Projeto Instalar Totem para Campanha da Fatura Digital nas operações Itaú Site Cabula</t>
  </si>
  <si>
    <t xml:space="preserve">CTXSALSM-83159 </t>
  </si>
  <si>
    <t xml:space="preserve">16/11 - O cliente confirmou as datas abaixo: 
Salvador – Site Cabula: Entrega e instalação dos equipamentos dia 19/11, Inauguração dia 24/11. </t>
  </si>
  <si>
    <t>CTXSPOAP407-13150</t>
  </si>
  <si>
    <t>CTXSALPB-45762</t>
  </si>
  <si>
    <t>Crescimento em 55 pv's para o Outbound Empresarial</t>
  </si>
  <si>
    <t>CTXSPOAP407-13236</t>
  </si>
  <si>
    <t>Projeto - Solução infraestrutura (servidor e link) para relatórios de Televendas</t>
  </si>
  <si>
    <t>CTXFORBM-333104</t>
  </si>
  <si>
    <t>Crescimento de 8 p.a's para a ilha de receita móvel</t>
  </si>
  <si>
    <t>CTXFORBM-333101</t>
  </si>
  <si>
    <t>Crescimento de 26 p.a's para o receptivo TV</t>
  </si>
  <si>
    <t>CTXFORBM-333182</t>
  </si>
  <si>
    <t>Crescimento de 20 p.a's para o receptivo Pós</t>
  </si>
  <si>
    <t>CTXFORBM-333204</t>
  </si>
  <si>
    <t>Crescimento de 13 p.a's para o Receptivo Controle</t>
  </si>
  <si>
    <t>CTXFORBM-334156</t>
  </si>
  <si>
    <t>Crescimento de  62 p.a's para Propenso R1</t>
  </si>
  <si>
    <t>CTXFORBM-334157</t>
  </si>
  <si>
    <t>Crescimento de   41 p.a's para Propenso R2</t>
  </si>
  <si>
    <t>CTXFORBM-334158</t>
  </si>
  <si>
    <t>Crescimento de 7 p.a's para Propenso OCT</t>
  </si>
  <si>
    <t>SASAKI 2015/11/12 - Ainda pendente de orçamento de infra. Como está escalado para PMO-TI estou encerrando a parte de Aplicações</t>
  </si>
  <si>
    <t>CTXSPOAP407-13781</t>
  </si>
  <si>
    <t>CTXSALPB-46765</t>
  </si>
  <si>
    <t>CRESCIMENTO DE 40PA'S CLARO - SITE BOA VIAGEM</t>
  </si>
  <si>
    <t>Projeto - Piloto Indigo</t>
  </si>
  <si>
    <t>09/11 - Projeto executado entre 3/11 e 06/11. Cliente deu ok na data de hj</t>
  </si>
  <si>
    <t>9/11 - cancelado a pedido do solicitante</t>
  </si>
  <si>
    <r>
      <rPr>
        <b/>
        <sz val="11"/>
        <color theme="1"/>
        <rFont val="Calibri"/>
        <family val="2"/>
        <scheme val="minor"/>
      </rPr>
      <t xml:space="preserve">17/11 - </t>
    </r>
    <r>
      <rPr>
        <sz val="11"/>
        <color theme="1"/>
        <rFont val="Calibri"/>
        <family val="2"/>
        <scheme val="minor"/>
      </rPr>
      <t>Conforme informações do solicitante , este projeto foi concluído.</t>
    </r>
    <r>
      <rPr>
        <b/>
        <sz val="11"/>
        <color theme="1"/>
        <rFont val="Calibri"/>
        <family val="2"/>
        <scheme val="minor"/>
      </rPr>
      <t xml:space="preserve">
</t>
    </r>
    <r>
      <rPr>
        <sz val="11"/>
        <color theme="1"/>
        <rFont val="Calibri"/>
        <family val="2"/>
        <scheme val="minor"/>
      </rPr>
      <t xml:space="preserve">03/11 -Ainda temos pendências das licenças do Tlv, aguardando a definição da operação. 
Sendo verificado pelo Flávio Cunha (Ger. da oper) esta questão com o Fernando Júnior.
20/10 -Liberação das licenças, aberto novo chamado  CTXNITSP-171145  para a troca destas licenças.
</t>
    </r>
    <r>
      <rPr>
        <b/>
        <sz val="11"/>
        <color theme="1"/>
        <rFont val="Calibri"/>
        <family val="2"/>
        <scheme val="minor"/>
      </rPr>
      <t xml:space="preserve">
</t>
    </r>
    <r>
      <rPr>
        <sz val="11"/>
        <color theme="1"/>
        <rFont val="Calibri"/>
        <family val="2"/>
        <scheme val="minor"/>
      </rPr>
      <t>13/10 -Realizando a alteração das licenças do Tlv</t>
    </r>
    <r>
      <rPr>
        <b/>
        <sz val="11"/>
        <color theme="1"/>
        <rFont val="Calibri"/>
        <family val="2"/>
        <scheme val="minor"/>
      </rPr>
      <t xml:space="preserve">
</t>
    </r>
    <r>
      <rPr>
        <sz val="11"/>
        <color theme="1"/>
        <rFont val="Calibri"/>
        <family val="2"/>
        <scheme val="minor"/>
      </rPr>
      <t xml:space="preserve">06/10 </t>
    </r>
    <r>
      <rPr>
        <b/>
        <sz val="11"/>
        <color theme="1"/>
        <rFont val="Calibri"/>
        <family val="2"/>
        <scheme val="minor"/>
      </rPr>
      <t xml:space="preserve">- </t>
    </r>
    <r>
      <rPr>
        <sz val="11"/>
        <color theme="1"/>
        <rFont val="Calibri"/>
        <family val="2"/>
        <scheme val="minor"/>
      </rPr>
      <t>Em análise
28/09- já solicitei o cronograma</t>
    </r>
  </si>
  <si>
    <r>
      <rPr>
        <b/>
        <sz val="11"/>
        <color theme="1"/>
        <rFont val="Calibri"/>
        <family val="2"/>
        <scheme val="minor"/>
      </rPr>
      <t>17/11 -</t>
    </r>
    <r>
      <rPr>
        <sz val="11"/>
        <color theme="1"/>
        <rFont val="Calibri"/>
        <family val="2"/>
        <scheme val="minor"/>
      </rPr>
      <t xml:space="preserve"> Projeto Concluído
</t>
    </r>
    <r>
      <rPr>
        <b/>
        <sz val="11"/>
        <color theme="1"/>
        <rFont val="Calibri"/>
        <family val="2"/>
        <scheme val="minor"/>
      </rPr>
      <t xml:space="preserve">
</t>
    </r>
    <r>
      <rPr>
        <sz val="11"/>
        <color theme="1"/>
        <rFont val="Calibri"/>
        <family val="2"/>
        <scheme val="minor"/>
      </rPr>
      <t xml:space="preserve">10/11 - Em rollout. Questão de atualização errônea de versão em discussão.Necessario fazer rollback dessas posições.
27/10 </t>
    </r>
    <r>
      <rPr>
        <b/>
        <sz val="11"/>
        <color theme="1"/>
        <rFont val="Calibri"/>
        <family val="2"/>
        <scheme val="minor"/>
      </rPr>
      <t>-</t>
    </r>
    <r>
      <rPr>
        <sz val="11"/>
        <color theme="1"/>
        <rFont val="Calibri"/>
        <family val="2"/>
        <scheme val="minor"/>
      </rPr>
      <t xml:space="preserve"> Rollout amanhã 28/10 </t>
    </r>
    <r>
      <rPr>
        <b/>
        <sz val="11"/>
        <color theme="1"/>
        <rFont val="Calibri"/>
        <family val="2"/>
        <scheme val="minor"/>
      </rPr>
      <t xml:space="preserve">
</t>
    </r>
    <r>
      <rPr>
        <sz val="11"/>
        <color theme="1"/>
        <rFont val="Calibri"/>
        <family val="2"/>
        <scheme val="minor"/>
      </rPr>
      <t xml:space="preserve">20/10 </t>
    </r>
    <r>
      <rPr>
        <b/>
        <sz val="11"/>
        <color theme="1"/>
        <rFont val="Calibri"/>
        <family val="2"/>
        <scheme val="minor"/>
      </rPr>
      <t xml:space="preserve">- </t>
    </r>
    <r>
      <rPr>
        <sz val="11"/>
        <color theme="1"/>
        <rFont val="Calibri"/>
        <family val="2"/>
        <scheme val="minor"/>
      </rPr>
      <t xml:space="preserve">Pelo layout enviado pelo cliente foram identificadas 418 pas inclusas neste projeto. Conforme conferência foi alinhado que as 4 máquinas do piloto continuam em report do dia 28/10 até 06/11 (10 dias);
O rollout iniciará nos dias 28 á 30/10.
13/10 - Em homologação, realizan  do alguns ajustes perante regra de negocio operacional
06/10 - Em fase de Homologação. Todas as sinalizações de falha onde recebemos insumos conseguimos analisar e identificamos ainda alguns ajustes onde será liberada uma nova versão ainda hoje 06/10.
Identificamos também alguns casos improcedentes e ainda que existem telas que não foram mapeadas. Sendo analisado.
29/09 -Piloto até o dia 02/10. Caso haja algum ajuste até o dia 09/10 conseguimos fazer alguma correção para  posteriormente realizar o rollout.
-------------------------------------
22/09 - o novo layout foi enviado, a regional está reconfigurando as máquinas para darmos sequencia a homologação
16/09 - A nova versão para homologação, foi liberada no dia 09/09 e até o momento não tivemos nenhum repor da pa do Piloto. 
Na operação tivemos mudança de layout, impactando assim no processo de homologação.
O Cronograma está sendo impactado devido a este cenário, interação sendo realizada com a operação, porém sem retorno.
</t>
    </r>
  </si>
  <si>
    <r>
      <rPr>
        <b/>
        <sz val="11"/>
        <color theme="1"/>
        <rFont val="Calibri"/>
        <family val="2"/>
        <scheme val="minor"/>
      </rPr>
      <t>17/11 -</t>
    </r>
    <r>
      <rPr>
        <sz val="11"/>
        <color theme="1"/>
        <rFont val="Calibri"/>
        <family val="2"/>
        <scheme val="minor"/>
      </rPr>
      <t xml:space="preserve"> Projeto Concluído
03/11 - Aguardando uma última interação com N3 sobre a liberação do layout do sistema Oi - SGA para que o projeto possar ser encerrado.</t>
    </r>
    <r>
      <rPr>
        <b/>
        <sz val="11"/>
        <color theme="1"/>
        <rFont val="Calibri"/>
        <family val="2"/>
        <scheme val="minor"/>
      </rPr>
      <t xml:space="preserve">
</t>
    </r>
    <r>
      <rPr>
        <sz val="11"/>
        <color theme="1"/>
        <rFont val="Calibri"/>
        <family val="2"/>
        <scheme val="minor"/>
      </rPr>
      <t xml:space="preserve">27/10 </t>
    </r>
    <r>
      <rPr>
        <b/>
        <sz val="11"/>
        <color theme="1"/>
        <rFont val="Calibri"/>
        <family val="2"/>
        <scheme val="minor"/>
      </rPr>
      <t>-</t>
    </r>
    <r>
      <rPr>
        <sz val="11"/>
        <color theme="1"/>
        <rFont val="Calibri"/>
        <family val="2"/>
        <scheme val="minor"/>
      </rPr>
      <t xml:space="preserve"> Em homologação</t>
    </r>
    <r>
      <rPr>
        <b/>
        <sz val="11"/>
        <color theme="1"/>
        <rFont val="Calibri"/>
        <family val="2"/>
        <scheme val="minor"/>
      </rPr>
      <t xml:space="preserve">
</t>
    </r>
    <r>
      <rPr>
        <sz val="11"/>
        <color theme="1"/>
        <rFont val="Calibri"/>
        <family val="2"/>
        <scheme val="minor"/>
      </rPr>
      <t>20/10 -</t>
    </r>
    <r>
      <rPr>
        <b/>
        <sz val="11"/>
        <color theme="1"/>
        <rFont val="Calibri"/>
        <family val="2"/>
        <scheme val="minor"/>
      </rPr>
      <t xml:space="preserve"> </t>
    </r>
    <r>
      <rPr>
        <sz val="11"/>
        <color theme="1"/>
        <rFont val="Calibri"/>
        <family val="2"/>
        <scheme val="minor"/>
      </rPr>
      <t xml:space="preserve">Ações restantes: 
_Finalizar imagens das 8 máquinas pelo Manoel Junior e equipe
_Finalizada a inclusão da máquina da supervisão pela equipe do site
_Logins de Rede, Telecom, Nice criados após interação com as áreas e testados. 
</t>
    </r>
    <r>
      <rPr>
        <u/>
        <sz val="11"/>
        <color theme="1"/>
        <rFont val="Calibri"/>
        <family val="2"/>
        <scheme val="minor"/>
      </rPr>
      <t>Pendente</t>
    </r>
    <r>
      <rPr>
        <sz val="11"/>
        <color theme="1"/>
        <rFont val="Calibri"/>
        <family val="2"/>
        <scheme val="minor"/>
      </rPr>
      <t>:
_Associar o ramal da supervisora que é 68835 e alterar o nome  para (Auditoria OI) – em interação com Junior  / Resp: Tiago Fialho e Manoel Junior
_Treinamento da OI em andamento com previsão de termino 23/10. / Resp: Tiago Fialho
_Validar a liberação do acesso a FTP da OI na VLAN 57 do layout / Resp: Tiago Fialho</t>
    </r>
    <r>
      <rPr>
        <b/>
        <sz val="11"/>
        <color theme="1"/>
        <rFont val="Calibri"/>
        <family val="2"/>
        <scheme val="minor"/>
      </rPr>
      <t xml:space="preserve">
-------------------------------------
</t>
    </r>
    <r>
      <rPr>
        <sz val="11"/>
        <color theme="1"/>
        <rFont val="Calibri"/>
        <family val="2"/>
        <scheme val="minor"/>
      </rPr>
      <t>13/10 - Mediante uma solicitação do cliente OI iremos voltar para o site Cabula com as pv's aptas para o crescimento dessa auditoria. 
A cliente tambem alterou o parque de pv's inicial de 15 para 8 pv's + 1 de supervisor</t>
    </r>
    <r>
      <rPr>
        <b/>
        <sz val="11"/>
        <color theme="1"/>
        <rFont val="Calibri"/>
        <family val="2"/>
        <scheme val="minor"/>
      </rPr>
      <t xml:space="preserve">
</t>
    </r>
    <r>
      <rPr>
        <sz val="11"/>
        <color theme="1"/>
        <rFont val="Calibri"/>
        <family val="2"/>
        <scheme val="minor"/>
      </rPr>
      <t xml:space="preserve">06/10 </t>
    </r>
    <r>
      <rPr>
        <b/>
        <sz val="11"/>
        <color theme="1"/>
        <rFont val="Calibri"/>
        <family val="2"/>
        <scheme val="minor"/>
      </rPr>
      <t xml:space="preserve">- </t>
    </r>
    <r>
      <rPr>
        <sz val="11"/>
        <color theme="1"/>
        <rFont val="Calibri"/>
        <family val="2"/>
        <scheme val="minor"/>
      </rPr>
      <t>Aguardando retorno do Site com Estimativa de Esforço
Prazo para implantação exigido pelo cliente Oi: 01/10</t>
    </r>
  </si>
  <si>
    <r>
      <rPr>
        <b/>
        <sz val="11"/>
        <color theme="1"/>
        <rFont val="Calibri"/>
        <family val="2"/>
        <scheme val="minor"/>
      </rPr>
      <t>17/11 -</t>
    </r>
    <r>
      <rPr>
        <sz val="11"/>
        <color theme="1"/>
        <rFont val="Calibri"/>
        <family val="2"/>
        <scheme val="minor"/>
      </rPr>
      <t xml:space="preserve"> Conforme interação com o analista George, já foi testado porém, o Cliente Cielo não tem prazo para enviar o novo layout. Já foi fechado pela Ayty.</t>
    </r>
    <r>
      <rPr>
        <b/>
        <sz val="11"/>
        <color theme="1"/>
        <rFont val="Calibri"/>
        <family val="2"/>
        <scheme val="minor"/>
      </rPr>
      <t xml:space="preserve">
03/11 - </t>
    </r>
    <r>
      <rPr>
        <sz val="11"/>
        <color theme="1"/>
        <rFont val="Calibri"/>
        <family val="2"/>
        <scheme val="minor"/>
      </rPr>
      <t>Homologação realizada nos dias 28 e 29/09. Devido ao cliente Cielo realizar alterações no layout, solicitou alteração de data para entrar em produção. Ainda não alinhada nova data, aguardando definição da Cielo.</t>
    </r>
    <r>
      <rPr>
        <b/>
        <sz val="11"/>
        <color theme="1"/>
        <rFont val="Calibri"/>
        <family val="2"/>
        <scheme val="minor"/>
      </rPr>
      <t xml:space="preserve">
27/10 </t>
    </r>
    <r>
      <rPr>
        <sz val="11"/>
        <color theme="1"/>
        <rFont val="Calibri"/>
        <family val="2"/>
        <scheme val="minor"/>
      </rPr>
      <t>- Aguardando liberação da Cielo</t>
    </r>
    <r>
      <rPr>
        <b/>
        <sz val="11"/>
        <color theme="1"/>
        <rFont val="Calibri"/>
        <family val="2"/>
        <scheme val="minor"/>
      </rPr>
      <t xml:space="preserve">
</t>
    </r>
    <r>
      <rPr>
        <sz val="11"/>
        <color theme="1"/>
        <rFont val="Calibri"/>
        <family val="2"/>
        <scheme val="minor"/>
      </rPr>
      <t>20/10 -</t>
    </r>
    <r>
      <rPr>
        <b/>
        <sz val="11"/>
        <color theme="1"/>
        <rFont val="Calibri"/>
        <family val="2"/>
        <scheme val="minor"/>
      </rPr>
      <t xml:space="preserve"> </t>
    </r>
    <r>
      <rPr>
        <sz val="11"/>
        <color theme="1"/>
        <rFont val="Calibri"/>
        <family val="2"/>
        <scheme val="minor"/>
      </rPr>
      <t xml:space="preserve">Dependendo da liberação da Cielo. É junto com o GDC. 
</t>
    </r>
    <r>
      <rPr>
        <b/>
        <sz val="11"/>
        <color theme="1"/>
        <rFont val="Calibri"/>
        <family val="2"/>
        <scheme val="minor"/>
      </rPr>
      <t xml:space="preserve">
</t>
    </r>
    <r>
      <rPr>
        <sz val="11"/>
        <color theme="1"/>
        <rFont val="Calibri"/>
        <family val="2"/>
        <scheme val="minor"/>
      </rPr>
      <t>13/10 - Homologação realizada nos dias 28 e 29/09. Devido ao cliente Cielo realizar alterações no layout, solicitou alteração de data para entrar em produção. Ainda não alinhada nova data, mas será após a segunda quinzena de Outubro</t>
    </r>
    <r>
      <rPr>
        <b/>
        <sz val="11"/>
        <color theme="1"/>
        <rFont val="Calibri"/>
        <family val="2"/>
        <scheme val="minor"/>
      </rPr>
      <t xml:space="preserve">
</t>
    </r>
    <r>
      <rPr>
        <sz val="11"/>
        <color theme="1"/>
        <rFont val="Calibri"/>
        <family val="2"/>
        <scheme val="minor"/>
      </rPr>
      <t xml:space="preserve">06/10 </t>
    </r>
    <r>
      <rPr>
        <b/>
        <sz val="11"/>
        <color theme="1"/>
        <rFont val="Calibri"/>
        <family val="2"/>
        <scheme val="minor"/>
      </rPr>
      <t xml:space="preserve">- </t>
    </r>
    <r>
      <rPr>
        <sz val="11"/>
        <color theme="1"/>
        <rFont val="Calibri"/>
        <family val="2"/>
        <scheme val="minor"/>
      </rPr>
      <t>Fornecedor  Ayty está em etapa final da customização para iniciarmos  testes na operação.           Em andamento no Prazo.</t>
    </r>
  </si>
  <si>
    <r>
      <rPr>
        <b/>
        <sz val="11"/>
        <color theme="1"/>
        <rFont val="Calibri"/>
        <family val="2"/>
        <scheme val="minor"/>
      </rPr>
      <t xml:space="preserve">17/11 - </t>
    </r>
    <r>
      <rPr>
        <sz val="11"/>
        <color theme="1"/>
        <rFont val="Calibri"/>
        <family val="2"/>
        <scheme val="minor"/>
      </rPr>
      <t xml:space="preserve">Demandante solicitou o fechamento do projeto pois a Cielo não tem prazo de colocar em produção estando em dependência do novo layout dentre outras ações. Quando tiver o prazo será aberto uma nova demanda para implantação.
27/10 - Homologação do sistema.
 </t>
    </r>
    <r>
      <rPr>
        <b/>
        <sz val="11"/>
        <color theme="1"/>
        <rFont val="Calibri"/>
        <family val="2"/>
        <scheme val="minor"/>
      </rPr>
      <t xml:space="preserve">
</t>
    </r>
    <r>
      <rPr>
        <sz val="11"/>
        <color theme="1"/>
        <rFont val="Calibri"/>
        <family val="2"/>
        <scheme val="minor"/>
      </rPr>
      <t xml:space="preserve">20/10 - Aguardando retorno do cliente perante novo layout.
</t>
    </r>
    <r>
      <rPr>
        <b/>
        <sz val="11"/>
        <color theme="1"/>
        <rFont val="Calibri"/>
        <family val="2"/>
        <scheme val="minor"/>
      </rPr>
      <t xml:space="preserve">
</t>
    </r>
    <r>
      <rPr>
        <sz val="11"/>
        <color theme="1"/>
        <rFont val="Calibri"/>
        <family val="2"/>
        <scheme val="minor"/>
      </rPr>
      <t>13/10 - Fornecedor  Ayty está em etapa final da customização para iniciarmos  testes na operação.           Em andamento no Prazo.</t>
    </r>
  </si>
  <si>
    <t>CTXSALSM-78582</t>
  </si>
  <si>
    <t>Projeto - Implantar Relatorio de Ura Oi Internet</t>
  </si>
  <si>
    <t>[04/11] Roll out finalizado (report da sasaki)
[27/10 – Leandro] Projeto sendo realizado de forma concomitante  com Novo Sigma. 
[20/10 – Leandro] Projeto sendo realizado de forma concomitante  aos pilotos  Novo Sigma. Aguardando posicionamento Suporte ao Negócio referente as evidências (ainda aguardando)
[13/10 – Leandro] Projeto sendo realizado de forma concomitante  aos pilotos  Novo Sigma. Aguardando posicionamento Suporte ao Negócio referente as evidências
[5/10 – Leandro] Projeto sendo realizado de forma concomitante  aos pilotos  Novo Sigma. 
[28/09 - Dalton] Ainda aguardando documentação solicitada pela equipe de Aplicações para prosseguir com a análise da documentação.
[17/09 – Cleonice] Aguardando documentação solicitada pela equipe de Aplicações para prosseguir com a análise da documentação.</t>
  </si>
  <si>
    <t xml:space="preserve">[04/11] Roll out finalizado (report da sasaki)
[27/10 – Leandro]  Organizada equipe local para a execução do rollout no dia 29/10 e acompanhamento em 30/10.
[16/10 – Leandro]  Definida data da GMUD em POA e REC: 26 a 28/10
Necessário definir ponto focal da operação em POA e REC para o período de GMUD (resp: Juliano)
Necessário definir ponto focal de TI em POA e REC para o período de GMUD (resp: Mariana)
[13/10 – Leandro] 
Piloto Navegantes  (Aguardando posicionamento  de Sup. Negócio)
Piloto Aurora OK
Piloto Santo Amaro (Aguardando posicionamento  de Sup. Negócio)
05/10 - Piloto Navegantes  OK (Porém, tempo foi insuficiente de averiguação e testes, equipe local desmontou piloto/ será necessário mais tempo). 
Piloto Aurora OK
Piloto Santo Amaro  Em processo
[28/09 - Leandro] Piloto em andamento
Piloto Navegantes 29/09
Piloto Santo Amaro 30/09 (se tudo ocorrer bem em Navegantes)
Piloto Aurora 30/09 (se tudo ocorrer bem em Navegantes)
[21/09 – Leandro] Conversado com Mariana, e foram passados os pré-requisitos que eles necessitam para executar a atividade piloto.
[17/09 – Leandro] Desenvolvimento em fase de teste e avalição pela área de Aplicações. 
</t>
  </si>
  <si>
    <t>09/11/2015 - Um documento adicional de como está a infra foi elaborado e aprovado pelo coordenador Rafael Dias Correa. Estamos aguardando o "De Acordo" de segurança da Informação para a Criação do Usuário para que a aplicação fica em execução 24 x 7. [Report sasaki]
[27/10 - Leandro] Atualmente, a carga dos tickets para tratativa através da ferramenta Evalyze (fornecedor Closer) esta sendo feita via máquina desktop, que fica em um ambiente com 20 pessoas, para o rollout de projeto (15/Nov), a automatização presente na máquina desktop devera migrar para um servidor.
[20/10 - Leandro] Em especificação
[28/09 - Dalton] A estratégia do RTI da NEt foi alterada para o fornecedor BETA. Aplicações enviou as propostas e está aguardando retorno do fornecedor.
[18/09 – Dalton] Aguardando a disponibilidade do Servidor para instalação. Em 18/09-efetuei cobrança para o site da disponibilidade do mesmo.</t>
  </si>
  <si>
    <t>18/11 - Projeto cancelado</t>
  </si>
  <si>
    <t xml:space="preserve">[31/10] Segunda fase já implantada. Aguardando a terceira fase (validar no dia 01/12)
[14/10 – Dalton/Leandro] Fraseologia Central Lojista e Operador ( Primeira Fase já implantada – Próximas GMUDs 31/10 e 30/11)
[05/10 – Dalton/Leandro] A primeira etapa da inserção dos áudios na URA central lojista e central do operador entrou em produção na URA de SP, revendo-se procedimento realizado para RJ com fornecedor.
[18/09 - Dalton] Em contratação (abertura de SC)
[16/09 - Dalton] Aguardando proposta comercial da Information - Deverá estar no ar no dia 01/10 / Aguardando análise e orçamento da Information
</t>
  </si>
  <si>
    <t>spgomes@contax.com.br</t>
  </si>
  <si>
    <t>Enviado</t>
  </si>
  <si>
    <t>Não enviado (Sasaki informou que foi iniciado em 13/11)</t>
  </si>
  <si>
    <t>Em tratamento</t>
  </si>
  <si>
    <t>Retorno em 19/11</t>
  </si>
  <si>
    <t>19/11 - Aguardando priorização</t>
  </si>
  <si>
    <t>19/11 - O projeto foi implantado, a solicitação trata-se apenas de uma atualização de software que ainda não foi realizada.</t>
  </si>
  <si>
    <t>19/11 - Já foi executada a alteração de DAC, está tudo caminhado.</t>
  </si>
  <si>
    <t>19/11 - Formulário não preenchido</t>
  </si>
  <si>
    <t xml:space="preserve">[19/11] Projeto encerrado
[19/11] Anderson,
Regularizamos a ultima posição que estava com problemas de imagem.
Por favor, validar e nos informar para encerrarmos o projeto.
[18/11] GMUD programada para hoje às 17h
[20/10 – Dalton/Leandro] projeto em execução por infrasites
[14/10 – Dalton/Leandro] Instalação de licenças Access  / projeto em execução por infrasites / em estudo  demelhor dia para migração .
[05/10 – Dalton/Leandro] Cleverson identificou a necessidade de se obter usuário Produban com permissões de inclusão no Domínio, pois o Hostname de cada posição é atrelada ao numero da PA. (já existe uma solicitação interna para criação desses usuários para a equipe de SDK Contax).Verônica está o auxiliando com essa necessidade 
[23/09 – Leandro] Em análise por equipe de Infra sites / cobrado Cleverson dia 24/09 por retorno.
18/09 – Leandro] Em análise por equipe de Infra sites
[16/09 - Leandro] Aguardando cronograma de implantação da equipe Infra / sites implantações.
</t>
  </si>
  <si>
    <t>19/11 - Pedido gerado. Aguardando retorno do fornecedor
29/10 - Solicitação de compra aprovada</t>
  </si>
  <si>
    <t>19/11 - Novo projeto. Em fase de definições</t>
  </si>
  <si>
    <t>19/11 - Aguardando priorização (Na fila de TI desenvolvimento)</t>
  </si>
  <si>
    <t>Não é válido o email</t>
  </si>
  <si>
    <t xml:space="preserve">[19/11] Cliente solicitou para manter pois o processo interno é moroso. Não fechar até Janeiro/16. Neste período vamos avaliar novamente com o cliente. </t>
  </si>
  <si>
    <t>Retorno em 23/11</t>
  </si>
  <si>
    <t>23/11 - Projeto em hold. Aguadando disponibilização de desktops na Regional RJ. As máquinas que atenderia a operação foi disponibilizadas para a contingência do Banco do Brasil. Precisamos que o time de TI da Regional RJ nos passe um status.</t>
  </si>
  <si>
    <t>23/11 - Operação foi desmobilizada</t>
  </si>
  <si>
    <t>23/11 - Projeto com George
04/09- STAUTS - encaminhado para site. Cleverson</t>
  </si>
  <si>
    <t>23/11 - Está em andamento. Precisamos verificar com a equipe da Fábrica de Software do Rivaldo para solicitar avaliação</t>
  </si>
  <si>
    <t xml:space="preserve">23/11 - Projeto está com a analista Lisandra
29/09- Encaminhado para desenvolvimento Sasaki
</t>
  </si>
  <si>
    <t>23/11 - Já está na fase de implantação. Te passo um status na próxima semana, pois estamos verificando os últimos pontos.</t>
  </si>
  <si>
    <t>Sendo tratado</t>
  </si>
  <si>
    <t xml:space="preserve">05/11/2015 - Em fase de homologação. </t>
  </si>
  <si>
    <t xml:space="preserve">20/05/2015 - Aguardando retorno da área de negócios. E priorização da demanda. </t>
  </si>
  <si>
    <t xml:space="preserve">15/10/2015 - Projeto interno. Aguardando recurso. </t>
  </si>
  <si>
    <t xml:space="preserve">14/05 - aguardando licenças </t>
  </si>
  <si>
    <t xml:space="preserve">08/05/2015 - Aguardando recurso </t>
  </si>
  <si>
    <t xml:space="preserve">2015/11/06 - [Caique] - Aguardando retorno do cliente com o pontuamento sobre o documento de detalhamento de log. </t>
  </si>
  <si>
    <t xml:space="preserve">27/05/2015 - Aguardando priorização das filas de tGuidance e RTI para fechamento do to-be. </t>
  </si>
  <si>
    <t xml:space="preserve">27/05/2015 - Aguardando recursos para planejamento da migração. </t>
  </si>
  <si>
    <t xml:space="preserve">16/11 - Homologação realizada. Rollout previsto para o dia 17/11 as 8 horas; </t>
  </si>
  <si>
    <t xml:space="preserve">16/06/2015 - Proejto Parado aguardando aprovação de recursos financeiros - Daniel Donaire. 
Show Cristiane Akiko Sasaki added a comment - 16/Jun/15 16:26 16/06/2015 - Proejto Parado aguardando aprovação de recursos financeiros - Daniel Donaire. 
</t>
  </si>
  <si>
    <t xml:space="preserve">11/06/2015 - OG = SIMPLES (ATÉ 40H) - Aguardando priorização/recurso </t>
  </si>
  <si>
    <t>16/11 - Pendente preenchimento de formulário pelo solicitante</t>
  </si>
  <si>
    <t>24/set - Aguardando priorização
31/08-Solicitado atualização da EF do projeto</t>
  </si>
  <si>
    <t>15/10/2015 - Conforme explicado para Fernanda Nazário no dia 09/10, essa demanda deve ser direcionada para a equipe de Engenharia que deverá validar o link entre Closer - Contax - Oi.O solicitante precisa que a Closer acesse o diretorio FTP da Oi por meio da rede Contex visto que a Oi não liberará o acesso direto da Closer. 
IP Closer: 137.117.217.70 porta 22 
IP Oi: 10.81.8.7 - Login : stc_pe - Senha: ftpstcpe - Nome do diretorio: stc_pe 
IP Contax que possui acesso ao diretorio de FTP da Oi 
09/10 - Aguardando priorizar</t>
  </si>
  <si>
    <t>Sendo Tratado</t>
  </si>
  <si>
    <t>23/11 - Pedido Gerado de SC
23/11 - Projeto com George
03/09- STATUS - Projeto já encaminhado para o Financeiro gerar a SC.</t>
  </si>
  <si>
    <t>Aguardando priorização</t>
  </si>
  <si>
    <t>Aguardando priorização
09/09- STAUTS - encaminhado para TI-Engenharia - Celio e Villa.</t>
  </si>
  <si>
    <t>Aguardando priorização
07/10 - Em fila de TI
09/09- Definir quem sera Responsável pela geração do BCP na Contax</t>
  </si>
  <si>
    <t>23/11 - Pendente</t>
  </si>
  <si>
    <t>CTXSPOLP-111246</t>
  </si>
  <si>
    <t>CTXSPOLP-110808</t>
  </si>
  <si>
    <t>CTXSPOLP-104419</t>
  </si>
  <si>
    <t>CTXSPOLP-102656</t>
  </si>
  <si>
    <t>CTXSPOBF-128884</t>
  </si>
  <si>
    <t>CTXSPOBF-126376</t>
  </si>
  <si>
    <t>CTXSPOBF-126223</t>
  </si>
  <si>
    <t>CTXSPOBF-126151</t>
  </si>
  <si>
    <t>CTXSPOBF-125417</t>
  </si>
  <si>
    <t>CTXSPOBF-124658</t>
  </si>
  <si>
    <t>CTXSPOAS-4623</t>
  </si>
  <si>
    <t>CTXSPOAS-4482</t>
  </si>
  <si>
    <t>CTXSPOAP407-13610</t>
  </si>
  <si>
    <t>CTXSPOAP407-13592</t>
  </si>
  <si>
    <t>CTXSPOAP407-13561</t>
  </si>
  <si>
    <t>CTXSPOAP407-13280</t>
  </si>
  <si>
    <t>CTXSPOAP407-13114</t>
  </si>
  <si>
    <t>CTXSPOAP407-12458</t>
  </si>
  <si>
    <t>CTXSPOAP407-10513</t>
  </si>
  <si>
    <t>CTXSPOAL-96427</t>
  </si>
  <si>
    <t>CTXSPOAL-96174</t>
  </si>
  <si>
    <t>CTXSPOAL-96094</t>
  </si>
  <si>
    <t>CTXSALSM-83159</t>
  </si>
  <si>
    <t>CTXRJOMK-125309</t>
  </si>
  <si>
    <t>CTXRECSA-438942</t>
  </si>
  <si>
    <t>CTXRECAU-61345</t>
  </si>
  <si>
    <t>CTXNITSP-172611</t>
  </si>
  <si>
    <t>CTXNITSP-172461</t>
  </si>
  <si>
    <t>CTXNITSP-172449</t>
  </si>
  <si>
    <t>CTXNITSP-170972</t>
  </si>
  <si>
    <t>CTXMTZPB-758</t>
  </si>
  <si>
    <t>CTXMLTREG-4375</t>
  </si>
  <si>
    <t>CTXFORBM-327360</t>
  </si>
  <si>
    <t>CTXBHZRI-93698</t>
  </si>
  <si>
    <t>Projeto - Desenvolvimento do t!guidance da célula Fidelidade - FASE 2</t>
  </si>
  <si>
    <t>Projeto: Implantação t-Supervisor - BV Financeira</t>
  </si>
  <si>
    <t>Projeto - Preparação Ambiente Homologação Aspect 7.1</t>
  </si>
  <si>
    <t>Inclusão de link em Favoritos - Siga Online</t>
  </si>
  <si>
    <t>Projeto: Migrar Operação BV Financeira - Site Lapa x Antártica</t>
  </si>
  <si>
    <t>Projeto: Implantar Ferramenta RTI - Ticket B2C Usuários</t>
  </si>
  <si>
    <t>Projeto - Alterar o valor NÃO IDENTIFICADO para um texto genérico no Screen Pop</t>
  </si>
  <si>
    <t>Outros - N/A ACI</t>
  </si>
  <si>
    <t>Projeto - Inclusão de Serviço de Roteamento de Chamadas no Novo LAB (NGR)</t>
  </si>
  <si>
    <t>Criar Database</t>
  </si>
  <si>
    <t>Cotação Link de Dados 10 MBPS ponto a ponto</t>
  </si>
  <si>
    <t>Gestão de Demandas e Projetos - Ti - Implantação &amp;amp; Produção</t>
  </si>
  <si>
    <t>Projeto - Pré Projeto LATAM TAM JOAO PESSOA</t>
  </si>
  <si>
    <t>Projeto - Aplicação/URA - Implantar pesquisa automática para mensurar a Satisfação do Atendimento</t>
  </si>
  <si>
    <t>Projeto - Projeto - Criar ferramenta Disca Fácil</t>
  </si>
  <si>
    <t>Projeto - Implantar t!guidance na Operação Intermédica</t>
  </si>
  <si>
    <t>Projeto - Alteração dos Prompts da URA do Dealer e alteração dos áudios da operação Volkswagen</t>
  </si>
  <si>
    <t>Projeto - Aquisição de 4 licenças da NetCallCenter para PA's de Chat da operação Volkswagen</t>
  </si>
  <si>
    <t>Projeto - "Por favor, usuário, utilizar este campo para informar o nome do Projeto"</t>
  </si>
  <si>
    <t>Projeto - Liberação de acesso Gerencias Velox , nas maquinas da Operação Suporte Avançado Velox</t>
  </si>
  <si>
    <t>Instalação da Ferramenta -</t>
  </si>
  <si>
    <t>Projeto - Projeto cm</t>
  </si>
  <si>
    <t>Implantar Célula BO DADOS&gt;&gt; 17 PA`S &gt;&gt;SIEBEL e Front(À Definir) SMS &gt;&gt; Site NIterói &gt;&gt; Funionamento de Segunda à Domingo</t>
  </si>
  <si>
    <t>Implantar célula BO NBA &gt;&gt; 7 PA´S &gt;&gt; STC SAC SIAC &gt;&gt; Front Específico e envio SMS &gt;&gt; Operação Convergente: Fixo, Velox -R1 e R2.</t>
  </si>
  <si>
    <t>Projeto - "Definir o modelo de atendimento das URAs de Cadastro"</t>
  </si>
  <si>
    <t>Projeto - Crescimento de 9 p.a's para a Ilha de Receita Móvel + TV</t>
  </si>
  <si>
    <t>Gravador - Nice - Substituir ramais de gravação</t>
  </si>
  <si>
    <t>George Silva Dimitrov</t>
  </si>
  <si>
    <t>Joaquim de Santana Francisco</t>
  </si>
  <si>
    <t>Olins Jacques dos Santos</t>
  </si>
  <si>
    <t>Marcelo Guedes de Oliveira</t>
  </si>
  <si>
    <t>Agnaldo Jose de Freitas Caetano</t>
  </si>
  <si>
    <t>Adilson Pires Cerveira Junior</t>
  </si>
  <si>
    <t>Iosmar Ferreira Teixeira</t>
  </si>
  <si>
    <t>Lucas Amadeu da Cunha</t>
  </si>
  <si>
    <t>Anne Catharina de Oliveira Coutinho</t>
  </si>
  <si>
    <t>Fabricio Hinein Peixoto Guimaraes</t>
  </si>
  <si>
    <t>Ricardo Jose Souza de Albuquerque</t>
  </si>
  <si>
    <t>Aberto</t>
  </si>
  <si>
    <t>Registrado</t>
  </si>
  <si>
    <t>CTXSPOLP-115119</t>
  </si>
  <si>
    <t>CTXSPOLP-115117</t>
  </si>
  <si>
    <t>CTXSPOLP-115114</t>
  </si>
  <si>
    <t>CTXSPOLP-113720</t>
  </si>
  <si>
    <t>CTXSPOBF-129991</t>
  </si>
  <si>
    <t>CTXSPOBF-129499</t>
  </si>
  <si>
    <t>CTXSPOBF-128996</t>
  </si>
  <si>
    <t>CTXSPOBF-128995</t>
  </si>
  <si>
    <t>CTXSPOBF-128994</t>
  </si>
  <si>
    <t>CTXSPOBF-128993</t>
  </si>
  <si>
    <t>CTXSPOBF-128992</t>
  </si>
  <si>
    <t>CTXSPOBF-128878</t>
  </si>
  <si>
    <t>CTXSPOBF-128875</t>
  </si>
  <si>
    <t>CTXSPOBF-128873</t>
  </si>
  <si>
    <t>CTXSPOBF-128870</t>
  </si>
  <si>
    <t>CTXSPOBF-128869</t>
  </si>
  <si>
    <t>CTXSPOBF-128868</t>
  </si>
  <si>
    <t>CTXSPOBF-128865</t>
  </si>
  <si>
    <t>CTXSPOBF-128864</t>
  </si>
  <si>
    <t>CTXSPOBF-128861</t>
  </si>
  <si>
    <t>CTXSPOBF-128853</t>
  </si>
  <si>
    <t>CTXSPOBF-128725</t>
  </si>
  <si>
    <t>CTXSPOBF-128722</t>
  </si>
  <si>
    <t>CTXSPOBF-128720</t>
  </si>
  <si>
    <t>CTXSPOBF-128719</t>
  </si>
  <si>
    <t>CTXSPOBF-128718</t>
  </si>
  <si>
    <t>CTXSPOBF-128717</t>
  </si>
  <si>
    <t>CTXSPOBF-128715</t>
  </si>
  <si>
    <t>CTXSPOBF-128714</t>
  </si>
  <si>
    <t>CTXSPOBF-128713</t>
  </si>
  <si>
    <t>CTXSPOBF-128712</t>
  </si>
  <si>
    <t>CTXSPOBF-128711</t>
  </si>
  <si>
    <t>CTXSPOBF-128702</t>
  </si>
  <si>
    <t>CTXSPOBF-128701</t>
  </si>
  <si>
    <t>CTXSPOBF-128692</t>
  </si>
  <si>
    <t>CTXSPOBF-128691</t>
  </si>
  <si>
    <t>CTXSPOBF-128690</t>
  </si>
  <si>
    <t>CTXSPOBF-128688</t>
  </si>
  <si>
    <t>CTXSPOBF-128686</t>
  </si>
  <si>
    <t>CTXSPOBF-128685</t>
  </si>
  <si>
    <t>CTXSPOBF-128684</t>
  </si>
  <si>
    <t>CTXSPOBF-128396</t>
  </si>
  <si>
    <t>CTXSPOBF-128300</t>
  </si>
  <si>
    <t>CTXSPOAP407-13806</t>
  </si>
  <si>
    <t>CTXSPOAP407-13802</t>
  </si>
  <si>
    <t>CTXSPOAP407-13720</t>
  </si>
  <si>
    <t>CTXSPOAP407-13719</t>
  </si>
  <si>
    <t>CTXSPOAP407-13653</t>
  </si>
  <si>
    <t>CTXSPOAP407-13652</t>
  </si>
  <si>
    <t>CTXSPOAP407-13361</t>
  </si>
  <si>
    <t>CTXSPOAL-98397</t>
  </si>
  <si>
    <t>CTXSPOAL-96703</t>
  </si>
  <si>
    <t>CTXSPOAL-96574</t>
  </si>
  <si>
    <t>CTXSPOAL-96495</t>
  </si>
  <si>
    <t>CTXSALSM-84288</t>
  </si>
  <si>
    <t>CTXSALSM-84035</t>
  </si>
  <si>
    <t>CTXSALPB-47142</t>
  </si>
  <si>
    <t>CTXSALPB-47141</t>
  </si>
  <si>
    <t>CTXSALPB-47135</t>
  </si>
  <si>
    <t>CTXSALPB-46921</t>
  </si>
  <si>
    <t>CTXSALLM-117084</t>
  </si>
  <si>
    <t>CTXSALLM-117082</t>
  </si>
  <si>
    <t>CTXSALAS-161797</t>
  </si>
  <si>
    <t>CTXRJOED-56989</t>
  </si>
  <si>
    <t>CTXRECSA-440043</t>
  </si>
  <si>
    <t>CTXRECSA-439346</t>
  </si>
  <si>
    <t>CTXRECSA-439329</t>
  </si>
  <si>
    <t>CTXRECSA-439328</t>
  </si>
  <si>
    <t>CTXRECSA-439238</t>
  </si>
  <si>
    <t>CTXRECSA-435241</t>
  </si>
  <si>
    <t>CTXRECSA-435221</t>
  </si>
  <si>
    <t>CTXPOARB-96565</t>
  </si>
  <si>
    <t>CTXPOARB-96282</t>
  </si>
  <si>
    <t>CTXPOARB-95971</t>
  </si>
  <si>
    <t>CTXNITSP-172871</t>
  </si>
  <si>
    <t>CTXNITSP-172870</t>
  </si>
  <si>
    <t>CTXNITSP-172869</t>
  </si>
  <si>
    <t>CTXNITSP-172868</t>
  </si>
  <si>
    <t>CTXNITSP-172614</t>
  </si>
  <si>
    <t>CTXNITSP-172566</t>
  </si>
  <si>
    <t>CTXNITSP-172565</t>
  </si>
  <si>
    <t>CTXMTZPB-1044</t>
  </si>
  <si>
    <t>CTXMTZPB-1001</t>
  </si>
  <si>
    <t>CTXMTZPB-944</t>
  </si>
  <si>
    <t>CTXMLTREG-4553</t>
  </si>
  <si>
    <t>CTXMLTREG-3815</t>
  </si>
  <si>
    <t>CTXLONLA-28251</t>
  </si>
  <si>
    <t>CTXLONLA-28211</t>
  </si>
  <si>
    <t>CTXLONLA-28210</t>
  </si>
  <si>
    <t>CTXLONLA-28201</t>
  </si>
  <si>
    <t>CTXLONLA-28200</t>
  </si>
  <si>
    <t>CTXLONLA-28199</t>
  </si>
  <si>
    <t>CTXLONLA-28170</t>
  </si>
  <si>
    <t>CTXFORNA-26367</t>
  </si>
  <si>
    <t>CTXFORBM-335280</t>
  </si>
  <si>
    <t>CTXFORBM-335279</t>
  </si>
  <si>
    <t>CTXFORBM-335112</t>
  </si>
  <si>
    <t>CTXFORBM-333926</t>
  </si>
  <si>
    <t>CTXFORBM-332803</t>
  </si>
  <si>
    <t>CTXFORBM-332802</t>
  </si>
  <si>
    <t>CTXFORBM-332092</t>
  </si>
  <si>
    <t>CTXCASEK-1528</t>
  </si>
  <si>
    <t>CTXBHZRP-217019</t>
  </si>
  <si>
    <t>CTXBHZRI-94988</t>
  </si>
  <si>
    <t>CTXBHZRI-94859</t>
  </si>
  <si>
    <t>CTXBHZRI-94837</t>
  </si>
  <si>
    <t>CTXBHZRI-91131</t>
  </si>
  <si>
    <t>CLIORBSAN-81</t>
  </si>
  <si>
    <t>CLIORBCG-190</t>
  </si>
  <si>
    <t>CLIORBCG-189</t>
  </si>
  <si>
    <t>CLIORBCG-188</t>
  </si>
  <si>
    <t>CLIORBCG-187</t>
  </si>
  <si>
    <t>CLIORBCG-186</t>
  </si>
  <si>
    <t>CLIORBCG-174</t>
  </si>
  <si>
    <t>Projeto - URANET - Ticket</t>
  </si>
  <si>
    <t>Projeto - URA Bacen - Ticket</t>
  </si>
  <si>
    <t>Projeto - Renovação de Servidores - Ticket</t>
  </si>
  <si>
    <t>Migração Grupo Comunicação - Lapa</t>
  </si>
  <si>
    <t>Projeto - Troca de revestimentos</t>
  </si>
  <si>
    <t>Projeto - Transbordo de Ligações de RCI para Paschoalotto (Bauru)</t>
  </si>
  <si>
    <t>Migração POP 3 - REINCIDENTES PJ - LAPA Vs. ANTÁRTICA</t>
  </si>
  <si>
    <t>Migração POP 3 - SUPORTE APODC - LAPA Vs. ANTÁRTICA</t>
  </si>
  <si>
    <t>Migração POP 3 - IMPRENSA - LAPA Vs. ANTÁRTICA</t>
  </si>
  <si>
    <t>Migração POP 3 - ATIVIDADE - LAPA Vs. ANTÁRTICA</t>
  </si>
  <si>
    <t>Migração POP 3 - GRE ANATEL - LAPA Vs. ANTÁRTICA</t>
  </si>
  <si>
    <t>Migração POP 3 - GESTOR CARTEIRA - LAPA vs. ANTÁRTICA</t>
  </si>
  <si>
    <t>Migração POP 3 - SUPORTE_CARTEIRA2 - LAPA Vs. ANTÁRTICA</t>
  </si>
  <si>
    <t>Migração POP 3 - SUPORTE_CARTEIRA1 - LAPA Vs. ANTÁRTICA</t>
  </si>
  <si>
    <t>Migração POP 3 - GESTOR_CARTEIRA_PJ - LAPA Vs. ANTÁRTICA</t>
  </si>
  <si>
    <t>Migração POP 3 - CONSUL_CONSOLIDADO - LAPA Vs. ANTÁRTICA</t>
  </si>
  <si>
    <t>Migração POP 3 - CONSUL_CARTEIRA2_GR2 - LAPA Vs. ANTÁRTICA</t>
  </si>
  <si>
    <t>Migração POP 3 - CONSUL_CARTEIRA2_GR1 - LAPA Vs. ANTÁRTICA</t>
  </si>
  <si>
    <t>Migração POP 3 - CONSUL_CARTEIRA1_GR2 - LAPA Vs. ANTÁRTICA</t>
  </si>
  <si>
    <t>Migração POP 3 - CONSUL_CARTEIRA1_GR1 - LAPA Vs. ANTÁRTICA</t>
  </si>
  <si>
    <t>Migração POP 3 - APOIOS VPR - LAPA vs. ANTÁRTICA</t>
  </si>
  <si>
    <t>Migração POP 3 - RENEGOCIAÇÃO - LAPA vs. ANTÁRTICA</t>
  </si>
  <si>
    <t>Migração POP 3 - PROCESSO_CARTEIRA 1 - LAPA vs. ANTÁRTICA</t>
  </si>
  <si>
    <t>Migração POP 3 - PROCESSO_CARTEIRA 0 - LAPA vs. ANTÁRTICA</t>
  </si>
  <si>
    <t>Migração POP 3 - GOVERNO_VPG - LAPA vs. ANTÁRTICA</t>
  </si>
  <si>
    <t>Migração POP 3 - M2M_VPG - LAPA vs. ANTÁRTICA</t>
  </si>
  <si>
    <t>Migração POP 3 - GT_FILTRO - LAPA vs. ANTÁRTICA</t>
  </si>
  <si>
    <t>Migração POP 3 - AUDITORIA (QUALITY ASSURANCE) - LAPA vs. ANTÁRTICA</t>
  </si>
  <si>
    <t>Migração POP 3 - CONSULT MANAGER - LAPA vs. ANTÁRTICA</t>
  </si>
  <si>
    <t>Migração POP 3 - CORREÇÃO_CADASTRAL_ESPECIALISTA - LAPA vs. ANTÁRTICA</t>
  </si>
  <si>
    <t>Migração POP 3 - CORREÇÃO_CADASTRAL_EXECUTORES - LAPA vs. ANTÁRTICA</t>
  </si>
  <si>
    <t>Migração POP 3 - GRE_FATURAMENTO - LAPA vs. ANTÁRTICA</t>
  </si>
  <si>
    <t>Migração POP 3 - ILHA_DIAGNOSTICO - LAPA vs. ANTÁRTICA</t>
  </si>
  <si>
    <t>Migração POP 3 - COMUNICACAO_TREINAMENTO - LAPA vs. ANTÁRTICA</t>
  </si>
  <si>
    <t>Migração POP 3 - ROTEIRO_DINÂMICO - LAPA vs. ANTÁRTICA</t>
  </si>
  <si>
    <t>Migração POP 3 - GT_RURAL_CEL - LAPA vs. ANTÁRTICA</t>
  </si>
  <si>
    <t>Migração POP 3 - VPR - LAPA vs. ANTÁRTICA</t>
  </si>
  <si>
    <t>Migração POP 3 - GT_REGISTRO_APARELHOS - LAPA vs. ANTÁRTICA</t>
  </si>
  <si>
    <t>Migração POP 3 - RETENCAO_PJ - LAPA vs. ANTÁRTICA</t>
  </si>
  <si>
    <t>Migração POP 3 - GRE_FALE_CONOSCO - LAPA vs. ANTÁRTICA</t>
  </si>
  <si>
    <t>Projeto - Geração de boletagem massiva pela front end da SKY.</t>
  </si>
  <si>
    <t>DESMOBILIZAÇÃO DE PARTE DA OPERAÇÃO CITIBANK NO SITE ANTÁRTICA</t>
  </si>
  <si>
    <t>Insumos para URA Multiplus</t>
  </si>
  <si>
    <t>Projeto McKinsey - Cobrança - 100 PAs Discador Aspect</t>
  </si>
  <si>
    <t>ATUALIZAR PLATAFORMA DE SMS (COMUNIKA) INTEGRADA NO ATUAL FRONT END</t>
  </si>
  <si>
    <t>Projeto - Migração servidor do X-GEN para o DC</t>
  </si>
  <si>
    <t>Liberação software Innwinwiwn para os sites do Brasil</t>
  </si>
  <si>
    <t>Projeto - Migração SKY para site Alegria</t>
  </si>
  <si>
    <t>Projeto - Precificação de novo hardware para servido de banco de dados</t>
  </si>
  <si>
    <t>Projeto - "Migração POP 3 - Velox OUtbound e Site Fonte Nova x Boa Viagem"</t>
  </si>
  <si>
    <t>Projeto - "Migração POP 3 - Auditoria varejo e Site Fonte Nova x Boa Viagem"</t>
  </si>
  <si>
    <t>Projeto - "Migração POP 3 - Inbound OI TV e Site Fonte Nova x Boa Viagem"</t>
  </si>
  <si>
    <t>Projeto - "Migração POP 3 - TLV Empresarial e Site Fonte Nova x Boa Viagem".</t>
  </si>
  <si>
    <t>Projeto - ""Migração POP 3 - BO TLV Varejo e Site Fonte Nova x Comércio".</t>
  </si>
  <si>
    <t>Projeto - Migração POP 3 - OCT Out/Inb e Fonte Nova x Comércio</t>
  </si>
  <si>
    <t>Projeto - Instalar Ferramenta de Automações Célula GFE - Engenho de Dentro</t>
  </si>
  <si>
    <t>Discador SOC PE (GFE)</t>
  </si>
  <si>
    <t>Projeto - Migração POP 3 - Operação REDE e Site Origem Conquista vs. Destino Santo Amaro</t>
  </si>
  <si>
    <t>PROJETO TIVOLI REDECARD</t>
  </si>
  <si>
    <t>Projeto - "Inclusão do DDD 96 na URA do CO" (Pendência do projeto da URA do CO)</t>
  </si>
  <si>
    <t>Projeto - Instalar Ferramenta Automação Célula GFE - Santo Amaro e Integrar Ferramenta de Automação com TLV</t>
  </si>
  <si>
    <t>Projeto - Migrar operação NET do Bloco B do Site Aurora para o Site Santo Amaro</t>
  </si>
  <si>
    <t>Projeto - Migrar operação NET do Bloco A do Site Aurora para o Site Santo Amaro</t>
  </si>
  <si>
    <t>Projeto - Adequar Salas de Treinamento para crescimento</t>
  </si>
  <si>
    <t>Projeto - Implantar o Front Fácil na operação de BKO da NET</t>
  </si>
  <si>
    <t>Projeto - Melhoria no Discador Disca Fácil - Priorizar Contatos por horário</t>
  </si>
  <si>
    <t>Implantação de TTW</t>
  </si>
  <si>
    <t>Implantação de Front Fácil - Diretoria Retenção</t>
  </si>
  <si>
    <t>Bloqueio de Pausas - TGuidance</t>
  </si>
  <si>
    <t>Implantação de RTI</t>
  </si>
  <si>
    <t>Projeto - Projeto: Migração da URA do PAP (0800 033 1140 e 0800 642 1431) p/ ambiente NGR</t>
  </si>
  <si>
    <t>Implantação do BO Strategy - Retenção Empresarial</t>
  </si>
  <si>
    <t>Alteração no Layout - Ativos</t>
  </si>
  <si>
    <t>Aquisição de servidor - file server</t>
  </si>
  <si>
    <t>Projeto - Nova chamada teste/Chamada Ativa para o FF</t>
  </si>
  <si>
    <t>Aquisição de servidor</t>
  </si>
  <si>
    <t>Projeto - "Proposta comercial para upgrade dos servidores do NGR Monitor"</t>
  </si>
  <si>
    <t>Migração POP 3 - TÉCNICO UNIFICADO - JOINVILLE Vs. LONDRINA</t>
  </si>
  <si>
    <t>Migração POP 3 *4979 - JOINVILLE vs. LONDRINA</t>
  </si>
  <si>
    <t>Migração POP 3 SUPORTE 4979 - JOINVILLE vs. LONDRINA</t>
  </si>
  <si>
    <t>Migração POP 3 ALTO VALOR SEGMENTADO - JOINVILLE vs. LONDRINA</t>
  </si>
  <si>
    <t>Migração POP 3 -BASICO SEGMENTADO - JOINVILLE vs. LONDRINA</t>
  </si>
  <si>
    <t>Migração POP 3 TOP SEGMENTADO - JOINVILLE vs. LONDRINA</t>
  </si>
  <si>
    <t>Migração POP 3 - MASSIVO SEGMENTADO - JOINVILLE vs. LONDRINA</t>
  </si>
  <si>
    <t>Projeto - Acompanhar migração do Sistema do Citi</t>
  </si>
  <si>
    <t>Projeto - Alteração no fluxo de carga</t>
  </si>
  <si>
    <t>Projeto - Ajuste no processamento de carga</t>
  </si>
  <si>
    <t>Projeto - Ura de Pesquisa Retenção Oi Total</t>
  </si>
  <si>
    <t>Projeto - OCT Madrugada - Atendimento Fibra e 4P</t>
  </si>
  <si>
    <t>Projeto - Processo 2ª via TV</t>
  </si>
  <si>
    <t>Projeto - "Implantação de NBA na Retenção Mobilidade OCT e Pós"</t>
  </si>
  <si>
    <t>Mudança de Andar das PA's VIP 5 (5 PA's + 1 supervisor)</t>
  </si>
  <si>
    <t>Projeto - Implantar TCollect / Aspect: Escob R2, CD R2 e CD Móvel</t>
  </si>
  <si>
    <t>Projeto - Projeto: Migração da URA do Hotline Empresarial (0800 280 3120) p/ ambiente NGR</t>
  </si>
  <si>
    <t>Reaberto</t>
  </si>
  <si>
    <t>Ilana Cardoso de Godoy</t>
  </si>
  <si>
    <t>Luiz Alberto Schwab</t>
  </si>
  <si>
    <t>Felipe Freitas Poubel Ribeiro</t>
  </si>
  <si>
    <t>Giovana Ferreira de Souza</t>
  </si>
  <si>
    <t>Vera Lucia Augusto de Azevedo</t>
  </si>
  <si>
    <t>Anthonny Stallone Santos de Souza</t>
  </si>
  <si>
    <t>Marcel Garcia da Silva</t>
  </si>
  <si>
    <t>Luciana Aparecida Muniz Gon�alves</t>
  </si>
  <si>
    <t>CTXSPOAP407-10248</t>
  </si>
  <si>
    <t>CTXSPOAP407-9838</t>
  </si>
  <si>
    <t>CTXSPOAP407-9799</t>
  </si>
  <si>
    <t>CTXSPOAP407-9796</t>
  </si>
  <si>
    <t>CTXSPOAL-92544</t>
  </si>
  <si>
    <t>CTXSPOAL-92422</t>
  </si>
  <si>
    <t>CTXSPOAL-92107</t>
  </si>
  <si>
    <t>CTXSPOAL-89741</t>
  </si>
  <si>
    <t>CTXSPOAL-89332</t>
  </si>
  <si>
    <t>CTXSPOAL-89100</t>
  </si>
  <si>
    <t>CTXSPOAL-88513</t>
  </si>
  <si>
    <t>CTXSPOAL-87292</t>
  </si>
  <si>
    <t>CTXSPOAL-85839</t>
  </si>
  <si>
    <t>CTXSPOAL-84132</t>
  </si>
  <si>
    <t>CTXSALSM-81391</t>
  </si>
  <si>
    <t>CTXSALPB-41571</t>
  </si>
  <si>
    <t>CTXSALAS-158774</t>
  </si>
  <si>
    <t>CTXRJOMK-121563</t>
  </si>
  <si>
    <t>CTXRECSA-426219</t>
  </si>
  <si>
    <t>CTXRECSA-418499</t>
  </si>
  <si>
    <t>CTXRECAM-54756</t>
  </si>
  <si>
    <t>CTXRBRSA-32</t>
  </si>
  <si>
    <t>CTXPOARB-92544</t>
  </si>
  <si>
    <t>CTXNITSP-168713</t>
  </si>
  <si>
    <t>CTXNITSP-167961</t>
  </si>
  <si>
    <t>CTXNITSP-167678</t>
  </si>
  <si>
    <t>CTXNITSP-154454</t>
  </si>
  <si>
    <t>CTXMTZRP-43087</t>
  </si>
  <si>
    <t>CTXMTZRP-42426</t>
  </si>
  <si>
    <t>CTXMTZRP-42369</t>
  </si>
  <si>
    <t>CTXMTZRP-42203</t>
  </si>
  <si>
    <t>CTXMTZRP-42057</t>
  </si>
  <si>
    <t>CTXMTZRP-41358</t>
  </si>
  <si>
    <t>CTXMTZRP-41157</t>
  </si>
  <si>
    <t>CTXMTZRP-40787</t>
  </si>
  <si>
    <t>CTXMTZRP-38234</t>
  </si>
  <si>
    <t>CTXMTZRP-35937</t>
  </si>
  <si>
    <t>CTXMTZPB-307</t>
  </si>
  <si>
    <t>CTXMLTREG-4207</t>
  </si>
  <si>
    <t>CTXMLTREG-4086</t>
  </si>
  <si>
    <t>CTXMLTREG-3867</t>
  </si>
  <si>
    <t>CTXMLTREG-3795</t>
  </si>
  <si>
    <t>CTXMLTREG-3790</t>
  </si>
  <si>
    <t>CTXMLTREG-3442</t>
  </si>
  <si>
    <t>CTXLONLA-26023</t>
  </si>
  <si>
    <t>CTXJPASA-1589</t>
  </si>
  <si>
    <t>CTXFORBM-326935</t>
  </si>
  <si>
    <t>CTXFORBM-326889</t>
  </si>
  <si>
    <t>CTXFORBM-322126</t>
  </si>
  <si>
    <t>CTXFORBM-321427</t>
  </si>
  <si>
    <t>CTXFORBM-320922</t>
  </si>
  <si>
    <t>CTXFORBM-320915</t>
  </si>
  <si>
    <t>CTXCASEH-17406</t>
  </si>
  <si>
    <t>Projeto - PROJETO MCAFEE</t>
  </si>
  <si>
    <t>Projeto - Aspect</t>
  </si>
  <si>
    <t>Projeto - IPCC/NGR</t>
  </si>
  <si>
    <t>MPLS Contax 2.0</t>
  </si>
  <si>
    <t>Projeto - Implementar funcionalidade de atendimento preview no FE Ayty \ Discador Aspect da Cielo L5</t>
  </si>
  <si>
    <t>Criação de servidor virtual</t>
  </si>
  <si>
    <t>Sala Técnica / Outros / Outras</t>
  </si>
  <si>
    <t>Projeto - Infra TS para acesso ao SIGAJURI</t>
  </si>
  <si>
    <t>Migração FS Treinamento para o FSCORP</t>
  </si>
  <si>
    <t>Projeto - Migração do ambiente da Bridge Obrtial para o DC</t>
  </si>
  <si>
    <t>Projeto - Projeto Criação de ambientes TOTVS</t>
  </si>
  <si>
    <t>Fazer a a inclusão nas vendas de Oi fixo no Empresarial vendas dos código Transact</t>
  </si>
  <si>
    <t>Migração de CA - Domínio Contax-br</t>
  </si>
  <si>
    <t>Projeto - Projeto - Reconstrução da SALA MIS - Realizar alterações físicas, instalações necessárias e levantamentos.</t>
  </si>
  <si>
    <t>Projeto - Tratamento de Contestação de 0800 e DDR via Planilha de Minutagem</t>
  </si>
  <si>
    <t>Ativar configuração BGP link Vivo.</t>
  </si>
  <si>
    <t>Projeto - Integração Barra Atendimento ao OSvC (Novo CRM Oi)</t>
  </si>
  <si>
    <t>Projeto - Aumento de vCPU's no Servidor de Banco de Dados do SMO</t>
  </si>
  <si>
    <t>Tronco ou Rota - Criação - Derivação de Chamados</t>
  </si>
  <si>
    <t>Projeto Contax 2.0 - Praça SC</t>
  </si>
  <si>
    <t>Projeto - Infraestrutura_PortalCorporativo_Chrome</t>
  </si>
  <si>
    <t>Criação dos Authorization Code"</t>
  </si>
  <si>
    <t>Projeto - Desenvolvimento de funcionalidade Blended no tGuidance para operação com APC</t>
  </si>
  <si>
    <t>Projeto - Projeto - Limpeza de Base (Faturas ativas &gt; 199 dias) RETENÇÃO INVOL FIXA e MOVEL</t>
  </si>
  <si>
    <t>Projeto Implantação NBA_Ilha de Contas Fixo</t>
  </si>
  <si>
    <t>Projeto - Ferramenta de Automação UNIFIC</t>
  </si>
  <si>
    <t>Projeto - Projeto - Alteração questionário motivo não pagamento retenção invol TV</t>
  </si>
  <si>
    <t>Outros - N/A aci</t>
  </si>
  <si>
    <t>Priscila Brasileiro Machado Claros</t>
  </si>
  <si>
    <t>Karina Candido Raphael</t>
  </si>
  <si>
    <t>Aline Soane dos Santos Paixão</t>
  </si>
  <si>
    <t>RAPHAEL PEREIRA VILLELA</t>
  </si>
  <si>
    <t>Patricia Santiago Campello</t>
  </si>
  <si>
    <t>Luciana Mattos Andrade</t>
  </si>
  <si>
    <t>Jose Ulisses Fernandes Conceicao Junior</t>
  </si>
  <si>
    <t>Fabiana Aparecida Lopes de Carvalho</t>
  </si>
  <si>
    <t>23/11 - Aguardando licenças disponíveis</t>
  </si>
  <si>
    <t>Paulo Cavalcante</t>
  </si>
  <si>
    <t>23/11 - Falta preencher formulário de abertura de projetos</t>
  </si>
  <si>
    <t>23/11 - Projeto sendo tratado pela Sasaki</t>
  </si>
  <si>
    <t>23/11 - Projeto duplicado com o CTXSPOAP407-13720</t>
  </si>
  <si>
    <t>23/11 - Analisar</t>
  </si>
  <si>
    <t>23/11 - Aguardando recurso e/ou priorização</t>
  </si>
  <si>
    <t xml:space="preserve">23/11 - Robson, podemos fechar o chamado? Pois já está sendo tratado pelo chamado CTXSPOAL-97376 </t>
  </si>
  <si>
    <t>23/11 - Aguardando priorização
16/09- STATUS- Projeto encaminhado para o TI-Engenharia iniciar a analise e estimatva - Villa</t>
  </si>
  <si>
    <t>23/11 - Aguardando priorização
17/09- Encaminhado para TI-desenvolvimento.
16/09- STATUS- Projeto pendente de detalhamento.</t>
  </si>
  <si>
    <t>23/11 - Aguardando priorização</t>
  </si>
  <si>
    <t xml:space="preserve">23/11 - Aguardando reunião de alinhamento com cliente que será agendada pela Operação para verificar sobre a continuidade dos testes que estavam sendo realizados por TI (Daniele de Fatima Ribeiro/ Mariana  de Lima Boschiero)
29/09- Encaminhado para desenvolvimento Sasaki
</t>
  </si>
  <si>
    <t xml:space="preserve">23/11 - Aguardando call
30/09- Encaminhado para Service System
</t>
  </si>
  <si>
    <t>23/11 - Necessário priorização
23/11 - O chamado em questão já está aprovado pelo gerente. O nosso sistema encontra-se parado neste momento só aguardando a criação deste servidor. Conforme as especificações no chamado acredito que estão tratando como um “grande projeto” que gerará custos para empresa, só que não é bem isso. Estamos apenas reformulando uma ferramenta que já utilizamos aqui no setor CSC, conseguimos criar alguns módulos já para adiantar, porém, precisamos do servidor para analisarmos o desempenho da nova ferramenta já que atualmente isto não é possível.</t>
  </si>
  <si>
    <t>23/11 - Em análise</t>
  </si>
  <si>
    <t xml:space="preserve">23/11 - Aguardando disponibilidade de recursos e/ou priorização </t>
  </si>
  <si>
    <t>23/11 - Projeto em análise</t>
  </si>
  <si>
    <t xml:space="preserve">23/11 - Iosmar, boa tarde!
Como essa demanda só poderá ser executada na madrugada, precisamos saber qual o horário de término da operação. Consegue nos informar, por favor?
Segue esforço do site:
Atividades :
• Criação ambiente de homologação  5 dias
• Replicação de imagem  3 dias (Layout vazio, 50 máquinas na madrugada)
• Operação Assistida  1 dia
Esforço total : 9 dias
Lembramos que o esforço é dado em dias e não definimos uma data de início e fim.  
Como o site está envolvido com diversas outras demandas priorizadas, não podemos fornecer no momento uma data de início e fim. Porém, assim que conseguir a data, informo.
Muito obrigado,
</t>
  </si>
  <si>
    <t xml:space="preserve">23/11 - Solicitado ao solicitante a especificação funcional
10/11/2015 - Documento analisado e surgiram dúvidas sobre os requisitos. Vide comentários. </t>
  </si>
  <si>
    <t>ENVIAR E-MAIL (CONCLUÍDO??? CONTINUAREMOS?)</t>
  </si>
  <si>
    <t xml:space="preserve">07/10/2015 - Aguardando retorno da Ticket se poderemos utilizar os sistemas fora do ambiente Citrix. Reunião com o cliente agendada para o dia 15/10/15. Existe um esforço adicional de desenvolvimento e custos NICE caso tenhamos que realizar o desenvolvimento dentro do ambiente Citrix. </t>
  </si>
  <si>
    <t>[17/11 - George] SC pendente de aprovação</t>
  </si>
  <si>
    <t>10/11 - Aguardando priorização</t>
  </si>
  <si>
    <t xml:space="preserve">23/11 - Aguardando retorno do solicitante quanto aos questionamentos do fornecedor </t>
  </si>
  <si>
    <t>23/11 - • Verificando com o Daniel Farias (TI) em relação a proposta de desenvolvimento</t>
  </si>
  <si>
    <t>23/11 - Formulário de abertura de SC enviado ao financeiro. Aguardando abertura de SC</t>
  </si>
  <si>
    <t xml:space="preserve">Salvador – Site Cabula: Entrega e instalação dos equipamentos dia 19/11, Inauguração dia 24/11. </t>
  </si>
  <si>
    <t>23/11 - Pedido gerado ao fornecedor</t>
  </si>
  <si>
    <t>HISTÓRICO???</t>
  </si>
  <si>
    <t>23/11 - Aguardando preenchimento</t>
  </si>
  <si>
    <t>Melhoria no Tabulador - automação de abertura</t>
  </si>
  <si>
    <t>Projeto RTI Vivo - Integração TClock x Logon no vivo 360</t>
  </si>
  <si>
    <t>Automação do Saldo de Recarga e Bônus</t>
  </si>
  <si>
    <t>Direcionamento ao Portal de informações da Vivo (AJUSTES)</t>
  </si>
  <si>
    <t>ENVIAR E-MAIL</t>
  </si>
  <si>
    <t>Prosseguiremos com o projeto? Pendente aprovação de proposta por parte do demandante</t>
  </si>
  <si>
    <t>07/10 - Aguardando priorização</t>
  </si>
  <si>
    <t>ENVIAR EMAIL</t>
  </si>
  <si>
    <t xml:space="preserve">19/08/2015 - PENDENTE INFORMAÇÕES DE NEGÓCIOS. A reunião não aconteceu, pois não houve disponibilidade por parte da pessoa que conhece o negócio para esclarecimento das dúvidas. Um e-mail foi enviado em 12/08 para Tonini e Erica Cotrin com a analise da demandas, e estamos aguardando retorno. 
</t>
  </si>
  <si>
    <t>ENVIAR EMAIL PARA CLEO</t>
  </si>
  <si>
    <t xml:space="preserve">2015/09/08 - [Caique] - O time de projetos juntamente com o de aplicações, aderiu a estratégia de implantação simultânea nos sites, com isso foram abertos todos os chamados de liberação, os chamados solicitando os insumos necessários e também os de solicitação de preparação das PAs. No momento estamos (projetos, aplicações, engenharia) realizando conferências semanais para avaliação dos próximos passos do projeto e em paralelo estamos auxiliando o TI local de cada site com as duvidas referentes aos chamados citados acima. </t>
  </si>
  <si>
    <t>23/11 - Pendente cabo de modem. Aguardando retorno do demandante.</t>
  </si>
  <si>
    <t>Enviar e-,mail</t>
  </si>
  <si>
    <t xml:space="preserve">19/11/2015 - Análise e viabilidade conforme EF. </t>
  </si>
  <si>
    <t>NÃO É COM PROJETOS TI</t>
  </si>
  <si>
    <t>30/09 - Aguardando priorização</t>
  </si>
  <si>
    <t>Enviar email</t>
  </si>
  <si>
    <t>08/10 - Aguardando priorização</t>
  </si>
  <si>
    <t>15/10 - Aguardando priorização</t>
  </si>
  <si>
    <t>29/10 - Solicitação de compra aprovada</t>
  </si>
  <si>
    <t>24/11 - Aguardando priorização</t>
  </si>
  <si>
    <t>09/10 - Aguardando priorização</t>
  </si>
  <si>
    <t xml:space="preserve">19/11/2015 - Feita outra conf em 18/11. Feita uma proposta de solução e ficou de o cliente dar retorno 20/11. </t>
  </si>
  <si>
    <t>Fechado</t>
  </si>
  <si>
    <t xml:space="preserve">24/11 - Aguardando priorização
07/08/2015 - Aguardando recurso para análise de OG - não está na lista de priroização de negócios enviada pela equipe de Gestão de Projetos e Demandas. </t>
  </si>
  <si>
    <t>14/10 - Aguardando priorização
16/09- STATUS- Projeto pendente de detalhamento.</t>
  </si>
  <si>
    <t xml:space="preserve">24/11 - Aguardando retorno da Cris Kuzuhara quanto aos questionamentos abaixo:
Tati, boa tarde!
Por gentileza, qual status desse chamado?
Se formos dar continuidade, preciso:
- Qual APC essas operações utilizam?
- Layout do mailing cadastrado no APC
- Os novos campos deverão ser apresentados no screenpop? Se sim, quais os campos? 
- A WCA está preparada para fornecer esse novo layout? Se não, qual a data esperada?
- Layout do arquivo de retorno
Elaborar EF sobre a solicitação. O atendimento da demanda depende da EF concluída.
Considerações: essas alterações devem ser realizadas com tGuidance e APC, Integrador. Por isso, as alterações deverão sincronizadas.
</t>
  </si>
  <si>
    <t xml:space="preserve">15/10/2015 - Homologado a versão 4.13354.3009.1232 que corrige as falhas citadas no chamado; 
16/06/2015 - Aguardando recurso/priorização </t>
  </si>
  <si>
    <t xml:space="preserve">19/11/2015 - A demanda precisa de ferramenta de workflow. Enviado as informações da operação. Aguardando EF. </t>
  </si>
  <si>
    <t>23/11 - Pendente envio de informações por parte do solicitante</t>
  </si>
  <si>
    <t xml:space="preserve">24/11 - Oi Daniel seja bem vindo de volta!
A Cliente Oi adiou mais uma e em definitivo (espero Eu) para o dia 06/01/2016.rs..rs...
Sobre o fluxo que você enviou a pouco tenho algumas considerações e que temos um tempo para discutirmos em conjunto com a OI.
1. Na pagina 4 temos também o áudio desligacliente1.wav que está sem alteração em vermelho. (Corrigir por favor).
Dúvidas que preciso discutir com a OI para o dia 06/01/2016
2. Como iremos alterar a fraseologia da opção 3 nos menus da ura para vendas, logo o vdn de saída 23519 (menu não suporte) direciona no skill 522 (Contax) passa a ser atendido no Televendas?Todavia temos um impasse por parte da OI, de direcionar esse skill para a célula de relacionamento e atender esses clientes backlog de migração nessa célula. E aí como devemos proceder já que na Ura será alterada a fraseologia para vendas ao invés de migração de–mail?
3. Dando continuidade as dúvidas...Como iremos alterar para venda a opção 3 também nos menus dos suporte e suporte estendido, logo o vdn de saída de URA 23520 que atualmente é direcionado para a CDF deve permanecer mesmo nos casos de venda chegando atualmente no CDF 29905?A CDF irá fazer vendas?E o back log de migração para esclarecimentos como será nos menus de suporte da URA? 
24/11 - Daniel e Bruno,
Apenas para ficar no nosso radar sobre a execução desta demanda no ambiente de testes.Minha expectativa é para a ultima semana de Novembro entre 23/11 à 27/11 realizarmos o teste.
Temos “gordura” até o dia 01/12.
Vamos q vamos!!
</t>
  </si>
  <si>
    <t>Retorno em 24/11</t>
  </si>
  <si>
    <t>24/11 - Na fila de Engenharia</t>
  </si>
  <si>
    <t>24/11 - Em análise pelo centro de soluções</t>
  </si>
  <si>
    <t>24/11 - Aguardando ação do Cliente com a entrega dos links.</t>
  </si>
  <si>
    <t>24/11 - Em análise por Engenharia</t>
  </si>
  <si>
    <t>24/11 - A infra já foi disponibilizada, faltam algumas informações por parte do cliente que serão utilizadas para configuração</t>
  </si>
  <si>
    <t>24/11 - Este projeto está com o Luiz Washington, pelo último status que recebi faltava recebermos o link de voz e dados do cliente, para posterior ativação
08/09- STAUTS - encaminhado para o Celio, Villa e Klaus conforme alinhamento com o LW.</t>
  </si>
  <si>
    <t>24/11 - Este projeto está com a equipe do Marcelo Rosim (PE), previsão de entrega nos próximos dias
Aguardando aprovação e solicitação de infra do solicitante.</t>
  </si>
  <si>
    <t>24/11 - Projeto em análise por TI-Desenvolvimento</t>
  </si>
  <si>
    <t>24/11 - Este projeto está com a equipe do Marcelo Rosim (PE), previsão de entrega nos próximos dias</t>
  </si>
  <si>
    <t xml:space="preserve">24/11 - Aguardando a área de PMO incluir os ativos no SAL </t>
  </si>
  <si>
    <t>24/11 - Conversei com o supervisor Sérgio Nucitelli ele me informou que o Josimar  Santana está tratando este chamado</t>
  </si>
  <si>
    <t>24/11 - Aguardando priorização
14/09- STATUS- Projeto encaminhado para TI-Engenharia - Villa</t>
  </si>
  <si>
    <t xml:space="preserve">24/11 - Aguardando priorização pelo time de projetos CC </t>
  </si>
  <si>
    <t>24/11 - Formulário anexado
23/11 - Aguardando preenchimento do formulário</t>
  </si>
  <si>
    <t>23/11 - Solicitada proposta comercial à Information</t>
  </si>
  <si>
    <t>04/ago: “Projeto encaminhado para o site iniciar a analise e estimativa.”</t>
  </si>
  <si>
    <t>CTXSPOAP407-13904</t>
  </si>
  <si>
    <t>MIGRAÇÃO DE DISPARO DE SMS - INTEGRADA AO FE GESTÃO - REDE SYSTEM</t>
  </si>
  <si>
    <t xml:space="preserve">24/11 - • Amanhã realizaremos uma reunião entre a Zenvia e o fornecedor Rede System para entendimentos e elaboração de proposta comercial para alteração da plataforma
• Após a reunião, informarei sobre os próximos passos e definições
</t>
  </si>
  <si>
    <t>Edison Nei Siqueira added a comment - 24/Nov/15 17:19
Demanda concluído conforme termo de aceite em anexo ao chamado.
Aguardando retorno da operação com relação a homologação.
Edison Nei Siqueira added a comment - 03/Nov/15 16:14
Aguardando ajustes que estão sendo realizados pela equipe de implantação da Regional RJ.</t>
  </si>
  <si>
    <t>25/11 - Projetp Entrege;
17/11 - Migração Concluida em 03/11. Aguradndo o DA de operações para finalizar a demanda;
27/10 - Estamos migrando os recurso em pequenas quantidades. Previsão de entrega até 06/11 (podendo antecipar);
20/10 - em Planejamento de atividades;
13/10 - Em fila aguardando priorização, devido aos crescimentos da VIOV em SP, previsto para NOV/2015; 
06/10 - Planejamento das atividades (localização de insumos, ramais, gravação, etc)</t>
  </si>
  <si>
    <t>25/11 - Houceve a necessidade de ajustar 4 ramais e 2 pontos de redes, que ja estão em tratativas. previsão de finalizar até 27/11;
17/11 - Posições em uso desde inicio do mês, aguardando formalização de OK para finalizar o projeto;
03/11 - homoogação agendada para 05 e 06/11;
27/10 - Disponivel para homologação. Previsão entre 28 e 30/10;
20/10 - Em Configuração, homologação prevista para 28 e 29/10;
13/10 - Demanda chegou hoje (13/10) para o meu conhecimento, mas não esta priorizada (Equipe Planejmanto estava tratando direto com o site);</t>
  </si>
  <si>
    <t>25/11 - Projeto Finalizado com Sucesso. Recebemos a Formalização em 25/11;
17/11 - Aguardando Formalização da entrega de todas as ondas (30/1/, 3, 5, 10, 13 e 16/11);
03/11 - Posições em configuração até 04/11, Homologação prevista para 05/11;</t>
  </si>
  <si>
    <t>25/11 - Projeto entregue com sucesso, recebemos a formalização em 18/11;
17/11 - Posições de atendimento entregues em 13/11. resta somente uma posições de supervisão para fazermos ajustes.
03/11 - Configurando maquinas / Ramais e Gravalção, ate 05/11. Homologação em 06/11;</t>
  </si>
  <si>
    <t>25/11 - Operação migrada do site Antártica para o site Alegria com Sucesso. No momento estamos planejmndo a troca dos micros da operação para adequar ao contrato (necessario maquinas i5, 4GB memoria)
17/11 - Ambiente confirgurado e disponivel para homologação (site Alegria), prevista para 17/11. se sucesso, agendaremos a migração dos recursos;</t>
  </si>
  <si>
    <t>Retorno em 25/11</t>
  </si>
  <si>
    <t>25/11 - Aguardando priorização</t>
  </si>
  <si>
    <t xml:space="preserve">Retorno em 25/11 </t>
  </si>
  <si>
    <t>25/11 - Necessário desenvolvimento. Deve ser priorizado</t>
  </si>
  <si>
    <t>Projeto implantado com sucesso. Débora 23/11. 
O banco aprovou a GMUD e o roll out do projeto esstá previsto para os dias 18 a 20/11. Débora 17/11
Aguardando a aprovação do Banco Itaú para aprovar a GMUD que está planejada para 18 a 20/11. Débora 10/11.
Aguardando a aprovação do Banco Itaú para aprovar a GMUD que está planejada para 05 e 06/11. Débora 03/11.</t>
  </si>
  <si>
    <t>CTXRECSA-441544</t>
  </si>
  <si>
    <t>CTXRECSA-441539</t>
  </si>
  <si>
    <t>CTXRECSA-441538</t>
  </si>
  <si>
    <t>CTXRECSA-441537</t>
  </si>
  <si>
    <t>CTXRECSA-441535</t>
  </si>
  <si>
    <t>CTXRECSA-441525</t>
  </si>
  <si>
    <t>CTXRECSA-441523</t>
  </si>
  <si>
    <t>CTXRECSA-441507</t>
  </si>
  <si>
    <t>CTXRECSA-441505</t>
  </si>
  <si>
    <t>CTXRECSA-441504</t>
  </si>
  <si>
    <t>CTXRECSA-441495</t>
  </si>
  <si>
    <t>CTXRECAU-63167</t>
  </si>
  <si>
    <t>CTXRECAM-56254</t>
  </si>
  <si>
    <t>Projeto - "Migração POP 3 - Posto PA Conquista vs. Sto Amaro"</t>
  </si>
  <si>
    <t>Projeto - "Migração POP 3 - Pendencia de Serviços Conquista vs. Sto Amaro"</t>
  </si>
  <si>
    <t>Projeto - "Migração POP 3 - pendencia de Contas Conquista vs. Sto Amaro"</t>
  </si>
  <si>
    <t>Projeto - "Migração POP 3 - Lojista Conquista vs. Sto Amaro"</t>
  </si>
  <si>
    <t>Projeto - "Migração POP 3 - Ilha de Auditoria Conquista vs. Sto Amaro"</t>
  </si>
  <si>
    <t>Projeto - "Migração POP 3 - Fale Conosco Conquista vs. Sto Amaro"</t>
  </si>
  <si>
    <t>Projeto - "Migração POP 3 - Correspondencia Conquista vs. Sto Amaro"</t>
  </si>
  <si>
    <t>Projeto - "Migração POP 3 - Contas Fixa Conquista vs. Sto Amaro"</t>
  </si>
  <si>
    <t>Projeto - "Migração POP 3 - Chat R2 Conquista vs. Sto Amaro"</t>
  </si>
  <si>
    <t>Projeto - "Migração POP 3 - Chat R1 Conquista vs. Sto Amaro"</t>
  </si>
  <si>
    <t>Projeto - "Migração POP 3 - BO OI TV Conquista vs. Sto Amaro"</t>
  </si>
  <si>
    <t>Projeto - Migração POP 3 - Operação Itaú 2.0 Site Origem Conquista vs. Destino Aurora</t>
  </si>
  <si>
    <t>Migração POP 3 - Televendas Santander e Site Conquista X Site Santo Amaro</t>
  </si>
  <si>
    <t>Retorno em 26/11</t>
  </si>
  <si>
    <t>Leonardo Marques</t>
  </si>
  <si>
    <t>Chamado concluído. Segundo posição de Felipe Villa: "o site nascente está sendo desmobilizado e a operação irá para outro site. Ao invés de migrarmos este link para o novo site (inclusive já solicitamos o cancelamento), vamos alocar banda na MPLS do novo site e repassar o custo desta banda para o cliente. A banda repassada será de 10 Mbps redundantes, ao invés dos 34Mbps atuais. Esta migração continua atendendo o requisito de PCI pois mantém a criptografia atual existente, mesmo em cima da MPLS”. Débora 01/12
Aguardando regularização das fatura em atraso, Previsão de redução do link, nov/15. Débora 23/11/15
Aguardando regularização das fatura em atraso, Previsão de redução do link, nov/15. Débora 17/11/15
Aguardando regularização das fatura em atraso, Previsão de redução do link, nov/15. Débora 10/11/15
Aguardando regularização das fatura em atraso, Previsão de redução do link, nov/15. Débora 03/11/15
Aguardando regularização das fatura em atraso, Previsão de redução do link, nov/15. Débora 27/10/15
Aguardando regularização das fatura em atraso, Previsão de redução do link, nov/15. Débora 20/10/15
Aguardando regularização das fatura em atraso, Previsão de redução do link, nov/15. Débora 05/10/15
Aguardando regularização das fatura em atraso, somente após isso poderá seguir com o processo junto a operadora TIM para reduzir o link; Valzer informou que estão trabalhando para ter tudo solucionado dentro do mês de setembro. Débora 25/09/15</t>
  </si>
  <si>
    <t>Projeto executado com sucesso. Débora 01/12
Em definição da data de roll out. Débora 23/11
O Banco deu o de acordo e Roll out está planejado para 18/11. Débora 17/11
Foram corrigidos os erros e solicitados novos testes para a operação. Assim que obtivermos o de acordo da operação, seguiremos com  o roll out. Débora 10/11
O projeto está em definição de roll out. Débora 03/10
O projeto está em definição de roll out. Débora 27/10
O piloto está previsto para iniciar em 21/10. Débora 20/10/15.
Projeto está na fase de desenvolvimento. Débora 13/10/15.
Projeto está na fase de desenvolvimento. Débora 25/09</t>
  </si>
  <si>
    <t>Integração NBA TV na Ilha de receita</t>
  </si>
  <si>
    <r>
      <rPr>
        <b/>
        <sz val="11"/>
        <color theme="1"/>
        <rFont val="Calibri"/>
        <family val="2"/>
        <scheme val="minor"/>
      </rPr>
      <t>03/12 - Aceite dado pelo cliente.
01/12 -</t>
    </r>
    <r>
      <rPr>
        <sz val="11"/>
        <color theme="1"/>
        <rFont val="Calibri"/>
        <family val="2"/>
        <scheme val="minor"/>
      </rPr>
      <t xml:space="preserve"> Projeto entregue em seu escopo original. No aguardo do aceite da operação.</t>
    </r>
    <r>
      <rPr>
        <b/>
        <sz val="11"/>
        <color theme="1"/>
        <rFont val="Calibri"/>
        <family val="2"/>
        <scheme val="minor"/>
      </rPr>
      <t xml:space="preserve">
24/11</t>
    </r>
    <r>
      <rPr>
        <sz val="11"/>
        <color theme="1"/>
        <rFont val="Calibri"/>
        <family val="2"/>
        <scheme val="minor"/>
      </rPr>
      <t xml:space="preserve"> - Projeto incluido em um Tetris de 22 movimentos com layout e movimentações recebidas em 20/11. Levantamento de insumos da equipe de TI do site durante dia 20/11 e final de semana. Necessidade de Insumos disparadas para áreas provedoras em 23/11. Hoje: evantada a necessidade de compra de HeadSets (Reposição) e transporte de Teclados e Mouse. RISCO ALTO para : Licenças e links de voz para uso dos Discadores (Aspect e APC).
</t>
    </r>
  </si>
  <si>
    <t>Tipo de Demanda</t>
  </si>
  <si>
    <t>Aplicação</t>
  </si>
  <si>
    <t>Desmobilização</t>
  </si>
  <si>
    <t>URA</t>
  </si>
  <si>
    <t>Instalação de software</t>
  </si>
  <si>
    <t>Liberação de acesso/aplicação web</t>
  </si>
  <si>
    <t>Proposta Comercial</t>
  </si>
  <si>
    <t>Especificação Funcional</t>
  </si>
  <si>
    <t>Homologação</t>
  </si>
  <si>
    <t>Assistida</t>
  </si>
  <si>
    <t>Analise de Engenharia (Especificação técnica)</t>
  </si>
  <si>
    <t>Analise de aplicações (Especificação técnica)</t>
  </si>
  <si>
    <t>Implantação</t>
  </si>
  <si>
    <t>S&amp;OP - menos de 100 PAs</t>
  </si>
  <si>
    <t>S&amp;OP -  de 100  a 300 PAs</t>
  </si>
  <si>
    <t>S&amp;OP - mais de 300 PAs</t>
  </si>
  <si>
    <t>Análise do Fornecedor (Proposta Comercial)</t>
  </si>
  <si>
    <t>Analise de Ti do site (Levantamento técnico)</t>
  </si>
  <si>
    <t>OBS. Ainda não contempla:</t>
  </si>
  <si>
    <t>Aquisição/Transporte de insumos</t>
  </si>
  <si>
    <t>Aprovação de Pedido/SC</t>
  </si>
  <si>
    <t>Aprovação Comitê de Caixa</t>
  </si>
  <si>
    <t>SLA 
TOTAL
(Dias ùteis)</t>
  </si>
  <si>
    <t>Implementar a ferramenta NBA nas operações de ilha de receita Pós e OCT.  Esta operação já tem o FF.</t>
  </si>
  <si>
    <t>Blindagem 4p -12 pas+C36</t>
  </si>
  <si>
    <t>Origem da Demanda
(plano de recuperação / S&amp;OP / POP / Operações / Pré Venda / Corporativo)</t>
  </si>
  <si>
    <t>Líder de Projetos
Negócios</t>
  </si>
  <si>
    <t>Data Entrega 
Planejada</t>
  </si>
  <si>
    <t>Data Planejada será cumprida?
(Sim / Não / Risco)</t>
  </si>
  <si>
    <t>-</t>
  </si>
  <si>
    <t>Status
(log de comentários)</t>
  </si>
  <si>
    <t>Quantidade de PAs</t>
  </si>
  <si>
    <t>Evasão ou Recuperação</t>
  </si>
  <si>
    <t>YTD</t>
  </si>
  <si>
    <t>Temperatura do Cliente</t>
  </si>
  <si>
    <t>Operações que não estão no Plano de Recuperação</t>
  </si>
  <si>
    <t>BI Corporativo</t>
  </si>
  <si>
    <t>Pré Venda</t>
  </si>
  <si>
    <t>Levantamento
Status</t>
  </si>
  <si>
    <t>Levantamento
Data Conclusão</t>
  </si>
  <si>
    <t>Levantamento
Responsável</t>
  </si>
  <si>
    <t>Análise / Desenho
Status</t>
  </si>
  <si>
    <t>Análise / Desenho
Data Conclusão</t>
  </si>
  <si>
    <t>Análise / Desenho
Responsável</t>
  </si>
  <si>
    <t>Desenvolvimento
Status</t>
  </si>
  <si>
    <t>Desenvolvimento
Data Conclusão</t>
  </si>
  <si>
    <t>Desenvolvimento
Responsável</t>
  </si>
  <si>
    <t>Homologação
Status</t>
  </si>
  <si>
    <t>Homologação
Data Conclusão</t>
  </si>
  <si>
    <t>Homologação
Responsável</t>
  </si>
  <si>
    <t>Roll Out
Status</t>
  </si>
  <si>
    <t>Roll Out
Data Conclusão</t>
  </si>
  <si>
    <t>Roll Out
Responsável</t>
  </si>
  <si>
    <t>TBD</t>
  </si>
  <si>
    <t>OK</t>
  </si>
  <si>
    <t>Mariama</t>
  </si>
  <si>
    <t>Flávio</t>
  </si>
  <si>
    <t>Wagner Mattos</t>
  </si>
  <si>
    <t>Fabiana Carvalho</t>
  </si>
  <si>
    <t>Karen</t>
  </si>
  <si>
    <t>José Pedro</t>
  </si>
  <si>
    <t>Recuperação</t>
  </si>
  <si>
    <t>Luciana Cardoso</t>
  </si>
  <si>
    <t>10/12 - Projeto Concluído
23/11 - Aguardando DA do solicitante</t>
  </si>
  <si>
    <t>Em andamento</t>
  </si>
  <si>
    <t>Definir - depende negócio</t>
  </si>
  <si>
    <t xml:space="preserve">Tabulador GT Portabilidade e Rural Cel </t>
  </si>
  <si>
    <t>RTI</t>
  </si>
  <si>
    <t>Aguardando Aprovação Financeir e definição de Layout pelo solicitante, em paralelo estamos identificando disponibilidade de equipamentos para atender o projeto, identificado disponibilidade de equipamentos em PE</t>
  </si>
  <si>
    <t>Aguardando</t>
  </si>
  <si>
    <t xml:space="preserve">19/10 – Análise de ENG  </t>
  </si>
  <si>
    <t>05/10 - Projeto Cancelado
[28/09 - Leandro] Foi solicitado dia 22/9 por Aplicações, o preenchimento da Planilha T guidance para dar andamento na Ordem de Grandeza. 
Planilha de Tguidance foi passada à diante para preenchimento (aguardando retorno).
Acionando ENG para fazer estudo de necessidades técnicas
[17/09 – Leandro] Aguardando recurso em Aplicação para realizar a análise da OG – Ordem de Grandeza (Tempo previsto para o desenvolvimento).</t>
  </si>
  <si>
    <t>15/10/2015 - Conforme explicado para Fernanda Nazário no dia 09/10, essa demanda deve ser direcionada para a equipe de ENG que deverá validar o link entre Closer - Contax - Oi.O solicitante precisa que a Closer acesse o diretorio FTP da Oi por meio da rede Contex visto que a Oi não liberará o acesso direto da Closer. 
IP Closer: 137.117.217.70 porta 22 
IP Oi: 10.81.8.7 - Login : stc_pe - Senha: ftpstcpe - Nome do diretorio: stc_pe 
IP Contax que possui acesso ao diretorio de FTP da Oi 
09/10 - Aguardando priorizar</t>
  </si>
  <si>
    <t xml:space="preserve">13/11 - Projeto concluído
Dalton Bondesan added a comment - 24/Set/15 19:33 
Projeto encaminhado a fila do site para Análise e estimativa. </t>
  </si>
  <si>
    <t xml:space="preserve">21/07/2015 - [Marcio] Finalizado desenho, aguardando cotação (conforme e-mail em anexo). 
2015/06/30 - [Marcio] Finalizado cenários de desenho e aguardando conferência com o cliente para escolha do cenário e solicitação de cotação para a área de GDT. 
2015-06-11 - Análise de OG 
</t>
  </si>
  <si>
    <t xml:space="preserve">24/09- Encaminhado o questionamento do Site, e solicitado a continuidade da Análise e estimativa.
21/08-definido pelo site que o Jefferson sera o lider do projeto.
</t>
  </si>
  <si>
    <t xml:space="preserve">Projeto implantado com sucesso. Débora 23/11.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18 a 20/11. Débora 17/11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18 a 20/11. Débora 10/11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5 e 6/11. Débora 03/11
O projeto está em definição de data para roll out Débora 27/10
Virada foi cancelada devido a erros encontrados em piloto, portanto ainda permanecemos em piloto. Débora 20/10/15
Piloto foi iniciado em 28/09 e até o momento não foi encontrado nenhuma erro. Virada está planejada para 20 e 21/10 em Salvador e 22 a 23/10 em Recife, devido as datas de MM, não conseguimos efetuar a virada com antecedência. De acordo com o site temos os maiores DMMs em 13/out (1°), 14/out (2°) e 05/out (3°). Débora 13/10/15
Dalton Bondesan added a comment - 05/Ago/15 17:00 
Projeto encaminhado para Análise e estimativa do site. </t>
  </si>
  <si>
    <t>28/09.Análise concluída e projeto encerrado.
Em Análise intermitência de desconexão com AES.</t>
  </si>
  <si>
    <t>Edison Nei Siqueira added a comment - 10/Nov/15 17:38
Conforme alinhamento com negócios a demanda já foi concluída.
Edison Nei Siqueira added a comment - 03/Nov/15 15:53
Realizada a implantação conforme solicitado, próximas ondas em Análise com relação ao Polo Aspect.
Edison Nei Siqueira added a comment - 20/Out/15 20:32
Realizada a implantação conforme solicitado, próximas ondas em Análise com relação ao Polo Aspect.</t>
  </si>
  <si>
    <t xml:space="preserve">Edison Nei Siqueira added a comment - 05/Nov/15 11:17
Conforme contato feito junto a coordenação do solicitante, a demanda já foi concluída.
Edison Nei Siqueira added a comment - 03/Nov/15 15:52
Marcio, por gentileza entrar em contato para realizar kick off da demanda.
Edison Nei Siqueira added a comment - 20/Out/15 20:26
Marcio, por gentileza entrar em contato para realizar kick off da demanda.
Edison Nei Siqueira added a comment - 06/Out/15 17:57
Recebi a demanda sobre minha responsabilidade no dia 02/10, essa semana ainda estarei realizando contato com o demandante para o entendimento da demanda.
Hide Link Permanente Anderson Luiz Gon�alves de Alcantara added a comment - 25/Set/15 10:00 
Ações a serem realizadas: 
1. Troca de DAC de Lapa_B para Mackenzie_A. 
2. Troca de ramal. 
Obs.: Conforme informação passada pela operação nnão será necessário realização de imagem 
Show Anderson Luiz Gon�alves de Alcantara added a comment - 25/Set/15 10:00 Ações a serem realizadas: 1. Troca de DAC de Lapa_B para Mackenzie_A. 2. Troca de ramal. Obs.: Conforme informação passada pela operação nnão será necessário realização de imagem 
Hide Link Permanente Dalton Bondesan added a comment - 29/Set/15 11:28 
encaminhado para o site em 25/09- para Análise e estimativa </t>
  </si>
  <si>
    <t xml:space="preserve">Edison Nei Siqueira added a comment - 01/Dez/15 10:23
Estudo realizado e entregue.
Edison Nei Siqueira added a comment - 10/Nov/15 17:03
aguardando posicionamento da área de negócios com o número do chamado que vai tratar a demanda como corporativa.
Edison Nei Siqueira added a comment - 03/Nov/15 12:37
Levantamento concluído pela equipe de ENG, a mesma está sendo tratada como uma demanda corporativa pela área de negócios da Nara.
Edison Nei Siqueira added a comment - 20/Out/15 19:11
Em Análise junto a equipe de ENG.
Edison Nei Siqueira added a comment - 06/Out/15 14:16
Sendo feita Análise com relação aos ambientes de gravação para concluir o estudo de viabilidade técnica.
Edison Nei Siqueira added a comment - 07/Ago/15 00:29 
Enviado e-mail para o demandante solicitando o status para saber se a demanda seguirá como projeto, ultima solicitação feita em 22/07 foi o preenchimento da planilha de Demandas de Projetos TI. 
</t>
  </si>
  <si>
    <t>Edison Nei Siqueira added a comment - 05/Out/15 10:02
Realizado o tombamento do Aspect para APC, hoje estamos iniciando a operação assistida nas 50 PAs que realizamos a mudança de plataforma.
Edison Nei Siqueira added a comment - 29/Set/15 16:20
Demanda planejada para Análise junto a operação para execução na primeira semana de Outubro/2015. 
Por gentileza enviar as respectivas informações de E-cadop dos operadores com os dados de logins de rede, login DAC. 
Layout da operação.</t>
  </si>
  <si>
    <t xml:space="preserve">20/10 - Projeto Concluído
13/10 - Aguardando a análise e estimativa do Site,
06/10 - (Dalton) - Projeto encaminhado a fila do site para Análise e estimativa </t>
  </si>
  <si>
    <t>10/11 - Projeto cancelado
[20/10 - Dalton] Na fila – Em OG – Aguardando recurso interno
[28/09 - Dalton] A estratégia do RTI da NEt foi alterada para o fornecedor BETA. Aplicações enviou as propostas e está aguardando retorno do fornecedor.
[17/09 – Dalton] Projeto encaminhado para TI-Desenvolvimento / Aplicações iniciar a Análise e estimativa.</t>
  </si>
  <si>
    <t>[29/10] Cancelado
[28/09 - Dalton] Projeto encaminhado para o Site e ativos, para Análise estimativa do mesmo.
[18/09 – Dalton] 17/Set/15 19:10 Projeto encaminhado para o Site e ativos para Análise estimativa do mesmo.</t>
  </si>
  <si>
    <t>[29/10] Cancelado
[15/10 - Dalton] As ações deste projeto já foram realizadas / acompanhando os resultados.
[28/09 - Dalton] Ainda não tivemos retorno de ENG, faremos um follow-up e cobrança desse assunto para fazer andar à diante.
[18/09 – Dalton] Encaminhado em 17/09 para área de TI-ENG Telecom para iniciar Análise e estimativa.</t>
  </si>
  <si>
    <t>Levantamento de informações</t>
  </si>
  <si>
    <t>Total Geral</t>
  </si>
  <si>
    <t>Contagem de Número do tProcess</t>
  </si>
  <si>
    <t>14/12 - Projeto Concluído
23/11 - SC encaminhada ao George. Aguardando aprovações</t>
  </si>
  <si>
    <t>Filtro</t>
  </si>
  <si>
    <t>Implantação Geral</t>
  </si>
  <si>
    <t>Aplicações</t>
  </si>
  <si>
    <t>Migração Vivo (Retenção PJ) -  Campinas para Antártica</t>
  </si>
  <si>
    <t>Discador / Gravação / DAC Único</t>
  </si>
  <si>
    <t>Disponibilizar diariamente as mesmas bases do Oi Fixo que são carregadas no Frevo para utilização da Closer</t>
  </si>
  <si>
    <t>14/12 - Projeto concluído</t>
  </si>
  <si>
    <t>Sim</t>
  </si>
  <si>
    <t xml:space="preserve">Data Entrega Planejada
Final </t>
  </si>
  <si>
    <t>[14/12] Projeto Concluído</t>
  </si>
  <si>
    <t>Rótulos de Coluna</t>
  </si>
  <si>
    <t>14/12 - Não é de projetos TI. Atribuído à Katlhen (equipe de cargas)
23/11 - Projeto em análise</t>
  </si>
  <si>
    <t>[08/12] Projetos cancelados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15:50
Entrega das EFs atualizadas pela area de PMO Negócios prevista para o dia 19/11. 
Edison Nei Siqueira added a comment - 03/Nov/15 14:52
Foi solicitada a revalidação das EFs, levando em consideração que não teremos mais o JIRA e nem identificamos a validação da rotina de carga do mailing e afins.
Edison Nei Siqueira added a comment - 20/Out/15 19:27
Aguardando retorno da área de negócios com relação ao levantamos de insumos para prover a aprovação da demanda no comitê de gastos.
Edison Nei Siqueira added a comment - 06/Out/15 15:26
Aguardando retorno da área de negócios com relação ao levantamos de insumos para prover a aprovação da demanda no comitê de gastos. 
Edison Nei Siqueira added a comment - 09/Set/15 15:15
Recebido e encaminhado para Análise de aplicações NGR, aguardando retorno da priorização.</t>
  </si>
  <si>
    <t xml:space="preserve">Evalyze Lista de Espera </t>
  </si>
  <si>
    <t>CTXMTZRP-43358</t>
  </si>
  <si>
    <t>Infraestrutura</t>
  </si>
  <si>
    <t>Direcionamento para checklist atendimento técnico</t>
  </si>
  <si>
    <t>Crescimento s/ discador</t>
  </si>
  <si>
    <t>Crescimento c/ discador</t>
  </si>
  <si>
    <t xml:space="preserve">Realizar implantação nas operações de Rentabilização do discador APC e Front End Front Fácil. </t>
  </si>
  <si>
    <t>Projeto Adequação das Salas</t>
  </si>
  <si>
    <t>CTXRECSA-443731</t>
  </si>
  <si>
    <t>Thiago Felippe</t>
  </si>
  <si>
    <t>Sala extra de treinamento em Porto Alegre</t>
  </si>
  <si>
    <t>CTXPOARB-97524</t>
  </si>
  <si>
    <t>CTXPOARB-97639</t>
  </si>
  <si>
    <t>CTXRECAU-64001</t>
  </si>
  <si>
    <t>Crescimento - 195PAs para operação NET - Navegantes</t>
  </si>
  <si>
    <t>Crescimento - 313PAs para operação NET - Aurora</t>
  </si>
  <si>
    <t>Fila ou não?</t>
  </si>
  <si>
    <t>Em Desenvolvimento</t>
  </si>
  <si>
    <t>CRESCIMENTO MAIS DO MESMO DA REDECARD</t>
  </si>
  <si>
    <t>Cristina Rey</t>
  </si>
  <si>
    <t xml:space="preserve">Implantar 12 posições Retenção PF </t>
  </si>
  <si>
    <t>CTXMTZPB-1098</t>
  </si>
  <si>
    <t>TCLOCK - Interface Near Real Time</t>
  </si>
  <si>
    <t>CTXMTZPB-1118</t>
  </si>
  <si>
    <t>Restrição de Transferência</t>
  </si>
  <si>
    <t>Prioridade</t>
  </si>
  <si>
    <t>Migração do JIRA para Turbina</t>
  </si>
  <si>
    <t>Acompanho</t>
  </si>
  <si>
    <t>Robson Silva</t>
  </si>
  <si>
    <t>Em cotação com fornecedor/Detalhamento de escopo</t>
  </si>
  <si>
    <t>(Integração Front Fácil X NBA_Oper Blindagem)
Precisamos que a integração não dependa de registros feitos no Front Fácil, mas que seja possível capturar a marcação do NBA centralizando a marcação em apenas uma ferramenta</t>
  </si>
  <si>
    <r>
      <rPr>
        <b/>
        <sz val="11"/>
        <color theme="1"/>
        <rFont val="Calibri"/>
        <family val="2"/>
        <scheme val="minor"/>
      </rPr>
      <t xml:space="preserve">08/12 - </t>
    </r>
    <r>
      <rPr>
        <sz val="11"/>
        <color theme="1"/>
        <rFont val="Calibri"/>
        <family val="2"/>
        <scheme val="minor"/>
      </rPr>
      <t>Homologação da Macro da</t>
    </r>
    <r>
      <rPr>
        <b/>
        <sz val="11"/>
        <color theme="1"/>
        <rFont val="Calibri"/>
        <family val="2"/>
        <scheme val="minor"/>
      </rPr>
      <t xml:space="preserve"> </t>
    </r>
    <r>
      <rPr>
        <sz val="11"/>
        <color theme="1"/>
        <rFont val="Calibri"/>
        <family val="2"/>
        <scheme val="minor"/>
      </rPr>
      <t>R1 e R2 concluída.</t>
    </r>
    <r>
      <rPr>
        <b/>
        <sz val="11"/>
        <color theme="1"/>
        <rFont val="Calibri"/>
        <family val="2"/>
        <scheme val="minor"/>
      </rPr>
      <t xml:space="preserve">
</t>
    </r>
    <r>
      <rPr>
        <sz val="11"/>
        <color theme="1"/>
        <rFont val="Calibri"/>
        <family val="2"/>
        <scheme val="minor"/>
      </rPr>
      <t>24/11 -</t>
    </r>
    <r>
      <rPr>
        <b/>
        <sz val="11"/>
        <color theme="1"/>
        <rFont val="Calibri"/>
        <family val="2"/>
        <scheme val="minor"/>
      </rPr>
      <t xml:space="preserve"> </t>
    </r>
    <r>
      <rPr>
        <sz val="11"/>
        <color theme="1"/>
        <rFont val="Calibri"/>
        <family val="2"/>
        <scheme val="minor"/>
      </rPr>
      <t>R2 - Em homologação, perante algumas correções solicitadas na macro.</t>
    </r>
    <r>
      <rPr>
        <b/>
        <sz val="11"/>
        <color theme="1"/>
        <rFont val="Calibri"/>
        <family val="2"/>
        <scheme val="minor"/>
      </rPr>
      <t xml:space="preserve">
</t>
    </r>
    <r>
      <rPr>
        <sz val="11"/>
        <color theme="1"/>
        <rFont val="Calibri"/>
        <family val="2"/>
        <scheme val="minor"/>
      </rPr>
      <t>17/11 -</t>
    </r>
    <r>
      <rPr>
        <b/>
        <sz val="11"/>
        <color theme="1"/>
        <rFont val="Calibri"/>
        <family val="2"/>
        <scheme val="minor"/>
      </rPr>
      <t xml:space="preserve"> </t>
    </r>
    <r>
      <rPr>
        <sz val="11"/>
        <color theme="1"/>
        <rFont val="Calibri"/>
        <family val="2"/>
        <scheme val="minor"/>
      </rPr>
      <t xml:space="preserve">Interação com o gerente da operação/ Fornecedor referente alguns ajustes na macro. Previsão de homologação ainda esta semana. </t>
    </r>
    <r>
      <rPr>
        <b/>
        <sz val="11"/>
        <color theme="1"/>
        <rFont val="Calibri"/>
        <family val="2"/>
        <scheme val="minor"/>
      </rPr>
      <t xml:space="preserve">
</t>
    </r>
    <r>
      <rPr>
        <sz val="11"/>
        <color theme="1"/>
        <rFont val="Calibri"/>
        <family val="2"/>
        <scheme val="minor"/>
      </rPr>
      <t xml:space="preserve">10/11 - Aguardando disponibilização das correções pelo fornecedor.
</t>
    </r>
    <r>
      <rPr>
        <b/>
        <sz val="11"/>
        <color theme="1"/>
        <rFont val="Calibri"/>
        <family val="2"/>
        <scheme val="minor"/>
      </rPr>
      <t xml:space="preserve">
</t>
    </r>
    <r>
      <rPr>
        <sz val="11"/>
        <color theme="1"/>
        <rFont val="Calibri"/>
        <family val="2"/>
        <scheme val="minor"/>
      </rPr>
      <t>30/10</t>
    </r>
    <r>
      <rPr>
        <b/>
        <sz val="11"/>
        <color theme="1"/>
        <rFont val="Calibri"/>
        <family val="2"/>
        <scheme val="minor"/>
      </rPr>
      <t xml:space="preserve"> </t>
    </r>
    <r>
      <rPr>
        <sz val="11"/>
        <color theme="1"/>
        <rFont val="Calibri"/>
        <family val="2"/>
        <scheme val="minor"/>
      </rPr>
      <t xml:space="preserve">R1 Homologada
R2 Na sexta-feira identificamos oportunidades na macro da R2.
As informações apresentadas no TLV estavam divergentes das informações do SAC.
Acionamos o Fornecedor Anderson e estamos aguardando o retorno.
</t>
    </r>
    <r>
      <rPr>
        <b/>
        <sz val="11"/>
        <color theme="1"/>
        <rFont val="Calibri"/>
        <family val="2"/>
        <scheme val="minor"/>
      </rPr>
      <t xml:space="preserve">
27/10 -</t>
    </r>
    <r>
      <rPr>
        <sz val="11"/>
        <color theme="1"/>
        <rFont val="Calibri"/>
        <family val="2"/>
        <scheme val="minor"/>
      </rPr>
      <t xml:space="preserve"> Sendo realizado alguns ajustes no mailing. </t>
    </r>
    <r>
      <rPr>
        <b/>
        <sz val="11"/>
        <color theme="1"/>
        <rFont val="Calibri"/>
        <family val="2"/>
        <scheme val="minor"/>
      </rPr>
      <t xml:space="preserve">
</t>
    </r>
    <r>
      <rPr>
        <sz val="11"/>
        <color theme="1"/>
        <rFont val="Calibri"/>
        <family val="2"/>
        <scheme val="minor"/>
      </rPr>
      <t>20/10 -Enviado o mailing ontem 19/10, estando em homologação, sendo rodado amanhã 21/10
13/10 - Solicitado alguns ajustes na R2 com o prazo de 14/10</t>
    </r>
    <r>
      <rPr>
        <b/>
        <sz val="11"/>
        <color theme="1"/>
        <rFont val="Calibri"/>
        <family val="2"/>
        <scheme val="minor"/>
      </rPr>
      <t xml:space="preserve">
</t>
    </r>
    <r>
      <rPr>
        <sz val="11"/>
        <color theme="1"/>
        <rFont val="Calibri"/>
        <family val="2"/>
        <scheme val="minor"/>
      </rPr>
      <t xml:space="preserve">06/10 - A macro de inviabilidade R2 foi desenvolvida e os testes começaram na data programada (30/09). Conforme homologação, foi verificado alterações que não estavam especificadas na EF. Correção prevista para o dia 07/10
29/09 - R1 Homologado / Aguardando o Entrega da R2 conforme cronograma
--------------------------------------------
22/09- MACRO INVIABILIDADE R1 
Finalizada em 15/09, está em fase de testes. 
MACRO INVIABILIDADE R2
Previsão de entrega em 30/09.
</t>
    </r>
  </si>
  <si>
    <t>Jonas Divino</t>
  </si>
  <si>
    <t>Risco</t>
  </si>
  <si>
    <t>18/12 - Maquinas homologadas em 17/12, e roll out em 18/12, estamos acompanhando a entrega na operação;
25/11 - 70% das Maquinas  ja estão configuradas, mas nao estão nas posições pois o ambiente precisa de Obra, estamos cobrando as datas dessas ações;
17/11 - Seguiremos com a implantação da segunda onda com 65 Posições, com previsão de entrega em Dez/15, ja preparando o ambiente;
17/11 - Entregue a 1° onda dcom 46PAs + 3 Supervisão em 17/11;
03/11 - Maquinas ja configuradas. estamos configurando os ramais (uranet). Homologação prevista para 05/11;
27/07 - Aguardando logins de recurso com estrutura do site Antártica, para poder homologar as PA's; data a definir.
20/10 - 1° onda disponivel para homologar, aguardando agenda de operações. (no lay out informado temos 42 PA's, faltam 4 PA's que a equipe de infra predial deve montar para colocarmos maquinas);
13/10 - Em Configurações de ambiente. Dividido em 1° onde com 46 PA's em 01/11 /// 2° onde com 47 PA's em 01/12 /// 3° onda com 47 PA's em 02/01;
06/10 - Planejamento das atividades (localização de insumos, ramais, gravação, etc)</t>
  </si>
  <si>
    <t>18/12 - Projeto Implantado;</t>
  </si>
  <si>
    <t>18/12 - Levantamento de Insumos e licenças;</t>
  </si>
  <si>
    <t>à definir</t>
  </si>
  <si>
    <t>George Dimitrov</t>
  </si>
  <si>
    <t>Lucas Lourenço</t>
  </si>
  <si>
    <t>Fabrício Carvalho</t>
  </si>
  <si>
    <t>não</t>
  </si>
  <si>
    <t>Elaine Furtado</t>
  </si>
  <si>
    <t>Livia Rodrigues</t>
  </si>
  <si>
    <t>Fábio Prazeres</t>
  </si>
  <si>
    <t>Alexandre Teixeira Pinho</t>
  </si>
  <si>
    <t>Tiago Fialho</t>
  </si>
  <si>
    <t xml:space="preserve">
Edison Nei Siqueira added a comment - 04/Dez/15 11:50
Projeto concluído com todas as PAs entregues em produção.</t>
  </si>
  <si>
    <t>Sem pendências de TI. 
 Está pendente o arquivo de POP. Débora 01/12
A operação entrou no ar com sucesso. Está pendente o arquivo de POP e o levantamento dos custos de telecom. Débora 23/11
Está previsto para amanhã a oepração entrar no ar. Débora 17/11
O cliente solicitou algumas alterações no escopo que foram analisadas e a Ayty não conseguirá atender a todas as solicitações. O projeto está em execução com data prevista de entrega para 16/11. Débora 10/11
Foi aprovado no comitê de CAixa para o projeto ser executado com a Ayty a fim de atender o prazo 16/11. Débora 03/11
O projeto está em análise de como seguiremos com a implantação Ayty ou desenvolvimento internor, devido o cliente exigir a implantação até 16/11.
O projeto está em análise pelos executores de TI. Débora 20/10/15
Realizada reunião de pré-kick off com o cliente em 12/10. Aguardando o preenchimento dos documentos de TI e recebimento da especificação funcional. Resp: Jonas Débora 13/10/15</t>
  </si>
  <si>
    <t>[18/12] RTI cancelado devido a redundância com o roteiro dinâmico. Débora 18/12.
Aguardando a análise do ganho do Projeto e mapeamento. Débora 01/12
A operação análisou o projeto e informa que o proejto é viável pois tem outras funcionalidades que não se aplciam no roteiro dinâmico. O projto retornará para a fase de mapeamento. Débora 23/11
Aguardano a formalização do cancelamento do projeto uma vez que a Vivo utiliza as mesmas funcionalidades no roteiro dinâmico. Débora 17/11
E-mail enviado hoje, solicitando o cancelamento do projeto uma vez que a Vivo utiliza as mesmas funcionalidades no roteiro dinâmico. Débora 10/11
Este projeto está em duplicidade, pois a Vivo realiza este processo. Semana passa fizemos uma call para pontuar este assunto com o Wagner e estamos elaborando um e-mail com essa informação (de/para) para enviar ao Wagner e discutir o prossegimento do projeto. Débora 03/11
Projeto está na fase de desenvolvimento. Débora 27/10/15
Projeto está em andamento. Débora 20/10/15.
Dúvidas solucionadas e Auria ficou responsável por corrigir o fluxo. Débora 13/10/15
Call agendada para 06/10 afim de tratar os questionamentos gerados pela operação. Após essas questões serem tratadas, o projeto seguirá com o desenvolvimento. Débora 05/10/15
Aguardando a validação da Vania/Paloma para seguir com o desenvolvimento. Débora 25/09</t>
  </si>
  <si>
    <t>em definição se iremos abrir ou se será própria TI</t>
  </si>
  <si>
    <t>Juliana Moraes</t>
  </si>
  <si>
    <t>CTXSPOLP-116016</t>
  </si>
  <si>
    <t>Projeto: Migração POP 3 - Lapa vs Alegria: PA's Contingência Banco Toyota</t>
  </si>
  <si>
    <t>CTXSALSM-84952</t>
  </si>
  <si>
    <t>Projeto - "Migração POP 3 - Operação Web Site Fonte Nova x Cabula</t>
  </si>
  <si>
    <t>CTXSPOAL-99944</t>
  </si>
  <si>
    <t>Projeto - Migração BV Financeira (Lapa X Alegria)</t>
  </si>
  <si>
    <t>CTXFORBM-342171</t>
  </si>
  <si>
    <t>Projeto - Crescimento de 5 p.a's para o RAC R2</t>
  </si>
  <si>
    <t>CTXFORBM-342169</t>
  </si>
  <si>
    <t>Projeto - Crescimento de 3 p.a's para a retenção invol TV</t>
  </si>
  <si>
    <t>CTXFORBM-342167</t>
  </si>
  <si>
    <t>Projeto - Crescimento de 9 p.a's para Retenção Invol fixo e velox</t>
  </si>
  <si>
    <t>CTXFORBM-342165</t>
  </si>
  <si>
    <t>Projeto - Crescimento de 12 p.a's para o receptivo Oi total</t>
  </si>
  <si>
    <t>CTXFORBM-342164</t>
  </si>
  <si>
    <t>Projeto - Crescimento de 43 p.a's para a Blindagem Oi Total 3p (multiprodutos)</t>
  </si>
  <si>
    <t>CTXFORBM-342163</t>
  </si>
  <si>
    <t>Projeto - Crescimento de 14 p.a's para o Receptivo OCT</t>
  </si>
  <si>
    <t>CTXFORBM-342162</t>
  </si>
  <si>
    <t>Projeto - Crescimento de 6 p.as para o Receptivo Pós</t>
  </si>
  <si>
    <t>CTXFORBM-342161</t>
  </si>
  <si>
    <t>Projeto - Crescimento de 9 p.a's para o B.O Mobilidade</t>
  </si>
  <si>
    <t>CTXFORBM-342159</t>
  </si>
  <si>
    <t>Projeto - Crescimento de 27 p.a's para o receptivo Controle</t>
  </si>
  <si>
    <t>CTXSALLM-118598</t>
  </si>
  <si>
    <t>Crescimento de 3 Posições do Mega Ilha</t>
  </si>
  <si>
    <t xml:space="preserve">Implantar Célula BO DADOS&gt;&gt; 17 PA`S &gt;&gt;SIEBEL e Front(À Definir) SMS &gt;&gt; Site NIterói &gt;&gt; Funionamento de Segunda à Domingo </t>
  </si>
  <si>
    <t>Projeto - Melhoria no Discador Disca Fácil - Priorizar Contatos por horário (Souza Cruz)</t>
  </si>
  <si>
    <t xml:space="preserve">Projeto Transformah </t>
  </si>
  <si>
    <t>Jill</t>
  </si>
  <si>
    <t>Projeto - "Crescimento de 50 PA´s de Velox/Fixo"</t>
  </si>
  <si>
    <t xml:space="preserve">Migração de 33 posições mega ilha + consignado do 11° para o 10° andar. </t>
  </si>
  <si>
    <t>Crescimento mais do mesmo para atender o forecast de Jan/16 do ATC Premium</t>
  </si>
  <si>
    <t>CTXSALLM-118698</t>
  </si>
  <si>
    <t>18/12 - Operação ja implantada, resta disponibilizar o item " VIVO 360 Contingência";
25/11 - Devido a não homologação, estamos com alguns ajustes a serem executados ja em produção, para nao impactar estamos realizando fora do horario da operação. sem data fim;
17/11 - Previsão de homologação em 17 e 18/11;
03/11 - Posições estão disponivies para homologaçõa desde 29/10, aguardando operações para impantar;
27/10 - Finalizando configurações, com previsão de homologação em 29 e 30/10;
20/10 - Em Configuração, homologação prevista para 28 e 29/10;
13/10 - Em Configurações de ambiente
06/10 - Planejamento das atividades (localização de insumos, ramais, gravação, etc)</t>
  </si>
  <si>
    <t>CTXMTZPB-1091</t>
  </si>
  <si>
    <t>Projeto - PASSWORK - PILOTO</t>
  </si>
  <si>
    <t>19/11 - Aguardando priorização (Na fila de TI desenvolvimento)
04/01 - Solicitada novas informações</t>
  </si>
  <si>
    <t>04/01 - Solicitada novas informações
23/11 - Pendente</t>
  </si>
  <si>
    <t>CTXSALAS-158599</t>
  </si>
  <si>
    <t>CTXRJOMA-73573</t>
  </si>
  <si>
    <t>18/12 - Projeto concluído
Edison Nei Siqueira added a comment - 03/Nov/15 15:43
Aguardando o cliente Oi disponibilizar o 0800 para a entrada da operação em produção.
Edison Nei Siqueira added a comment - 20/Out/15 20:12
Aguardando o cliente Oi disponibilizar o 0800 para a entrada da operação em produção.
Edison Nei Siqueira added a comment - 06/Out/15 17:47
Demanda atribuída a minha responsabilidade no dia 05/10, vou estar realizando o kick off para entendimento junto ao demandante.</t>
  </si>
  <si>
    <t>14/12 - Projeto concluído
Edison Nei Siqueira added a comment - 01/Dez/15 14:17
Continuamos evoluindo na replicação de imagem nos desktops a medida que a operação vai disponibilizando PAs.
Edison Nei Siqueira added a comment - 10/Nov/15 17:11
Ainda sendo realizado ajustes nos desktop por parte de TI Local.
Edison Nei Siqueira added a comment - 03/Nov/15 14:31
Ainda sendo realizado ajustes nos desktop por parte de TI Local.
Edison Nei Siqueira added a comment - 20/Out/15 19:22
Ainda sendo realizado ajustes nos desktop por parte de TI Local.
Edison Nei Siqueira added a comment - 06/Out/15 15:13
Ainda sendo realizado ajustes nos desktops por parte de TI Local, solicitado o status atualizado a equipe de PMO Negócios.
Edison Nei Siqueira added a comment - 22/Set/15 19:24
Realizar ajustes nas máquinas que ainda apresentam algum problema em relação a automação – Resp: TI Local – Prazo: 24/09</t>
  </si>
  <si>
    <t>Julio Silva</t>
  </si>
  <si>
    <t>CTXFORBM-344109</t>
  </si>
  <si>
    <t>Projeto - "Novos Campos Mailing de Ofertas Retenção Invol"</t>
  </si>
  <si>
    <t xml:space="preserve">Projetos Bolha - BASELINE: IMPLANTAÇÃO DO PROCESSO DE AUDITORIA PARA TODAS OPERAÇÕES DO ITAÚ e REDECARD: SAC / COBRANÇA / TLV </t>
  </si>
  <si>
    <t>Projetos Bolha - AUDITORIA REMOTA: (Coleta de Dados Automatizada) - PE-Conquista</t>
  </si>
  <si>
    <t>Projeto Bolhas - Aplicações de Hardenings : (Baseline Itaú) - PE-Conquista</t>
  </si>
  <si>
    <t xml:space="preserve">Projetos bolha - CONTROLE DE ACESSO COM O PROTOCOLO 802.1x </t>
  </si>
  <si>
    <t>Projetos bolha - BASELINE: IMPLANTAÇÃO DO PROCESSO DE AUDITORIA PARA TODAS OPERAÇÕES DO ITAÚ e REDECARD: SAC / COBRANÇA / TLV</t>
  </si>
  <si>
    <t>Projetos bolha - AUDITORIA REMOTA: (Coleta de Dados Automatizada) - PE-Santo Amaro</t>
  </si>
  <si>
    <t>Projetos bolha - Aplicações de Hardenings : (Baseline Itaú) - PE-Santo Amaro</t>
  </si>
  <si>
    <t>Projetos bolha - AUDITORIA REMOTA: (Coleta de Dados Automatizada) - BA-Cabula</t>
  </si>
  <si>
    <t>Projetos bolha - Aplicações de Hardenings : (Baseline Itaú) - BA-Cabula</t>
  </si>
  <si>
    <t>Projetos bolha - Troca do sistema WinXP para Win7 em todas as operações do Itaú nos estados de PE</t>
  </si>
  <si>
    <t>Projetos bolha - Troca do sistema WinXP para Win7 em todas as operações do Itaú BA</t>
  </si>
  <si>
    <t>Projetos bolha - TROCA DO WIN7 - a criação da estrutura do tsupervisor, o SMPA não funciona com Win 7.</t>
  </si>
  <si>
    <t>Rótulos de Linha</t>
  </si>
  <si>
    <t>CTXSALSM-85949</t>
  </si>
  <si>
    <t>Alteração de DAC do CRV</t>
  </si>
  <si>
    <t>CTXRJOMA-73888</t>
  </si>
  <si>
    <t>Projeto - Projeto - Ferramenta de Automação OFF Line</t>
  </si>
  <si>
    <t>17/12 - Fornecedor devolveu dúvidas que o solicitante teve que consultar a OI. Aguardando resposta ainda.
08/12 - solictada a proposta do fornecdor. Operação iniciou com duas Pas de piloto.
12/01 - Projeto dado como concluído pela solicitante</t>
  </si>
  <si>
    <t>CTXRECSA-448642</t>
  </si>
  <si>
    <t>Migração do Apoio entre os sites SP(Antártica) X PE(Sto. Amaro)</t>
  </si>
  <si>
    <t>CTXRECSA-452887</t>
  </si>
  <si>
    <t>Projeto - Integração URA CO x Ferramenta Automação</t>
  </si>
  <si>
    <t>CTXSALLM-119005</t>
  </si>
  <si>
    <t>Crescimento Inbound Controle - 4 pv's</t>
  </si>
  <si>
    <t>Voicer - Pesquisa de Qualidade 
(ilha Prime - SAV B2B)</t>
  </si>
  <si>
    <t xml:space="preserve">Implantação do BO Strategy - Retenção Empresarial </t>
  </si>
  <si>
    <t>Projeto - Reestruturação BO Strategy</t>
  </si>
  <si>
    <t>CTXFORBM-348261</t>
  </si>
  <si>
    <t>Projeto - Implantação Retenção Involuntária R2</t>
  </si>
  <si>
    <t>Projeto - "Implantação Solução de Contas Pré Pago Site Boa Viagem Bahia"</t>
  </si>
  <si>
    <t>Integração NBA x Front Fácil</t>
  </si>
  <si>
    <t>URA Oi Total</t>
  </si>
  <si>
    <t>Projeto - Crescer 2 pa's na operação Citibank Cobrança no Site Nascente 2º andar</t>
  </si>
  <si>
    <t>18/01 - Projeto cancelado devido a desmobilização do site Conquista
Veloso informou que conseguirá analisar o projeto em Janeiro/2015. Débora 01/12.
Veloso informou que conseguirá analisar o projeto em Janeiro/2015. Débora 23/11.
Veloso informou que conseguirá analisar o projeto em Janeiro/2015. Débora 17/11.
Em reunião, foi informado que a operação do Itau TLV será desmobilizada em dezembro, então o documento do BCP/Dr precisará ser refeito novamente. A alinhar data com o Veloso para disponibilizar a nova versão. Débora 10/11/15
O Documento de BCP/DR para o Itaú Televendas foi entregue para negócio e negócio encaminhou para o Marangoni (SI) fazer uma avaliação sobre o documento. Após isso será encaminhado para o Banco. Débora 03/11
O Documento de BCP/DR para o Itaú Televendas foi entregue para negócio e negócio encaminhou para o Marangoni (SI) fazer uma avaliação sobre o documento. Após isso será encaminhado para o Banco. Débora 03/11
Documento foi entregue para o site validar o documento hoje, 27/10 e essa avaliação tem em média de 2 a 3 dias. Após isso será consolidado um documento para enviar ao banco dar o aceite no e agendar uma data para por em prática o DR. Débora 27/10
Rogério Veoloso informou que o término do desenhor de  construção do BCP/DR TLV está previsto para 16/10. AS demais operações TBD. Débora 13/10/15
Rogério Veoloso informou que o término do desenhor de  construção do BCP/DR TLV está previsto para 16/10. AS demais operações TBD. Débora 05/10/15
Rogério Veoloso informou que o término do desenhor de  construção do BCP/DR TLV está previsto para 16/10. AS demais operações TBD. Débora 05/10/15</t>
  </si>
  <si>
    <t>18/01 - Projeto cancelado devido a desmobilização do site Conquista. o Arquivo foi enviado na semana passada para o banco via sftp e gerou uma lista de 1037 de não conformidades. Próximo passo agendada uma call com o Site e SI para definir como esses iten serão tratados. Débora 01/12
o Arquivo foi enviado na semana passada para o banco via sftp e gerou uma lista de 1037 de não conformidades. Próximo passo agendada uma call com o Site e SI para definir como esses iten serão tratados. Débora 23/11
o Arquivo foi enviado na semana passada para o banco via sftp e gerou uma lista de 1037 de não conformidades. Próximo passo agendada uma call com o Site e SI para definir como esses iten serão tratados. Débora 17/11
o Arquivo foi enviado na semana passada para o banco via sftp e gerou uma lista de 1037 de não conformidades. Próximo passo agendada uma call com o Site e SI para definir como esses iten serão tratados. Débora 03/11
O site afirma que com a alteração do ambiente XP para WIN7 este relatório não será efetivo portanto o banco solicitou que no iníco de novembro, a contax envie os dois arquivos (XP e WIN7) para avaliar o resultado dessa amostragem e então será elaborado um plano de ação para as não conformidades. Débora 27/10
Precisamos tratar o checklista de não conformidade gerado pelo banco, no momento são 31 itens, pois a operação foi classificada como critíca, ou seja de alto risco para o banco Itaú. Débora 20/10/15
Marangoni, enviou o relatório ao banco. Porém, precisamos tratar o checklista de não conformidade gerado pelo banco, no momento são 31 itens, pois a operação foi classificada como critíca, ou seja de alto risco para o banco Itaú. Débora 13/10/15
Os arquivos de Salvador e Pernambuco já foram disponibilizados para a SI realizar a sua avaliação. Porém, precisamos tratar o checklista de não conformidade gerado pelo banco, no momento são 31 itens, pois a operação foi classificada como critíca, ou seja de alto risco para o banco Itaú.
[Fabiana 18/09] - BASE LINTE ITAÚ (Auditoria) - Em andamento a análise de TI Local quanto aos scripts enviados pelo banco, também em andamento a análise do processo de rotina para disponibilização do pacote ao banco.
Esse chamado se aplica ao site Conquista.</t>
  </si>
  <si>
    <t>18/01 - Projeto cancelado devido a desmobilização do site Conquista.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
Aguardando apenas o de acordo para seguir com a migração do t-Supervisor, pois é um pré-requisito para a migração do win7. Débora 01/12
Projeto previsto para iniciar em 17/11 no site e a migração tem duração de 22 dias. Aguardando apenas o de acordo para seguir com a migração do t-Supervisor, pois é um pré-requisito para a migração do win7. Débora 23/11
Projeto previsto para iniciar em 17/11 no site e a migração tem duração de 22 dias. Aguardando apenas o de acordo para seguir com a migração do t-Supervisor, pois é um pré-requisito para a migração do win7. Débora 17/11
Projeto previsto para iniciar em 17/11 no site e a migração tem duração de 22 dias. Aguardando apenas o de acordo para seguir com a migração do t-Supervisor, pois é um pré-requisito para a migração do win7. Débora 03/11
Projeto previsto para iniciar em 17/11 no site e a migração tem duração de 22 dias. Aguardando apenas o de acordo para seguir com a migração do t-Supervisor, pois é um pré-requisito para a migração do win7. Débora 27/10
Em levantamento com os executores a duração para configuração do t-Supervisor, pois é um pré-requisito para implantar o Win7. Débora 20/10/15
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Windows 7 - Rosim concluiu a criação da imagem do Win 7 e iníciou os teste na operação em 25/09 com duração de uma semana  até a conclusão dos testes. Necessário realinhar o cronograma. 
Ainda permanece em andamento a Negociação das Licenças com o Banco (Resp.: Ricardo) / Pendente Mapeamento Operações 2° e 3° onda de PE (Resp.: Rosim).
Esse chamado aplica-se a implantação no Site Santo Amaro. Débora 25/09/15</t>
  </si>
  <si>
    <t>18/01 - Projeto cancelado devido a desmobilização do site Conquista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o projeto. Débora 01/12
Cronograma definido e aguardando a negociação comercial com o banco e a aquisição dos recursos. Débora 23/11
Cronograma definido e aguardando a negociação comercial com o banco e a aquisição dos recursos. Débora 17/11.
Cronograma definido e aguardando a negociação comercial com o banco e a aquisição dos recursos. Débora 10/11.
Em definição o cronograma de implantação da auditoria automatizada. Este projeto aguarda a implantação do Win7 para desenvolver o cronograma. Débora 03/11 
Em definição o cronograma de implantação da auditoria automatizada. Débora 27/10
22/10 - Auditoria Autómatica: Levantado o custo de implantação, porém está pendente o cronograma de implantação</t>
  </si>
  <si>
    <t xml:space="preserve">18/01 - Projeto cancelado devido a desmobilização do site Conquista
Custos enviados pelo Veloso, R$581.768,16 e em análise se infra de TI tem algum custo. Débora 01/12
Custos enviados pelo Veloso, R$581.768,16 e em análise se infra de TI tem algum custo. Débora 23/11
Custos enviados pelo Veloso, R$581.768,16. Débora 17/11
Levantamento de custo e cronograma previsto para 13/11. Débora 10/11
Levantamento de custo e cronograma previsto para 13/11. Débora 03/11
Levantamento de custo e cronograma previsto para 13/11. Débora 27/10
22/10 - Baseline Itaú – Hardenings: Levantamento de custo e cronograma previsto para 13/11. </t>
  </si>
  <si>
    <t>CTXFORBM-348749</t>
  </si>
  <si>
    <t>Projeto - "Reforecast fev/16"</t>
  </si>
  <si>
    <t>Integração tGuidance x ATC Plus</t>
  </si>
  <si>
    <t>FORA DO ESCOPO</t>
  </si>
  <si>
    <t>Transporte Van Cliente Elektro</t>
  </si>
  <si>
    <t>Inventário - Orbitall</t>
  </si>
  <si>
    <t xml:space="preserve">Blended - Funcionalidade tGuidance! </t>
  </si>
  <si>
    <t>Aumento do Storage do WFO - Orbitall</t>
  </si>
  <si>
    <t>Devolver licenças do Avaya Call Center Elite e Onex para Contax</t>
  </si>
  <si>
    <t xml:space="preserve">Check list Auditoria interna </t>
  </si>
  <si>
    <t>CTXSPOAP407-13197</t>
  </si>
  <si>
    <t>CTXSPOAL-89740</t>
  </si>
  <si>
    <t>CTXMTZPB-300</t>
  </si>
  <si>
    <t>CTXMTZPB-510</t>
  </si>
  <si>
    <t>CTXRECSA-422212</t>
  </si>
  <si>
    <t>CTXRECSA-430668</t>
  </si>
  <si>
    <t>CTXRECSA-430770</t>
  </si>
  <si>
    <t>CTXSALSM-83016</t>
  </si>
  <si>
    <t>CTXSALSM-83029</t>
  </si>
  <si>
    <t>CTXBHZRI-82119</t>
  </si>
  <si>
    <t>CTXFORBM-319828</t>
  </si>
  <si>
    <t>CTXFORBM-322363</t>
  </si>
  <si>
    <t>CTXSPOBF-119863</t>
  </si>
  <si>
    <t>CTXSPOBF-98975</t>
  </si>
  <si>
    <t>CTXSPOAL-94230</t>
  </si>
  <si>
    <t>CTXSPOLP-115727</t>
  </si>
  <si>
    <t>CTXSPOBF-131094</t>
  </si>
  <si>
    <t>CTXRECSA-371873</t>
  </si>
  <si>
    <t>CTXSALPB-50670</t>
  </si>
  <si>
    <t>CTXFORBM-344418</t>
  </si>
  <si>
    <t>CTXMTZPB-1214</t>
  </si>
  <si>
    <t>CTXFORNA-27596</t>
  </si>
  <si>
    <t>Não definida</t>
  </si>
  <si>
    <t>TDB</t>
  </si>
  <si>
    <t xml:space="preserve">Risco - A equipe técnica está com várias ações concorrentes </t>
  </si>
  <si>
    <t>Edison Nei Siqueira added a comment - 15/Jan/16 17:04
Demanda concluída conforme solicitado, as gravações estão sendo armazenadas na estrutura NGN e com a captura disponível de resgate conforme orientação passada, duvidas favor entrar em contato.
Edison Nei Siqueira added a comment - 18/Dez/15 10:06
Estamos realizando o rollout em duas ondas seguindo as datas descritas abaixo: 
Borges de Melo 18/12 - Sexta Feira 
Nascente 21/12 - Segunda Feira 
Edison Nei Siqueira added a comment - 01/Dez/15 11:00
Testes realizados com sucesso, estamos aguardando um posicionamento da área de projetos da operação e o de acordo da OI para utilizar a rede NGN.
Edison Nei Siqueira added a comment - 24/Nov/15 11:46
Estamos homologando a possibilidade de utilizar a saída de ligações dos BOs utilizando a estrutura NGN da OI, com isso seria possível realizar as gravações através do POP NGR.
Edison Nei Siqueira added a comment - 17/Nov/15 14:49
Concluído o estudo de ENG, para atender a demanda vai ser necessário disponibilizar um servidor logger, vamos buscar internamente a possibilidade de saving, caso não seja encontrado o insumo dentro da CIA, teremos a necessidade de investimento para aquisição.
Edison Nei Siqueira added a comment - 10/Nov/15 16:45
Demanda na fila da área de ENG para Análise.
Edison Nei Siqueira added a comment - 03/Nov/15 10:58
Kick off realizado com o solicitante, aguardando as operações de backoffice efetivas envolvidas na necessidade de gravação.
Edison Nei Siqueira added a comment - 20/Out/15 16:20
Continuamos aguardando contato do solicitante para poder prosseguir com a demanda.
Aguardando retorno da área de negócios para kick off da demanda.</t>
  </si>
  <si>
    <t>18/01 - Aguarda EF</t>
  </si>
  <si>
    <t>20/01 - Projeto Finalizado;
25/11 - Falta finalizar as configurtações de tclock e tcontrol, que estão com dificuldades devido o dominio ser do cliente; sem prazo.
27/10 - Aguardando priorização;
20/10 - em Análise</t>
  </si>
  <si>
    <t>sim</t>
  </si>
  <si>
    <t>ND</t>
  </si>
  <si>
    <t>22/01 - Concluído e homologado pela operação
21/01 = Gravações realizadas, aguardando homologação</t>
  </si>
  <si>
    <t>Líder de projetos</t>
  </si>
  <si>
    <t>POP - Desmobilização Conquista</t>
  </si>
  <si>
    <t>Engenharia e Infraestrutura</t>
  </si>
  <si>
    <t>Site desmobilizado totalmente em 29/12. Acompanhando status circuitos</t>
  </si>
  <si>
    <t>POP - Desmobilização Botafogo</t>
  </si>
  <si>
    <t>Site desmobilizado totalmente em 23/12. Acompanhando status circuitos</t>
  </si>
  <si>
    <t>POP - Desmobilização Lapa</t>
  </si>
  <si>
    <t>POP - Desmobilização Fonte Nova</t>
  </si>
  <si>
    <t>Stand by</t>
  </si>
  <si>
    <t>POP - Desmobilização HICHAM</t>
  </si>
  <si>
    <t>POP - Desmobilização Nascente</t>
  </si>
  <si>
    <t>POP - Desmobilização Prado II</t>
  </si>
  <si>
    <t>Processo Suporte TI a Pré Vendas</t>
  </si>
  <si>
    <t>Catálogo de serviços para "Fasttracks"</t>
  </si>
  <si>
    <t>Em negociação para definir modelo da operação / treinamento</t>
  </si>
  <si>
    <t xml:space="preserve">15/1 - Site Desmobilizado 100%. Acompanhando processo cancelamento circuitos
25/11 - Custos de MOE e Transportes ja disponiveis para abertura de SCs e aprovação do Comitê de Caixa;
17/11 - Lavantados os custos de MOE e Transportes para levar para Comitê de Caixa para aprovação;
03/11 - Planejamento das atividades de migrações dos grupos;
27/10 - Aguardando definição de outras areas como RH, TRN e Operações para iniciar mapeamentos de necessidades. importanter a comunicação com equipe do site antes das ações;
20/13 - Voltamos a falar em desmobilizar esse site. A Previsão esta para 12/2015. estamos analizando os esforços e começando a mapear os insumos necessarios;
13/10 - Aguardando, desde Agosto de 2015, a definição de destino de insumos e recursos, pois devido ao crescimento da VIVO em LA, teremos que aguardar um novo estudo de TETRIS.
</t>
  </si>
  <si>
    <t xml:space="preserve">16/1 - Site Desmobilizado 100%. Acompanhando cancelamento circuitos
25/11 - Migração de insumos do PL07 para Alegria, e configurações faseadas;
03/11 - Mapeamento de migração de insumos, com alocação de recursos dedicados; aguardando confirmação de datas.
27/10 - Migração de insumos do galpão foi cancelado. no momento estamos em processo de mapeamento e migração de insumos do PL07 para Alegria. Previsão de desmobilização em Dez/2015;
20/10 - Transporte de insumos de GRU para Site Alegria até 31/10;
13/10 - Processo de SC/PC para transporte de insumos do Galpão GRU para site Alegria. Previsão até 20/10 - 
06/10 - Esse projeto ficou e 'stand by' para executar as desmobilizações dos sites Bahamas e Jurubatuba. previsão para voltar a tratar apos essas entregas, é de 10/2015;
22/09 - Estamos em processo de migração de insumos (hardware) para o site e CPD Alegria. nova previsão de desmobilização esta para 31/12/2015 (devido ao crescimento da VIVO)
</t>
  </si>
  <si>
    <t>14/1 - Migração concluída
25/11 - Aguardando validação do acesso tratado no chamado SPOBF-357075;
17/11 - Migração dos recursos concluida. no momento estamos no momento em análise de uma liberação que não foi solicitada / informado no inicio do projeto, liberação atravez do chamado SPOBF-357075;
03/11 - Agendado para migrar parte da equipe em 04/11, a ser acompanhada pelo Cleverson/Siqueira;
27/10 - Aguardando implantar outros projetios prioritarios, para executar esse. Projeto CTXSPOBF-121922 é premissapara essa implantação, pois ocupará o mesmo layout. Orientado ao site para não executar sem o direcionamento da equipe de Projetos TI;
13/10 - Em fila aguardando priorização, devido aos crescimentos da VIOV em SP, previsto para NOV/2015; 
06/10 - Planejamento das atividades (localização de insumos, ramais, gravação, etc)</t>
  </si>
  <si>
    <r>
      <rPr>
        <sz val="11"/>
        <color rgb="FFFF0000"/>
        <rFont val="Calibri"/>
        <family val="2"/>
        <scheme val="minor"/>
      </rPr>
      <t xml:space="preserve">[26/01] - </t>
    </r>
    <r>
      <rPr>
        <sz val="11"/>
        <rFont val="Calibri"/>
        <family val="2"/>
        <scheme val="minor"/>
      </rPr>
      <t>Projeto Concluído  ( Status Thiago Felippe em 22/01.</t>
    </r>
    <r>
      <rPr>
        <sz val="11"/>
        <color rgb="FFFF0000"/>
        <rFont val="Calibri"/>
        <family val="2"/>
        <scheme val="minor"/>
      </rPr>
      <t xml:space="preserve">
</t>
    </r>
    <r>
      <rPr>
        <sz val="11"/>
        <rFont val="Calibri"/>
        <family val="2"/>
        <scheme val="minor"/>
      </rPr>
      <t xml:space="preserve"> [21/01] - Adequação de Infra (Mobiliário) no 2° andar site Augusta já realizado.
Operação TAM Infra foi Migrada para Alegria e já retornou para Augusta Status Zenailde. Projeto Migração foi conduzido pela equipe TI site</t>
    </r>
    <r>
      <rPr>
        <sz val="11"/>
        <color theme="1"/>
        <rFont val="Calibri"/>
        <family val="2"/>
        <scheme val="minor"/>
      </rPr>
      <t xml:space="preserve">
[18/11] As atividades estão em andamento, conforme cronograma.
Outro ponto importante é que a data prevista para finalização desse projeto é Dez/15.
[15/10 – Leandro] Aguardando posicionamento de Zenailde, referente ao status</t>
    </r>
  </si>
  <si>
    <t>CTXSPOBF-133846</t>
  </si>
  <si>
    <t>Migração de PA’s Vivo dentro do site Antártica</t>
  </si>
  <si>
    <t>MIGRAÇÃO TAM SP PARA JP</t>
  </si>
  <si>
    <t>IMPLANTAÇÃO TAM VIAGENS - INFRA - SITE AUGUSTA</t>
  </si>
  <si>
    <t>c</t>
  </si>
  <si>
    <t>CTXSALSM-79901</t>
  </si>
  <si>
    <t>RTI CAC – Fase 1</t>
  </si>
  <si>
    <t xml:space="preserve">26/01: Uma vez que foi dado o ok para o rollout do projeto, após homologação da operação, e o projeto foi entregue de acordo com o escopo aprovado, um novo chamado será aberto pela equipe de PMO Negócios para essas tratativas. Em 21/01 foi enviado o e está em análise por TI. </t>
  </si>
  <si>
    <t>26/01 - Projeto Encerrado;
20/01 - Posições configuradas e disponiveis para testes. Aguardando operações homologar sistemas. (IMPORTANTE: devido o ramal ser do cliente, e ele não ter nos informado, essas posições ficarão sem ramais, Jonas esta ciente. Quando cliente disponibilizar iremos configurar)</t>
  </si>
  <si>
    <t>CTXFORBM-347668</t>
  </si>
  <si>
    <t>Crescimento de 14 p.a's para o Receptivo Pós</t>
  </si>
  <si>
    <t>CTXFORBM-347671</t>
  </si>
  <si>
    <t>Crescimento de 7 p.a's para o Receptivo OCT</t>
  </si>
  <si>
    <t>CTXFORBM-347679</t>
  </si>
  <si>
    <t>Crescimento de 5 p.a's para o propenso TV</t>
  </si>
  <si>
    <t>CTXFORBM-347687</t>
  </si>
  <si>
    <t>Crescimento de 1 p.a's para o b.o blindagem multiprodutos</t>
  </si>
  <si>
    <t>CTXFORBM-347867</t>
  </si>
  <si>
    <t>Crescimento de 5 p.a's para a Blindagem Oi Total 3p</t>
  </si>
  <si>
    <r>
      <rPr>
        <b/>
        <sz val="11"/>
        <color theme="1"/>
        <rFont val="Calibri"/>
        <family val="2"/>
        <scheme val="minor"/>
      </rPr>
      <t>26/01 -</t>
    </r>
    <r>
      <rPr>
        <sz val="11"/>
        <color theme="1"/>
        <rFont val="Calibri"/>
        <family val="2"/>
        <scheme val="minor"/>
      </rPr>
      <t xml:space="preserve"> Demanda foi cancelada.
18/12 - Aguardando retorno do solicitante com a EF.
08/12 - Fornecedor entregou a solução , Sistema em homologação.
01/12 - Foram abertos pelo solicitante dois chamados em paralelo:
 CTXSPOLP-115444 - Alterar a Plataforma de atendimento de Altitude para Aspect.
CTXSPOLP-111381 - Contratação de 3 E1's, do fornecedor Option para Alelo 
24/11 - Equipe de Discador analisando possibilidade de quando virar a operação pro Aspect usar os links de telefonia do proprio cliente (CIELO) que é da operadora EMBRATEL.
Sendo avaliado outras frentes com o NID, Site, Redes e Planejamento.
17/11 - Em homologação.
Em paralelo está sendo verificado a versão do Aspect nas máquinas, pois o Alelo envolve uma mudança de plataforma, de Altitude para Aspect.
-------------------------
30/10 - Em homologação
20/10 - Vamos começar a homologar esta semana.
Como temos GMUD programada hoje para a Cielo (Modo Preview), ainda não fizemos o Alelo
13/10 - Disponibilizado em 11/09 pelo fornecedor Ayty para a realização do deploy e início da homologação. O Front será homologado em conjunto com a operação após a homologação dos Fronts das células ARV e L5.
06/10 - Fornecedor  Ayty está em etapa final da customização para iniciarmos  testes na operação.           Em andamento no Prazo.</t>
    </r>
  </si>
  <si>
    <t>26/01 - Mesmo status 
19/01 - foi concluído a primeira versão, estamos agora trabalhando para segunda versão.
13/nov - Esse projeto esta sendo tratado pela Diretoria de Mídias Sociais, o Dir é o Heitor.
O ultimo status que consegui era que esta praticamente pronto o APP faltando alguns pequenos ajustes.</t>
  </si>
  <si>
    <t xml:space="preserve">26/01 - Mesmo status 
20/10 – Análise só de ENG </t>
  </si>
  <si>
    <r>
      <rPr>
        <b/>
        <sz val="11"/>
        <color theme="1"/>
        <rFont val="Calibri"/>
        <family val="2"/>
        <scheme val="minor"/>
      </rPr>
      <t xml:space="preserve">26/01 - </t>
    </r>
    <r>
      <rPr>
        <sz val="11"/>
        <color theme="1"/>
        <rFont val="Calibri"/>
        <family val="2"/>
        <scheme val="minor"/>
      </rPr>
      <t>Em definição de rollout 
18/12 - Ontem 17/12 foi realizada uma conferência, e feito um acompanhamento na operação para levantarmos os dados necessários para que Telecom possa avaliar o motivo da não chegada do CPF. Sendo analisado.
08/12 - Já foi diagnosticado pela Equipe de Ura e Telecom que há ligações chegando de outras EPS.
Estamos ainda analisando se também existem ligações vindo de transferências internas dentro do ambiente Contax sendo sem CPF,pois na operação 100% das chamadas estão chegando sem informações. A operação está avaliando qual a % dessas ligações.
01/12 - Operação está com 5 pa´s , utilizando o NBA acionando de forma manual, sendo que a integração ainda está sendo homologada, ainda sendo realizado alguns ajustes.
24/11 - Em homologação, aguardando definição do aumento das pas mediante algumas alterações de negócio que ainda estão sendo realizadas.
17/11 - Estamos no momento com 2 pa´s em homologação, seguem cenários divergentes abaixo:
_Por ser Oi Tv, deveria verificar pelo CPF e as informações aparecerem automaticamente, porém este processo está sendo realizado 
manualmente pelo operador.
_Quando roda a macro está gerando dois erros que estão sendo analisados se é um problema de TI  interno ou da Accenture.Conferência hoje de alinhamento.
--------------------------------
03/11- definido inicio de rollout no dia 3/11.
27/10 - Testando os itens:
- hostname da PA;
- skill teste – ok;
- associação do skill ao login avaya;
- associar o login do operador no NBA;
- a versão de tGuidance na PA será 4.13506.2310.1651
20/10 -Aguardando retorno da operação com o preenchimento da  da planilha do FF.
13/10 - Feito conferência hoje de alinhamento, solicitado a operação atualização da EF no chamado.
06/10 - Em análise</t>
    </r>
  </si>
  <si>
    <t xml:space="preserve">26/01 - Mesmo status 
14/01 - Favor enviar a EF para prosseguimento do projeto. Segue modelo de EF, caso necessário. 
"Precisa de adequação de EF e VDN de transferência" </t>
  </si>
  <si>
    <t>Marco Brandão</t>
  </si>
  <si>
    <t xml:space="preserve">Projeto - URANET - Ticket </t>
  </si>
  <si>
    <t>Precisa da Atuação de CSE?</t>
  </si>
  <si>
    <t>Responsável</t>
  </si>
  <si>
    <t>Data de entrega prevista de CSE</t>
  </si>
  <si>
    <t/>
  </si>
  <si>
    <t>CTXSPOAP407-14854</t>
  </si>
  <si>
    <t>CTXSPOAP407-14745</t>
  </si>
  <si>
    <t>Atividade</t>
  </si>
  <si>
    <t>CTXSPOAL-104406</t>
  </si>
  <si>
    <t>Crescimento Nova operação Intermédica (CAMO, CEMAC/SAS, CAMO SAC, SAC Ativo, PA Infra)</t>
  </si>
  <si>
    <t>CTXSALLM-119760</t>
  </si>
  <si>
    <t>CTXSALPB-53727</t>
  </si>
  <si>
    <t>Configurar 20 PV´s para gravação Inbound</t>
  </si>
  <si>
    <t>Carga automática de mailing ( macro)</t>
  </si>
  <si>
    <t>CTXSALPB-53725</t>
  </si>
  <si>
    <t>Gravação do ramal de supervisão</t>
  </si>
  <si>
    <t>CTXSALPB-51084</t>
  </si>
  <si>
    <t>CTXFORBM-348606</t>
  </si>
  <si>
    <t>Simulador OI Total</t>
  </si>
  <si>
    <t>CTXFORBM-348601</t>
  </si>
  <si>
    <t xml:space="preserve">Pesquisa de Satisfação </t>
  </si>
  <si>
    <t>CTXFORBM-348646</t>
  </si>
  <si>
    <t xml:space="preserve"> Atualização do Simulador Pós </t>
  </si>
  <si>
    <t>CTXFORBM-349886</t>
  </si>
  <si>
    <t>Migração Massiva Oi Total</t>
  </si>
  <si>
    <t>CTXRECSA-453800</t>
  </si>
  <si>
    <t>Instalar google chrome na célula híbrida</t>
  </si>
  <si>
    <t>Liberação Redes</t>
  </si>
  <si>
    <t>"Configuração de PV´s de incentivados Fixo"</t>
  </si>
  <si>
    <t>Cleonice</t>
  </si>
  <si>
    <t>Banco de Dados</t>
  </si>
  <si>
    <t>BASE ANALÍTICA VOICER(MG)</t>
  </si>
  <si>
    <t>CTXSPOBF-135040</t>
  </si>
  <si>
    <t>Implantar Ferramenta Whisbi - Ticket B2B Infra</t>
  </si>
  <si>
    <t>CTXSPOAP407-14651</t>
  </si>
  <si>
    <t>Projeto - ACL Analytics – Workstation</t>
  </si>
  <si>
    <t>CTXRECSA-456620</t>
  </si>
  <si>
    <t>Projeto - Implantar ferramenta Evalyze no BO Fixa</t>
  </si>
  <si>
    <t>Edison Nei Siqueira added a comment - 29/Jan/16 11:37
Conforme escopo alinhado, entregamos hoje as duas ultimas PAs no ambiente tcollect, sendo assim o projeto foi concluído.
Edison Nei Siqueira added a comment - 26/Jan/16 11:26
Implantamos 06 PAs utilizando o tcollect na operação CD na URC, das 08 PAs que tinha como objetivo para finalizar o projeto as 02 PAs que estão pendentes serão migradas no dia 29/jan por solicitação da operação.
Edison Nei Siqueira added a comment - 21/Jan/16 09:57
Implantamos 06 PAs utilizando o tcollect na operação CD na URC, das 08 PAs que tinha como objetivo para finalizar o projeto as 02 PAs que estão pendentes serão migradas no dia 29/jan por solicitação da operação.
Edison Nei Siqueira added a comment - 01/Dez/15 15:26
Aguardando posicionamento com relação a possibilidade apartar a operação em dois polos Aspect.
Edison Nei Siqueira added a comment - 10/Nov/15 17:40
Em Análise junto as áreas especialista para estudo de viabilidade técnica para utilizar o Polo CE.
Edison Nei Siqueira added a comment - 03/Nov/15 16:12
Realizada a implantação conforme solicitado, próximas ondas em Análise com relação ao Polo Aspect.
Edison Nei Siqueira added a comment - 20/Out/15 20:34
Realizada a implantação conforme solicitado, próximas ondas em Análise com relação ao Polo Aspect.</t>
  </si>
  <si>
    <t>Edison Nei Siqueira added a comment - 02/Fev/16 12:32
Demanda sendo conduzida junto a área de implantações sem auxilio de PMO TI.
6Edison Nei Siqueira added a comment - 26/Jan/16 14:47
Aguardando retorno da área de projetos da operação.</t>
  </si>
  <si>
    <t>Edison Nei Siqueira added a comment - 02/Fev/16 12:34
Demanda sendo conduzida junto a área de implantações sem auxilio de PMO TI.
Edison Nei Siqueira added a comment - 26/Jan/16 14:48
Aguardando retorno da área de projetos da operação.</t>
  </si>
  <si>
    <t>[02/02] - Levantamento dos insumos para compra. 26/01 - Mesmo status 
o Arquivo foi enviado na semana passada para o banco via sftp e gerou uma lista de 1037 de não conformidades. Próximo passo agendada uma call com o Site e SI para definir como esses iten serão tratados. Débora 01/12
o Arquivo foi enviado na semana passada para o banco via sftp e gerou uma lista de 1037 de não conformidades. Próximo passo agendar uma call com o Site e SI para definir como esses iten serão tratados. Débora 23/11
o Arquivo foi enviado na semana passada para o banco via sftp e gerou uma lista de 1037 de não conformidades. Próximo passo agendar uma call com o Site e SI para definir como esses iten serão tratados. Débora 17/11
o Arquivo foi enviado na semana passada para o banco via sftp e gerou uma lista de 1037 de não conformidades. Próximo passo agendar uma call com o Site e SI para definir como esses iten serão tratados. Débora 10/11
o Arquivo foi enviado na semana passada para o banco via sftp e gerou uma lista de 1037 de não conformidades. Próximo passo agendada uma call com o Site e SI para definir como esses iten serão tratados. Débora 03/11
O site afirma que com a alteração do ambiente XP para WIN7 este relatório não será efetivo portanto o banco solicitou que no iníco de novembro, a contax envie os dois arquivos (XP e WIN7) para avaliar o resultado dessa amostragem e então será elaborado um plano de ação para as não conformidades. Débora 27/10
Precisamos tratar o checklista de não conformidade gerado pelo banco, no momento são 31 itens, pois a operação foi classificada como critíca, ou seja de alto risco para o banco Itaú. Débora 20/10/15
Marangoni, enviou o relatório ao banco. Porém, precisamos tratar o checklista de não conformidade gerado pelo banco, no momento são 31 itens, pois a operação foi classificada como critíca, ou seja de alto risco para o banco Itaú. Débora 13/10/15
Os arquivos de Salvador e Pernambuco já foram disponibilizados para a SI realizar a sua avaliação. Porém, precisamos tratar o checklista de não conformidade gerado pelo banco, no momento são 31 itens, pois a operação foi classificada como critíca, ou seja de alto risco para o banco Itaú.
[Fabiana 18/09] - BASE LINTE ITAÚ (Auditoria) - Em andamento a análise de TI Local quanto aos scripts enviados pelo banco, também em andamento a análise do processo de rotina para disponibilização do pacote ao banco.
Esse chamado se aplica ao site Santo Amaro.</t>
  </si>
  <si>
    <t>[02/02] - Levantamento dos insumos para compra. 26/01 - Mesmo status 
o Arquivo foi enviado na semana passada para o banco via sftp e gerou uma lista de 1037 de não conformidades. Próximo passo agendada uma call com o Site e SI para definir como esses iten serão tratados. Débora 01/12
o Arquivo foi enviado na semana passada para o banco via sftp e gerou uma lista de 1037 de não conformidades. Próximo passo agendar uma call com o Site e SI para definir como esses iten serão tratados. Débora 23/11
o Arquivo foi enviado na semana passada para o banco via sftp e gerou uma lista de 1037 de não conformidades. Próximo passo agendar uma call com o Site e SI para definir como esses iten serão tratados. Débora 17/11
o Arquivo foi enviado na semana passada para o banco via sftp e gerou uma lista de 1037 de não conformidades. Próximo passo agendar uma call com o Site e SI para definir como esses iten serão tratados. Débora 10/11
o Arquivo foi enviado na semana passada para o banco via sftp e gerou uma lista de 1037 de não conformidades. Próximo passo agendada uma call com o Site e SI para definir como esses iten serão tratados. Débora 03/11
O site afirma que com a alteração do ambiente XP para WIN7 este relatório não será efetivo portanto o banco solicitou que no iníco de novembro, a contax envie os dois arquivos (XP e WIN7) para avaliar o resultado dessa amostragem e então será elaborado um plano de ação para as não conformidades. Débora 27/10
Precisamos tratar o checklista de não conformidade gerado pelo banco, no momento são 31 itens, pois a operação foi classificada como critíca, ou seja de alto risco para o banco Itaú. Débora 20/10/15
Marangoni, enviou o relatório ao banco. Porém, precisamos tratar o checklista de não conformidade gerado pelo banco, no momento são 31 itens, pois a operação foi classificada como critíca, ou seja de alto risco para o banco Itaú. Débora 13/10/15
Os arquivos de Salvador e Pernambuco já foram disponibilizados para a SI realizar a sua avaliação. Porém, precisamos tratar o checklista de não conformidade gerado pelo banco, no momento são 31 itens, pois a operação foi classificada como critíca, ou seja de alto risco para o banco Itaú.
[Fabiana 18/09] - BASE LINTE ITAÚ (Auditoria) - Em andamento a análise de TI Local quanto aos scripts enviados pelo banco, também em andamento a análise do processo de rotina para disponibilização do pacote ao banco.
Esse chamado se aplica ao site Cabula.</t>
  </si>
  <si>
    <t xml:space="preserve">Tatiane Rodrigues Dallecrode </t>
  </si>
  <si>
    <t>[02/02] - Reunião com equipe de SI,  Suprimentos  para entendimento do projeto. 26/01 - Realizado reunião com equipe de Negócios e BI para entendimento da solicitação. Pendente envio da EF estruturada.</t>
  </si>
  <si>
    <t>02/02 - Projeto Cancelado pelo solicitante;
26/01 - Aguardando Finalizar atividades do POP3 e troca de redes do cliente VIVO; sem previsão.
18/12 - Aguardando disponibilizade de Recursos</t>
  </si>
  <si>
    <t>02/02 - Projeto Concluido.
26/01 - Aguardando aceite de implantação, por parte da oepração;
20/01 - Posições entregues em 18/01. estamos aguardando os recursos da opera para poder iniciarem as atividades e fazermos o acompanhamento do '1° dia de operações dessas posições'. Sem previsão.</t>
  </si>
  <si>
    <t>02/02 - Projeto entregue em 29/01/2016;
26/01 - Configuraç~eos das posições até 27/01. Após, faremos a homologação junto a operação;
20/01 - em 20/01 ainda haviam possoas utilizando as posições destinadas para esse projeto. Estamos aguardando a desocupação para poder inicar o levantamento tecnico para as devidas configurações;</t>
  </si>
  <si>
    <t>02/02 - Aguardando formalização de aceite do projeto. foi entregue as PAs em 18/01, fax em 21/01,  e configuraçõe de e-mial do gestor em 28/01.
26/01 - Operações homologaram e estamos aguardando inicio da operação. FAX tambem OK. Agora surgiu uma necessidade de configuração de e-mail externo, e estamos entendendo como atuar;
20/01 - Entrega das posições conforme planejado. Estamos aguardando a ocupação das posições para acompanhar o inicio da operação. Sem Previsão.</t>
  </si>
  <si>
    <t>N/D</t>
  </si>
  <si>
    <r>
      <rPr>
        <sz val="11"/>
        <color rgb="FFFF0000"/>
        <rFont val="Calibri"/>
        <family val="2"/>
        <scheme val="minor"/>
      </rPr>
      <t>02/02 - Aguardando retorno PMO Negócios.
[29/01] -</t>
    </r>
    <r>
      <rPr>
        <sz val="11"/>
        <color theme="1"/>
        <rFont val="Calibri"/>
        <family val="2"/>
        <scheme val="minor"/>
      </rPr>
      <t xml:space="preserve"> Ag. Retorno Nara sobre a continuidade projeto.
26/01 - A iniciar
[15/10- Dalton/Leandro] Projeto encaminhado a fila do site para Análise e estimativa / Acionamento de sites para estudo de mapeamento de sistemas atrelados - na fila.</t>
    </r>
  </si>
  <si>
    <t>LATAMCC - Contax SIP Trunk -Integração TAM com rede SITA</t>
  </si>
  <si>
    <t>Telecom/Redes/Infra</t>
  </si>
  <si>
    <t>01/02: Projeto concluído.
26/01: Instalação prevista para terminar em 27/01.
18/01 - Aguardamos o site avaliar em 26/01 o esforço de rollout.</t>
  </si>
  <si>
    <t>02/02 - Mesmo status
26/01 - Mesmo status 
[13/10] Realizados kick-offs com as regionais para alinhamento dos projetos. Inicio das atividades a partir dessa semana</t>
  </si>
  <si>
    <t>02/02 - Mesmo status
26/01 - Mesmo status 
20/01 - Falta a desmobilização do CPD - SEM DATA
25/11 - Lavantados os custos de MOE e Transportes para levar para Comitê de Caixa para aprovação;
03/11 - Aguardando definição de destino dos insumos do Prado I, com isso teremos o desenho atual x desejado;
20/10 - Realizado algumas retiradas de insumos para outras demandas, levantamento de insumos em produção e necessidades. Agora desenho de destinos desses insumos.
06/10 - Re-planejamento</t>
  </si>
  <si>
    <t xml:space="preserve">02/02 - Mesmo status
26/1 - Definido que treinamento ficará em espaços segregados dentro dos salões das próprias operações. Ti avaliando acessos aos sistemas de treinamento e Operação avaliando infra.
25/11 - Em negociação para definir qual andar ficará ativo, com isso teremos definidas as atividades necessarias a serem executadas.
20/10 - Aguardando definição, desde agosto de 2015, de destino de insumos e recursos. No momento estar em 'stand by' devido so projeto de desmobilização do site Jurubatuba;
</t>
  </si>
  <si>
    <t>02/02 - Mesmo status
26/01 - Mesmo status 
25/11 - Aguardando Aprovação Financeir e definição de Layout pelo solicitante, em paralelo estamos identificando disponibilidade de equipamentos para atender o projeto, identificado disponibilidade de equipamentos em PE, aguardando aprovação da configuração.
Aguardando a definição do Layout, pelo demandante.
-finalização da equipe de infra estrutura.
-efetuado o inventario dos equipamentos da Contax no CTC, e estimado que após o transporte se necessita 5 dias para instalar no site a infra atual.
- As PA's existente no CTC são alugadas, estamos em contato com o Dpto de Ativos para identificar as 250 PA's necessarias para montar o CTC.</t>
  </si>
  <si>
    <t>02/02 - Mesmo status
26/01 - A iniciar</t>
  </si>
  <si>
    <t>02/02 - A iniciar</t>
  </si>
  <si>
    <t>02/02 - Mesmo status
26/01 - Aguardando definição de negócio sobre a operação 102</t>
  </si>
  <si>
    <t>02/02 - Mesmo status
26/01 - Análise cenários desmobilização</t>
  </si>
  <si>
    <t>02/02 - Mesmo status
26/01 - Fluxo validado com TI. Criar chaves tProcess! E apresentar ao Comercial</t>
  </si>
  <si>
    <t>02/02 - Mesmo status
26/01 - Catálogo em levantamento</t>
  </si>
  <si>
    <t>03/02 - Mudança de líder: Julio Silva
02/02 - A iniciar</t>
  </si>
  <si>
    <t>Baixa Diária Clientes R2</t>
  </si>
  <si>
    <t>CTXNITSP-177305</t>
  </si>
  <si>
    <t>RTI - REGISTRO AUTOMÁTICO DE REPARO DE VOZ (G1)</t>
  </si>
  <si>
    <t>CTXRJOMA-77877</t>
  </si>
  <si>
    <t>CTXBHZRP-217559</t>
  </si>
  <si>
    <t>RTI - ABERTURA E FECHAMENTO DE CONTESTAÇÃO (G1)</t>
  </si>
  <si>
    <t>CTXPOARB-101274</t>
  </si>
  <si>
    <t>Projeto - Crescimento da Operação Souza Cruz</t>
  </si>
  <si>
    <t>CTXPOARB-101511</t>
  </si>
  <si>
    <t>Projeto - Migração da operação Souza Cruz - Mesmo site</t>
  </si>
  <si>
    <t>CTXNITSP-177464</t>
  </si>
  <si>
    <t>Crescimento SAV Entrega - CRV FIXO ATIVO</t>
  </si>
  <si>
    <t>CTXNITSP-177469</t>
  </si>
  <si>
    <t>Crescimento SAV Entrega - OI TOTAL</t>
  </si>
  <si>
    <t>CTXNITSP-177470</t>
  </si>
  <si>
    <t>Crescimento SAV Entrega - DEALER</t>
  </si>
  <si>
    <t>CTXNITSP-177471</t>
  </si>
  <si>
    <t>Crescimento SAV Entrega - PAP</t>
  </si>
  <si>
    <t>CTXNITSP-177472</t>
  </si>
  <si>
    <t>Crescimento SAV Entrega - SAC</t>
  </si>
  <si>
    <t>03/02 - A iniciar</t>
  </si>
  <si>
    <t>CTXSALPB-55659</t>
  </si>
  <si>
    <t>28/01 - Concluído
02/02 - A iniciar</t>
  </si>
  <si>
    <t>CTXSALLM-120345</t>
  </si>
  <si>
    <t>Crescimento de 30 PV´s de Televendas Out Pós</t>
  </si>
  <si>
    <t>CTXRJOMA-77615</t>
  </si>
  <si>
    <t>Cochicho Reajuste</t>
  </si>
  <si>
    <t>CTXBHZRI-97664</t>
  </si>
  <si>
    <t>Novos Arquivos de Atualização R1 Fixa</t>
  </si>
  <si>
    <t>Alteração URA OI Internet Conexão Sáude</t>
  </si>
  <si>
    <t>CTXSALSM-87479</t>
  </si>
  <si>
    <t>Migração de 02 servidores para o Azure (Nuvem)</t>
  </si>
  <si>
    <t>Pedro Bazzarella</t>
  </si>
  <si>
    <t>Criação de ambiente de produção - MS Azure ( DATAZEN )</t>
  </si>
  <si>
    <t>Cancelar</t>
  </si>
  <si>
    <t>C. Kuzuhara</t>
  </si>
  <si>
    <t>Risco - O Banco ainda não aprovou a utilização do tSupervisor</t>
  </si>
  <si>
    <r>
      <rPr>
        <b/>
        <sz val="11"/>
        <color theme="1"/>
        <rFont val="Calibri"/>
        <family val="2"/>
        <scheme val="minor"/>
      </rPr>
      <t>10/02 -</t>
    </r>
    <r>
      <rPr>
        <sz val="11"/>
        <color theme="1"/>
        <rFont val="Calibri"/>
        <family val="2"/>
        <scheme val="minor"/>
      </rPr>
      <t xml:space="preserve"> Demanda Concluída.
02/02 </t>
    </r>
    <r>
      <rPr>
        <b/>
        <sz val="11"/>
        <color theme="1"/>
        <rFont val="Calibri"/>
        <family val="2"/>
        <scheme val="minor"/>
      </rPr>
      <t xml:space="preserve">- </t>
    </r>
    <r>
      <rPr>
        <sz val="11"/>
        <color theme="1"/>
        <rFont val="Calibri"/>
        <family val="2"/>
        <scheme val="minor"/>
      </rPr>
      <t>Modens e Infra homologados.</t>
    </r>
    <r>
      <rPr>
        <b/>
        <sz val="11"/>
        <color theme="1"/>
        <rFont val="Calibri"/>
        <family val="2"/>
        <scheme val="minor"/>
      </rPr>
      <t xml:space="preserve">
</t>
    </r>
    <r>
      <rPr>
        <sz val="11"/>
        <color theme="1"/>
        <rFont val="Calibri"/>
        <family val="2"/>
        <scheme val="minor"/>
      </rPr>
      <t>26/01 - Mesmo status, infra já está preparada. Aguardando os modens da Oi.
18/12 - Mesmo status 
08/12 - Ainda sem prazo para a chegada dos modens.Foi solicitado o prazo urgente.Aguardando retorno.
01/12 - Foi solicitado o prazo urgente para o modem. Aguardando retorno.
24/11 - De acordo com o cliente não temos previsão de data para marcarmos uma áudio para avaliação do Jurídico Contax e OI sobre os modens.
17/11 - De acordo com o cliente não temos previsão de data para marcarmos uma áudio para avaliação do Jurídico Contax e OI sobre os modens.
27/10 - Aguardando retorno da Oi perante o Termo de Resp. com relação aos questionamentos feitos pelo Jurídico. 
20/10 - Aguardando retorno da Oi perante o Termo de Resp. com relação aos questionamentos feitos pelo Jurídico.
13/10- a Oi está interagindo com o Jurídio Contax sobre o Termo de Responsabilidade dos Modens, aguardando definição entre as áreas para a Compra do Material.
06/10 - a Oi está interagindo com o Jurídio Contax sobre o Termo de Responsabilidade dos Modens, aguardando definição entre as áreas para a Compra do Material.
29/09 - a Oi está interagindo com o Jurídio Contax sobre o Termo de Responsabilidade dos Modens, aguardando definição entre as áreas para a Compra do Material.
-----------------------------------------
22/09 - Aguardando a chegada dos modens para finalizar a ação de TI.
A Oi não deu previsão para a chegada deste material.</t>
    </r>
  </si>
  <si>
    <t>RTI - AUTOMAÇÃO CONSULTA HISTÓRICO TERMINAL</t>
  </si>
  <si>
    <t>CTXRJOMA-78045</t>
  </si>
  <si>
    <t>RTI - FLUXO LIMITAÇÃO DA CHAMADA MANUAL</t>
  </si>
  <si>
    <t>Projeto - Playground - Otimização da distribuição de chamadas</t>
  </si>
  <si>
    <t>CTXRJOMA-78043</t>
  </si>
  <si>
    <r>
      <rPr>
        <sz val="11"/>
        <color rgb="FFFF0000"/>
        <rFont val="Calibri"/>
        <family val="2"/>
        <scheme val="minor"/>
      </rPr>
      <t>15/02] -</t>
    </r>
    <r>
      <rPr>
        <sz val="11"/>
        <rFont val="Calibri"/>
        <family val="2"/>
        <scheme val="minor"/>
      </rPr>
      <t xml:space="preserve"> </t>
    </r>
    <r>
      <rPr>
        <b/>
        <sz val="11"/>
        <color rgb="FFFF0000"/>
        <rFont val="Calibri"/>
        <family val="2"/>
        <scheme val="minor"/>
      </rPr>
      <t xml:space="preserve">Projeto Cancelado </t>
    </r>
    <r>
      <rPr>
        <sz val="11"/>
        <color rgb="FFFF0000"/>
        <rFont val="Calibri"/>
        <family val="2"/>
        <scheme val="minor"/>
      </rPr>
      <t>pelo Solicitante  ( Cristiane Kuzuhara )</t>
    </r>
    <r>
      <rPr>
        <sz val="11"/>
        <rFont val="Calibri"/>
        <family val="2"/>
        <scheme val="minor"/>
      </rPr>
      <t xml:space="preserve">
[10/02] - Fase Inicial - Esclarecer entendimento escopo com Solicitante</t>
    </r>
    <r>
      <rPr>
        <sz val="11"/>
        <color rgb="FFFF0000"/>
        <rFont val="Calibri"/>
        <family val="2"/>
        <scheme val="minor"/>
      </rPr>
      <t xml:space="preserve">
</t>
    </r>
    <r>
      <rPr>
        <sz val="11"/>
        <rFont val="Calibri"/>
        <family val="2"/>
        <scheme val="minor"/>
      </rPr>
      <t>03/02</t>
    </r>
    <r>
      <rPr>
        <sz val="11"/>
        <color rgb="FFFF0000"/>
        <rFont val="Calibri"/>
        <family val="2"/>
        <scheme val="minor"/>
      </rPr>
      <t xml:space="preserve"> </t>
    </r>
    <r>
      <rPr>
        <sz val="11"/>
        <color theme="1"/>
        <rFont val="Calibri"/>
        <family val="2"/>
        <scheme val="minor"/>
      </rPr>
      <t>- Viabilizar gravação de ligações realizadas nos 06 ramais de supervisão  da operação Velox. (Site Fonte Nova )</t>
    </r>
  </si>
  <si>
    <r>
      <rPr>
        <sz val="11"/>
        <color rgb="FFFF0000"/>
        <rFont val="Calibri"/>
        <family val="2"/>
        <scheme val="minor"/>
      </rPr>
      <t>[16/02]  - Projeto Concluido.
[10/02] -</t>
    </r>
    <r>
      <rPr>
        <sz val="11"/>
        <color theme="1"/>
        <rFont val="Calibri"/>
        <family val="2"/>
        <scheme val="minor"/>
      </rPr>
      <t xml:space="preserve">  Rollout realizado para 100% da operação, estamos aguardando a validação do ambiente junto a operação para concluir a demanda.
TI analisando aumento expressivo de callback após rollout
Edison Nei Siqueira added a comment - 02/Fev/16 11:00
Rollout realizado para 100% da operação, estamos aguardando a validação do ambiente junto a operação para concluir a demanda.
Edison Nei Siqueira added a comment - 26/Jan/16 08:12
Identificamos que o FF só permite logar o operador se puxar linha no aparelho telefônico, reiniciamos o rollout de acordo com a disponibilidade da operação. 
Segue o planejamento para hoje: 
Vamos realizar amanhã a virada na PA´s 101 a 126 (turno da manhã). 
Supervisor Rubem – Horário da equipe: 09:00/09:40 
Edison Nei Siqueira added a comment - 21/Jan/16 10:53
Reiniciamos o rollout em 18/jan, porém estamos encontrando problemas de alguns logins estarem apresentando operadores logados em outro ramal.
Edison Nei Siqueira added a comment - 18/Dez/15 11:02
Reiniciamos o piloto no dia 16/12, será avaliado pela operação e planejado o rollout assim que entrar o período de baixa.
Edison Nei Siqueira added a comment - 01/Dez/15 11:40
Realizado os ajustes necessários junto a equipe de aplicações NGR, vamos reiniciar o piloto e replanejar as etapas de rollout.
Edison Nei Siqueira added a comment - 24/Nov/15 16:40
O piloto apresentou problemas na integração do FF e o AES, está sendo feita a Análise pela equipe de App e implantação da regional RJ.
Edison Nei Siqueira added a comment - 17/Nov/15 15:05
Projeto seguindo conforme cronograma alinhado junto ao solicitante, próximos passos: 
Piloto: 19 – 20/11 
Rollout: 23 – 25/11 
Edison Nei Siqueira added a comment - 10/Nov/15 16:55
Iniciado o piloto com algumas PAs para validação das configurações de redes e Telecom.
Edison Nei Siqueira added a comment - 03/Nov/15 12:23
Em execução a adequação de infraestrutura no site Niterói.
Edison Nei Siqueira added a comment - 20/Out/15 18:05
Em execução a adequação de infraestrutura no site Niterói.
Edison Nei Siqueira added a comment - 06/Out/15 12:51
100% das operações Móvel da regional PE já foram migradas para o DAC Único, estamos aguardando o retorno da regional RJ com relação a readequação de infraestrutura para rollout no site Niterói.
Edison Nei Siqueira added a comment - 22/Set/15 18:57
Em rollout regional PE SAC PÓs, OCT e SAC Contas. 
Em Niterói sendo feita readequação de infraestrutura, para atender as operações SAC Contas.R197</t>
    </r>
  </si>
  <si>
    <t>Brigida Gouveia</t>
  </si>
  <si>
    <t>Acompanhado pela NARA</t>
  </si>
  <si>
    <t>CTXRJOMA-78044</t>
  </si>
  <si>
    <t>Migrar a operação Escob R2 para a plataforma de cobrança TCollect + discador Aspect. situado ao Site Prado2 (complemento ao chamado principal CTXBHZRI-94859)</t>
  </si>
  <si>
    <t>CTXBHZRI-98065</t>
  </si>
  <si>
    <t>CTXBHZRI-98066</t>
  </si>
  <si>
    <t>Projeto - Implantar tCollect!+Aspect Operação - CD R2 (complemento ao chamado principal CTXBHZRI-94859)</t>
  </si>
  <si>
    <t>CTXBHZRI-98067</t>
  </si>
  <si>
    <t>Projeto - Implantar tCollect!+Aspect Operação - Escob OI TV (complemento ao chamado principal CTXBHZRI-94859)</t>
  </si>
  <si>
    <t>CTXFORBM-356540</t>
  </si>
  <si>
    <t>Crescimento Blindagem Refidelização 8 Pas</t>
  </si>
  <si>
    <t>Crescimento Ilha De Receita R1 10 Pas</t>
  </si>
  <si>
    <t>Crescimento Ilha De Receita Pos + Oct 3 Pas</t>
  </si>
  <si>
    <t>Cresciemnto Receptivo Oct 6 P.As</t>
  </si>
  <si>
    <t>Crescimento Receptivo Oi Total 15 P.As</t>
  </si>
  <si>
    <t>Crescimento Receptivo Tv 42 Pas</t>
  </si>
  <si>
    <t>Crescimento Receptivo Pós (Retenção Móvel) 35</t>
  </si>
  <si>
    <t>Crescimento B.O Da Blindagem  7 Pas</t>
  </si>
  <si>
    <t>Expansão do Contas Oi Total em PE</t>
  </si>
  <si>
    <t>CTXFORBM-356551</t>
  </si>
  <si>
    <t>CTXFORBM-356553</t>
  </si>
  <si>
    <t>CTXFORBM-356558</t>
  </si>
  <si>
    <t>CTXFORBM-356561</t>
  </si>
  <si>
    <t>CTXFORBM-356562</t>
  </si>
  <si>
    <t>CTXFORBM-356556</t>
  </si>
  <si>
    <t>CTXFORBM-356544</t>
  </si>
  <si>
    <t>CTXRECSA-461741</t>
  </si>
  <si>
    <t>CTXRJOMA-78208</t>
  </si>
  <si>
    <t>PROCESSO CONTESTAÇÃO DE FATURA OI TV COM PAGAMENTO NO OI FIXO</t>
  </si>
  <si>
    <t>PROCESSO AUTOMAÇÃO DA CONSULTA DE HISTÓRICO</t>
  </si>
  <si>
    <t>PROCESSO INCLUSÃO DE DEPENDENTE OI MÓVEL</t>
  </si>
  <si>
    <t>PROCESSO VERIFICAÇÃO DE PROMOÇÕES PÓS-PAGO</t>
  </si>
  <si>
    <t>PROCESSO CHECKLIST DE MUDEND</t>
  </si>
  <si>
    <t>PROCESSO VERIFICAÇÃO DE CAMPANHAS PRÉ-PAGO</t>
  </si>
  <si>
    <t>PROCESSO CHECK LIST DE CRÉDITO POR INTERRUPÇÃO FIXO E VELOX (OCT CONTAS)</t>
  </si>
  <si>
    <t>PROCESSO ALTERAÇÃO DE VELOCIDADE VELOX</t>
  </si>
  <si>
    <t>PROCESSO ABERTURA E FECHAMENTO CONTESTAÇÃO</t>
  </si>
  <si>
    <t>CTXFORBM-356564</t>
  </si>
  <si>
    <t>CTXFORBM-356566</t>
  </si>
  <si>
    <t>CRESCIMENTO ATIVO DE REVERSÃO TV 10 pas</t>
  </si>
  <si>
    <t>CRESCIMENTO ATIVO DE REVERSÃO FIXO 2 pas</t>
  </si>
  <si>
    <t>CTXSPOBF-134042</t>
  </si>
  <si>
    <t>RTI - Integração Vivo 360 x Tclock - Móvel</t>
  </si>
  <si>
    <t>CTXMTZPB-1259</t>
  </si>
  <si>
    <t>Projeto - Crescimento Suporte Técnico Velox</t>
  </si>
  <si>
    <t xml:space="preserve">TLV Blended_Implantar na operação SAV (CRV) TLV da TQS com todas as funcionalidades do TLV 5.0 Ativo que está sendo implantando com as funcionalidades do Receptivo. </t>
  </si>
  <si>
    <t>23/02/16: Projeto cancelado, já foram abertos outros chamados para tratar sobre o projeto.
01/02: reunião de kick-off realizada e em 04/02 está agendada a sala de guerra para discutir as EF´s.
26/01 - Aguarda EF
18/01: Aguarda EF</t>
  </si>
  <si>
    <t>22/02/16: Projeto concluído
15/02/16 - Comitê de GMUD solicitou o adiamento do inicio do rollout para 17/02/15, devido a configuração de servidores. 
05/02 - Roll out finalizado nos sites Londrina e João Pessoa conforme cronograma. Próximo roll out previsto para dia 11/02 no site Antartica
01/02: Rollout site de Londrina Concluído. JP previsto para 03/02 e Antártica 23/02.
26/01: Rollout previsto para 28/01 JP e Londrina, Antártica 23/02 e o site Campinas foi desconsiderado por Negócio.
18/01/16 - Rollout definido para 28/01 nos sites de JP e Londrina. Site Campinas, desconsiderado por Negócio. Site Antártica será avaliado o esforço em 26/01.</t>
  </si>
  <si>
    <t>23/02 - Projeto encerrado / Concluuido em 18/02;
16/02 - Projeto Entregue em 01/02. Aguardando formalização de 'Aceite' dos solicitantes;
26/01 - Configurações em Andamento junto aos demais tetris e crescimento, necessarios movimentos predecessores;
20/01 - Aguardando aprovação do Layout proposto;
14/01 - Falta enviar layout aprovado pelo planejamento</t>
  </si>
  <si>
    <t>23/02 - Projeto encerrado / Concluuido em 18/02;
16/02 - Projeto homologado e entregue. Aguardando Aceite do solicitante., desde 01/02;
26/01 - Configurações das posições até 29/01;
20/01 - Fazendo analises das atividades e necessidades técnicas para as execuções; 
14/01 - Falta enviar layout aprovado pelo planejamento</t>
  </si>
  <si>
    <t>23/02 - Projeto encerrado / Concluuido em 18/02
16/02 - Todo Projeto Entregue em 01/02. Aguardando formalização de 'Aceite' dos solicitantes;
26/01 - Configurações em Andamento junto aos demais tetris e crescimento, necessarios movimentos predecessores;
20/01 - Aguardando aprovação do Layout proposto;
14/01 - Falta enviar layout aprovado pelo planejamento</t>
  </si>
  <si>
    <t>23/02 - Projeto encerrado / Concluuido em 18/02;
16/02 - Todo Projeto Entregue em 01/02. Aguardando formalização de 'Aceite' dos solicitantes;
26/01 - Configurações em Andamento junto aos demais tetris e crescimento, necessarios movimentos predecessores;
20/01 - Aguardando aprovação do Layout proposto;
14/01 - Falta enviar layout aprovado pelo planejamento</t>
  </si>
  <si>
    <t>23/02 - Projeto encerrado / Concluuido em 17/02;
16/02 - Faltam sentar os recursos em 4 posições para poder configurar as pastas 'P' nessas posiç~eos. sem data definida;
10/02 - migrações executadas. Estamos configurando a pasta 'P' dos usuários;
02/02 - De 02 á 03/02: Instalação e configuração do SW //// 04/02: Passagem de cabeamento //// 05/02: Migração dos computadores. 
26/01 - Aguardando disponibilização de Layout;</t>
  </si>
  <si>
    <t>Qual área está no momento?</t>
  </si>
  <si>
    <t>Responsável que está atuando no momento</t>
  </si>
  <si>
    <t>Previsão de conclusão da análise da área</t>
  </si>
  <si>
    <r>
      <rPr>
        <sz val="11"/>
        <color rgb="FFFF0000"/>
        <rFont val="Calibri"/>
        <family val="2"/>
        <scheme val="minor"/>
      </rPr>
      <t>[23/02]</t>
    </r>
    <r>
      <rPr>
        <sz val="11"/>
        <color theme="1"/>
        <rFont val="Calibri"/>
        <family val="2"/>
        <scheme val="minor"/>
      </rPr>
      <t xml:space="preserve"> - </t>
    </r>
    <r>
      <rPr>
        <sz val="11"/>
        <color rgb="FFFF0000"/>
        <rFont val="Calibri"/>
        <family val="2"/>
        <scheme val="minor"/>
      </rPr>
      <t>Projeto Cancelado pelo Cliente .</t>
    </r>
    <r>
      <rPr>
        <sz val="11"/>
        <rFont val="Calibri"/>
        <family val="2"/>
        <scheme val="minor"/>
      </rPr>
      <t xml:space="preserve"> Solicitado pela equipe Projetos (Cleo ) em 18/02;</t>
    </r>
    <r>
      <rPr>
        <sz val="11"/>
        <color theme="1"/>
        <rFont val="Calibri"/>
        <family val="2"/>
        <scheme val="minor"/>
      </rPr>
      <t xml:space="preserve">
</t>
    </r>
    <r>
      <rPr>
        <sz val="11"/>
        <color rgb="FFFF0000"/>
        <rFont val="Calibri"/>
        <family val="2"/>
        <scheme val="minor"/>
      </rPr>
      <t>[16/02] -</t>
    </r>
    <r>
      <rPr>
        <sz val="11"/>
        <rFont val="Calibri"/>
        <family val="2"/>
        <scheme val="minor"/>
      </rPr>
      <t xml:space="preserve"> Reunião com fornecedor ISYS e equipe Tecnica Contax, será agendada pelo Fornecedor, na semana de 15/02, quando o responsável tecnico do fornecedor retornará para Brasil.
[10/02] - Reunião com fornecedor ISYS e equipe Tecnica Contax, será agendada para semana de 15/02, quando o responsável tecnico do fornecedor retornará para Brasil.
02/02 </t>
    </r>
    <r>
      <rPr>
        <sz val="11"/>
        <color rgb="FFFF0000"/>
        <rFont val="Calibri"/>
        <family val="2"/>
        <scheme val="minor"/>
      </rPr>
      <t xml:space="preserve">- </t>
    </r>
    <r>
      <rPr>
        <sz val="11"/>
        <rFont val="Calibri"/>
        <family val="2"/>
        <scheme val="minor"/>
      </rPr>
      <t>Aguardando agendamento de reunião com Fornecedor Isys , para definição de custos (Proposta Comercial).</t>
    </r>
    <r>
      <rPr>
        <sz val="11"/>
        <color rgb="FFFF0000"/>
        <rFont val="Calibri"/>
        <family val="2"/>
        <scheme val="minor"/>
      </rPr>
      <t xml:space="preserve">
[29/01] </t>
    </r>
    <r>
      <rPr>
        <sz val="11"/>
        <rFont val="Calibri"/>
        <family val="2"/>
        <scheme val="minor"/>
      </rPr>
      <t>-</t>
    </r>
    <r>
      <rPr>
        <b/>
        <sz val="11"/>
        <rFont val="Calibri"/>
        <family val="2"/>
        <scheme val="minor"/>
      </rPr>
      <t xml:space="preserve"> </t>
    </r>
    <r>
      <rPr>
        <sz val="11"/>
        <rFont val="Calibri"/>
        <family val="2"/>
        <scheme val="minor"/>
      </rPr>
      <t>Aguardando Comercial Fornecedor ISYS</t>
    </r>
    <r>
      <rPr>
        <b/>
        <sz val="11"/>
        <rFont val="Calibri"/>
        <family val="2"/>
        <scheme val="minor"/>
      </rPr>
      <t xml:space="preserve">
</t>
    </r>
    <r>
      <rPr>
        <sz val="11"/>
        <rFont val="Calibri"/>
        <family val="2"/>
        <scheme val="minor"/>
      </rPr>
      <t xml:space="preserve">[26/01] </t>
    </r>
    <r>
      <rPr>
        <b/>
        <sz val="11"/>
        <color rgb="FFFF0000"/>
        <rFont val="Calibri"/>
        <family val="2"/>
        <scheme val="minor"/>
      </rPr>
      <t xml:space="preserve">- </t>
    </r>
    <r>
      <rPr>
        <sz val="11"/>
        <rFont val="Calibri"/>
        <family val="2"/>
        <scheme val="minor"/>
      </rPr>
      <t>De acordo com Leonardo Pelegrino em 21/01, a ISYS propos uma reunião tecnica/Comercial com Contax, para que eles possam precificar o projeto. Será agendada pela Priscila da ISYS)</t>
    </r>
    <r>
      <rPr>
        <b/>
        <sz val="11"/>
        <color rgb="FFFF0000"/>
        <rFont val="Calibri"/>
        <family val="2"/>
        <scheme val="minor"/>
      </rPr>
      <t xml:space="preserve">
</t>
    </r>
    <r>
      <rPr>
        <b/>
        <sz val="11"/>
        <rFont val="Calibri"/>
        <family val="2"/>
        <scheme val="minor"/>
      </rPr>
      <t>[21/01]</t>
    </r>
    <r>
      <rPr>
        <sz val="11"/>
        <rFont val="Calibri"/>
        <family val="2"/>
        <scheme val="minor"/>
      </rPr>
      <t xml:space="preserve"> - </t>
    </r>
    <r>
      <rPr>
        <sz val="11"/>
        <color theme="1"/>
        <rFont val="Calibri"/>
        <family val="2"/>
        <scheme val="minor"/>
      </rPr>
      <t xml:space="preserve">Aguardando retorno do Fornecedor ISYS com custos (Proposta Comercial). Assunto escalado com Diretoria (Zambon).
[18/12] - Aguardando retorno do fornecedor ISYS, com uma nova versão da Proposta Comercial com os Custos ($$) descritos.
Após o recebimento dessa proposta, passar os custos de Engenharia + ISYS para a área de negócios Contax.
[26/11] Projeto está na fila de ENG para levantamento dos custos.  Previsão de análise até 14/12
[25/11] • O projeto necessita de proposta comercial do fornecedor (já solicitada) para ENG mensurar os custos do projeto
• O projeto estava na fila de ENG, porém foi retirada sem prévio alinhamento com a justificativa de falta de informações (ou seja, falta da proposta comercial)
o Nova previsão de análise (Klaus): 14/dez
[18/11] Como a base é Telecom e Redes, vamos entrar pelo Villa. NA FILA DE ENG
[27/10 – Bruno/Leandro] Aguardando retorno do fornecedor / cobrado posicionamento em 27/10. 
[8/10 - Dalton] Aguardando retorno do fornecedor.
</t>
    </r>
  </si>
  <si>
    <r>
      <rPr>
        <sz val="11"/>
        <color rgb="FFFF0000"/>
        <rFont val="Calibri"/>
        <family val="2"/>
        <scheme val="minor"/>
      </rPr>
      <t>[23/02] -</t>
    </r>
    <r>
      <rPr>
        <sz val="11"/>
        <rFont val="Calibri"/>
        <family val="2"/>
        <scheme val="minor"/>
      </rPr>
      <t xml:space="preserve"> Fase de coleta de informações tecnicas para direcionamento  Projeto e briefing para fila do CSE.</t>
    </r>
    <r>
      <rPr>
        <sz val="11"/>
        <color rgb="FFFF0000"/>
        <rFont val="Calibri"/>
        <family val="2"/>
        <scheme val="minor"/>
      </rPr>
      <t xml:space="preserve">
[16/02] </t>
    </r>
    <r>
      <rPr>
        <sz val="11"/>
        <rFont val="Calibri"/>
        <family val="2"/>
        <scheme val="minor"/>
      </rPr>
      <t xml:space="preserve">- Fase Inicial - Esclarecendor com Cris Kuzuhara a parte da Macro já desenvolvida pelo Fornecedor. Discador APC.
03/02 </t>
    </r>
    <r>
      <rPr>
        <sz val="11"/>
        <color rgb="FFFF0000"/>
        <rFont val="Calibri"/>
        <family val="2"/>
        <scheme val="minor"/>
      </rPr>
      <t xml:space="preserve">- </t>
    </r>
    <r>
      <rPr>
        <sz val="11"/>
        <color theme="1"/>
        <rFont val="Calibri"/>
        <family val="2"/>
        <scheme val="minor"/>
      </rPr>
      <t>Esclarecer escopo com Solicitante .
Configurar no APC automatização de carga das querys (liberar acesso para salvar arquivo.raw no diretório do apc e configurar execução do comando HostToPDS de coleta do mailing para automatização da carga).
28/01 - Projeto novo em 27/01</t>
    </r>
  </si>
  <si>
    <t>Área executora</t>
  </si>
  <si>
    <t>25/02 - Projeto repriorizado para baixa prioridade. On hold
23/02 - Aguardando "De acordo" em relação a EF e proposta comercial, caso tenha alterações na EF a proposta pode sofrer alterações. 
10/02 - Em fase de definição de EF com a Lisandra
02/02 - Aguardando proposta comercial até amanhã (03/02)
29/01 - Enviado e-mail ao fornecedor solicitando proposta comercial
22/01 - Projeto novo em 22/01</t>
  </si>
  <si>
    <t>25/02 - Projeto repassado para baixa prioridade
22/02 - Equipe de negócios tentando conseguir exemplo do arquivo, ainda sem previsão por parte do cliente.
16/02 - Mesmo status.
10/02 - Parado, aguardando cliente.
02/02/2016 - Cliente informou não ter a data de envio e que fará um esforço pra avisar do envio com 1 semana de antecedência e nos mandar um exemplo do arquivo.
29/01/2016 - Cliente informa que poderá enviar na próxima quinta - 04/02/2016. Aguardando.
26/01 - Mesmo status 
19/01/2016 - Aguardando arquivo de exemplo para verificação de OG de desenvolvimento.
26/01/2016 - Cliente informou que novamente não será possível enviar o arquivo hoje. Enviará um status na quinta. 
GMUD cancelada.</t>
  </si>
  <si>
    <t>CTXFORBM-357817</t>
  </si>
  <si>
    <t>Projeto - Implantação Ativo de Reversão Oi Controle</t>
  </si>
  <si>
    <t>CTXSPOAL-101987</t>
  </si>
  <si>
    <t>Projeto RTC x EPS Contax (ITAÚ CARTÕES) - TIVOLI</t>
  </si>
  <si>
    <t>CTXSPOAP407-15270</t>
  </si>
  <si>
    <t>PROJETO COTI - INSTALAÇÃO DE LICENÇA - CONTAX</t>
  </si>
  <si>
    <t>01/03 - Aguardando CSE
23/02 - Na fila de CSE
10/02 - Mesmo status
02/02 - Análise da equipe de Redes - Eng
28/01 - Pendente informações por parte do solicitante...
26/01 - Em análise de APP e ENG
04/01 - Iniciado estudo de Engenharia
21/12 - Projeto incluído na fila de Engenharia para análise de Infra. Estamos aguardando a parte de custos de infra-estrutura.  Projeto pendente do formulário de abertura de projetos (Já solicitado ao demandante)
2015-10-16 - Em Análise da RFP</t>
  </si>
  <si>
    <t>CSE</t>
  </si>
  <si>
    <t>Thiago Ferreira</t>
  </si>
  <si>
    <t>Sem previsão</t>
  </si>
  <si>
    <t>Solicitante</t>
  </si>
  <si>
    <t>Fornecedor</t>
  </si>
  <si>
    <t>CC Brasil</t>
  </si>
  <si>
    <t>Fernanda Nazário</t>
  </si>
  <si>
    <t>Migração Perfcall</t>
  </si>
  <si>
    <t>Camilla Fermiano</t>
  </si>
  <si>
    <t>Área envolvida</t>
  </si>
  <si>
    <t>Controle de Ativos</t>
  </si>
  <si>
    <t>Rogério Luiz</t>
  </si>
  <si>
    <t>CTXRECSA-455203</t>
  </si>
  <si>
    <t>TLS: Protocolo de criptografia TLS 1.2</t>
  </si>
  <si>
    <t>CTXRECSA-461808</t>
  </si>
  <si>
    <t>Projeto - Projeto - Implantação de licenças COTI - Monitoramento do NET SMS</t>
  </si>
  <si>
    <t>CTXRECSA-457626</t>
  </si>
  <si>
    <t>Projeto - Substituição do front end Ayty pelo Tguidance - Operação Santander Cartões</t>
  </si>
  <si>
    <t>Luciana Andrade</t>
  </si>
  <si>
    <t>CTXSALSM-85211</t>
  </si>
  <si>
    <t>Aplicação - Desenvolvimento Tabulador de Proposta para a Operação CAC</t>
  </si>
  <si>
    <t>CTXRJOSC-15278</t>
  </si>
  <si>
    <t>Gestão de Demandas e Projetos - Eng.TI - Redes (dados)</t>
  </si>
  <si>
    <r>
      <rPr>
        <sz val="11"/>
        <color rgb="FFFF0000"/>
        <rFont val="Calibri"/>
        <family val="2"/>
        <scheme val="minor"/>
      </rPr>
      <t xml:space="preserve">[29/02] - Projeto Cancelado pelo Solicitante .
[23/02] - </t>
    </r>
    <r>
      <rPr>
        <sz val="11"/>
        <rFont val="Calibri"/>
        <family val="2"/>
        <scheme val="minor"/>
      </rPr>
      <t>Aguardando retorno solicitante com Briefing completo e eEF ou cancelamento do projeto.(Passivel cancelamento)</t>
    </r>
    <r>
      <rPr>
        <sz val="11"/>
        <color rgb="FFFF0000"/>
        <rFont val="Calibri"/>
        <family val="2"/>
        <scheme val="minor"/>
      </rPr>
      <t xml:space="preserve">
[16/02] -</t>
    </r>
    <r>
      <rPr>
        <sz val="11"/>
        <rFont val="Calibri"/>
        <family val="2"/>
        <scheme val="minor"/>
      </rPr>
      <t xml:space="preserve"> Aguardando retorno solicitante com Briefing completo e eEF ou cancelamento do projeto.
[10/02] - Aguradando prenchimento briefing e EF pelo solicitante.</t>
    </r>
    <r>
      <rPr>
        <b/>
        <sz val="11"/>
        <rFont val="Calibri"/>
        <family val="2"/>
        <scheme val="minor"/>
      </rPr>
      <t xml:space="preserve">
02/02 - Soli</t>
    </r>
    <r>
      <rPr>
        <sz val="11"/>
        <color theme="1"/>
        <rFont val="Calibri"/>
        <family val="2"/>
        <scheme val="minor"/>
      </rPr>
      <t>citada maiores informações do solicitante. Aguardando Briefing projeto preenchido.
26/01: Devido à incremento de escopo, tempo de desenvolvimento replanejado.
18/01 - Devido à alteração da solução tecnico/operacional , necessário redesenho da solução técnica impactando início do desenvolvimento. 
[16/11] Aguardando retorno do solicitante. EF com dados insuficientes para solicitar a Proposta Comercial.</t>
    </r>
  </si>
  <si>
    <r>
      <rPr>
        <sz val="11"/>
        <color rgb="FFFF0000"/>
        <rFont val="Calibri"/>
        <family val="2"/>
        <scheme val="minor"/>
      </rPr>
      <t>[29/02]</t>
    </r>
    <r>
      <rPr>
        <sz val="11"/>
        <rFont val="Calibri"/>
        <family val="2"/>
        <scheme val="minor"/>
      </rPr>
      <t xml:space="preserve"> -</t>
    </r>
    <r>
      <rPr>
        <sz val="11"/>
        <color rgb="FFFF0000"/>
        <rFont val="Calibri"/>
        <family val="2"/>
        <scheme val="minor"/>
      </rPr>
      <t xml:space="preserve"> Projeto Cancelado</t>
    </r>
    <r>
      <rPr>
        <sz val="11"/>
        <rFont val="Calibri"/>
        <family val="2"/>
        <scheme val="minor"/>
      </rPr>
      <t xml:space="preserve">. Demanda já havia sido executada por TI Site anteriormente, devido problema em outro lay out da Operação. foi realizada contigência para essas posições. </t>
    </r>
    <r>
      <rPr>
        <sz val="11"/>
        <color rgb="FFFF0000"/>
        <rFont val="Calibri"/>
        <family val="2"/>
        <scheme val="minor"/>
      </rPr>
      <t xml:space="preserve">
[23/02] -</t>
    </r>
    <r>
      <rPr>
        <sz val="11"/>
        <color theme="1"/>
        <rFont val="Calibri"/>
        <family val="2"/>
        <scheme val="minor"/>
      </rPr>
      <t xml:space="preserve"> Entendimento escopo realizado com solicitante em 22/02.
Equipe TI RJ  realizando avaliação ambiente
17/02 - A iniciar</t>
    </r>
  </si>
  <si>
    <t>01/03 - Projeto Cancelado;
16/02 - Estamos aguardando as informações, desde 27/01, dos 'erros X horarios', que operações devem nos passar para poder analisar os ocorridos, até o momento nao recebemos;
02/02 - Tivemos a Recusa de operação para o Roll Out. iremos analisar os itens sinalisados para identificar a causa;
26/01 - Por solicitação de operações, não estamos configurando mais posições, até que se possa ter uma nova analise de ferramente pela nova coordenadora de operações. Somente 4 posições com o tGuidance;
20/01 - Iniciou-se o roll out em 20/01. devido aos erros ocorridos em Dez/15 quando operações tentou fazer o roll out, a gerente somente esta nos passando dois logins por vez. Isso levará mais tempo, e nao conseguimos estimar um cronograma;
18/12 - Elaborando cronograma de roll out;
25/11 - Duas PAs em Piloto desde dia 31/11. Acompanhando junto a Operações / TI Local / PMO Negócios;
03/11 - Temos duas maquinas disponiveis para Piloto, mas estamos no aguardo de treinamento do recursos. após o piloto, e OK de operações, programarwmos o roll out.
27/10 - estamos aguardando a definição de treinamento para poder iniciar o piloto de maneira funcional. sem previsão.
20/10 - Iniciamos o piloto em duas posições de atendimento, sem previsão de termino. Para o roll out será necessario que o solicitante acione a equipe de treinamento para apos capacitar os operadores da operação, possamos iniciar o roll ou.
13/10 - Houve a necessidade de utilizar licenças one-x, e estamos em processo de migrações de licenças entre os DAC Mackezie e Lapa. no momento em negociação de valores com a AVAYA. Sem prazo.
06/10 - Em tratativas de liberações de rede, previsãod e termino em 09/10. se OK iniciaremos o piloto;
Desenvolvimento Concluído pela equipe de TI.  Agendado cronograma de Piloto e  rollout  junto a operação.</t>
  </si>
  <si>
    <t>Cliente</t>
  </si>
  <si>
    <t>Negócios</t>
  </si>
  <si>
    <t>Site Campo</t>
  </si>
  <si>
    <t>Benedito Silva (Villa)</t>
  </si>
  <si>
    <t>José Carlos</t>
  </si>
  <si>
    <t>Ed Carlos</t>
  </si>
  <si>
    <r>
      <rPr>
        <b/>
        <sz val="11"/>
        <color theme="1"/>
        <rFont val="Calibri"/>
        <family val="2"/>
        <scheme val="minor"/>
      </rPr>
      <t xml:space="preserve">01/03 - </t>
    </r>
    <r>
      <rPr>
        <sz val="11"/>
        <color theme="1"/>
        <rFont val="Calibri"/>
        <family val="2"/>
        <scheme val="minor"/>
      </rPr>
      <t>Concluído</t>
    </r>
    <r>
      <rPr>
        <b/>
        <sz val="11"/>
        <color theme="1"/>
        <rFont val="Calibri"/>
        <family val="2"/>
        <scheme val="minor"/>
      </rPr>
      <t xml:space="preserve">
</t>
    </r>
    <r>
      <rPr>
        <sz val="11"/>
        <color theme="1"/>
        <rFont val="Calibri"/>
        <family val="2"/>
        <scheme val="minor"/>
      </rPr>
      <t xml:space="preserve">23/02 - Enviado o Termo de Encerramento, aguardando retorno </t>
    </r>
    <r>
      <rPr>
        <b/>
        <sz val="11"/>
        <color theme="1"/>
        <rFont val="Calibri"/>
        <family val="2"/>
        <scheme val="minor"/>
      </rPr>
      <t xml:space="preserve">
</t>
    </r>
    <r>
      <rPr>
        <sz val="11"/>
        <color theme="1"/>
        <rFont val="Calibri"/>
        <family val="2"/>
        <scheme val="minor"/>
      </rPr>
      <t>10/02 - Aguardando retorno  da homologação.</t>
    </r>
    <r>
      <rPr>
        <b/>
        <sz val="11"/>
        <color theme="1"/>
        <rFont val="Calibri"/>
        <family val="2"/>
        <scheme val="minor"/>
      </rPr>
      <t xml:space="preserve">
</t>
    </r>
    <r>
      <rPr>
        <sz val="11"/>
        <color theme="1"/>
        <rFont val="Calibri"/>
        <family val="2"/>
        <scheme val="minor"/>
      </rPr>
      <t>02/02 - Foi  feita a atualização no ambiente de homologação para não prejudicar a produtividade da  operação.
26/01</t>
    </r>
    <r>
      <rPr>
        <b/>
        <sz val="11"/>
        <color theme="1"/>
        <rFont val="Calibri"/>
        <family val="2"/>
        <scheme val="minor"/>
      </rPr>
      <t xml:space="preserve">- </t>
    </r>
    <r>
      <rPr>
        <sz val="11"/>
        <color theme="1"/>
        <rFont val="Calibri"/>
        <family val="2"/>
        <scheme val="minor"/>
      </rPr>
      <t>Em homologação, testando questões de transferência e abertura do NBA automatico nas chamadas.
18/12 - Em fase de Piloto
08/12 - Definição de EF. Solução em Desenvolvimento. Previsão de Piloto 14/12 , sendo que os testes já estão sendo realizados.</t>
    </r>
  </si>
  <si>
    <t>01/03/16: Mesmo status
22/02/16: Pendente análise de EF.
12/02 - Realizada sala de guerra , será enviada nova versão da EF no dia 16/02/16
10/02 - Mesmo status
05/02 - EF em análise. Agendada sala de guerra para retirada de duvidas e fechamento da EF em 12/02
03/02 - A iniciar</t>
  </si>
  <si>
    <t>01/03/16: Chamado cancelado por negócio.
22/02/16: Pendente revisão de EF.
17/02 - A iniciar</t>
  </si>
  <si>
    <t>CTXRECSA-466039</t>
  </si>
  <si>
    <t>Retirada do OD5</t>
  </si>
  <si>
    <t>CTXRJOMA-78400</t>
  </si>
  <si>
    <t>Processo Automação Da Consulta De Histórico</t>
  </si>
  <si>
    <t>CTXRJOMA-78224</t>
  </si>
  <si>
    <t>CTXRJOMA-78210</t>
  </si>
  <si>
    <t>CTXRJOMA-78212</t>
  </si>
  <si>
    <t>CTXRJOMA-78215</t>
  </si>
  <si>
    <t>CTXRJOMA-78217</t>
  </si>
  <si>
    <t>CTXRJOMA-78219</t>
  </si>
  <si>
    <t>CTXRJOMA-78220</t>
  </si>
  <si>
    <t>CTXRJOMA-78225</t>
  </si>
  <si>
    <t>02/03 - Projeto cancelado devido ao baixo ou inexistente retorno financeiro
01/03/16: Pendente aprovação de OG.
22/02/16: EF em análise. Termino previsto para 26/02/16.
17/02 - A iniciar</t>
  </si>
  <si>
    <t>02/03 - Projeto cancelado devido ao baixo ou inexistente retorno financeiro
01/03/16: Pendente análise de EF.
22/02/16: Pendente revisão de EF.
17/02 - A iniciar</t>
  </si>
  <si>
    <t>02/03 - Projeto cancelado devido ao baixo ou inexistente retorno financeiro
01/03/16: Mesmo status.
22/02/16: Pendente revisão de EF.
17/02 - A iniciar</t>
  </si>
  <si>
    <t>02/03 - Projeto cancelado devido ao baixo ou inexistente retorno financeiro
01/03/16: Pendente envio de OG.</t>
  </si>
  <si>
    <t>CTXFORNA-28061</t>
  </si>
  <si>
    <t>Projeto - Movimentar ramais no salão do Citi</t>
  </si>
  <si>
    <t>CTXRBRSA-1349</t>
  </si>
  <si>
    <t>Projeto - INSTALAÇÃO NOVA CÉLULA CLARO CONTROLE - ACRE</t>
  </si>
  <si>
    <t>CTXRJOMA-78464</t>
  </si>
  <si>
    <t xml:space="preserve">Projeto - Crescimento SAV CE </t>
  </si>
  <si>
    <t xml:space="preserve"> Projeto - Crescimento ST Voz CE</t>
  </si>
  <si>
    <t>CTXRJOMA-78461</t>
  </si>
  <si>
    <t>CTXFORBM-357993</t>
  </si>
  <si>
    <t>Projeto - 'Implantação da retenção loja pós pago"</t>
  </si>
  <si>
    <t>Alexandre Morais</t>
  </si>
  <si>
    <r>
      <t>08/03 -</t>
    </r>
    <r>
      <rPr>
        <b/>
        <sz val="11"/>
        <color theme="1"/>
        <rFont val="Calibri"/>
        <family val="2"/>
        <scheme val="minor"/>
      </rPr>
      <t xml:space="preserve"> Projeto Cancelado</t>
    </r>
    <r>
      <rPr>
        <sz val="11"/>
        <color theme="1"/>
        <rFont val="Calibri"/>
        <family val="2"/>
        <scheme val="minor"/>
      </rPr>
      <t xml:space="preserve">
15/02 - - Aguardando definições de Negócio para continuação do projeto. 
Elaine terá uma reunião com o cliente para alinhar as possibilidades de condução do projeto.
- Após essa reunião ela não informará quais os próximas passos;
10/02 - Parado - Necessário concluir Projeto SOC PE.
26/01/2016 - Em validação de EF
21/01/2016 - Projeto em hold, para que ele possa acontecer é necessário finalizar as melhorias do projeto SOC PE.</t>
    </r>
  </si>
  <si>
    <t>Elaine Fortunato</t>
  </si>
  <si>
    <t>Sem data</t>
  </si>
  <si>
    <t>Eder Herrero</t>
  </si>
  <si>
    <t>accenture</t>
  </si>
  <si>
    <t>Tatiane Dallecrode</t>
  </si>
  <si>
    <t>Lucas Lorenco</t>
  </si>
  <si>
    <t>Jill Ortiz</t>
  </si>
  <si>
    <t>Pedido em criação. Sem previsão.</t>
  </si>
  <si>
    <t>Engenharia</t>
  </si>
  <si>
    <t>Klaus</t>
  </si>
  <si>
    <t>Entregue primeira fase</t>
  </si>
  <si>
    <r>
      <rPr>
        <b/>
        <sz val="11"/>
        <color theme="1"/>
        <rFont val="Calibri"/>
        <family val="2"/>
        <scheme val="minor"/>
      </rPr>
      <t>08/03 - Projeto finalizado.</t>
    </r>
    <r>
      <rPr>
        <sz val="11"/>
        <color theme="1"/>
        <rFont val="Calibri"/>
        <family val="2"/>
        <scheme val="minor"/>
      </rPr>
      <t xml:space="preserve">
03/02 - Liberada primeira versão do software para homologação.
26/02 - Projeto priorizado na fila de APP. Fechando cronograma e implantação até 29/02;.
22/03 - Enviado por APP prazo para finalização do desenvolvimento. 
- Data entrega Projeto 30/05 em validação do cronograma por APP.
11/02 - Prazo de OG de aplicações 17/02.
04/02 - Projeto informado para a colocação na fila de APP.
03/02 - A iniciar</t>
    </r>
  </si>
  <si>
    <t>29/06 - data atual</t>
  </si>
  <si>
    <t>Neilor Márcio</t>
  </si>
  <si>
    <t>Gutenberg Bastos</t>
  </si>
  <si>
    <t>Cliente OI</t>
  </si>
  <si>
    <t>Suzana</t>
  </si>
  <si>
    <t>Livia Henriques</t>
  </si>
  <si>
    <r>
      <t>[04/03] - Demanda concluída validado junto ao solicitante.</t>
    </r>
    <r>
      <rPr>
        <sz val="11"/>
        <color rgb="FFFF0000"/>
        <rFont val="Calibri"/>
        <family val="2"/>
        <scheme val="minor"/>
      </rPr>
      <t xml:space="preserve">
[29/02] -</t>
    </r>
    <r>
      <rPr>
        <sz val="11"/>
        <rFont val="Calibri"/>
        <family val="2"/>
        <scheme val="minor"/>
      </rPr>
      <t xml:space="preserve"> Homologação realizada,pendencias listas pelo solicitante. Encaminhadas para avaliação tecnica e correção. em 01/03
[16/02] -</t>
    </r>
    <r>
      <rPr>
        <sz val="11"/>
        <color rgb="FFFF0000"/>
        <rFont val="Calibri"/>
        <family val="2"/>
        <scheme val="minor"/>
      </rPr>
      <t xml:space="preserve"> </t>
    </r>
    <r>
      <rPr>
        <sz val="11"/>
        <color theme="1"/>
        <rFont val="Calibri"/>
        <family val="2"/>
        <scheme val="minor"/>
      </rPr>
      <t>conclusão do Roll out previsto para 18/02. Homologação Cliente prevista 19/02.
02/02 - Mesmo status
Edison Nei Siqueira added a comment - 26/Jan/16 12:08
Em homologação por parte de operações os ajustes realizados pelo fornecedor TQS.
Edison Nei Siqueira added a comment - 21/Jan/16 13:05
Em homologação por parte de operações os ajustes realizados pelo fornecedor TQS.
Edison Nei Siqueira added a comment - 18/Dez/15 12:52
Em homologação por parte de operações os ajustes realizados pelo fornecedor TQS.
Edison Nei Siqueira added a comment - 20/Out/15 19:46
Em homologação por parte de operações os ajustes realizados pelo fornecedor TQS.
Edison Nei Siqueira added a comment - 06/Out/15 16:21
Em rollout, por solicitação da gerente da operação, foi paralisado o rollout até que se tenha retorno de inconsistência que foram apresentadas no relatório de resultados.
Edison Nei Siqueira added a comment - 29/Set/15 16:06
Realizando rollout e ajustes com relação a regra de negócios da operação.
Edison Nei Siqueira added a comment - 16/Set/15 11:17
Em Rollout / homologação do ambiente.</t>
    </r>
  </si>
  <si>
    <t>Daniel Closer</t>
  </si>
  <si>
    <t>Alexandre Pinho</t>
  </si>
  <si>
    <t>08/03 - Projeto Cancelado por falta de evolução, em 26/02/2016.
01/03 - Aguardando duvidas levantadas em 02/12, e, EF para analises de desenvolvimenbto e engenharia desde 28/01 (devido aos inumeros e-mails com muitos arquivos recebido);
26/01 - aguardando informações do cliente Santander das duvidas levantades em 02/12/2015. Sem previsão.
25/11 - Aguardando informações solicitadas ao cliente para podemos analisar  e fazermos as reuniões tecnicas, e se OK iniciar o desenvolvimento;
17/11 - Solicitados algumas informações para o cliente sobre a parte de desenvolvimento do FF + Discador, Aguardando retorno. Cobrando topologia de infra contax, em desenvolvimento;
03/11 - Analisando documentação enviada pelo cliente.</t>
  </si>
  <si>
    <t>CTXSPOAL-109109</t>
  </si>
  <si>
    <t>Migração dos links da BV (Do Lapa para Alegria)</t>
  </si>
  <si>
    <t>Outros - N/A - Migração de equipe madrugada Ticket</t>
  </si>
  <si>
    <t>CTXSPOAL-108115</t>
  </si>
  <si>
    <t>ENG</t>
  </si>
  <si>
    <t xml:space="preserve"> Projeto - DATAZEN "On Premises"</t>
  </si>
  <si>
    <t xml:space="preserve">CTXRJOMA-78762 </t>
  </si>
  <si>
    <t>Marcel/Priscila</t>
  </si>
  <si>
    <t>Construção EF</t>
  </si>
  <si>
    <t>TI Site</t>
  </si>
  <si>
    <t>Carlos Guilherme</t>
  </si>
  <si>
    <t>Operação</t>
  </si>
  <si>
    <r>
      <rPr>
        <b/>
        <sz val="11"/>
        <color theme="1"/>
        <rFont val="Calibri"/>
        <family val="2"/>
        <scheme val="minor"/>
      </rPr>
      <t xml:space="preserve">07/03 </t>
    </r>
    <r>
      <rPr>
        <sz val="11"/>
        <color theme="1"/>
        <rFont val="Calibri"/>
        <family val="2"/>
        <scheme val="minor"/>
      </rPr>
      <t xml:space="preserve">- Aberto um novo chamado devido as alterações das 5 Ondas de Crescimento . CTXNITSP-179559
01/03 </t>
    </r>
    <r>
      <rPr>
        <b/>
        <sz val="11"/>
        <color theme="1"/>
        <rFont val="Calibri"/>
        <family val="2"/>
        <scheme val="minor"/>
      </rPr>
      <t xml:space="preserve">- </t>
    </r>
    <r>
      <rPr>
        <sz val="11"/>
        <color theme="1"/>
        <rFont val="Calibri"/>
        <family val="2"/>
        <scheme val="minor"/>
      </rPr>
      <t>Conforme reunião com o Gerente das operações Flavio, dividimos estas demandas de crescimento do Sav Entrega em 5 Ondas no qual 1 onda foi entregue hoje, estando em homologação. Em paralelo, estamos alinhando questões de Gravação / Insumos.</t>
    </r>
    <r>
      <rPr>
        <b/>
        <sz val="11"/>
        <color theme="1"/>
        <rFont val="Calibri"/>
        <family val="2"/>
        <scheme val="minor"/>
      </rPr>
      <t xml:space="preserve">
</t>
    </r>
    <r>
      <rPr>
        <sz val="11"/>
        <color theme="1"/>
        <rFont val="Calibri"/>
        <family val="2"/>
        <scheme val="minor"/>
      </rPr>
      <t>23/02 -</t>
    </r>
    <r>
      <rPr>
        <b/>
        <sz val="11"/>
        <color theme="1"/>
        <rFont val="Calibri"/>
        <family val="2"/>
        <scheme val="minor"/>
      </rPr>
      <t xml:space="preserve"> </t>
    </r>
    <r>
      <rPr>
        <sz val="11"/>
        <color theme="1"/>
        <rFont val="Calibri"/>
        <family val="2"/>
        <scheme val="minor"/>
      </rPr>
      <t>Temos um a demanda de Tetris que está como prioridade na empresa que impacta diretamente nestes Crescimentos. Como não negociamos Tetris em meio a crescimento, muito menos direto com a operação. Foi solicitado ao Jonas de Negócios que verificasse quais as prioridades no momento, para seguirmos ou não com esta demanda. Aguardando retorno do mesmo</t>
    </r>
    <r>
      <rPr>
        <b/>
        <sz val="11"/>
        <color theme="1"/>
        <rFont val="Calibri"/>
        <family val="2"/>
        <scheme val="minor"/>
      </rPr>
      <t xml:space="preserve">
</t>
    </r>
    <r>
      <rPr>
        <sz val="11"/>
        <color theme="1"/>
        <rFont val="Calibri"/>
        <family val="2"/>
        <scheme val="minor"/>
      </rPr>
      <t xml:space="preserve">15/02 - Hoje tivemos um alinhamento sobre as necessidades desta demanda. Foi mencionado que devido ao Tetris para desmobilização do 3° anexo a ação de crescimento não poderá ocorrer no local indicado. A operação irá reavaliar o layout. Em paralelo, a Equipe de engenharia TI está avaliando a viabilidade da solução . Prazo Final: 04/03.
Aguardando o retorno da operação sobre os Itens abaixo:
Ger. Flavio Souza - Enviar layout considerando o tetris do 3° anexo e 9° para 11° andar ; Enviar “de para” de perfis e licenças ; Envar Janela de atuação. 
10/02 - Em análise.
03/02 - A iniciar
</t>
    </r>
  </si>
  <si>
    <r>
      <rPr>
        <b/>
        <sz val="11"/>
        <color theme="1"/>
        <rFont val="Calibri"/>
        <family val="2"/>
        <scheme val="minor"/>
      </rPr>
      <t xml:space="preserve">07/03 - </t>
    </r>
    <r>
      <rPr>
        <sz val="11"/>
        <color theme="1"/>
        <rFont val="Calibri"/>
        <family val="2"/>
        <scheme val="minor"/>
      </rPr>
      <t>Aberto um novo chamado devido as alterações das 5 Ondas de Crescimento . CTXNITSP-179559</t>
    </r>
    <r>
      <rPr>
        <b/>
        <sz val="11"/>
        <color theme="1"/>
        <rFont val="Calibri"/>
        <family val="2"/>
        <scheme val="minor"/>
      </rPr>
      <t xml:space="preserve">
</t>
    </r>
    <r>
      <rPr>
        <sz val="11"/>
        <color theme="1"/>
        <rFont val="Calibri"/>
        <family val="2"/>
        <scheme val="minor"/>
      </rPr>
      <t xml:space="preserve">
01/03 -</t>
    </r>
    <r>
      <rPr>
        <b/>
        <sz val="11"/>
        <color theme="1"/>
        <rFont val="Calibri"/>
        <family val="2"/>
        <scheme val="minor"/>
      </rPr>
      <t xml:space="preserve"> </t>
    </r>
    <r>
      <rPr>
        <sz val="11"/>
        <color theme="1"/>
        <rFont val="Calibri"/>
        <family val="2"/>
        <scheme val="minor"/>
      </rPr>
      <t>Conforme reunião com o Gerente das operações Flavio, dividimos estas demandas de crescimento do Sav Entrega em 5 Ondas no qual 1 onda foi entregue hoje, estando em homologação. Em paralelo, estamos alinhando questões de Gravação / Insumos.
23/02 - Temos um a demanda de Tetris que está como prioridade na empresa que impacta diretamente nestes Crescimentos. Como não negociamos Tetris em meio a crescimento, muito menos direto com a operação. Foi solicitado ao Jonas de Negócios que verificasse quais as prioridades no momento, para seguirmos ou não com esta demanda. Aguardando retorno do mesmo</t>
    </r>
    <r>
      <rPr>
        <b/>
        <sz val="11"/>
        <color theme="1"/>
        <rFont val="Calibri"/>
        <family val="2"/>
        <scheme val="minor"/>
      </rPr>
      <t xml:space="preserve">
</t>
    </r>
    <r>
      <rPr>
        <sz val="11"/>
        <color theme="1"/>
        <rFont val="Calibri"/>
        <family val="2"/>
        <scheme val="minor"/>
      </rPr>
      <t>15/02 - Hoje tivemos um alinhamento e conforme análise de Implantações Site foi mencionado que devido ao Tetris para desmobilização do 3° anexo a ação de crescimento não poderá ocorrer no local indicado. A operação irá reavaliar o layout. Em paralelo, a Equipe de Engenharia TI está avaliando a viabilidade da solução . Prazo Final: 04/03.
Aguardando o retorno da operação sobre os Itens abaixo:
Ger. Flavio Souza - Enviar layout considerando o tetris do 3° anexo e 9° para 11° andar ; Enviar “de para” de perfis e licenças ; Envar Janela de atuação. 
10/02 - Em análise.
03/02 - A iniciar</t>
    </r>
  </si>
  <si>
    <r>
      <rPr>
        <b/>
        <sz val="11"/>
        <color theme="1"/>
        <rFont val="Calibri"/>
        <family val="2"/>
        <scheme val="minor"/>
      </rPr>
      <t>07/03 -</t>
    </r>
    <r>
      <rPr>
        <sz val="11"/>
        <color theme="1"/>
        <rFont val="Calibri"/>
        <family val="2"/>
        <scheme val="minor"/>
      </rPr>
      <t xml:space="preserve"> Aberto um novo chamado devido as alterações das 5 Ondas de Crescimento . CTXNITSP-179559</t>
    </r>
    <r>
      <rPr>
        <b/>
        <sz val="11"/>
        <color theme="1"/>
        <rFont val="Calibri"/>
        <family val="2"/>
        <scheme val="minor"/>
      </rPr>
      <t xml:space="preserve">
</t>
    </r>
    <r>
      <rPr>
        <sz val="11"/>
        <color theme="1"/>
        <rFont val="Calibri"/>
        <family val="2"/>
        <scheme val="minor"/>
      </rPr>
      <t>01/03 -</t>
    </r>
    <r>
      <rPr>
        <b/>
        <sz val="11"/>
        <color theme="1"/>
        <rFont val="Calibri"/>
        <family val="2"/>
        <scheme val="minor"/>
      </rPr>
      <t xml:space="preserve"> </t>
    </r>
    <r>
      <rPr>
        <sz val="11"/>
        <color theme="1"/>
        <rFont val="Calibri"/>
        <family val="2"/>
        <scheme val="minor"/>
      </rPr>
      <t>Conforme reunião com o Gerente das operações Flavio, dividimos estas demandas de crescimento do Sav Entrega em 5 Ondas no qual 1 onda foi entregue hoje, estando em homologação. Em paralelo, estamos alinhando questões de Gravação / Insumos.
23/02 - Temos um a demanda de Tetris que está como prioridade na empresa que impacta diretamente nestes Crescimentos. Como não negociamos Tetris em meio a crescimento, muito menos direto com a operação. Foi solicitado ao Jonas de Negócios que verificasse quais as prioridades no momento, para seguirmos ou não com esta demanda. Aguardando retorno do mesmo</t>
    </r>
    <r>
      <rPr>
        <b/>
        <sz val="11"/>
        <color theme="1"/>
        <rFont val="Calibri"/>
        <family val="2"/>
        <scheme val="minor"/>
      </rPr>
      <t xml:space="preserve">
</t>
    </r>
    <r>
      <rPr>
        <sz val="11"/>
        <color theme="1"/>
        <rFont val="Calibri"/>
        <family val="2"/>
        <scheme val="minor"/>
      </rPr>
      <t>15/02 -</t>
    </r>
    <r>
      <rPr>
        <b/>
        <sz val="11"/>
        <color theme="1"/>
        <rFont val="Calibri"/>
        <family val="2"/>
        <scheme val="minor"/>
      </rPr>
      <t xml:space="preserve"> </t>
    </r>
    <r>
      <rPr>
        <sz val="11"/>
        <color theme="1"/>
        <rFont val="Calibri"/>
        <family val="2"/>
        <scheme val="minor"/>
      </rPr>
      <t>Hoje tivemos um alinhamento e conforme análise de Implantações Site foi mencionado que devido ao Tetris para desmobilização do 3° anexo a ação de crescimento não poderá ocorrer no local indicado. A operação irá reavaliar o layout. Em paralelo, a Equipe de Engenharia TI está avaliando a viabilidade da solução . Prazo Final: 04/03.
Aguardando o retorno da operação sobre os Itens abaixo:
Ger. Flavio Souza - Enviar layout considerando o tetris do 3° anexo e 9° para 11° andar ; Enviar “de para” de perfis e licenças ; Envar Janela de atuação.
10/02 - Em análise.
03/02 - A iniciar</t>
    </r>
  </si>
  <si>
    <r>
      <rPr>
        <b/>
        <sz val="11"/>
        <color theme="1"/>
        <rFont val="Calibri"/>
        <family val="2"/>
        <scheme val="minor"/>
      </rPr>
      <t xml:space="preserve">07/03 - </t>
    </r>
    <r>
      <rPr>
        <sz val="11"/>
        <color theme="1"/>
        <rFont val="Calibri"/>
        <family val="2"/>
        <scheme val="minor"/>
      </rPr>
      <t>Aberto um novo chamado devido as alterações das 5 Ondas de Crescimento . CTXNITSP-179559</t>
    </r>
    <r>
      <rPr>
        <b/>
        <sz val="11"/>
        <color theme="1"/>
        <rFont val="Calibri"/>
        <family val="2"/>
        <scheme val="minor"/>
      </rPr>
      <t xml:space="preserve">
</t>
    </r>
    <r>
      <rPr>
        <sz val="11"/>
        <color theme="1"/>
        <rFont val="Calibri"/>
        <family val="2"/>
        <scheme val="minor"/>
      </rPr>
      <t>01/03 - Conforme reunião com o Gerente das operações Flavio, dividimos estas demandas de crescimento do Sav Entrega em 5 Ondas no qual 1 onda foi entregue hoje, estando em homologação. Em paralelo, estamos alinhando questões de Gravação / Insumos.
23/02 -</t>
    </r>
    <r>
      <rPr>
        <b/>
        <sz val="11"/>
        <color theme="1"/>
        <rFont val="Calibri"/>
        <family val="2"/>
        <scheme val="minor"/>
      </rPr>
      <t xml:space="preserve"> </t>
    </r>
    <r>
      <rPr>
        <sz val="11"/>
        <color theme="1"/>
        <rFont val="Calibri"/>
        <family val="2"/>
        <scheme val="minor"/>
      </rPr>
      <t>Temos um a demanda de Tetris que está como prioridade na empresa que impacta diretamente nestes Crescimentos. Como não negociamos Tetris em meio a crescimento, muito menos direto com a operação. Foi solicitado ao Jonas de Negócios que verificasse quais as prioridades no momento, para seguirmos ou não com esta demanda. Aguardando retorno do mesmo</t>
    </r>
    <r>
      <rPr>
        <b/>
        <sz val="11"/>
        <color theme="1"/>
        <rFont val="Calibri"/>
        <family val="2"/>
        <scheme val="minor"/>
      </rPr>
      <t xml:space="preserve">
</t>
    </r>
    <r>
      <rPr>
        <sz val="11"/>
        <color theme="1"/>
        <rFont val="Calibri"/>
        <family val="2"/>
        <scheme val="minor"/>
      </rPr>
      <t xml:space="preserve">
15/02 - Hoje tivemos um alinhamento e conforme análise de Implantações Site foi mencionado que devido ao Tetris para desmobilização do 3° anexo a ação de crescimento não poderá ocorrer no local indicado. A operação irá reavaliar o layout. Em paralelo, a Equipe de Engenharia TI está avaliando a viabilidade da solução . Prazo Final: 04/03.
Aguardando o retorno da operação sobre os Itens abaixo:
Ger. Flavio Souza - Enviar layout considerando o tetris do 3° anexo e 9° para 11° andar ; Enviar “de para” de perfis e licenças ; Envar Janela de atuação.</t>
    </r>
    <r>
      <rPr>
        <b/>
        <sz val="11"/>
        <color theme="1"/>
        <rFont val="Calibri"/>
        <family val="2"/>
        <scheme val="minor"/>
      </rPr>
      <t xml:space="preserve">
</t>
    </r>
    <r>
      <rPr>
        <sz val="11"/>
        <color theme="1"/>
        <rFont val="Calibri"/>
        <family val="2"/>
        <scheme val="minor"/>
      </rPr>
      <t>10/02 - Em análise.
03/02 - A iniciar</t>
    </r>
  </si>
  <si>
    <t>CTXNITSP-179559</t>
  </si>
  <si>
    <t>Crescimento SAV Entrega ( CRV FIXO ATIVO, OI TOTAL. DEALER, PAP)</t>
  </si>
  <si>
    <t>08/03. Projeto cancelado.
01/03/16: Retirado o Indigo de todas as máquinas em 25/02. 
22/02/16: Foi solicitada a retirada do RTI por negócio devido ao contrato de excluisividade com a Telefônica.
01/02: Aguardando término do piloto
26/01: Estamos em piloto com previsão para terminar em 18/02.</t>
  </si>
  <si>
    <t>PMO TI</t>
  </si>
  <si>
    <t>Não, prazo agressivo perante a todos projetos Contax.</t>
  </si>
  <si>
    <t>34 e 3 administrativas</t>
  </si>
  <si>
    <t>CTXRECAU-67194</t>
  </si>
  <si>
    <t>Projeto - NET Madrugada 24hs - Migrar 49 PAs do Site Aurora para o Sto Amaro</t>
  </si>
  <si>
    <t>Jonas</t>
  </si>
  <si>
    <t>CTXSPOBF-139219</t>
  </si>
  <si>
    <t>Mudança de Salão - Grupo Roteiro Dinâmico</t>
  </si>
  <si>
    <t>Luciana</t>
  </si>
  <si>
    <t>CTXSALPB-59513</t>
  </si>
  <si>
    <t>CTXSPOAP407-10429</t>
  </si>
  <si>
    <t>CTXRECSA-446234</t>
  </si>
  <si>
    <t>SERVIDOR - TABULADOR DE VENDAS</t>
  </si>
  <si>
    <t>Carlos Batista</t>
  </si>
  <si>
    <t>CSE Produção</t>
  </si>
  <si>
    <t>Nakaya</t>
  </si>
  <si>
    <t>Lisandra</t>
  </si>
  <si>
    <t>CTXSPOBF-139687</t>
  </si>
  <si>
    <t>Mudança de Salão e Configuração de máquinas - GT</t>
  </si>
  <si>
    <t>Alexandre (Bco ITAÚ)</t>
  </si>
  <si>
    <t>CTXRJOED-57427</t>
  </si>
  <si>
    <t>Implantação Gas Natural Fenosa</t>
  </si>
  <si>
    <t>Gás Natural Fenosa</t>
  </si>
  <si>
    <t>CANCELADO</t>
  </si>
  <si>
    <r>
      <rPr>
        <sz val="11"/>
        <color rgb="FFFF0000"/>
        <rFont val="Calibri"/>
        <family val="2"/>
        <scheme val="minor"/>
      </rPr>
      <t>[11/03] - CANCELADO a pedido do Solicitante (LUSTOSA)</t>
    </r>
    <r>
      <rPr>
        <sz val="11"/>
        <rFont val="Calibri"/>
        <family val="2"/>
        <scheme val="minor"/>
      </rPr>
      <t xml:space="preserve">
[08/03] - Revisão de arquitetura e Infra Datacenter pela equipe Engenharia.
Parecer: não temos disponibilidade de infraestrutura dentro do Data Center sem um investimento para o projeto do DATAZEN.
As opções que temos é investir na nossa infraestrutura interna ou manter os servidores do DATAZEN no Azure apresentando os valores ao comitê para a aprovação do mesmo. ( CTXMTZPB-510) </t>
    </r>
    <r>
      <rPr>
        <sz val="11"/>
        <color rgb="FFFF0000"/>
        <rFont val="Calibri"/>
        <family val="2"/>
        <scheme val="minor"/>
      </rPr>
      <t xml:space="preserve">
[29/02] - </t>
    </r>
    <r>
      <rPr>
        <sz val="11"/>
        <rFont val="Calibri"/>
        <family val="2"/>
        <scheme val="minor"/>
      </rPr>
      <t>Solicitante (Pedro) criará um novo Tprocess para esta solução. Desenho apresentado  e em cotação  insumos.</t>
    </r>
    <r>
      <rPr>
        <sz val="11"/>
        <color rgb="FFFF0000"/>
        <rFont val="Calibri"/>
        <family val="2"/>
        <scheme val="minor"/>
      </rPr>
      <t xml:space="preserve">
[16/02] - </t>
    </r>
    <r>
      <rPr>
        <sz val="11"/>
        <rFont val="Calibri"/>
        <family val="2"/>
        <scheme val="minor"/>
      </rPr>
      <t>Este projeto será utilizado para analise  da proposta para solução de utilização DATAZEN  ( on premises), enviada pelo Solicitante,</t>
    </r>
    <r>
      <rPr>
        <b/>
        <sz val="11"/>
        <color rgb="FFFF0000"/>
        <rFont val="Calibri"/>
        <family val="2"/>
        <scheme val="minor"/>
      </rPr>
      <t xml:space="preserve">
</t>
    </r>
    <r>
      <rPr>
        <sz val="11"/>
        <rFont val="Calibri"/>
        <family val="2"/>
        <scheme val="minor"/>
      </rPr>
      <t xml:space="preserve">[10/02] - Cancelar . 
será tratado pelo projeto CTXMTZPB-300 Migração de 02 servidores para o Azure (Nuvem)
</t>
    </r>
    <r>
      <rPr>
        <b/>
        <sz val="11"/>
        <color rgb="FFFF0000"/>
        <rFont val="Calibri"/>
        <family val="2"/>
        <scheme val="minor"/>
      </rPr>
      <t xml:space="preserve">
</t>
    </r>
    <r>
      <rPr>
        <b/>
        <sz val="11"/>
        <rFont val="Calibri"/>
        <family val="2"/>
        <scheme val="minor"/>
      </rPr>
      <t xml:space="preserve">02/02 - </t>
    </r>
    <r>
      <rPr>
        <sz val="11"/>
        <color theme="1"/>
        <rFont val="Calibri"/>
        <family val="2"/>
        <scheme val="minor"/>
      </rPr>
      <t>Necessário esclarecer com Equipe de BI, a identificação Tprocess deste projeto e o escopo.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t>
    </r>
  </si>
  <si>
    <r>
      <rPr>
        <sz val="11"/>
        <color rgb="FFFF0000"/>
        <rFont val="Calibri"/>
        <family val="2"/>
        <scheme val="minor"/>
      </rPr>
      <t xml:space="preserve">[15/03] - Projeto CONCLUÍDO
[08/03] </t>
    </r>
    <r>
      <rPr>
        <sz val="11"/>
        <rFont val="Calibri"/>
        <family val="2"/>
        <scheme val="minor"/>
      </rPr>
      <t>- Problemas de lentidão nas máquinas  e travamento com abertura SINN.  Testes realizados com Upgrade de memória sem sucesso.
Testes em andamento com Implantação de 2 máquinas com hardware superior.</t>
    </r>
    <r>
      <rPr>
        <sz val="11"/>
        <color rgb="FFFF0000"/>
        <rFont val="Calibri"/>
        <family val="2"/>
        <scheme val="minor"/>
      </rPr>
      <t xml:space="preserve">
[29/02] -</t>
    </r>
    <r>
      <rPr>
        <sz val="11"/>
        <rFont val="Calibri"/>
        <family val="2"/>
        <scheme val="minor"/>
      </rPr>
      <t xml:space="preserve"> </t>
    </r>
    <r>
      <rPr>
        <sz val="11"/>
        <color rgb="FFFF0000"/>
        <rFont val="Calibri"/>
        <family val="2"/>
        <scheme val="minor"/>
      </rPr>
      <t>Concluído .</t>
    </r>
    <r>
      <rPr>
        <sz val="11"/>
        <rFont val="Calibri"/>
        <family val="2"/>
        <scheme val="minor"/>
      </rPr>
      <t xml:space="preserve"> Ambiente testado pela operação e TI Site. Todos os acesos e aplicações necessárias, já estão disponível na Imagem da máquina. Homologado pel a Operação. RollOut agendado para  01/03.</t>
    </r>
    <r>
      <rPr>
        <sz val="11"/>
        <color rgb="FFFF0000"/>
        <rFont val="Calibri"/>
        <family val="2"/>
        <scheme val="minor"/>
      </rPr>
      <t xml:space="preserve">
</t>
    </r>
    <r>
      <rPr>
        <sz val="11"/>
        <rFont val="Calibri"/>
        <family val="2"/>
        <scheme val="minor"/>
      </rPr>
      <t xml:space="preserve">[23/02] - </t>
    </r>
    <r>
      <rPr>
        <sz val="11"/>
        <color theme="1"/>
        <rFont val="Calibri"/>
        <family val="2"/>
        <scheme val="minor"/>
      </rPr>
      <t>Entendimento escopo realizado com solicitante em 22/02.
Equipe TI PE realizando avaliação ambiente
17/02 - A iniciar</t>
    </r>
  </si>
  <si>
    <t>Wagner</t>
  </si>
  <si>
    <t xml:space="preserve">Análise </t>
  </si>
  <si>
    <t>Bruno</t>
  </si>
  <si>
    <t>Luiz Washington</t>
  </si>
  <si>
    <t>Mariana</t>
  </si>
  <si>
    <t>[Projeto implantado com sucesso. Débora 23/11.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18 a 20/11. Débora 17/11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18 a 20/11. Débora 10/11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5 e 6/11. Débora 03/11
O projeto está em definição de data para roll out Débora 27/10
Virada foi cancelada devido a erros encontrados em piloto, portanto ainda permanecemos em piloto. Débora 20/10/15
Piloto foi iniciado em 28/09 e até o momento não foi encontrado nenhuma erro. Virada está planejada para 20 e 21/10 em Salvador e 22 a 23/10 em Recife, devido as datas de MM, não conseguimos efetuar a virada com antecedência. De acordo com o site temos os maiores DMMs em 13/out (1°), 14/out (2°) e 05/out (3°). Débora 13/10/15
11/06/2015 - Versão se mantém estável. Estamos estudando uma solução para a troca de senha do sistema OD5 com a nova versão. 
Solicitado à Luciana que a operação apresente o processo atual. Chamado do Passport com a nice em teste, pela equipe RTI, da nova solução apresentada. 
Aguardando informações de Luciana Cardoso.</t>
  </si>
  <si>
    <t>João</t>
  </si>
  <si>
    <t xml:space="preserve">18/03
</t>
  </si>
  <si>
    <r>
      <rPr>
        <b/>
        <sz val="11"/>
        <color theme="1"/>
        <rFont val="Calibri"/>
        <family val="2"/>
        <scheme val="minor"/>
      </rPr>
      <t>15/03 - Finalizado.</t>
    </r>
    <r>
      <rPr>
        <sz val="11"/>
        <color theme="1"/>
        <rFont val="Calibri"/>
        <family val="2"/>
        <scheme val="minor"/>
      </rPr>
      <t xml:space="preserve">
10/03 - Faltam inserir 2 ramais no Nice 2.0. Data 11/03.
08/03 - Site verificando data de entrega. 
03/02 -  Aguardando ramais para agendar com o Site a implantação.
Ramais e gravação disponibilizada.
16/02 - Data de entrega Engenharia - 29/02.
10/02 - Engenharia (Gutenberg)
01/02/2016 - Projeto encaminhado para a fila de Engenharia para andamento.
01/02/2016 - Realização de KICKOFF com demandantes.
22/01 - Projeto novo em 22/01</t>
    </r>
  </si>
  <si>
    <t>15/03 - PC Emitido em 15/03. estamos levatando as informações dos insumos para emitir NF e acionar a transportadora;
08/03 - Previsão de emissão de PC ate dia 11/03, após agendaremos transporte;
23/02 - Aaguradndo numero do PC para acionar a transportadora, com isso teremos datas para chegada dos insumos no site, e periodo de configurações;
16/02 - Entregue 143 Posições + gestão, Faltam 15 maquinas no 1° andar, pois estamos em processo de transporte de maquinas de SP para JPA;
26/01 - Configurações em andamento. 50 Pas já OK; previsão de conclusão até 03/02. (faltarão 20 Pas pois não tem maquina no site e estamos cotando transporte);
20/01 - Aguardando validação da equipe de Projetos CCBrasil</t>
  </si>
  <si>
    <t>Cleverson Inhota / Rocardo Bravo</t>
  </si>
  <si>
    <t>CTXMTZPB-1286</t>
  </si>
  <si>
    <t>Crescimento SAC Fixo - Santo Amaro PE</t>
  </si>
  <si>
    <t>CTXMTZPB-1283</t>
  </si>
  <si>
    <t>Crescimento Contas Móvel Santo Amaro</t>
  </si>
  <si>
    <t>CTXMTZPB-1282</t>
  </si>
  <si>
    <t>Crescimento SAC Pós + OCT - Santo A,maro PE</t>
  </si>
  <si>
    <t xml:space="preserve">17/03 - Projeto concluído
14/03 - Aguardando a instalação de novos insumos que estavam com defeitos
08/03 - Projeto concluído. Agfuardando homologação do cliente. 
03/03 - Esse projeto chegou para TI no dia 01/03 para implantação no dia 01/03. Existem operadores em Pé.
o Já tivemos o “OK” da equipe do Villa (Redes e Telecom);
o Verificar com o Guga em relação a execução
</t>
  </si>
  <si>
    <t>CTXFORBM-366954</t>
  </si>
  <si>
    <t>ATIVOS DE REVERSÃO (FIXO, VELOX, TV e MOBILIDADE)</t>
  </si>
  <si>
    <t>CTXFORBM-366944</t>
  </si>
  <si>
    <t>BO MOBILIDADE</t>
  </si>
  <si>
    <t>CTXMTZPB-1288  </t>
  </si>
  <si>
    <t>BERÇÁRIO RECEPTIVO</t>
  </si>
  <si>
    <t>RETENÇÃO TV</t>
  </si>
  <si>
    <t>CTXMTZPB-1287  </t>
  </si>
  <si>
    <t>BERÇÁRIO ATIVO</t>
  </si>
  <si>
    <t>CTXMTZPB-1289</t>
  </si>
  <si>
    <t>ST VOZ + QUALITY ST</t>
  </si>
  <si>
    <t>CTXFORBM-366851</t>
  </si>
  <si>
    <t>CTXFORBM-366858</t>
  </si>
  <si>
    <t>RETENÇÃO INVOL FIXO R1</t>
  </si>
  <si>
    <t>CTXFORBM-360546</t>
  </si>
  <si>
    <t>RETENÇÃO INVOL MÓVEL</t>
  </si>
  <si>
    <t>CTXFORBM-366865</t>
  </si>
  <si>
    <t>RETENÇÃO 3G</t>
  </si>
  <si>
    <t>CTXFORBM-366867</t>
  </si>
  <si>
    <t>RETENÇÃO OI CONTROLE</t>
  </si>
  <si>
    <t>CTXFORBM-366874</t>
  </si>
  <si>
    <t>ILHA DE RECEITA FIXO R1</t>
  </si>
  <si>
    <t>CTXFORBM-367101</t>
  </si>
  <si>
    <t>BO PORTABILIDADE 2 HORAS</t>
  </si>
  <si>
    <t>CTXFORBM-366957</t>
  </si>
  <si>
    <t>PORTABILIDADE FIXO E VELOX</t>
  </si>
  <si>
    <t>CTXFORBM-366958</t>
  </si>
  <si>
    <t>PORTABILIDADE MÓVEL (PÓS+OCT)</t>
  </si>
  <si>
    <t>CTXFORBM-366961</t>
  </si>
  <si>
    <t>CTXFORBM-366964</t>
  </si>
  <si>
    <t>CTXFORBM-366965</t>
  </si>
  <si>
    <t>BO PORTABILIDADE PRODUTIVIDADE</t>
  </si>
  <si>
    <t>CTXFORBM-366966</t>
  </si>
  <si>
    <t>0800 PORTABILIDADE</t>
  </si>
  <si>
    <t>CTXFORBM-366967</t>
  </si>
  <si>
    <t>PORTABILIDADE\0800 MOBILIDADE</t>
  </si>
  <si>
    <t>Debora / Julio / Guerra</t>
  </si>
  <si>
    <t>17/03 - Projeto concluído
14/03 - Após validação dos testes pela operação, Projeto com a GMUD prevista para 16/03</t>
  </si>
  <si>
    <t>CTXFORBM-364479</t>
  </si>
  <si>
    <t>Projeto - NBA Blindagem 2p</t>
  </si>
  <si>
    <t>CTXPOARB-104149</t>
  </si>
  <si>
    <t>Projeto - Projeto Padronização dos Troncos H.323 - NET</t>
  </si>
  <si>
    <t>CTXPOARB-104174</t>
  </si>
  <si>
    <t>Projeto - Implantar tGuidance na Retenção NET</t>
  </si>
  <si>
    <t>CTXRJOMA-78346</t>
  </si>
  <si>
    <t xml:space="preserve">Contratação das licenças atualizadas do Windows Server </t>
  </si>
  <si>
    <t>Marcio José</t>
  </si>
  <si>
    <t>Mariana Mello</t>
  </si>
  <si>
    <r>
      <rPr>
        <b/>
        <sz val="11"/>
        <color rgb="FFFF0000"/>
        <rFont val="Calibri"/>
        <family val="2"/>
        <scheme val="minor"/>
      </rPr>
      <t>CANCELADO</t>
    </r>
    <r>
      <rPr>
        <sz val="11"/>
        <color rgb="FFFF0000"/>
        <rFont val="Calibri"/>
        <family val="2"/>
        <scheme val="minor"/>
      </rPr>
      <t xml:space="preserve">
[14/03] -CANCELADO
Encerramento Contrato com Cliente
[08/03] -</t>
    </r>
    <r>
      <rPr>
        <sz val="11"/>
        <rFont val="Calibri"/>
        <family val="2"/>
        <scheme val="minor"/>
      </rPr>
      <t xml:space="preserve"> sem sucesso no processo de liberação de Firewall pelo cliente .
Proposto um call tecnico com TI Multiplus e Contax . Aguardando agenda do Cliente.
</t>
    </r>
    <r>
      <rPr>
        <sz val="11"/>
        <color rgb="FFFF0000"/>
        <rFont val="Calibri"/>
        <family val="2"/>
        <scheme val="minor"/>
      </rPr>
      <t xml:space="preserve">
[29/02] - </t>
    </r>
    <r>
      <rPr>
        <sz val="11"/>
        <rFont val="Calibri"/>
        <family val="2"/>
        <scheme val="minor"/>
      </rPr>
      <t>Bloqueios de Firewall entre Multiplus e Contax. sendo tratado por CSE e TI Multiplus. expectativas conclusão : até 04/03</t>
    </r>
    <r>
      <rPr>
        <sz val="11"/>
        <color rgb="FFFF0000"/>
        <rFont val="Calibri"/>
        <family val="2"/>
        <scheme val="minor"/>
      </rPr>
      <t xml:space="preserve">
</t>
    </r>
    <r>
      <rPr>
        <sz val="11"/>
        <rFont val="Calibri"/>
        <family val="2"/>
        <scheme val="minor"/>
      </rPr>
      <t xml:space="preserve">[23/02] - TRepor(Homologado), Tsupervisor (Aguardando liberações de redes TI Multipus. Solicitado em 19/02
[16/02] - Fase de Homologação Tsupervisor e Trepor ( Ajustes finos nos relatórios disponibilizados ) e tsupervisor será necessário analise Redes pela Equipe TI Multiplus.
[10/02] -  Pendencia Tsupervisor, liberações redes e testes em andamento.
Treport - solução de entrega da base dados aprovada pelo cliente em 05/02. Ajuste para disponibilização em andamento.
</t>
    </r>
    <r>
      <rPr>
        <u/>
        <sz val="11"/>
        <rFont val="Calibri"/>
        <family val="2"/>
        <scheme val="minor"/>
      </rPr>
      <t>Proxima etapa (Fase 2 )</t>
    </r>
    <r>
      <rPr>
        <sz val="11"/>
        <rFont val="Calibri"/>
        <family val="2"/>
        <scheme val="minor"/>
      </rPr>
      <t xml:space="preserve"> - Executar Piloto  offline
</t>
    </r>
    <r>
      <rPr>
        <b/>
        <sz val="11"/>
        <color rgb="FFFF0000"/>
        <rFont val="Calibri"/>
        <family val="2"/>
        <scheme val="minor"/>
      </rPr>
      <t xml:space="preserve">
02/02 </t>
    </r>
    <r>
      <rPr>
        <sz val="11"/>
        <color rgb="FFFF0000"/>
        <rFont val="Calibri"/>
        <family val="2"/>
        <scheme val="minor"/>
      </rPr>
      <t>-</t>
    </r>
    <r>
      <rPr>
        <sz val="11"/>
        <rFont val="Calibri"/>
        <family val="2"/>
        <scheme val="minor"/>
      </rPr>
      <t xml:space="preserve"> Identificamos problema que os servidores do Tsupervisor não estão identificando os hostanames da Pas.
TReport - solução paliativa para salvar as informações de identificação cliente já está em produção. Solução para disponibilização da base de dados será apresentada até 02/02.</t>
    </r>
    <r>
      <rPr>
        <sz val="11"/>
        <color rgb="FFFF0000"/>
        <rFont val="Calibri"/>
        <family val="2"/>
        <scheme val="minor"/>
      </rPr>
      <t xml:space="preserve">
[28/01] -</t>
    </r>
    <r>
      <rPr>
        <b/>
        <sz val="11"/>
        <color rgb="FFFF0000"/>
        <rFont val="Calibri"/>
        <family val="2"/>
        <scheme val="minor"/>
      </rPr>
      <t xml:space="preserve"> </t>
    </r>
    <r>
      <rPr>
        <i/>
        <sz val="11"/>
        <rFont val="Calibri"/>
        <family val="2"/>
        <scheme val="minor"/>
      </rPr>
      <t>Tsupervisor</t>
    </r>
    <r>
      <rPr>
        <b/>
        <sz val="11"/>
        <rFont val="Calibri"/>
        <family val="2"/>
        <scheme val="minor"/>
      </rPr>
      <t xml:space="preserve"> </t>
    </r>
    <r>
      <rPr>
        <sz val="11"/>
        <rFont val="Calibri"/>
        <family val="2"/>
        <scheme val="minor"/>
      </rPr>
      <t>- problema identificado. testes em andamento para disponibilizar acesso para homlogação da operação.</t>
    </r>
    <r>
      <rPr>
        <b/>
        <sz val="11"/>
        <color rgb="FFFF0000"/>
        <rFont val="Calibri"/>
        <family val="2"/>
        <scheme val="minor"/>
      </rPr>
      <t xml:space="preserve">
</t>
    </r>
    <r>
      <rPr>
        <i/>
        <sz val="11"/>
        <rFont val="Calibri"/>
        <family val="2"/>
        <scheme val="minor"/>
      </rPr>
      <t xml:space="preserve">Treport </t>
    </r>
    <r>
      <rPr>
        <b/>
        <sz val="11"/>
        <rFont val="Calibri"/>
        <family val="2"/>
        <scheme val="minor"/>
      </rPr>
      <t xml:space="preserve"> </t>
    </r>
    <r>
      <rPr>
        <sz val="11"/>
        <rFont val="Calibri"/>
        <family val="2"/>
        <scheme val="minor"/>
      </rPr>
      <t xml:space="preserve">- Solução paliativa está em fase de aprovação e testes pela operação. Após essa etapa será realizada a replicação para todas as PAs e avaliação das informações na base de dados, com a identificação do cliente. Equipe Aplicações avaliando a proposta da operação, em receber acesso a base de dados para extratir as informações necessárias para confecção dos relatórios para Multiplus.
</t>
    </r>
    <r>
      <rPr>
        <b/>
        <sz val="11"/>
        <color rgb="FFFF0000"/>
        <rFont val="Calibri"/>
        <family val="2"/>
        <scheme val="minor"/>
      </rPr>
      <t xml:space="preserve">
</t>
    </r>
    <r>
      <rPr>
        <b/>
        <sz val="11"/>
        <rFont val="Calibri"/>
        <family val="2"/>
        <scheme val="minor"/>
      </rPr>
      <t xml:space="preserve">[26/01] - </t>
    </r>
    <r>
      <rPr>
        <sz val="11"/>
        <rFont val="Calibri"/>
        <family val="2"/>
        <scheme val="minor"/>
      </rPr>
      <t xml:space="preserve">TReport testado por Projetos (Cleo) e  problemas e duvidas foram encaminhadas para analise de Aplicações. Liberação de redes para viabilizar acesso da ferramenta para Operação, deverá ser analisada por Engenharia, pois alguns acessos não estavam mapeados no escopo inicial..
</t>
    </r>
    <r>
      <rPr>
        <u/>
        <sz val="11"/>
        <rFont val="Calibri"/>
        <family val="2"/>
        <scheme val="minor"/>
      </rPr>
      <t>Problema:</t>
    </r>
    <r>
      <rPr>
        <sz val="11"/>
        <rFont val="Calibri"/>
        <family val="2"/>
        <scheme val="minor"/>
      </rPr>
      <t xml:space="preserve"> Relatorios não trazem informação de identificação Cliente. Será necessário analise de Aplicações (Alex. Moraes)para viabilização desta informação, pois existe possivel problema de integração da Telefonia Genesys e Tguidance..
</t>
    </r>
    <r>
      <rPr>
        <u/>
        <sz val="11"/>
        <rFont val="Calibri"/>
        <family val="2"/>
        <scheme val="minor"/>
      </rPr>
      <t>Ação Contorno(temporário</t>
    </r>
    <r>
      <rPr>
        <sz val="11"/>
        <rFont val="Calibri"/>
        <family val="2"/>
        <scheme val="minor"/>
      </rPr>
      <t xml:space="preserve">) - disponibilizar formulário para inclusão manual , pelo operador. 
</t>
    </r>
    <r>
      <rPr>
        <u/>
        <sz val="11"/>
        <rFont val="Calibri"/>
        <family val="2"/>
        <scheme val="minor"/>
      </rPr>
      <t>Pendente</t>
    </r>
    <r>
      <rPr>
        <sz val="11"/>
        <rFont val="Calibri"/>
        <family val="2"/>
        <scheme val="minor"/>
      </rPr>
      <t>: 
1) Analise de Engenharia para uma nova  liberação de acesso aos servidores Treport. (necessidade surgiu na homologação 22/01).
2) Teste de acesso ao Tsupervisor (previsão 26/01)</t>
    </r>
    <r>
      <rPr>
        <b/>
        <sz val="11"/>
        <color rgb="FFFF0000"/>
        <rFont val="Calibri"/>
        <family val="2"/>
        <scheme val="minor"/>
      </rPr>
      <t xml:space="preserve">
</t>
    </r>
    <r>
      <rPr>
        <b/>
        <sz val="11"/>
        <rFont val="Calibri"/>
        <family val="2"/>
        <scheme val="minor"/>
      </rPr>
      <t>[21/01]</t>
    </r>
    <r>
      <rPr>
        <sz val="11"/>
        <rFont val="Calibri"/>
        <family val="2"/>
        <scheme val="minor"/>
      </rPr>
      <t xml:space="preserve"> -</t>
    </r>
    <r>
      <rPr>
        <sz val="11"/>
        <color theme="1"/>
        <rFont val="Calibri"/>
        <family val="2"/>
        <scheme val="minor"/>
      </rPr>
      <t xml:space="preserve"> Fase 01 (RollOut 87 PA's do Receptivo ) -  concluido em 15/01.
Atividades em andamento: 
Tsupervisor - implantação em andamento, previsão entrega 22/01.
Treport - Implantação em andamento, previsão de entrega 22/01. 
[06/01] Acesso do servidor? Infra é da Contax então o BD é nosso... Já tinha sido combinado no início (Julho)
[18/12] - Liberações de redes pendentes, concluidas hoje pelo CSE. Aplicações (Hudson) em fase de preparação do ambiente. Sites(Zenailde) realizando testes e instalação Tguidance nas PA's do Piloto.
Pilot/Homologação em 3 PA's previsto para 22/12.
[26/11] As adequações nos servidores foram realizadas pela equipe de CSE. Próximas ações:
• Disponibilização de 2 servidores para equipe de aplicações – Finalizada, em anexo seguem as informações abaixo.
• Criação de IPs NAT – em andamento – previsão de término: 30/11
• Liberação de acesso e portas – previsão de término: 01/12.
[25/11] • O projeto já está concluído pela parte de ENG, porém existem algumas pendências.
• O projeto está na fila de CSE (LW) porém não há retorno do status das atividades realizadas e pendentes (já cobramos, sem retorno)
• O projeto já está atrasado
[17/11] Projeto está com as filas executoras e cronograma já foi feito.
Necessário cobrar atividades de CSE, as mesmas não estão sendo pontuadas por eles.
[27/10 – Leandro] Cronograma enviado em 20/10, atuação gerenciamento das atividades
[20/10 – Leandro] Cronograma enviado em  19/10
[8/10 – Leandro]  Novo call envolvendo áreas técnicas  e cliente realizado dia 5/10. (Áreas entenderam as necessidades técnicas e estão devendo lista de atividades)
Próximos passos: cada área enviar suas lista  de atividades para montagem do cronograma até 14/10. (Cronograma 15/10)
[5/10 – Leandro]  Novo call envolvendo áreas técnicas  e cliente realizado dia 5/10. Próximos passos: cada área enviar suas lista  de atividades para montagem do cronograma.
[28/09 - Leandro] Impasse referente o uso da infraestrutura, uma vez que Múltiplos foi considerado um cliente a parte da TAM e não uma operação dentro da mesma, assim seria necessário uma infraestrutura/topologia à parte.
Recente informação obtida, que poderá ser usado infra Familia T da Tam para o Múltiplos, pois o mesmo não foi à frente, assim poderá ser aproveitado.
[17/09 – Leandro] Aguardando documentação preenchida da equipe de Suporte de Negócio.
</t>
    </r>
  </si>
  <si>
    <t>l.W</t>
  </si>
  <si>
    <t>TAM - Virtualização URA-BR   - (antigo: Ura Rec Voz )</t>
  </si>
  <si>
    <t>Projeto BI -  Meu MIS  ( Operações Itau  ) - Santo Amaro</t>
  </si>
  <si>
    <t>Infra / Desenvolvimento</t>
  </si>
  <si>
    <t>CTXRJOMA-78585</t>
  </si>
  <si>
    <r>
      <rPr>
        <b/>
        <sz val="11"/>
        <color theme="1"/>
        <rFont val="Calibri"/>
        <family val="2"/>
        <scheme val="minor"/>
      </rPr>
      <t>22/03 - Finalizado.</t>
    </r>
    <r>
      <rPr>
        <sz val="11"/>
        <color theme="1"/>
        <rFont val="Calibri"/>
        <family val="2"/>
        <scheme val="minor"/>
      </rPr>
      <t xml:space="preserve">
08/03 - Mesmo status
26/02 - Segunda fase programada pela operação para abril.
22/02 - Primeira Fase do Projeto iniciada em 22/02.
- Segunda fase com data em 01/04.
16/02 - Em avaliação por Admilson de priorização de projetos para que possamos atuar nesse.
11/02 - Prazo de OG de aplicações 17/02. 
Necessário escalar pq cliente deseja iniciar testes 18/02.
 04/02 - Formulário de crescimento preenchido;
- realizado kickoff com a operação;
- Projeto informado para colocação na fila de APP.
26/01 - Favor preencher o formulário de crescimento. 
Favor informar quem será o líder de projetos de negócios (equipe CC Brasil) 
Favor enviar o layout aprovado por planejamento corporativo 
22/01 - Projeto novo em 22/01</t>
    </r>
  </si>
  <si>
    <t>CTXFORBM-367349</t>
  </si>
  <si>
    <t>CTXFORBM-367978</t>
  </si>
  <si>
    <t>CTXFORBM-368143</t>
  </si>
  <si>
    <t>CTXFORBM-367367</t>
  </si>
  <si>
    <t>CTXFORBM-367382</t>
  </si>
  <si>
    <t>CTXFORBM-367387</t>
  </si>
  <si>
    <t>CTXFORBM-368147</t>
  </si>
  <si>
    <t xml:space="preserve">CTXFORBM-368148 </t>
  </si>
  <si>
    <t>CTXFORBM-368168</t>
  </si>
  <si>
    <t xml:space="preserve">CTXFORBM-367393 </t>
  </si>
  <si>
    <t>CTXFORBM-368172</t>
  </si>
  <si>
    <t xml:space="preserve">CTXMTZPB-1295 </t>
  </si>
  <si>
    <t xml:space="preserve">CTXMTZPB-1294 </t>
  </si>
  <si>
    <t>CTXFORBM-368176</t>
  </si>
  <si>
    <t>CTXFORBM-368178</t>
  </si>
  <si>
    <t>CTXFORBM-368182</t>
  </si>
  <si>
    <t>CTXFORBM-368186</t>
  </si>
  <si>
    <t>CTXFORBM-368189</t>
  </si>
  <si>
    <t>CTXFORBM-368197</t>
  </si>
  <si>
    <t>CTXFORBM-368200</t>
  </si>
  <si>
    <t>CTXFORBM-368203</t>
  </si>
  <si>
    <t>CTXFORBM-368205</t>
  </si>
  <si>
    <t>RETENÇÃO OI TOTAL</t>
  </si>
  <si>
    <t>BLINDAGEM OI TOTAL</t>
  </si>
  <si>
    <t>Back Office</t>
  </si>
  <si>
    <t>Retenção Pós</t>
  </si>
  <si>
    <t>RETENÇÃO OCT</t>
  </si>
  <si>
    <t>RETENÇÃO PÓS (MVL)</t>
  </si>
  <si>
    <t>ILHA DE RECEITA TV</t>
  </si>
  <si>
    <t>BO RETENÇÃO INVOL</t>
  </si>
  <si>
    <t>EDSON QUEIROZ</t>
  </si>
  <si>
    <t>Ilha Receita Móvel</t>
  </si>
  <si>
    <t>RETENÇÃO FIXO E VELOX</t>
  </si>
  <si>
    <t>REFIDELIZAÇÃO</t>
  </si>
  <si>
    <t>ST Avançado</t>
  </si>
  <si>
    <t>ST VELOX</t>
  </si>
  <si>
    <t>Refidelização</t>
  </si>
  <si>
    <t>ILHA DE RECEITA MÓVEL (OCT + PÓS)</t>
  </si>
  <si>
    <t>ILHA DE RECEITA FIXO R2</t>
  </si>
  <si>
    <t>BLINDAGEM PROPENSO 2 P</t>
  </si>
  <si>
    <t>PROPENSO R2</t>
  </si>
  <si>
    <t>Redução</t>
  </si>
  <si>
    <t>Crescimento</t>
  </si>
  <si>
    <t>Migração</t>
  </si>
  <si>
    <t>Site</t>
  </si>
  <si>
    <t>[22/03] Projeto cancelado
[14/03] - Sinalizado em 09/03 risco de inviabilidade técnica devido ao Citrix. Aguardando posicionamento de negócios e TI para prosseguir com análise. 
[08/03] - Em análise. Previsão de retorno em 09/03. 
01/03/16: Pendente análise de EF.
22/02/16: Pendente revisão de EF.
17/02 - A iniciar</t>
  </si>
  <si>
    <t>[22/03] Projeto cancelado
[15/03] - Equipe de RTI esta aguardando confirmação de sala de guerra.
[08/03] - EF v3 recebida em 01/03. Em Análise. Planejado retorno em 08/03.   
 01/03/16: Pendente análise de EF.
22/02/16: Pendente revisão de EF.
17/02 - A iniciar</t>
  </si>
  <si>
    <t>[22/03] Projeto Cancelado
[14/03] - Realizada sala de guerra em 09/03. Aguardando EF V2. 
[08/03] - Na elaboração da OG foi levantada necessidade de informações adicionais. EF voltou para fase de analise. Prazo de retorno 09/03.                                           01/03/16: Pendente envio de OG.
22/02/16: EF em análise. Previsão para término em 25/02/16. 
17/02 - A iniciar</t>
  </si>
  <si>
    <t>22/03 - Projeto entregue e concluido.
15/03 - Projeto Entregue. Aguardando formalização de aceite;
01/03 - Atividades de migração e Crescimento em andamento;
23/02 - Análise da demanda. Validando necesidades de insumos de hardware e software. Previsão de retorno até dia 24/02;</t>
  </si>
  <si>
    <t>22/03 - Projeto entregue e concluido.
15/03 - Projeto Entregue. Aguardando formalização de aceite;
01/03 - Projeto Entregue em 25/02, aguardando OK para encerra o projeto;
23/02 - Análise da demanda. Validando necesidades de insumos de hardware e software. Previsão de retorno até dia 24/02;</t>
  </si>
  <si>
    <t>22/03 - Projeto entregue e concluido.
15/03 - Projeto Entregue. Aguardando formalização de aceite;
01/03 - Atividades de miração e crescimento em Andamento;
23/02 - Análise da demanda. Validando necesidades de insumos de hardware e software. Previsão de retorno até dia 24/02;</t>
  </si>
  <si>
    <t>22/03 - Projeto entregue e concluido.
15/03 - Projeto Entregue. Aguardando formalização de aceite;
01/03 - Projeto entregue para operações homologarem, em 29/02, estamos aguardando retorno;
23/02 - Análise da demanda. Validando necesidades de insumos de hardware e software. Previsão de retorno até dia 24/02;</t>
  </si>
  <si>
    <t>22/03 - Projeto entregue e concluido.
15/03 - as 16 posições restantes estão previstas para serem entregues em 17/03 (TI localizou algumas maquinas no site Nascente e iremos transportar de taxi), o PC saiu hoje e estamos levantando as informações para solicitar NF e agentar com a transportadora;
08/03 - Entregamos 24 PAs para homologação em 08/03, estamos aguardando 16 maquinas chegarem para poder completar a demanda. para o transporte falta o numero de PC;
01/03 - Devido a necessidade de Heads USB, iremos aguardar a disponibilizaded de insumos para realizar esse crescimento. Ainda sem previsão.
23/02 - Análise da demanda. Validando necesidades de insumos de hardware e software. Previsão de retorno até dia 24/02;</t>
  </si>
  <si>
    <t>22/03 - Projeto entregue e concluido.
15/03 - Projeto Entregue para homologação em 08/03. Aguardando formalização de aceite;
01/03 - Estamos aguardando definição de utilização de licenças no polo Aspect CE. Decisão deverá ser da Diretoria;
23/02 - Análise da demanda. Validando necesidades de insumos de hardware e software. Previsão de retorno até dia 24/02;</t>
  </si>
  <si>
    <t>22/03 - Projeto entregue e concluido.
15/03 - Instalando Switch POE ,previsão de finalizar até dia 18/03, para poder migrra operaçõa;
09/03 - A iniciar</t>
  </si>
  <si>
    <t>22/03 - Projeto entregue e Concluido.
15/03 - Aguardando projeto CTXSPOBF-139219, premissa para essa execução;
09/03 - A iniciar</t>
  </si>
  <si>
    <t>PMO Negócios</t>
  </si>
  <si>
    <t>CTXSPOAP407-15768</t>
  </si>
  <si>
    <t>PROJETO MIGRAÇÃO TAM CARGO</t>
  </si>
  <si>
    <r>
      <t>Edison Nei Siqueira added a comment - 15/Mar/16 09:39
Demanda concluída conforme sinalizado pela demandante.</t>
    </r>
    <r>
      <rPr>
        <sz val="11"/>
        <color rgb="FFFF0000"/>
        <rFont val="Calibri"/>
        <family val="2"/>
        <scheme val="minor"/>
      </rPr>
      <t xml:space="preserve">
[16/02]  </t>
    </r>
    <r>
      <rPr>
        <sz val="11"/>
        <rFont val="Calibri"/>
        <family val="2"/>
        <scheme val="minor"/>
      </rPr>
      <t xml:space="preserve">Aguardando retorno fornecdor Closer com plano de ação para conclusão ajustes mapeados pela operação.
[10/02] - </t>
    </r>
    <r>
      <rPr>
        <sz val="11"/>
        <color theme="1"/>
        <rFont val="Calibri"/>
        <family val="2"/>
        <scheme val="minor"/>
      </rPr>
      <t>Aguardando retorno fornecdor Closer com plano de ação para conclusão ajustes mapeados pela operação.
Edison Nei Siqueira added a comment - 02/Fev/16 11:23
Realizada reunião junto a operação e identificado os GAPs do Evalyze, todas as necessidades mapeadas e enviadas para o fornecedor Closer, ficou alinhado junto a diretoria de TI e o fornecedor o retorno da planilha com as datas previstas de conclusão dos ajustes.
Edison Nei Siqueira added a comment - 26/Jan/16 11:50
Continuamos em validação junto ao fornecedor Closer das informações do Dashboard.</t>
    </r>
  </si>
  <si>
    <t>23/03 - Concluído conforme cronograma
17/03 - Estão sendo levantados os insumos (sala de guerra com Eng / CSE ). Equipe de aplicações já acionada e sites já acionados para tratatiavs da demanda.</t>
  </si>
  <si>
    <t>22/03 - Concluído conforme cronograma
17/03 - Estão sendo levantados os insumos (sala de guerra com Eng / CSE ). Equipe de aplicações já acionada e sites já acionados para tratatiavs da demanda.</t>
  </si>
  <si>
    <t>Fabrício Peixoto</t>
  </si>
  <si>
    <t>Sites</t>
  </si>
  <si>
    <t>Antártica/SP</t>
  </si>
  <si>
    <t>Alegria/SP</t>
  </si>
  <si>
    <t>Mackenzie/RJ
Niterói/RJ
Borges de Melo/CE
Santo Amaro/PE
Comércio/BA
Boa viagem/BA</t>
  </si>
  <si>
    <t>Borges de Melo/CE</t>
  </si>
  <si>
    <t>Fonte Nova/BA</t>
  </si>
  <si>
    <t>CTXSPOAP407-16016</t>
  </si>
  <si>
    <t xml:space="preserve">PROJETO ADEQUAÇÃO URA MULTIPLUS CONTAX P/ ORBITAL </t>
  </si>
  <si>
    <t>Rodrigo Ribeiro</t>
  </si>
  <si>
    <t>Operação / Fornecedor</t>
  </si>
  <si>
    <t>Sterlaine Priscila / Accenture</t>
  </si>
  <si>
    <t>Rodrigo Ribeiro / José Pedro</t>
  </si>
  <si>
    <t>Anthonny Stallony/  Tatiana Barbosa</t>
  </si>
  <si>
    <t>Alexandre  Morais</t>
  </si>
  <si>
    <t xml:space="preserve">Anthonny </t>
  </si>
  <si>
    <t xml:space="preserve">Projeto - Renovação de Servidores DNK - Ticket </t>
  </si>
  <si>
    <t>Crescimento de 20 pas do Outbound Velox</t>
  </si>
  <si>
    <t>RJ - Site Niterói</t>
  </si>
  <si>
    <t>CE - Site Borges de Melo</t>
  </si>
  <si>
    <t>PE - Site Santo Amaro</t>
  </si>
  <si>
    <t>BA- Site Fonte Nova</t>
  </si>
  <si>
    <t xml:space="preserve">
SP - Site  Lapa</t>
  </si>
  <si>
    <t>SP - Operação Site Antártica
SP - Infra Site Lapa</t>
  </si>
  <si>
    <t>BA - Site Comércio</t>
  </si>
  <si>
    <t>BA - Site Boa Viagem</t>
  </si>
  <si>
    <t>CE- Site Borges de Melo</t>
  </si>
  <si>
    <t>Borges de Melo/CE
João Pessoa/PB
Mackenzie/RJ
Niterói/RJ
Santo Amaro/PE</t>
  </si>
  <si>
    <t>Porto Alegre/RS</t>
  </si>
  <si>
    <t>Santo Amaro/PE</t>
  </si>
  <si>
    <r>
      <rPr>
        <b/>
        <sz val="11"/>
        <color theme="1"/>
        <rFont val="Calibri"/>
        <family val="2"/>
        <scheme val="minor"/>
      </rPr>
      <t>29/03 - Finalizado.</t>
    </r>
    <r>
      <rPr>
        <sz val="11"/>
        <color theme="1"/>
        <rFont val="Calibri"/>
        <family val="2"/>
        <scheme val="minor"/>
      </rPr>
      <t xml:space="preserve">
15/03 - A pedido da área de negócios, solicitada a migração no dia 16/03. Reagendado.
10/03 - Migração marcada para 15/03 a depender de cumprimento de cornograma de montagem de posições no Site.
08/03 - Migração reprogramada. Data a confirmar
02/03 - Data informada para a migração: 08/03;
Canais de gravação disponibilizados.
25/02 - Fechada a documentação por Engenharia e enviada ao CSE para a execução. 
Anthonny está verificando a data em que podemos realizar a alteração;
43 headsets disponiblizados;
23/02 - Necessário 43 headsets, em verificação de disponibilidade na companhia.
Em avaliação disponibilidade de licenças e portas de gravação.
16/02 - validando custos e disponibilidade de insumos. Data entrega 17/02.
11/02 - enviada informação de que TI Site tem licenças. Faltam a aquisição de headsets. 
- Área de engenharia avaliando informações. (Julio Cesar)
10/02 - em linha, levantando informações faltantes na demanda (Milane)
05/02 - Dac de destino não tem disponibilidade de licenças. 
- Em avaliação pela área a possibilidade de migração de licenças de outro equipamento.
02/02/2016 - Alinhamento realizado com a equipe do Felipe Villa. Aguardando retorno.
26/01 - Mesmo status 
19/01/2016 - Aguardando execução fila Villa.
26/01/2016 - Recebimento de data da entrega avaliação Engenharia. Entrega programada para 03/02.</t>
    </r>
  </si>
  <si>
    <t>Mackenzie/RJ</t>
  </si>
  <si>
    <t>Niterói/RJ</t>
  </si>
  <si>
    <t>Prado/MG</t>
  </si>
  <si>
    <t>Boa Viagem/BA</t>
  </si>
  <si>
    <r>
      <rPr>
        <b/>
        <sz val="11"/>
        <color theme="1"/>
        <rFont val="Calibri"/>
        <family val="2"/>
        <scheme val="minor"/>
      </rPr>
      <t>29/03 - Cancelado.</t>
    </r>
    <r>
      <rPr>
        <sz val="11"/>
        <color theme="1"/>
        <rFont val="Calibri"/>
        <family val="2"/>
        <scheme val="minor"/>
      </rPr>
      <t xml:space="preserve">
17/03 - APP e SIte estão validando o cronograma desenhado.  Previsão de envio até amanhã (18/03).
08/03 - Enviada para Engenharia a lista de requisitos de aplicações.
03/02 - Definida a utilização de Disca Fácil + tGuidance.
Aplicações enviará 03/03 infra necessária para implantação.
22/02 - Prazo para entrega desenho Engenharia 29/02.
16/02 Disponibilizada EF para avaliação APP.
11/02 - Em avaliação por aplicações.
03/02 - Projeto colocado na fila de projetos de APP. A ser enviado.
02/02/2016 - Incluida EF no chamado. Aguardando envio do Projeto para a Engenharia.
01/02/2016 - Ajustado o breifing da demanda. Aguardando EF.
22/01 - Projeto novo em 22/01</t>
    </r>
  </si>
  <si>
    <t>29/03 - Aguardando informações área negócio para finalizar as configurações e desenvolvimento.
22/03 - Alterado cronograma para 01/04.
15/03 - Cronograma fechado, entrega 07/04.
08/03 - Priorizado com o Site e áreas afins.
02/03 - Projeto enviado para áreas (Eng / App) - recebimento da OG 08/03.
25/02 - A iniciar</t>
  </si>
  <si>
    <t>29/03 - Implantação será no dia 01/04 durante o dia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</si>
  <si>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Concluído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</si>
  <si>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Concluído PAs 77 a 84 
madrugada de 31/03: 85 e 86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</si>
  <si>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Concluído e homologado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</si>
  <si>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Implantação será até o dia 05/04 conforme alinhamento com a operação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</si>
  <si>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Concluido PAs 201 a 212 ;
193 a 200 somente na madrugada 31\01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</si>
  <si>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Será implantado na madrugada do dia 31/03 para o dia 01/4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</si>
  <si>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Concluído e Homologado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</si>
  <si>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Operação deve liberar essas posicções para o dia 05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</si>
  <si>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Concluído PAs :53 a 59, 63 a 65
 Madrugada 31\01: da 48 a 52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</si>
  <si>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29/03 - Será implantado na madrugada do dia 31/03 para o dia 01/04
23/03 - Realizando as estratégias com as áreas de TI para execução dos projetos de acordo com as definições da reunião (Negócio/Operação/Projetos TI/Ti site)
17/03 - Estão sendo levantados os insumos (sala de guerra com Eng / CSE ). Equipe de aplicações já acionada e sites já acionados para tratatiavs da demanda.</t>
  </si>
  <si>
    <t>Diversos</t>
  </si>
  <si>
    <r>
      <t>Edison Nei Siqueira added a comment - 29/Mar/16 15:25
Projeto concluído, novas necessidades deverá ser aberto um novo projeto.
Edison Nei Siqueira added a comment - 08/Mar/16 17:14
Realizada a migração dos últimos logins encaminhados pela OI em 07/03, estamos aguardando o "de acordo" para encerramento do projeto ou retorno de pendências não sinalizadas anteriormente. Responsável - OI - Prazo: 18/03.</t>
    </r>
    <r>
      <rPr>
        <sz val="11"/>
        <color rgb="FFFF0000"/>
        <rFont val="Calibri"/>
        <family val="2"/>
        <scheme val="minor"/>
      </rPr>
      <t xml:space="preserve">
[29/02] - </t>
    </r>
    <r>
      <rPr>
        <sz val="11"/>
        <rFont val="Calibri"/>
        <family val="2"/>
        <scheme val="minor"/>
      </rPr>
      <t>Migração dos ultimos usuário planejada  para 07/03.</t>
    </r>
    <r>
      <rPr>
        <sz val="11"/>
        <color rgb="FFFF0000"/>
        <rFont val="Calibri"/>
        <family val="2"/>
        <scheme val="minor"/>
      </rPr>
      <t xml:space="preserve">
[16/02] - </t>
    </r>
    <r>
      <rPr>
        <sz val="11"/>
        <rFont val="Calibri"/>
        <family val="2"/>
        <scheme val="minor"/>
      </rPr>
      <t>Cronograma em andamento e sem impactos. Previsão de término em 19/02.</t>
    </r>
    <r>
      <rPr>
        <sz val="11"/>
        <color rgb="FFFF0000"/>
        <rFont val="Calibri"/>
        <family val="2"/>
        <scheme val="minor"/>
      </rPr>
      <t xml:space="preserve">
[10/02] </t>
    </r>
    <r>
      <rPr>
        <sz val="11"/>
        <color theme="1"/>
        <rFont val="Calibri"/>
        <family val="2"/>
        <scheme val="minor"/>
      </rPr>
      <t>- Cronograma em andamento e sem impactos. Previsão de término em 19/02.
Edison Nei Siqueira added a comment - 02/Fev/16 12:14
Cronograma em andamento e sem impactos até o momento. 
Previ são de término até 19/02 
Pendência Contax, encaminhar demais usuários até sexta-feira. 
Edison Nei Siqueira added a comment - 26/Jan/16 11:34
Rollout sendo realizado conforme planejado junto ao cliente Oi.
Edison Nei Siqueira added a comment - 18/Dez/15 11:13
Ficou alinhado com a regionais BA e PE o cronograma final de entrega da demanda para o dia 28/01/2016, vamos passar o planejamento para o cliente OI na próxima reunião de status.
Edison Nei Siqueira added a comment - 01/Dez/15 12:04
Como todas as planilhas encaminhadas ainda não puderam nos direcionar de forma assertiva para identificação dos logins que ainda precisam ser migrados, combinamos com o Krishner de buscar uma nova estratégia conforme abaixo: 
1) Durante o período de 30/11 a 04/12, o Krishner irá monitorar e extrair a relação de logins três vezes ao dia para localizarmos: 
a. Grupo de operadores que continuam acessando o ambiente antigo 
b. Grupo de operadores que estão acessando o novo ambiente Citrix (Cajá) 
2) Envio da listagem em 07/12 para a Contax iniciar o processo de identificação das operações.
Edison Nei Siqueira added a comment - 24/Nov/15 16:43
Após a quarta fase da operação Televendas no site Comercio, será feito o planejamento das demais ondas.
Edison Nei Siqueira added a comment - 17/Nov/15 15:12
Realizando rollout na operação de Televendas no site Boa Viagem.
Edison Nei Siqueira added a comment - 10/Nov/15 17:01
Reiniciamos o rollout, estamos atuando no site comércio na regional BA.
Edison Nei Siqueira added a comment - 03/Nov/15 12:25
Sendo feita a Análise com relação a tela azul, que começou a apresentar para a regional BA e PE após ajustes realizados internamente na Oi.
Edison Nei Siqueira added a comment - 20/Out/15 19:08
Em execução de rollout a regional PE e Análise para início do piloto na regional BA.
Edison Nei Siqueira added a comment - 06/Out/15 12:55
Em Análise junto a OI, pois precisamos entender o esforço da demanda levando em consideração o direcionamento em trocar ou não os apontamentos da zona de DNS.
Edison Nei Siqueira added a comment - 22/Set/15 19:43
Demanda em Análise junto a área de TI das regionais com relação aos procedimentos encaminhados pelo cliente OI.R197</t>
    </r>
  </si>
  <si>
    <t>Disponibilizar ferramenta do Carbon para as operações inbound e outbound do Televendas. Ti avaliar à integração com front/discador</t>
  </si>
  <si>
    <t>Rio Comprido</t>
  </si>
  <si>
    <t>Engenho/Mauá/Sto Amaro</t>
  </si>
  <si>
    <t>Mauá</t>
  </si>
  <si>
    <t>Boa Viagem/Niterói</t>
  </si>
  <si>
    <t xml:space="preserve">Boa Viagem </t>
  </si>
  <si>
    <t>Sto Amaro</t>
  </si>
  <si>
    <t>Comércio / Boa Viagem</t>
  </si>
  <si>
    <t>Alameda Santos</t>
  </si>
  <si>
    <t>Paulista</t>
  </si>
  <si>
    <t>Priscila</t>
  </si>
  <si>
    <t>28/03: Projeto concluído com sucesso.
21/03: Movimentação das máquinas está concluída. Aguardando a operação homologar as PA´s. 
08/03 TI loca Site está verifcando a possibilidade de pagemento de horas extras para o recurso migrar os ramais fora do expediente da operação, no horário das 07h às 08h. 
02/03 - A iniciar</t>
  </si>
  <si>
    <t>Acre e Salvador</t>
  </si>
  <si>
    <t>28/03: Projeto concluído com sucesso.
22/03: Aguarda a definição de prioridades dos projetos da Oi.
17/03 – Estamos aguardando a operação desocupar as posições para configurarmos as máquinas e obtermos os hostnames das mesmas
08/03: Kick-off com a área de negócio agendado para 09/03.
03/03 - A iniciar</t>
  </si>
  <si>
    <t>Débora Gercke</t>
  </si>
  <si>
    <t>Santo Amaro</t>
  </si>
  <si>
    <t>Navegantes</t>
  </si>
  <si>
    <t>Cabula/Santo Amaro</t>
  </si>
  <si>
    <t>[29/3] - Mesmo status 
[22/3] Mesmo status
[15/03] - Mesmo Status
[08/03] - Mesmo status  
01/03/16: Mesmo status.
22/02/16: Aguarda resolução do CAC Fase 1 (CTXSALSM-79901) para poder seguir.
17/02 - Aguarda Priorização de Negócio.
01/02: Foi definido que este projeto aguardará a correção do CAC - Fase 1 para dar sequência. Débora
26/01: Foi definido que este projeto aguardará a correção do CAC - Fase 1 para dar sequência. Débora</t>
  </si>
  <si>
    <t>POA e Santo Amaro</t>
  </si>
  <si>
    <t>Acre/Boa Viagem</t>
  </si>
  <si>
    <t>[29/03] Análise da EF, previsão de retorno dia 4/4. Pendente envio do ganho esperado por esse projeto (solicitado pela equipe de desenvolvimento)
 [22/03] - Realizado sala de guerra 21/03.
[14/03] - Realizada sala de guerra em 08/03. Aguardando EF V3 previsto para 14/03. 
[08/03] - Informações pendentes na EF V2. Solicitada sala de guerra para 08/03.    
 01/03/16: Pendente análise de EF.
22/02/16: EF em analise , previsão de entrega em 25/02/16
17/02 - A iniciar</t>
  </si>
  <si>
    <t>[29/03] - Aguardando retorno do cliente.
[22/03] - No dia 24.03 terá uma reunião com o cliente para saber se seguiremos com essa demanda. 
[14/03] - Pendente de EF para a formalização das atividades, sites e PAs que devem ter a alteração. A informação do site impacta diretamente na OG. 
01/03/16: Chamado aberto para atender ao chamado do RTI CAC Fase 1 (CTXSALSM-79901).</t>
  </si>
  <si>
    <t>[29/03] - Mesmo status
[22/03] - Aguarda resolução do CAC Fase 1 (CTXSALSM-79901) e implantação do Fase 2 (CTXRECSA-414952) para poder seguir.[Projeto implantado com sucesso. Débora 23/11.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18 a 20/11. Débora 17/11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18 a 20/11. Débora 10/11
O rollout foi feito em todas as máquinas, mas devido a alguns problemas, a operação ainda não deu ok no rollout. Estamos em piloto com uma nova versão, que corrige os erros apontados pela operação, para termos o aceite do projeto, O roll out do projeto CTXRECSA-416295 planejado para os dias 5 e 6/11. Débora 03/11
O projeto está em definição de data para roll out Débora 27/10
Virada foi cancelada devido a erros encontrados em piloto, portanto ainda permanecemos em piloto. Débora 20/10/15
Piloto foi iniciado em 28/09 e até o momento não foi encontrado nenhuma erro. Virada está planejada para 20 e 21/10 em Salvador e 22 a 23/10 em Recife, devido as datas de MM, não conseguimos efetuar a virada com antecedência. De acordo com o site temos os maiores DMMs em 13/out (1°), 14/out (2°) e 05/out (3°). Débora 13/10/15
11/06/2015 - Versão se mantém estável. Estamos estudando uma solução para a troca de senha do sistema OD5 com a nova versão. 
Solicitado à Luciana que a operação apresente o processo atual. Chamado do Passport com a nice em teste, pela equipe RTI, da nova solução apresentada. 
Aguardando informações de Luciana Cardoso.</t>
  </si>
  <si>
    <t>CTXSPOAP407-15967</t>
  </si>
  <si>
    <t xml:space="preserve">Navegação de Dados </t>
  </si>
  <si>
    <t>Acre</t>
  </si>
  <si>
    <t xml:space="preserve">Pacotes de Internet </t>
  </si>
  <si>
    <t>CTXSPOAP407-15965</t>
  </si>
  <si>
    <t>Agregadores e Serviços</t>
  </si>
  <si>
    <t>CTXSPOAP407-15853</t>
  </si>
  <si>
    <t xml:space="preserve"> Rede e Cobertura</t>
  </si>
  <si>
    <t>CTXSALLM-121529</t>
  </si>
  <si>
    <t>Projeto - Desinstalar/Instalar aplicação SISBB e substituir o Mozilla Firefox na operação Banco do Brasil</t>
  </si>
  <si>
    <t>Cabula-BA</t>
  </si>
  <si>
    <t>Rogério</t>
  </si>
  <si>
    <t>DataCenter</t>
  </si>
  <si>
    <t>Comercio/BA</t>
  </si>
  <si>
    <t>Prado II</t>
  </si>
  <si>
    <t>Cabula/BA e Santo Amaro/PE</t>
  </si>
  <si>
    <t>São Cristovão/RJ</t>
  </si>
  <si>
    <t>Navegantes/RS</t>
  </si>
  <si>
    <t>CTXRJOMA-78594</t>
  </si>
  <si>
    <t xml:space="preserve">Projeto Monitoria de Call Center Oi </t>
  </si>
  <si>
    <t>Antártica/SP
Mackenzie/RJ</t>
  </si>
  <si>
    <t>CTXRECSA-466020</t>
  </si>
  <si>
    <t>Projeto - "VDSL na Sinergia"</t>
  </si>
  <si>
    <t>Lucas Ribeiro</t>
  </si>
  <si>
    <t>Projeto - Gravação de chamadas Oi Total - BTCC</t>
  </si>
  <si>
    <t>CTXSPOAL-110390</t>
  </si>
  <si>
    <t>PROJETO - ARQUITETURA LINK TAM (ALMAVIVA)</t>
  </si>
  <si>
    <t>BB Maphre</t>
  </si>
  <si>
    <t>CTXSPOBF-140238</t>
  </si>
  <si>
    <t>Projeto - Substituição do Sistema Operacional das máquinas de Back Office e Supervisores</t>
  </si>
  <si>
    <t>CTXSPOBF-138261</t>
  </si>
  <si>
    <t>Projeto - Atualizar ferramenta Nice para Nova versão, compatível com Windows 8.1</t>
  </si>
  <si>
    <t>CTXFORBM-362407</t>
  </si>
  <si>
    <t>Projeto - Implantação do NBA + APC para os Propensos OCT e PÒS</t>
  </si>
  <si>
    <t>Nascente</t>
  </si>
  <si>
    <t>CTXFORBM-356683</t>
  </si>
  <si>
    <t>Cristiano Melo</t>
  </si>
  <si>
    <t>Leonardo Pellegrini</t>
  </si>
  <si>
    <r>
      <t xml:space="preserve">29/03 - Mesmo status
Edison Nei Siqueira added a comment - 08/Mar/16 17:50
Em execução na regional PE, enviado hoje 08/03 o comunicado da implantação para as operações da regional.
</t>
    </r>
    <r>
      <rPr>
        <sz val="11"/>
        <color rgb="FFFF0000"/>
        <rFont val="Calibri"/>
        <family val="2"/>
        <scheme val="minor"/>
      </rPr>
      <t xml:space="preserve">
[29/02] - </t>
    </r>
    <r>
      <rPr>
        <sz val="11"/>
        <rFont val="Calibri"/>
        <family val="2"/>
        <scheme val="minor"/>
      </rPr>
      <t>Roll out postergado para  2° Quinzena de Março. devido ao período de DMM.
Previsão de Conclusão  até 20/03.</t>
    </r>
    <r>
      <rPr>
        <sz val="11"/>
        <color rgb="FFFF0000"/>
        <rFont val="Calibri"/>
        <family val="2"/>
        <scheme val="minor"/>
      </rPr>
      <t xml:space="preserve">
</t>
    </r>
    <r>
      <rPr>
        <sz val="11"/>
        <rFont val="Calibri"/>
        <family val="2"/>
        <scheme val="minor"/>
      </rPr>
      <t>[16/02] - Piloto em andamen</t>
    </r>
    <r>
      <rPr>
        <sz val="11"/>
        <color theme="1"/>
        <rFont val="Calibri"/>
        <family val="2"/>
        <scheme val="minor"/>
      </rPr>
      <t>to PE  (M.Guedes -Aplicações )
02/02 - Mesmo status
26/01 - Mesmo status 
Edison Nei Siqueira added a comment - 24/Nov/15 16:35
O site Mackenzie parou por uma funcionalidade que a operação não autorizava colocar sem a mesma. Iniciaremos piloto hoje dia 24/11. 
STO Amaro estamos acompanhando o cronograma da Erika Miguel. 
Edison Nei Siqueira added a comment - 17/Nov/15 14:56
Demanda sendo tratada pelo Marcelo Guedes e Erica Miguel na demanda de atualização do FF + tControl.
Edison Nei Siqueira added a comment - 10/Nov/15 16:49
Demanda sendo tratada pelo Marcelo Guedes e Erica Miguel na demanda de atualização do FF + tControl.
Edison Nei Siqueira added a comment - 03/Nov/15 11:39
Sasaki, por gentileza verificar com o Guedes se essa demanda está sendo tratada junto com a demanda da Erica Miguel que trata a atualização do FF + Tcontrol.
Edison Nei Siqueira added a comment - 20/Out/15 16:56
Aguardando retorno com relação as operações do site Niterói para iniciar o piloto.
Edison Nei Siqueira added a comment - 13/Out/15 14:45
Regionais da Bahia, CE e PE já atualizadas 100% com a nova versão do tsupervisor. 
Em processo de homologação a regional RJ.
Projeto está em hold devido a quantidade de atividades que as equipes de TI dos sites estão realizando para os projetos PR.</t>
    </r>
  </si>
  <si>
    <t>João Pessoa</t>
  </si>
  <si>
    <t>Augusta</t>
  </si>
  <si>
    <t>CTXRECSA-475954</t>
  </si>
  <si>
    <t xml:space="preserve">Configuração PA´s Madrugada. </t>
  </si>
  <si>
    <t>CTXSPOAL-110826</t>
  </si>
  <si>
    <t>Projeto - Substituir sistema de telefonia da operação Intermédica</t>
  </si>
  <si>
    <t>31/03 - Projeto cancelado, pois já tinha sido implantado em Janeiro e Fevereiro. A equipe de negócios não verificou... Após articularmos toda equipe de TI para esse movimento acontecer, descobrimos no último dia que não será mais necessário
29/03 - Realizando levantamento de Insumos e necessidadestecnicas para a implantação. Em paralalo, já disponibilizamos as posições 10 à 35 do layout informado, para homologação. estamos no aguardo.
22/03 - Aguardando Planejamento definir layout das posições ADMs e de operações, am analise de euiqpe de TI não estavam identificados;
16/03 - A iniciar</t>
  </si>
  <si>
    <t>CTXRECSA-476612</t>
  </si>
  <si>
    <t>CTXRECSA-472258</t>
  </si>
  <si>
    <t>Projeto - "SMS no Masssivo"</t>
  </si>
  <si>
    <t>CTXSPOAL-111810</t>
  </si>
  <si>
    <t>Projeto Customer Care Volkswagen - Fase II</t>
  </si>
  <si>
    <t>CTXFORBM-371834</t>
  </si>
  <si>
    <t xml:space="preserve">Crescimento Retenção Oi Controle 41 PA´s Borges de Melo </t>
  </si>
  <si>
    <t>Borges de Melo/Ce</t>
  </si>
  <si>
    <t>Transbordo de Ligações de RCI para Paschoalotto (Bauru)</t>
  </si>
  <si>
    <t>CTXSPOBF-139773</t>
  </si>
  <si>
    <t>Projeto - Demanda Fraseologias - autocompara</t>
  </si>
  <si>
    <t>Parametro URA - STD Fin</t>
  </si>
  <si>
    <t>CTXSPOBF-130195</t>
  </si>
  <si>
    <t>CTXFORNA-28702</t>
  </si>
  <si>
    <t>Projeto - Crescimento de 4 posições da operação CitiCobrança no Nascente</t>
  </si>
  <si>
    <t>Nascente/CE</t>
  </si>
  <si>
    <t>Viviane Rodriguez e Adalton / Milane / Jaqueline</t>
  </si>
  <si>
    <t>Em Hold</t>
  </si>
  <si>
    <t>Projeto - Alteração da regra de carga do Mailing no TLV (SAV ENTREGA)</t>
  </si>
  <si>
    <t>CANCELAR 
[29/02] - Solicitante (Pedro) criará um novo Tprocess para esta solução. Desenho apresentado  e em cotação  insumos.
[16/02] - Este projeto será utilizado para analise  da proposta para solução de utilização DATAZEN  ( on premises), enviada pelo Solicitante,
[10/02] - Cancelar . 
será tratado pelo projeto CTXMTZPB-300 Migração de 02 servidores para o Azure (Nuvem)
02/02 - Necessário esclarecer com Equipe de BI, a identificação Tprocess deste projeto e o escopo.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t>
  </si>
  <si>
    <t>Luiz Matheus</t>
  </si>
  <si>
    <t>Borges de Melo</t>
  </si>
  <si>
    <t>Claro</t>
  </si>
  <si>
    <t>CTXFORBM-373054</t>
  </si>
  <si>
    <t>Configuração PA´s ST VOZ</t>
  </si>
  <si>
    <t>CTXRECSA-480469</t>
  </si>
  <si>
    <t>Projeto - "Crescimento de 20 PAs Santander Cartões"</t>
  </si>
  <si>
    <t>Net</t>
  </si>
  <si>
    <t>05/04: Projeto concluído
28/03: Solicitada homologação das PA´s à operação.
22/03: SC aberta para a compra de headsets, SC 499 e FLUIG 40801 e 40802.
17/03 - Velox: Tetris inicia na segunda dia 21. TI site está configurando as máquinas até amanhã (18/03).
Fixo: Ainda não iniciado. Só inicia após a conclusão da movimentação do Velox.
Em paralelo, estamos verificando a questão da falta de Heads e licenças de gravação.
09/03 - A iniciar</t>
  </si>
  <si>
    <t>Negócio</t>
  </si>
  <si>
    <t>Luciana Mattos</t>
  </si>
  <si>
    <t>CTXSPOBF-141219</t>
  </si>
  <si>
    <t>Projeto - Aplicação/URA Transbordo Contax -&gt; URA Autocompara (4004-4495)</t>
  </si>
  <si>
    <t>CTXSPOBF-141470</t>
  </si>
  <si>
    <t>Projeto - Aplicação/URA - Opção Não ClienteNova Fraseologia</t>
  </si>
  <si>
    <t>07/04 - Projeto concluído com sucesso
06/04 - Projeto concluído pelo site. Aguardando homologação da operação</t>
  </si>
  <si>
    <t>07/04 - Projeto concluído e homologado
04/04 - Acionando as áreas para início das análises</t>
  </si>
  <si>
    <t xml:space="preserve">07/04 - Projeto concluído e homologado pelo cliente
06/04 - Aguardando DA do cliente
01/04 - Instalação concluída em SP. No RJ, a previsão é de finalizar no dia 05/04/2016
29/03 - Projeto homologado. Aguardando cronograma do site para implantação final
14/03 - Mesmo status
08/03 - Aguardando data para nova homologação
01/03 - Não foi homologado. Aguardando resposta do fornecedor quanto aos ajustes a serem realizados para marcação de nova homologação
22/02 - Projeto sendo tratado diretamente pelo George com fornecedor / executor. Não teve envolvimento de PMO-TI. Necessário acionamento dos sites
10/02 - Mesmo status
02/02 - Mesmo status
[28/01] Aguardando emissão do pedido[18/11] Solicitações de compra já realizadas. Aguardando aprovações no fluig -&gt; Aguardando aprovação do Ibrahim
27/10– Bruno/Leandro] Em tratativa com controladoria  referente a SC, Information aguardando esse trâmite interno para dar inicio ao cronograma por parte deles. 
[18/09 - George] Proposta comercial em andamento
Proposta encaminhada em 15/09, aguardando aprovação do Cliente
</t>
  </si>
  <si>
    <t>08/04 - Projeto concluído e homologado pelo cliente
06/04 - Projeto homologado e emulador antigo retirado. Aguardando cliente enviar arquivo do Mozilla para instalação nas PAs e finalização do projeto
29/03 - Aguardando homologação por parte do cliente. Após isso, será realizada a remoção do emulador antigo</t>
  </si>
  <si>
    <t>CTXSALSM-89880</t>
  </si>
  <si>
    <t>CTXNITSP-181582</t>
  </si>
  <si>
    <t>CTXNITSP-181834</t>
  </si>
  <si>
    <t xml:space="preserve">Implantação Front Fácil  TLV Residencial </t>
  </si>
  <si>
    <t xml:space="preserve">Front SAC – TLV </t>
  </si>
  <si>
    <t xml:space="preserve">Front BO- TLV </t>
  </si>
  <si>
    <t>Instalação do Google Chrome (Site PV INOVA - CO e CRV)</t>
  </si>
  <si>
    <t>CTXRECSA-472184</t>
  </si>
  <si>
    <t>CTXNITSP-177717</t>
  </si>
  <si>
    <t>CTXNITSP-178203</t>
  </si>
  <si>
    <t>Integração direct Call x Avaya</t>
  </si>
  <si>
    <t>CTXSALSM-89607</t>
  </si>
  <si>
    <t>Cristiane Kuzuhara</t>
  </si>
  <si>
    <t>CTXSALSM-88005</t>
  </si>
  <si>
    <t>CTXMLTREG-6041</t>
  </si>
  <si>
    <t>Projeto - Migração das URAs de Cadastro para o IPCC/NGR</t>
  </si>
  <si>
    <t>CTXSPOBF-137613</t>
  </si>
  <si>
    <t>Fraseologia Detalhamento da Divida - URA CONTAX</t>
  </si>
  <si>
    <t>CTXRECSA-475951</t>
  </si>
  <si>
    <t>Item Conferência_CRV</t>
  </si>
  <si>
    <t>Tatiana Barbosa</t>
  </si>
  <si>
    <t>Item Base do CLICK_CRV</t>
  </si>
  <si>
    <t>Projeto -Desenv de Front End "Discafácil" para a Célula Small_Infra do Discafácil</t>
  </si>
  <si>
    <t xml:space="preserve">Projeto - Instalar uma ferramenta que seja capaz de gravar chamadas de voz e telas de atendimento. 
</t>
  </si>
  <si>
    <t>Fabiana Carla</t>
  </si>
  <si>
    <r>
      <rPr>
        <sz val="11"/>
        <color theme="1"/>
        <rFont val="Calibri"/>
        <family val="2"/>
        <scheme val="minor"/>
      </rPr>
      <t>Edison Nei Siqueira added a comment - 12/Abr/16 17:31
Demanda concluída conforme evidencia em anexo ao chamado.
Edison Nei Siqueira added a comment - 05/Abr/16 17:10
Liberações realizadas e aguardando a replicação de arquivos por parte do Bco.
Edison Nei Siqueira added a comment - 23/Mar
Aguardando retorno do cliente ITAÚ com o status das liberações de redes internas do Banco.
Edison Nei Siqueira added a comment - 15/Mar/16 10:09
Realizamos a criação de um NAT no nosso ambiente e estamos aguardando o banco prover as devidas liberações na infraestrutura dele.</t>
    </r>
    <r>
      <rPr>
        <sz val="11"/>
        <color rgb="FFFF0000"/>
        <rFont val="Calibri"/>
        <family val="2"/>
        <scheme val="minor"/>
      </rPr>
      <t xml:space="preserve">
Edison Nei Siqueira added a comment - 08/Mar/16 17:56
Até o momento continuamos aguardando o banco não enviou os arquivos e o procedimento.
01/03 - o Aguardando EF e formulário de abertura de projeto </t>
    </r>
  </si>
  <si>
    <r>
      <t>Edison Nei Siqueira added a comment - 12/Abr/16 17:37
Demanda concluída conforme e-mail anexo formalizado pela solicitante.
Edison Nei Siqueira added a comment - 29/Mar/16 15:50
Realizada hoje a validação e evidenciado junto ao cliente o report da PA da regional BA para aplicação, vamos atuar agora na regional Acre.
Edison Nei Siqueira added a comment - 15/Mar/16 11:59
Estamos dependendo da Claro regularização a conexão do servidor para iniciar a homologação.</t>
    </r>
    <r>
      <rPr>
        <sz val="11"/>
        <color rgb="FFFF0000"/>
        <rFont val="Calibri"/>
        <family val="2"/>
        <scheme val="minor"/>
      </rPr>
      <t xml:space="preserve">
26/02 - </t>
    </r>
    <r>
      <rPr>
        <sz val="11"/>
        <rFont val="Calibri"/>
        <family val="2"/>
        <scheme val="minor"/>
      </rPr>
      <t>A iniciar</t>
    </r>
  </si>
  <si>
    <t>Anselmo</t>
  </si>
  <si>
    <t>Villela</t>
  </si>
  <si>
    <t>12/04 - Projeto entregue a ja ajustados as pendecias da implantação. aguardando 'aceite do cliente';
29/03 - Homologação das posições da 2° onda no dia 30/03, roll out em 31/03 as 22h00min;
22/03 - Analisando e realisando as configrações do ambiente da 2° onda para 31/03, ambiente operacional + redes + telecom;
17/03 - Entrega da 1° fase com 70 PAs + Gestão + Cliente + estrutura de telecom e redes;
15/03 - Homologado em 15/03 as maquinas da operação, gestão e clientes da entrega do CAMO Serviços, foi homologado tambem a arvore de anuncio. Em 16/03 teremos a virada dos apontamentos pela oparadora do cliente e o inico da operação às 22hs00min;
08/03 - Recebemos nos site Alegria 188 maquinas na data de hoje, para essas estamos procurando adptadores ou cabos de energia no modelo padrão novo, isso é um risco para o projeto;aguardando transporte de avayas;
01/03 - Recebemso a alteração de escopo em em 01/03, realizamos audio e definimos alguns novos itens de NAT para novo sitema, definição de utilizar NICE e CMS para o cliente, utilização de e-mial externo. Estamos no aguardo do PC para poder transportar Maquinas (Lapa&gt;Alegria), e Hardphones (Engenho de Dentro &gt; Alegria), ainda sem data;
23/02 - Foram Mapeados as necessidades dos ambientes e repasado ao PMO de Negócios. Estamos realizando as liberações de rede e configuraç~eos nas salas de treinamentos;
16/02 - Definindo necesidades de insumos (saving ou aquisição). Linkis e aplicações ja recebemos e estamos validando para iniciar processo de criação de imagem;
10/02 - Levantamento de insumos, mapeamento da infra conforme layout planejado (desde 02/02). Em paralelo estamos aguardando links e aplicaçãoe as serem utilizadas na operações (desde 01/02);</t>
  </si>
  <si>
    <t>12/04 - Projeto entregue a ja ajustados as pendecias da implantação. aguardando 'aceite do cliente';
29/03 - Aguardando retorno de homologaçãõ de operações/cliente. inicio dos operadores em 01/04.
12/04 - Projeto Entregue em 05/04;
22/03 - Executado as configurações das posições, solicitado homologação; 
15/03 - Houve a necessidade de alterar a data de execução para o periodo de 17 à 24/03, por motivo de a obra nao ficar pronta como haviam planejado, com isso a obra esta prevista para ser entregue ate dia 16/03;
08/03 - Atividades planejadas para serem executadas no periodo de 14 à 18/03, desde 22/02;
16/02 - Não precisaremos de hardwares, estamos validando a necessidade de Softwares. Cobrando de Negócios as necesidades de sala de monitoria para esse projeto, e, a formalização de redução de 53 para 27 PAs. Previsão de execuções de 07 à 11/03 (desde que o ambiente ja esteje liberado);
10/02 - Levantando Necesidades de insumos e software para o crescimento;</t>
  </si>
  <si>
    <t>12/04 - Projeto entregue a ja ajustados as pendecias da implantação. aguardando 'aceite do cliente';
29/03 - Realizando levantamento de Insumos e necessidadestecnicas para a implantação;
22/03 - Aguardando Planejamento definir layout das posições ADMs e de operações, am analise de euiqpe de TI não estavam identificados;
16/03 - A iniciar</t>
  </si>
  <si>
    <t>12/04 - Projeto entregue a ja ajustados as pendecias da implantação. aguardando 'aceite do cliente';
29/03 - Realizando levantamento de Insumos e necessidadestecnicas para a implantação. Em paralalo, já disponibilizamos aas posições de 2 à 9 e de 36 à 46 do layout informado, para homologação. estamos no aguardo.
22/03 - Aguardando Planejamento definir layout das posições ADMs e de operações, am analise de euiqpe de TI não estavam identificados;
16/03 - A iniciar</t>
  </si>
  <si>
    <t>Rodrigo Marangoni</t>
  </si>
  <si>
    <t>[12/4] - PCancelado por solicitação da operação 
[4/4] - Aguardando definição do Banco.
[29/03] - Aguarda resolução do CAC Fase 1 (CTXSALSM-79901) e implantação do Fase 2 (CTXRECSA-414952) para poder seguir.
 [22/3] - Mesmo status
[15/03] -Mesmo status 
[08/03] - Mesmo status 
 01/03/16: Mesmo status.
22/02/16: Aguarda resolução do CAC Fase 1 (CTXSALSM-79901) e implantação do Fase 2 (CTXRECSA-414952) para poder seguir.
17/02 - Aguarda Priorização de Negócio.
01/02: Foi definido que este projeto aguardará a correção do CAC - Fase 1 para dar sequência. Débora
26/01: Foi definido que este projeto aguardará a correção do CAC - Fase 1 para dar sequência. Débora</t>
  </si>
  <si>
    <t>[12/4] - Projeto cancelado, por falta de retorno do cliente.
[04/04] - Mesmo status
[29/03] - Mesmo status
[22/03] Mesmo status
[15/03] - Mesmo status
[08/03] - Aguardando posicionamento do Rogério Luiz                                                                                                                                                                                                                                                                             [29/02] - Aguardando posicionamento do Rogério Luiz                                                     [23/02] - Mesmo status                                                                                                                                                                                                                                                                                                            [16/02] - Rogério Luiz vai validar com o cliente se seguiremos com esse projeto                                                                                                                                              [10/02] - Mesmo status                                                                                                                02/02 - Mesmo status
26/01 - A iniciar</t>
  </si>
  <si>
    <t>Cristiane</t>
  </si>
  <si>
    <r>
      <rPr>
        <b/>
        <sz val="11"/>
        <color rgb="FFFF0000"/>
        <rFont val="Calibri"/>
        <family val="2"/>
        <scheme val="minor"/>
      </rPr>
      <t>[12/04] -</t>
    </r>
    <r>
      <rPr>
        <sz val="11"/>
        <color rgb="FFFF0000"/>
        <rFont val="Calibri"/>
        <family val="2"/>
        <scheme val="minor"/>
      </rPr>
      <t xml:space="preserve"> </t>
    </r>
    <r>
      <rPr>
        <b/>
        <sz val="11"/>
        <color rgb="FFFF0000"/>
        <rFont val="Calibri"/>
        <family val="2"/>
        <scheme val="minor"/>
      </rPr>
      <t>PROJETO CANCELADO PELO SOLICITANTE</t>
    </r>
    <r>
      <rPr>
        <sz val="11"/>
        <color rgb="FFFF0000"/>
        <rFont val="Calibri"/>
        <family val="2"/>
        <scheme val="minor"/>
      </rPr>
      <t xml:space="preserve">
[04/04] -</t>
    </r>
    <r>
      <rPr>
        <sz val="11"/>
        <rFont val="Calibri"/>
        <family val="2"/>
        <scheme val="minor"/>
      </rPr>
      <t xml:space="preserve"> Áudio Conferência realizada pelo Solicitante, com a participação Ger. Equipe projetos Negócio, Gestor TI Site, Gestor CSE e PMO TI. 
Foi esclarecido pelo solicitante, que o Cliente NET está com a equipe Técnica alocada para execução desta atividade na madrugada de hoje e não sendo possível negociar a postergação. 
Ficou alinhado entre o solicitante e Gestor CSE, que esta atividade será executada em 30/03 via chamado de Requisição de Serviço.
</t>
    </r>
    <r>
      <rPr>
        <u/>
        <sz val="11"/>
        <rFont val="Calibri"/>
        <family val="2"/>
        <scheme val="minor"/>
      </rPr>
      <t>Passível de Cancelamento. Esclarecendo com solicitante</t>
    </r>
    <r>
      <rPr>
        <sz val="11"/>
        <color rgb="FFFF0000"/>
        <rFont val="Calibri"/>
        <family val="2"/>
        <scheme val="minor"/>
      </rPr>
      <t xml:space="preserve">
[29/03] -</t>
    </r>
    <r>
      <rPr>
        <sz val="11"/>
        <color theme="1"/>
        <rFont val="Calibri"/>
        <family val="2"/>
        <scheme val="minor"/>
      </rPr>
      <t xml:space="preserve"> Projeto direcionado para analise equipe tecnica Telecom.
Obs: data esperada pelo solicitante 31/03 é Inviavel.
 </t>
    </r>
    <r>
      <rPr>
        <sz val="11"/>
        <color rgb="FFFF0000"/>
        <rFont val="Calibri"/>
        <family val="2"/>
        <scheme val="minor"/>
      </rPr>
      <t>[22/03] -</t>
    </r>
    <r>
      <rPr>
        <sz val="11"/>
        <color theme="1"/>
        <rFont val="Calibri"/>
        <family val="2"/>
        <scheme val="minor"/>
      </rPr>
      <t xml:space="preserve"> Fase de  Analise e entendimento escopo.</t>
    </r>
  </si>
  <si>
    <t>LW</t>
  </si>
  <si>
    <t>Projeto - Precificação de novo hardware para servidor de banco de dados</t>
  </si>
  <si>
    <t>São Cristóvão</t>
  </si>
  <si>
    <t>ENG/CSE</t>
  </si>
  <si>
    <t>11/04 - Projeto concluído
29/03 - Cobrado o OK para finalizar a demanda;
22/03 - Executado as migrações durante do FDS de 18,19,20/03. aguardando formalização de aceite dos solicitantes;
15/03 - Houve a necessidade de alterar a data de execução para o periodo de 17 à 24/03, por motivo de a obra nao ficar pronta como haviam planejado, com isso a obra esta prevista para ser entregue ate dia 16/03;
08/03 - Atividades planejadas para serem executadas no perido de 11 à 13/02, desde 22/02;
16/02 - Cobrar execução do Layout e execução dos ajustes nas posições. Previsão de execução nos dias 04, 05, 06/03;
10/02 - Mapeando as nacessidades e atividades para as migrações;;</t>
  </si>
  <si>
    <t>13/04 - Projeto concluído
[12/4] - Após período de operação assistida, a operação informa problemas na solução. Aguardando evidência até 13/4
[5/4] - Mesmo status
[29/03] Estamos em operação assitida. Prazo de conclusão 8/04.
[22/03] Concluído rollout em Recife, solicitado validação da operação. 
 Previsão de conlcusão 22/3. Em Navegantes, inicio adiado para o dia 22/03/06. 
[15/03] - Rollout em Recife esta acontecendo
 08/03 - Mesmo status
01/03/16: Pendente envio de cronograma. 
22/02/16: Homologação das demandas aprovadas. Aguardando análise técnica da solução de callback, para definição de rollout. Posicionamento até 26/02
10/02 - Piloto inconclusivo. Negócio deve confirmar o roll out.... Aguardando
10/02 - Mesmo status
05/02 - Piloto aprovada. Roll out programado do dia 16/02 a 26/02
01/02: Aguarda a definição de negócio quanto a prioridade de projetos. Retrofit x RTI para definir a data do rollout.
26/01 - Mesmo status 
18/01 - Funcionalidade em  teste. Sugerida por operações a data de roll out com início em 16/02 em função do DMM. 
24/11 - Juliano respondeu dia 19/11. Após avaliação de TI encaminhamos proposta para o fornecedor 24/11/15
[16/11] Aguardando retorno do solicitante.</t>
  </si>
  <si>
    <t>13/04 - Projeto concluído
[12/4] - Após período de operação assistida, a operação informa problemas na solução. Aguardando evidência até 13/4
[5/4] - Mesmo status
[29/03] Estamos em operação assitida. Prazo de conclusão 8/04.
[22/03] Concluído rollout em Recife, solicitado validação da operação.  Em Navegantes, inicio adiado para o dia 22/03/06. 
[15/03] - Rollout em Recife esta acontecendo.
[08/03] - Rollout em Recife planejado do dia 08/03 a 18/03, porém a operação não aprovou as datas devido ao DMM. Aguardando novas datas para programarmos o rollout. Rollout em Navegantes dos dias 21 a 23/03.                                            01/03/16: Pendente envio de cronograma. 
22/02/16: Homologação das demandas aprovadas. Aguardando análise técnica da solução de callback, para definição de rollout. Posicionamento até 26/02
10/02 - Piloto inconclusivo. Negócio deve confirmar o roll out... Aguardando
10/02 - Mesmo status
05/02 - Piloto aprovada. Roll out programado do dia 16/02 a 26/02
01/02: Aguarda a definição de negócio quanto a prioridade de projetos. Retrofit x RTI para definir a data do rollout.
26/01 - Mesmo status 
18/01 - Funcionalidade em  teste. Sugerida por operações a data de roll out com início em 16/02 em função do DMM. 
Fornecedor BETTA respondeu a proposta em 17/11, porém a proposta do fornecedor veio incompleta – Aguardando nova proposta 24/11
[16/11] Enviamos solicitação para proposta comercial de fornecedro BETTA – Aguardando proposta</t>
  </si>
  <si>
    <t>CTXSALPB-47935</t>
  </si>
  <si>
    <t>Projeto - Crescimento Rentabilização</t>
  </si>
  <si>
    <r>
      <t xml:space="preserve">13/04 - Projeto cancelado de acordo com o solicitante
</t>
    </r>
    <r>
      <rPr>
        <b/>
        <sz val="11"/>
        <color theme="1"/>
        <rFont val="Calibri"/>
        <family val="2"/>
        <scheme val="minor"/>
      </rPr>
      <t xml:space="preserve">12/04 - </t>
    </r>
    <r>
      <rPr>
        <sz val="11"/>
        <color theme="1"/>
        <rFont val="Calibri"/>
        <family val="2"/>
        <scheme val="minor"/>
      </rPr>
      <t xml:space="preserve">Solicitado definição de status a demandante do projeto. Aguardando definição.
04/04 </t>
    </r>
    <r>
      <rPr>
        <b/>
        <sz val="11"/>
        <color theme="1"/>
        <rFont val="Calibri"/>
        <family val="2"/>
        <scheme val="minor"/>
      </rPr>
      <t>-</t>
    </r>
    <r>
      <rPr>
        <sz val="11"/>
        <color theme="1"/>
        <rFont val="Calibri"/>
        <family val="2"/>
        <scheme val="minor"/>
      </rPr>
      <t xml:space="preserve"> Em hold até dia 10/04
29/03 - Em hold até dia 10/04
28/03 - Conforme última reunião com o cliente, previsão Maio/2016.
21/03 -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15/03 -</t>
    </r>
    <r>
      <rPr>
        <b/>
        <sz val="11"/>
        <color theme="1"/>
        <rFont val="Calibri"/>
        <family val="2"/>
        <scheme val="minor"/>
      </rPr>
      <t xml:space="preserve"> </t>
    </r>
    <r>
      <rPr>
        <sz val="11"/>
        <color theme="1"/>
        <rFont val="Calibri"/>
        <family val="2"/>
        <scheme val="minor"/>
      </rPr>
      <t xml:space="preserve">Aguardando retorno da Operação e Fornecedor.
07/03 - Conforme a interação com cliente e Accenture, esta demanda ficará em Stand By até o dia 11/03.
01/03 - Mesmo Status
23/02 - </t>
    </r>
    <r>
      <rPr>
        <b/>
        <sz val="11"/>
        <color theme="1"/>
        <rFont val="Calibri"/>
        <family val="2"/>
        <scheme val="minor"/>
      </rPr>
      <t xml:space="preserve"> </t>
    </r>
    <r>
      <rPr>
        <sz val="11"/>
        <color theme="1"/>
        <rFont val="Calibri"/>
        <family val="2"/>
        <scheme val="minor"/>
      </rPr>
      <t>Conforme a interação com cliente e Accenture, esta demanda ficará em Stand By até o dia 11/03.</t>
    </r>
    <r>
      <rPr>
        <b/>
        <sz val="11"/>
        <color theme="1"/>
        <rFont val="Calibri"/>
        <family val="2"/>
        <scheme val="minor"/>
      </rPr>
      <t xml:space="preserve">
</t>
    </r>
    <r>
      <rPr>
        <sz val="11"/>
        <color theme="1"/>
        <rFont val="Calibri"/>
        <family val="2"/>
        <scheme val="minor"/>
      </rPr>
      <t>15/02 - Mesmo Status.
10/02</t>
    </r>
    <r>
      <rPr>
        <b/>
        <sz val="11"/>
        <color theme="1"/>
        <rFont val="Calibri"/>
        <family val="2"/>
        <scheme val="minor"/>
      </rPr>
      <t xml:space="preserve"> - </t>
    </r>
    <r>
      <rPr>
        <sz val="11"/>
        <color theme="1"/>
        <rFont val="Calibri"/>
        <family val="2"/>
        <scheme val="minor"/>
      </rPr>
      <t>Interação com  a Accenture sobre o que podemos Desenvolver e Atualizar a EF, pois a Equipe de Aplicações só consegue definir o real time de Desenvolviment
o com a mesma atualizada.</t>
    </r>
    <r>
      <rPr>
        <b/>
        <sz val="11"/>
        <color theme="1"/>
        <rFont val="Calibri"/>
        <family val="2"/>
        <scheme val="minor"/>
      </rPr>
      <t xml:space="preserve">
</t>
    </r>
    <r>
      <rPr>
        <sz val="11"/>
        <color theme="1"/>
        <rFont val="Calibri"/>
        <family val="2"/>
        <scheme val="minor"/>
      </rPr>
      <t>02/02 - Status Atual: Fase de Desenvolvimento da Accenture, aguardando retorno dos mesmos.</t>
    </r>
    <r>
      <rPr>
        <b/>
        <sz val="11"/>
        <color theme="1"/>
        <rFont val="Calibri"/>
        <family val="2"/>
        <scheme val="minor"/>
      </rPr>
      <t xml:space="preserve">
</t>
    </r>
    <r>
      <rPr>
        <sz val="11"/>
        <color theme="1"/>
        <rFont val="Calibri"/>
        <family val="2"/>
        <scheme val="minor"/>
      </rPr>
      <t xml:space="preserve">26/01 - </t>
    </r>
    <r>
      <rPr>
        <u/>
        <sz val="11"/>
        <color theme="1"/>
        <rFont val="Calibri"/>
        <family val="2"/>
        <scheme val="minor"/>
      </rPr>
      <t>Status Atual</t>
    </r>
    <r>
      <rPr>
        <sz val="11"/>
        <color theme="1"/>
        <rFont val="Calibri"/>
        <family val="2"/>
        <scheme val="minor"/>
      </rPr>
      <t>: Fase de Desenvolvimento da Accenture, aguardando retorno dos mesmos.
Accenture deverá nos passar o prazo para a inclusão das informações de códigos finalizadores do discador em uma coluna curinga (levando em consideração o de x para das classificações que já são utilizados hoje no NBA);
- Accenture verificará a possibilidade de desenvolvimento e prazo para inserir campos na tela de finalização da chamada para possibilitar ao operador colocar data e hora de retorno do agendamento. Atualmente o NBA só adia a oferta e grava a data e hora de registro da chamada, não havendo a possibilidade de inserirmos os dados de data e hora nem de telefone de contato no caso de ser outro telefone.
- Caso haja a possibilidade de inserir essa funcionalidade no NBA, a Accenture também deverá inserir as informações de data e hora na base para que a informação vá para o discador via FF;
- Manteremos a funcionalidade de conferência no FF;
- No caso da Accenture entregar o desenvolvimento da base e a melhoria do agendamento, a parte da Contax de supressão das marcações para o operador e envio das informações ao discador já está ok;
- No caso da Accenture não conseguir desenvolver o módulo de agendamento, podemos manter somente o agendamento no FF (precisamos definir a forma).
18/12 -Aguardando retorno do solicitante perante a documentação técnica enviada
08/12 - ENG enviou o documento do parecer técnico,aguardando retorno do solicitante.
01/12 - Aguardando retorno do cliente perante informativo dos riscos da Arquitetura
24/11 - Aguardando retorno do cliente perante informativo dos riscos da Arquitetura.
17/11 - Aguardando retorno do cliente perante os riscos associados a arquitetura dentro da solicitação proposta.
06/11 -Esclarecido os riscos associados a não se utilizar a ET disponibilizada, frente ao pedido da Oi de solução única e contigencial dentro do FF. No aguardo por sinalização positiva para prosseguir com desenho inical da alteraçõa solicitada.
29/10 - Cliente pediu uma versão melhor da ET da solução.
27/10 - Estamos elaborando um documento que será entregue para o líder do projeto para repasse a Accenture de como eles precisam desenvolver a integração do lado deles (NBA) para se comunicar com o tguidance.
 Esse documento será enviado até sexta-feira (30/10).
20/10 -  Em estimativa de OG
13/10 - Em estimativa de OG</t>
    </r>
  </si>
  <si>
    <t>(vazio)</t>
  </si>
  <si>
    <t>CTXRECSA-481687</t>
  </si>
  <si>
    <t>Tetris SAC OI - Sto Amaro</t>
  </si>
  <si>
    <t>14/04 - Projeto homologado..
13/04 - Projeto concluído. Aguardando de acordo da equipe de negócio
01/04 - Projeto incluído nas filas de Eng, CSE e APP para analise</t>
  </si>
  <si>
    <t>Projeto - Configurar Infraestrutura de DAC Contax para Integração do SACL (Automatização de Protocolo)</t>
  </si>
  <si>
    <t>CTXRECSA-482222</t>
  </si>
  <si>
    <t>Projeto - Replicar Tabulador de Vendas das operações Financeiras e CAE na operação ItauCred</t>
  </si>
  <si>
    <t>CTXPOARB-105144</t>
  </si>
  <si>
    <t>Projeto - Implantar tGuidance na operação Retenção PME - NET</t>
  </si>
  <si>
    <t>CTXFORBM-373176</t>
  </si>
  <si>
    <t>CTXFORBM-376815</t>
  </si>
  <si>
    <t>CTXFORBM-376865</t>
  </si>
  <si>
    <t>CTXFORBM-374442</t>
  </si>
  <si>
    <t>CTXFORBM-376978</t>
  </si>
  <si>
    <t>CTXFORBM-376794</t>
  </si>
  <si>
    <t>CTXFORBM-376873</t>
  </si>
  <si>
    <t>CTXFORBM-374436</t>
  </si>
  <si>
    <t>CTXFORBM-376960</t>
  </si>
  <si>
    <t>CTXFORBM-376965</t>
  </si>
  <si>
    <t>CTXFORBM-376966</t>
  </si>
  <si>
    <t>CTXFORBM-374533</t>
  </si>
  <si>
    <t xml:space="preserve">CTXRJOMA-79969 </t>
  </si>
  <si>
    <t>CTXFORBM-374450</t>
  </si>
  <si>
    <t>Edson Queiróz</t>
  </si>
  <si>
    <t>ST VOZ</t>
  </si>
  <si>
    <t>ROBO PORT - PORT\BO MOBILIDADE</t>
  </si>
  <si>
    <t>RETENÇÃO LOJA MOBILIDADE</t>
  </si>
  <si>
    <t>REVERSAO ATIVO CONTROLE (PROJETO NOVO)</t>
  </si>
  <si>
    <t>Debora / Bruno</t>
  </si>
  <si>
    <t>18/04 - Em andamento as análises de insumos, licenças e atuação</t>
  </si>
  <si>
    <t>CTXFORBM-376858</t>
  </si>
  <si>
    <t>CTXFORBM-376854</t>
  </si>
  <si>
    <t>CTXFORBM-374502</t>
  </si>
  <si>
    <t>CTXFORBM-376850</t>
  </si>
  <si>
    <t>CTXFORBM-374514</t>
  </si>
  <si>
    <t>CTXFORBM-376877</t>
  </si>
  <si>
    <t>CTXFORBM-376881</t>
  </si>
  <si>
    <t>RETENÇÃO 4P</t>
  </si>
  <si>
    <t>RETENÇÃO FIBRA</t>
  </si>
  <si>
    <t>PROPENSO R1</t>
  </si>
  <si>
    <t>RAC R2</t>
  </si>
  <si>
    <t>BLINDAGEM OI TOTAL 3P</t>
  </si>
  <si>
    <t>RAC R1</t>
  </si>
  <si>
    <t>CTXFORBM-376834</t>
  </si>
  <si>
    <t>CTXFORBM-374506</t>
  </si>
  <si>
    <t xml:space="preserve">CTXRJOMA-79751 </t>
  </si>
  <si>
    <t>CTXFORBM-376952</t>
  </si>
  <si>
    <t>CTXFORBM-376948</t>
  </si>
  <si>
    <t>CTXFORBM-376801</t>
  </si>
  <si>
    <t>CTXFORBM-376913</t>
  </si>
  <si>
    <t>CTXFORBM-374519</t>
  </si>
  <si>
    <t>CTXFORBM-376893</t>
  </si>
  <si>
    <t>CTXFORBM-376887</t>
  </si>
  <si>
    <t>CTXFORBM-374525</t>
  </si>
  <si>
    <t>CTXFORBM-374528</t>
  </si>
  <si>
    <t>Implantação Retenção Involuntária R2</t>
  </si>
  <si>
    <t>RETENÇÃO INVOL TV</t>
  </si>
  <si>
    <t>Aplicaçoes TI / Fornecedor</t>
  </si>
  <si>
    <t>Cris Sasaki / TQS</t>
  </si>
  <si>
    <t>20 Pas</t>
  </si>
  <si>
    <t>[19/04] Projeto cancelado
 [11/04] - Teste de conectividade OK. Foi solicitado uma nova aprovação da OG por Negócios. Aguardando aprovação prevista para o dia 13/04/16 para replanejamento das atividades. 
[4/4] - O estudo de viabilidade do projeto só será entregue dia 11/4, somente após essa data poderam aprovar a OG.
   [29/03] - EF validada depois das modificações solicitadas. Entrega da OG até o dia 31/03/16. 
[22/03] - Em analise de EF. Previsão de OG para o dia 23/03. 
[08/03] - Mesmo status 22/02/16: Projeto será priorizado após implantação do T-clock na Fixa. 
17/02 - A iniciar</t>
  </si>
  <si>
    <t xml:space="preserve">Pedro / Eder </t>
  </si>
  <si>
    <t>Fernanda / LW</t>
  </si>
  <si>
    <t>Koreeda/ Villa</t>
  </si>
  <si>
    <r>
      <rPr>
        <b/>
        <sz val="11"/>
        <color theme="1"/>
        <rFont val="Calibri"/>
        <family val="2"/>
        <scheme val="minor"/>
      </rPr>
      <t>18/04 - Projeto FInalizado.</t>
    </r>
    <r>
      <rPr>
        <sz val="11"/>
        <color theme="1"/>
        <rFont val="Calibri"/>
        <family val="2"/>
        <scheme val="minor"/>
      </rPr>
      <t xml:space="preserve">
29/03 - Mesmo status
08/03 - Mesmo status
01/03 - Ambiente atualizado. Accenture está fazendo melhorias no ambiente NBA, a finalização pela operação será após o término da accenture. 
26/02 - Piloto finalizado com sucesso. Buscando data APP para rollout.
04/02 - Piltoto em andamento.
26/01 - Mesmo status 
14/01 - Favor enviar a EF. Segue modelo de EF, caso necessário. </t>
    </r>
  </si>
  <si>
    <t>19/04 - Projeto Entregue. Cliente não quer executar liberações de rede para podermos implantara a monitoria no site Antártica, conforme solicitação de 22/01, sem isso nao conseguimos avançar. projeto finalizado.
26/01 - solicitado ao cliente a liberação de acesso a rede 192.168.136.0/24;
20/01 - Analises para as liberações dos links do cliente para os sites PL407 e antártica, conforme v-Lans informadas; previsto para 22/01;</t>
  </si>
  <si>
    <t>Boa Viagem</t>
  </si>
  <si>
    <t xml:space="preserve">Edison Nei Siqueira added a comment - 20/Abr/16 08:44
Entendemos que pelo tempo para validação do arquivo de retorno que a demanda pode ser dada como concluída, caso seja necessário algum ajuste que não tenha sido validado ainda, por gentileza reabrir ou abrir nova demanda.
Edison Nei Siqueira added a comment - 02/Fev/16 10:12 
Aguardando validação do arquivo de retorno para concluir a demanda. </t>
  </si>
  <si>
    <t>20/04 - Projeto realizado. Aguardando homologação
18/04 - Em andamento as análises de insumos, licenças e atuação</t>
  </si>
  <si>
    <t>20/04 - Projeto cancelado pelo solicitante
20/04 - Mesmo status
12/04 - Mesmo status
06/04 - Mesmo status
01/04 - Aguardando aceite da proposta pelo Santander</t>
  </si>
  <si>
    <t>19/04: Projeto cancelado em 14/04 devido ao crescimento do SOC.
13/04 - A iniciar</t>
  </si>
  <si>
    <t>CTXRECSA-461984</t>
  </si>
  <si>
    <t>Migrar 80 PAs do Site Navegantes para o Sto Amaro</t>
  </si>
  <si>
    <t>Devido a alteração de escopo , aguardando Término da Demanda CTXRECSA-475951,  previsto continuidade  de tratamento para o dia 02/06</t>
  </si>
  <si>
    <t>Carlos / Cibele</t>
  </si>
  <si>
    <r>
      <rPr>
        <b/>
        <sz val="11"/>
        <color theme="1"/>
        <rFont val="Calibri"/>
        <family val="2"/>
        <scheme val="minor"/>
      </rPr>
      <t>25/04 -</t>
    </r>
    <r>
      <rPr>
        <sz val="11"/>
        <color theme="1"/>
        <rFont val="Calibri"/>
        <family val="2"/>
        <scheme val="minor"/>
      </rPr>
      <t xml:space="preserve"> Demanda será encerrada por TI e quando tiverem retorno da Ticket, caso haja necessidade de acionamento, o mesmo entrará na fila de demandas Contax, para atendimento.
19/04 - Sem retorno do cliente, demanda em hold até 02/05.
Agendado reunião dia 25/04 sobre estes pontos da Ticket.
12/04 -</t>
    </r>
    <r>
      <rPr>
        <b/>
        <sz val="11"/>
        <color theme="1"/>
        <rFont val="Calibri"/>
        <family val="2"/>
        <scheme val="minor"/>
      </rPr>
      <t xml:space="preserve"> </t>
    </r>
    <r>
      <rPr>
        <sz val="11"/>
        <color theme="1"/>
        <rFont val="Calibri"/>
        <family val="2"/>
        <scheme val="minor"/>
      </rPr>
      <t>Sem retorno do cliente, demanda em hold até 02/05.
04/04 -</t>
    </r>
    <r>
      <rPr>
        <b/>
        <sz val="11"/>
        <color theme="1"/>
        <rFont val="Calibri"/>
        <family val="2"/>
        <scheme val="minor"/>
      </rPr>
      <t xml:space="preserve"> </t>
    </r>
    <r>
      <rPr>
        <sz val="11"/>
        <color theme="1"/>
        <rFont val="Calibri"/>
        <family val="2"/>
        <scheme val="minor"/>
      </rPr>
      <t>Sem retorno do cliente, demanda em hold até 02/05.</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Sem retorno do cliente, demanda em hold.
21/03 - Sem retorno do cliente, demanda em hold.
15/03 -</t>
    </r>
    <r>
      <rPr>
        <b/>
        <sz val="11"/>
        <color theme="1"/>
        <rFont val="Calibri"/>
        <family val="2"/>
        <scheme val="minor"/>
      </rPr>
      <t xml:space="preserve"> </t>
    </r>
    <r>
      <rPr>
        <sz val="11"/>
        <color theme="1"/>
        <rFont val="Calibri"/>
        <family val="2"/>
        <scheme val="minor"/>
      </rPr>
      <t xml:space="preserve"> Mesmo Status, pendencia do solicitante.</t>
    </r>
    <r>
      <rPr>
        <b/>
        <sz val="11"/>
        <color theme="1"/>
        <rFont val="Calibri"/>
        <family val="2"/>
        <scheme val="minor"/>
      </rPr>
      <t xml:space="preserve">
</t>
    </r>
    <r>
      <rPr>
        <sz val="11"/>
        <color theme="1"/>
        <rFont val="Calibri"/>
        <family val="2"/>
        <scheme val="minor"/>
      </rPr>
      <t>07/03 - Mesmo Status, pendencia do solicitante.
01/03 -</t>
    </r>
    <r>
      <rPr>
        <b/>
        <sz val="11"/>
        <color theme="1"/>
        <rFont val="Calibri"/>
        <family val="2"/>
        <scheme val="minor"/>
      </rPr>
      <t xml:space="preserve"> </t>
    </r>
    <r>
      <rPr>
        <sz val="11"/>
        <color theme="1"/>
        <rFont val="Calibri"/>
        <family val="2"/>
        <scheme val="minor"/>
      </rPr>
      <t>Mesmo Status, pendencia do solicitante.</t>
    </r>
    <r>
      <rPr>
        <b/>
        <sz val="11"/>
        <color theme="1"/>
        <rFont val="Calibri"/>
        <family val="2"/>
        <scheme val="minor"/>
      </rPr>
      <t xml:space="preserve">
</t>
    </r>
    <r>
      <rPr>
        <sz val="11"/>
        <color theme="1"/>
        <rFont val="Calibri"/>
        <family val="2"/>
        <scheme val="minor"/>
      </rPr>
      <t>23/02 - Em fase de Desenv da Ura, estando sem previsão.</t>
    </r>
    <r>
      <rPr>
        <b/>
        <sz val="11"/>
        <color theme="1"/>
        <rFont val="Calibri"/>
        <family val="2"/>
        <scheme val="minor"/>
      </rPr>
      <t xml:space="preserve">
</t>
    </r>
    <r>
      <rPr>
        <sz val="11"/>
        <color theme="1"/>
        <rFont val="Calibri"/>
        <family val="2"/>
        <scheme val="minor"/>
      </rPr>
      <t>15/02 -  Mesmo Status. Ainda não recebemos o retorno da operação, perante a homogação.Solicitada ajuda de interação de Negócios.
10/02 -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02/02 -</t>
    </r>
    <r>
      <rPr>
        <b/>
        <sz val="11"/>
        <color theme="1"/>
        <rFont val="Calibri"/>
        <family val="2"/>
        <scheme val="minor"/>
      </rPr>
      <t xml:space="preserve"> </t>
    </r>
    <r>
      <rPr>
        <sz val="11"/>
        <color theme="1"/>
        <rFont val="Calibri"/>
        <family val="2"/>
        <scheme val="minor"/>
      </rPr>
      <t>Ainda não recebemos o retorno da operação, perante a homogação.Solicitada ajuda de interação de Negócios.</t>
    </r>
    <r>
      <rPr>
        <b/>
        <sz val="11"/>
        <color theme="1"/>
        <rFont val="Calibri"/>
        <family val="2"/>
        <scheme val="minor"/>
      </rPr>
      <t xml:space="preserve">
</t>
    </r>
    <r>
      <rPr>
        <sz val="11"/>
        <color theme="1"/>
        <rFont val="Calibri"/>
        <family val="2"/>
        <scheme val="minor"/>
      </rPr>
      <t xml:space="preserve">
26/01 - Em Homologação
18/12 - Prazo de Engenharia: 
14/12 à 18/12
08/12 - Conforme padrão, foi enviado para Fila de ENG com todo  o escopo detalhado da demanda. Aguardando Prazo de ENG</t>
    </r>
  </si>
  <si>
    <t>Encerrado</t>
  </si>
  <si>
    <t>Projeto -Alteração de Mailing TLV Ativo de Portabilidade Móvel</t>
  </si>
  <si>
    <t>Cancelada</t>
  </si>
  <si>
    <r>
      <t xml:space="preserve">26/04 - Projeto cancelado
</t>
    </r>
    <r>
      <rPr>
        <b/>
        <sz val="11"/>
        <color theme="1"/>
        <rFont val="Calibri"/>
        <family val="2"/>
        <scheme val="minor"/>
      </rPr>
      <t>25/04 -</t>
    </r>
    <r>
      <rPr>
        <sz val="11"/>
        <color theme="1"/>
        <rFont val="Calibri"/>
        <family val="2"/>
        <scheme val="minor"/>
      </rPr>
      <t xml:space="preserve"> Verificando a real necessidade de ser aberto uma proposta comercial com a TQS pois o chamado foi aberto erroneamente como "Novo Mailing" e na verdade esta demanda consiste em incluir os dados dos dependentes nos campos coringa que já existem no mailing atual.
Aguardando retorno da TQS / Rapha Marcandier.
19/04 - Foi constatado necessidade de interação com o Fornecedor TQS, demanda foi direcionada a Aplicações TI dentro do fluxo semanal.
12/04 - Delegado a Engenharia Telecom - Antonio, prazo amanhã 13/04
04/04 -</t>
    </r>
    <r>
      <rPr>
        <b/>
        <sz val="11"/>
        <color theme="1"/>
        <rFont val="Calibri"/>
        <family val="2"/>
        <scheme val="minor"/>
      </rPr>
      <t xml:space="preserve"> </t>
    </r>
    <r>
      <rPr>
        <sz val="11"/>
        <color theme="1"/>
        <rFont val="Calibri"/>
        <family val="2"/>
        <scheme val="minor"/>
      </rPr>
      <t>Em análise
30/03 - A iniciar</t>
    </r>
  </si>
  <si>
    <t>Edison Nei Siqueira added a comment - 26/Abr/16 20:03
Continuamos aguardando retorno com relação a homologação da instalação.
Edison Nei Siqueira added a comment - 12/Abr/16 18:09
Realizamos a reinstalação da aplicação e estamos aguardando a validação por parte do cliente.
Edison Nei Siqueira added a comment - 15/Mar/16 12:12
Demanda em analise junto a equipe de engenharia com previsão de retorno para o dia 22/03/2016.
01/03 - A Iniciar</t>
  </si>
  <si>
    <t>Projeto para efetuarmos controle de pausas no tCollect! da Retenção Invol</t>
  </si>
  <si>
    <t xml:space="preserve"> CTXRECSA-482954</t>
  </si>
  <si>
    <t>Criar SFTP para troca de arquivos entre Contax e Banco Itaú</t>
  </si>
  <si>
    <t>Paulista 407</t>
  </si>
  <si>
    <t>CTXRJOMA-80127</t>
  </si>
  <si>
    <t>Proejto Forecast Santo Amaro</t>
  </si>
  <si>
    <t>Villa / Celio</t>
  </si>
  <si>
    <t>CTXRJOMA-80128</t>
  </si>
  <si>
    <t xml:space="preserve">CTXRJOMA-80198 </t>
  </si>
  <si>
    <t>26/04 - Jonas retornou informando que o projeto já foi entregue no mês passado
25/04 - Solicitado ao Jonas informações adicionais sobre o projeto, pois não possuia formulário</t>
  </si>
  <si>
    <t>26/04: Projeto concluído
19/04: Migração dos operadores está prevista para 17h40 de hoje.
12/04: 07 PA´s foram entregues hoje para homologação. Projeto está previsto para ser entregue em 13/04.
05/04: Mesmo Status
28/03: Mesmo status
22/03: A data da data será informada em 08/04.
08/03: Previsão de iniciar a análise em 09/03
03/03 - A iniciar</t>
  </si>
  <si>
    <t>26/04: Projeto concluído
19/04: Não foram reportados mais erros, aguardando posicionamento de negócio para encerramento do projeto.
12/04: Mesmo status. 
05/04: Foi realizada uma alteração no log de backup, pois era o principal ofensor quanto ao travamento das "máquinas". Estaremos monitorando até 12/04 a performance do servidor.
29/03: O diagnóstico com análise de ocupação do servidor será enviado até sexta-feira. Este diagnóstico tem o objetivo de mostrar quais são os ofensores do disco (ex log que é feito de hora em hora e representa 67GB de 100GB) para alinhar junto à operação a alteração do horário de backup do log afim de "limpar" esta memória.
22/03: Amanhã será iniciada a análise de ocupação do servidor. 
11/03 - A iniciar</t>
  </si>
  <si>
    <t>Pedro Bazzarela</t>
  </si>
  <si>
    <t>Brigida</t>
  </si>
  <si>
    <t>27/04 - Projeto concluído
18/04 - Em andamento as análises de insumos, licenças e atuação</t>
  </si>
  <si>
    <t>Diretoria Solicitante</t>
  </si>
  <si>
    <t>Diretor Solicitante</t>
  </si>
  <si>
    <t>Gerente Solicitante</t>
  </si>
  <si>
    <t>Data de Entrega Planejada será cumprida?
(Sim / Não / Risco)</t>
  </si>
  <si>
    <t>CTXBHZRI-101275</t>
  </si>
  <si>
    <t>Projeto - "URA Oi TV"</t>
  </si>
  <si>
    <t>CTXNITSP-182475</t>
  </si>
  <si>
    <t>TLV Auditorias</t>
  </si>
  <si>
    <t>CTXFORBM-376441</t>
  </si>
  <si>
    <t>Novos Campos Mailing de Ofertas Retenção Invol Móvel</t>
  </si>
  <si>
    <t>Antártica</t>
  </si>
  <si>
    <t>29/04 - Proposta comercial enviada. Aguardando aprovação do cliente.
27/04 - Mesmo status
20/04 - Mesmo status
06/04 - Aguardando proposta comercial</t>
  </si>
  <si>
    <t>Bruno Vasconcellos</t>
  </si>
  <si>
    <t>Ricardo Araújo</t>
  </si>
  <si>
    <t>Ana Coelho</t>
  </si>
  <si>
    <t>Noemia Ferro</t>
  </si>
  <si>
    <t>Rodrigo Zambon</t>
  </si>
  <si>
    <t>CTXSPOAL-115788</t>
  </si>
  <si>
    <t>Projeto - Analise em servidor de URA atual para operação Intermédica</t>
  </si>
  <si>
    <t>Celso Miranda</t>
  </si>
  <si>
    <t>CTXNITSP-179086</t>
  </si>
  <si>
    <t>Voicer com Menu (CRV Ativo)</t>
  </si>
  <si>
    <t>Ana Sosa</t>
  </si>
  <si>
    <t>Implantação de PA (crescimento, migração ou nova operação)</t>
  </si>
  <si>
    <t>Tem cronograma?</t>
  </si>
  <si>
    <t>Data da entrega do cronograma</t>
  </si>
  <si>
    <t>Maurício Perez</t>
  </si>
  <si>
    <t>Giuseppe</t>
  </si>
  <si>
    <t>José Maria</t>
  </si>
  <si>
    <t>Maurício Cardoso Gomes</t>
  </si>
  <si>
    <t>Anthonny</t>
  </si>
  <si>
    <t>Ricardo</t>
  </si>
  <si>
    <t>03/05 - Concluído.
19/04 - Mesmo status.
08/03 - Mesmo status
01/02 - Piloto em andamento com atuação da accenture para resolver problemas de integração. 
22/02 - Operação tem espectativa de fechar Piloto até 26/02
11/02 - Piloto em andamento.
01/02/2016 - Houve problemas em formatos de campos esperados na integração. Testes a serem realizados hoje e início do Piloto agendado para amanhã, 02/03/2016.
26/01/2016 - Realizando configurações para realização do Piloto.</t>
  </si>
  <si>
    <r>
      <rPr>
        <b/>
        <sz val="11"/>
        <color theme="1"/>
        <rFont val="Calibri"/>
        <family val="2"/>
        <scheme val="minor"/>
      </rPr>
      <t xml:space="preserve">CONCLUIDO
</t>
    </r>
    <r>
      <rPr>
        <sz val="11"/>
        <color theme="1"/>
        <rFont val="Calibri"/>
        <family val="2"/>
        <scheme val="minor"/>
      </rPr>
      <t>26/04 - Implantado em todas as células necessárias. Aguardando OK da OI com relação a informação enviada para o NBA para fechamento do Projeto.
19/04 - Em operação assistida.
12/04 - Em homologação.
05/04 - Aguardando prazo desenvolvimento APP. Previsão 06/04.
29/03 - Alinhada a solução com o solicitante. Aguardando informações área negócios para o prosseguimento do desenvolvimento.
08/03 - Aguardando informações da área de negócios.
02/02 - Passada OG (08/03) para área de negócios. Verificando possibilidade de priorização.
26/02 - Faltando EF. Área de negócios dando andamento.
23/02 - Mesmo status
11/02 - Aplicações informa que não faz esse tipo de desenvolvimento.
Aguardando EF para verificação com áread e URA.
 04/02 - Projeto informado para a colocação na fila de APP.
03/02 - A iniciar</t>
    </r>
  </si>
  <si>
    <t>Marcel Garcia</t>
  </si>
  <si>
    <t xml:space="preserve">Não </t>
  </si>
  <si>
    <t>Cris Kuzuhara</t>
  </si>
  <si>
    <t>Sterlaine Priscila</t>
  </si>
  <si>
    <t>Risco - Aguardando entrega de proposta de fornecedor</t>
  </si>
  <si>
    <t>Paloma Almeida</t>
  </si>
  <si>
    <t>Pedro Miranda</t>
  </si>
  <si>
    <t>Nara Araujo</t>
  </si>
  <si>
    <t>Leandro Tauil</t>
  </si>
  <si>
    <t>[03/05] - Projeto concluído. Aguardando ok da operação.
[25/4] - Aguardando aprovação para o Rollout. Prazo 26/4
[19/4] - Mesmo status
[12/4] - Projeto em piloto 
[4/4] - Houve atraso no piloto, devido a impossibilidade do site. Previsão 05/04
 [29/03] - Piloto previsto para dia 31/03.
 [22/03] - Homologação iniciada hoje.
[15/03] - Aguardando dados das PAs para planejamento da homologação/piloto. Validar com equipe de aplicações como faremos para diferenciar as PAs com a nova solução e sem a solução. Prazo 16/03 
[08/03] - Pendente conslusão da EF  
01/03/16: Pendente análise de EF.
22/02/16: Pendente análise de datas. Projeto incluído na fila de aplicações sexta-feira, 19/02 conforme o processo.
12/02 - A iniciar</t>
  </si>
  <si>
    <t>Cabula</t>
  </si>
  <si>
    <r>
      <t>Edison Nei Siqueira added a comment - 03/Mai/16 11:05
Continuamos com a necessidade de validação de todos os ramais por parte de operações e CSE. 
Edison Nei Siqueira added a comment - 26/Abr/16 20:43
Continuamos com a necessidade de validação de todos os ramais por parte de operações e CSE.
Edison Nei Siqueira added a comment - 20/Abr/16 08:21
Realizado ajustes em alguns ramais junto a CSE, porém ainda existem inconsistências que estão sendo validadas pela operação, Elaine e Luiz Washington.
Edison Nei Siqueira added a comment - 05/Abr/16 16:54
Pedido para aquisição dos HDs gerado e aguardando o prazo de entrega do fornecedor DELL.
29/03 - Mesmo status
Edison Nei Siqueira added a comment - 08/Mar/16 17:36
SC aprovada aguardando a geração do pedido por parte de suprimentos.</t>
    </r>
    <r>
      <rPr>
        <sz val="11"/>
        <color rgb="FFFF0000"/>
        <rFont val="Calibri"/>
        <family val="2"/>
        <scheme val="minor"/>
      </rPr>
      <t xml:space="preserve">
[29/02]</t>
    </r>
    <r>
      <rPr>
        <sz val="11"/>
        <rFont val="Calibri"/>
        <family val="2"/>
        <scheme val="minor"/>
      </rPr>
      <t xml:space="preserve"> -SCs aprovadas, aguardando  criação pedido.</t>
    </r>
    <r>
      <rPr>
        <sz val="11"/>
        <color rgb="FFFF0000"/>
        <rFont val="Calibri"/>
        <family val="2"/>
        <scheme val="minor"/>
      </rPr>
      <t xml:space="preserve">
</t>
    </r>
    <r>
      <rPr>
        <sz val="11"/>
        <rFont val="Calibri"/>
        <family val="2"/>
        <scheme val="minor"/>
      </rPr>
      <t xml:space="preserve">16/02] </t>
    </r>
    <r>
      <rPr>
        <sz val="11"/>
        <color rgb="FFFF0000"/>
        <rFont val="Calibri"/>
        <family val="2"/>
        <scheme val="minor"/>
      </rPr>
      <t xml:space="preserve">- </t>
    </r>
    <r>
      <rPr>
        <sz val="11"/>
        <rFont val="Calibri"/>
        <family val="2"/>
        <scheme val="minor"/>
      </rPr>
      <t>SCs aprovadas, aguardando  criação pedido.</t>
    </r>
    <r>
      <rPr>
        <sz val="11"/>
        <color rgb="FFFF0000"/>
        <rFont val="Calibri"/>
        <family val="2"/>
        <scheme val="minor"/>
      </rPr>
      <t xml:space="preserve">
[10/02] - </t>
    </r>
    <r>
      <rPr>
        <sz val="11"/>
        <color theme="1"/>
        <rFont val="Calibri"/>
        <family val="2"/>
        <scheme val="minor"/>
      </rPr>
      <t xml:space="preserve"> Aguardando Aprovação SC e criação pedidos: (Resp: Koreeda) 
SC 38083
SC 38084
Edison Nei Siqueira added a comment - 26/Jan/16 12:06
SC para aquisição dos HDs lançada e aguardando aprovação.
Edison Nei Siqueira added a comment - 21/Jan/16 13:03
Aguardando lançamento de SC para aquisição de discos e tratar GAPs da regional RJ.
Edison Nei Siqueira added a comment - 18/Dez/15 12:39
Continuamos tratando GAPs pontuais com relação a alguns acessos e problemas de gravações em alguns ramais.
Edison Nei Siqueira added a comment - 17/Nov/15 17:09
Continuamos tratando GAPs pontuais com relação a alguns acessos e problemas de gravações em alguns ramais.
Edison Nei Siqueira added a comment - 20/Out/15 19:42
Em andamento a validação da instalação do NICE Perfomance nas posições de gestão da operação.
Edison Nei Siqueira added a comment - 13/Out/15 14:57
Configuração de infraestrutura concluída e ambas as regionais sendo gravadas. 
Regional CE - 100% configurada. Iniciamos a gravação das PAs da operação SOC PE no dia 02/10. 
Regional RJ - 100% configurada, em andamento a instalação do NICE Perfomance nas posições de gestão da operação.
Edison Nei Siqueira added a comment - 06/Out/15 16:16
Configuração de infraestrutura: 
Regional CE - 100% configurada. Iniciamos a gravação das PAs da operação SOC PE no dia 02/10. 
Regional RJ - 40% configurada, com dificuldade com relação ao Switch extreme, realizamos a instalação física, estamos em processo de configuração lógica.
Edison Nei Siqueira added a comment - 29/Set/15 16:12
Configuração de infraestrutura: 
Regional CE - 85% configurada. 
Regional RJ - 40% configurada, com dificuldade com relação ao Switch extreme.</t>
    </r>
  </si>
  <si>
    <t>Edison Nei Siqueira added a comment - 27/Abr/16 18:19
De acordo com o teu comentário descrito no chamado nós vamos estar fechando o mesmo. Entendo que as atividades que seriam da atuação da equipe de PMO TI foram concluídas e gratos em ter ajudado. Aguardamos a abertura de um novo chamado para a execução, caso vá para a frente
Marco Aurelio Brandao Duarte added a comment - 25/Abr/16 11:24
RECEBIDO O CUSTO DE TI E AGUARDANDO A FORMALIZAÇÃO DA PROPOSTA COMERCIAL POR PARTE DO COMERCIAL CONTAX PARA ENVIAR AO CLIENTE PARA APROVAÇÃO. 
A EXECUÇÃO DO SERVIÇO SERÁ EXECUTADO MEDIANTE A APROVAÇÃO DO CLIENTE. AGUARDAR O DA PARA EXECUÇÃO.
Edison Nei Siqueira added a comment - 12/Abr/16 18:13
Realizamos uma áudio hoje com o Banco para entendimento da demanda, diante das informações a área de engenharia conseguira dar sequencia na analise da demanda.
Edison Nei Siqueira added a comment - 15/Mar/16 12:06
Demanda em analise junto a engenharia com previsão de conclusão da analise para o dia 29/03/2016.
01/03 - Aguardando EF</t>
  </si>
  <si>
    <t>Rogério Veloso</t>
  </si>
  <si>
    <t>Click To Call Ferramenta TI Contax (Piloto Ferramenta CTC)</t>
  </si>
  <si>
    <t>02/05 - Projeto concluído
26/04 - Solicitado analise e as necessidades para equipedes de Site / Engenharia / CSE</t>
  </si>
  <si>
    <t>Leonardo Pelegrino</t>
  </si>
  <si>
    <t>Luciana Cardoso
Zenailde Santana</t>
  </si>
  <si>
    <t>Sala Trein: 27/mai
Augusta: 10/mai</t>
  </si>
  <si>
    <t>Risco
Risco</t>
  </si>
  <si>
    <t>Mauricio Lustosa</t>
  </si>
  <si>
    <t>Neto</t>
  </si>
  <si>
    <t>Já entregue</t>
  </si>
  <si>
    <t>Rogerio Silva</t>
  </si>
  <si>
    <t>Bruno Batista de Souza</t>
  </si>
  <si>
    <t>Fabio Prazeres</t>
  </si>
  <si>
    <t>CTXSPOAP407-16863</t>
  </si>
  <si>
    <t>Projeto - Implantação de nova operação - MAPIDEA</t>
  </si>
  <si>
    <t>Reginaldo</t>
  </si>
  <si>
    <t>CTXSPOAP407-16864</t>
  </si>
  <si>
    <t>CTXSPOAP407-16852</t>
  </si>
  <si>
    <t>CTXSPOAP407-16862</t>
  </si>
  <si>
    <t>CTXBHZRI-100720</t>
  </si>
  <si>
    <t>CTXMLTREG-7370</t>
  </si>
  <si>
    <t>CTXNITSP-178541</t>
  </si>
  <si>
    <t>CTXRECSA-484480</t>
  </si>
  <si>
    <t>CTXFORBM-377932</t>
  </si>
  <si>
    <t>CTXBHZRI-100960</t>
  </si>
  <si>
    <t>CTXBHZRI-98120</t>
  </si>
  <si>
    <t>CTXFORBM-378418</t>
  </si>
  <si>
    <t>CTXSPOAL-116446</t>
  </si>
  <si>
    <t>IMPLANTAÇÃO DO WEBSTATION / TTV CLARO</t>
  </si>
  <si>
    <t xml:space="preserve">PROJETO - NOVA ESTRUTURA DE TI LATAM </t>
  </si>
  <si>
    <t>TROCA DE SERVIDORES CLARO - IMPACT 360</t>
  </si>
  <si>
    <t>Ilha de Agendamento B2B</t>
  </si>
  <si>
    <t>SERVICE TO SALE PARA O PRÉ-PAGO</t>
  </si>
  <si>
    <t>BO NBA - FRONT TLV</t>
  </si>
  <si>
    <t>Automatizações CO + obrigatoriedade RFP.</t>
  </si>
  <si>
    <t>Base análitica Voicer (MG)</t>
  </si>
  <si>
    <t>Implantação de Front Fácil na célula de Fraude (1º nível)</t>
  </si>
  <si>
    <t xml:space="preserve">Implantação de Front end Célula Fraude  </t>
  </si>
  <si>
    <t>Projeto - "Implantar Tabulador Ativo Whirlpool"</t>
  </si>
  <si>
    <t>Boa Viagem/BA
Rio Branco/AC</t>
  </si>
  <si>
    <t>Alegria, Augusta e João Pessoa</t>
  </si>
  <si>
    <t>Boa Viagem / Rio Branco</t>
  </si>
  <si>
    <t xml:space="preserve">Prado II - Térreo </t>
  </si>
  <si>
    <t>Salvador/BA e Recife/PE</t>
  </si>
  <si>
    <t>Rio de Janeiro / Santo Amaro</t>
  </si>
  <si>
    <t>Prado I e II</t>
  </si>
  <si>
    <t>CTXNITSP-178545</t>
  </si>
  <si>
    <t>Projeto - TLV - BO NBA</t>
  </si>
  <si>
    <t>Marcelo Siqueira</t>
  </si>
  <si>
    <t>CTXMLTREG-7536</t>
  </si>
  <si>
    <t>Speach Analytics - Criar um tabulador automático para as operações OI</t>
  </si>
  <si>
    <t>Multiregional</t>
  </si>
  <si>
    <t>CTXSPOBF-142812</t>
  </si>
  <si>
    <t>Projeto - "Implantar Solução De Discador Automático - Ticket B2B"</t>
  </si>
  <si>
    <t>CTXSALPB-65939</t>
  </si>
  <si>
    <t>Projeto de migração da SAC Fixo (60 PAs)</t>
  </si>
  <si>
    <t>Borges de Melo/CE e Boa Viagem/BA</t>
  </si>
  <si>
    <t>CTXSALPB-66053</t>
  </si>
  <si>
    <t>Projeto de migração da Televendas Auditoria e SAC Fixo (4 PAs)</t>
  </si>
  <si>
    <t>Comitê</t>
  </si>
  <si>
    <t>Operação / CC Brasil</t>
  </si>
  <si>
    <t>Aplicações TI / Operação/ Oi</t>
  </si>
  <si>
    <t xml:space="preserve">Operação /Aplicações TI </t>
  </si>
  <si>
    <t xml:space="preserve">Aplicações TI </t>
  </si>
  <si>
    <t xml:space="preserve">Operação </t>
  </si>
  <si>
    <t xml:space="preserve">Operação / Ura </t>
  </si>
  <si>
    <r>
      <rPr>
        <b/>
        <sz val="11"/>
        <color theme="1"/>
        <rFont val="Calibri"/>
        <family val="2"/>
        <scheme val="minor"/>
      </rPr>
      <t xml:space="preserve">10/05 - </t>
    </r>
    <r>
      <rPr>
        <sz val="11"/>
        <color theme="1"/>
        <rFont val="Calibri"/>
        <family val="2"/>
        <scheme val="minor"/>
      </rPr>
      <t>Acesso concedido ao BD. Demanda Encerrada.
03/05 - Aguardando retorno do Luiz Washington (CSE )
25/04 - Hoje de acordo com o CSE DBA é finalizado a migração de Base.
19/04 - Aguardando liberação de acesso do CSE DBA.
12/04 -</t>
    </r>
    <r>
      <rPr>
        <b/>
        <sz val="11"/>
        <color theme="1"/>
        <rFont val="Calibri"/>
        <family val="2"/>
        <scheme val="minor"/>
      </rPr>
      <t xml:space="preserve"> </t>
    </r>
    <r>
      <rPr>
        <sz val="11"/>
        <color theme="1"/>
        <rFont val="Calibri"/>
        <family val="2"/>
        <scheme val="minor"/>
      </rPr>
      <t>Em últimas definições de acesso do Discafácil .
04/04 - Necessidade do solicitante original foi cancelada. 
O chamado ficará aberto devido a disponibilização da infra para o produto Discafácil.
Interação com o CSE.</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Necessidade foi cancelada. O chamado está aberto, devido a "pendência" do Discafácil. Aguardando retorno do CSE. Prazo Hoje 29/03
21/03 - Amanhã, prazo final para cancelamento desta demanda. Em paralelo, está sendo verificado a Infra do Discafácil com o LW.</t>
    </r>
    <r>
      <rPr>
        <b/>
        <sz val="11"/>
        <color theme="1"/>
        <rFont val="Calibri"/>
        <family val="2"/>
        <scheme val="minor"/>
      </rPr>
      <t xml:space="preserve">
</t>
    </r>
    <r>
      <rPr>
        <sz val="11"/>
        <color theme="1"/>
        <rFont val="Calibri"/>
        <family val="2"/>
        <scheme val="minor"/>
      </rPr>
      <t>15/03 -</t>
    </r>
    <r>
      <rPr>
        <b/>
        <sz val="11"/>
        <color theme="1"/>
        <rFont val="Calibri"/>
        <family val="2"/>
        <scheme val="minor"/>
      </rPr>
      <t xml:space="preserve"> </t>
    </r>
    <r>
      <rPr>
        <sz val="11"/>
        <color theme="1"/>
        <rFont val="Calibri"/>
        <family val="2"/>
        <scheme val="minor"/>
      </rPr>
      <t>A operação está aguardando os testes de homologação para outra demanda da Cielo da Ayty, para melhorias no Front End da ARV.
Se esta solicitação estiver OK para a operação, poderemos cancelar este projeto.</t>
    </r>
    <r>
      <rPr>
        <b/>
        <sz val="11"/>
        <color theme="1"/>
        <rFont val="Calibri"/>
        <family val="2"/>
        <scheme val="minor"/>
      </rPr>
      <t xml:space="preserve">
</t>
    </r>
    <r>
      <rPr>
        <sz val="11"/>
        <color theme="1"/>
        <rFont val="Calibri"/>
        <family val="2"/>
        <scheme val="minor"/>
      </rPr>
      <t xml:space="preserve">
07/03 - Solicitado a George nova revisão da EF,  com o prazo de 48h de retorno.
01/03 -</t>
    </r>
    <r>
      <rPr>
        <b/>
        <sz val="11"/>
        <color theme="1"/>
        <rFont val="Calibri"/>
        <family val="2"/>
        <scheme val="minor"/>
      </rPr>
      <t xml:space="preserve"> </t>
    </r>
    <r>
      <rPr>
        <sz val="11"/>
        <color theme="1"/>
        <rFont val="Calibri"/>
        <family val="2"/>
        <scheme val="minor"/>
      </rPr>
      <t>Mesmo Status.
23/02 - Refeito o custo de Engenharia junto ao desenho da solução, no momento está sendo avaliado pela Equipe de Aplicações. Em paralelo, estamos aguardando retorno da EF, pela operação.</t>
    </r>
    <r>
      <rPr>
        <b/>
        <sz val="11"/>
        <color theme="1"/>
        <rFont val="Calibri"/>
        <family val="2"/>
        <scheme val="minor"/>
      </rPr>
      <t xml:space="preserve">
</t>
    </r>
    <r>
      <rPr>
        <sz val="11"/>
        <color theme="1"/>
        <rFont val="Calibri"/>
        <family val="2"/>
        <scheme val="minor"/>
      </rPr>
      <t>15/02 -</t>
    </r>
    <r>
      <rPr>
        <b/>
        <sz val="11"/>
        <color theme="1"/>
        <rFont val="Calibri"/>
        <family val="2"/>
        <scheme val="minor"/>
      </rPr>
      <t xml:space="preserve"> </t>
    </r>
    <r>
      <rPr>
        <sz val="11"/>
        <color theme="1"/>
        <rFont val="Calibri"/>
        <family val="2"/>
        <scheme val="minor"/>
      </rPr>
      <t>Ainda estamos aguardando a atualização da EF e em paralelo estamos revisando o custo desta demanda e provavelmente na semana que vem terminaremos a monitoração do ambiente destino e avaliaremos se é possível usar a infra do tGuidance.</t>
    </r>
    <r>
      <rPr>
        <b/>
        <sz val="11"/>
        <color theme="1"/>
        <rFont val="Calibri"/>
        <family val="2"/>
        <scheme val="minor"/>
      </rPr>
      <t xml:space="preserve">
</t>
    </r>
    <r>
      <rPr>
        <sz val="11"/>
        <color theme="1"/>
        <rFont val="Calibri"/>
        <family val="2"/>
        <scheme val="minor"/>
      </rPr>
      <t xml:space="preserve">10/02 - Mesmo Status. Em paralelo o custo desta demanda está sendo revisada. </t>
    </r>
    <r>
      <rPr>
        <b/>
        <sz val="11"/>
        <color theme="1"/>
        <rFont val="Calibri"/>
        <family val="2"/>
        <scheme val="minor"/>
      </rPr>
      <t xml:space="preserve">
</t>
    </r>
    <r>
      <rPr>
        <sz val="11"/>
        <color theme="1"/>
        <rFont val="Calibri"/>
        <family val="2"/>
        <scheme val="minor"/>
      </rPr>
      <t xml:space="preserve">02/02 - Aguardando o treinamento em SP para a operação poder finalizar </t>
    </r>
    <r>
      <rPr>
        <b/>
        <sz val="11"/>
        <color theme="1"/>
        <rFont val="Calibri"/>
        <family val="2"/>
        <scheme val="minor"/>
      </rPr>
      <t xml:space="preserve">
</t>
    </r>
    <r>
      <rPr>
        <sz val="11"/>
        <color theme="1"/>
        <rFont val="Calibri"/>
        <family val="2"/>
        <scheme val="minor"/>
      </rPr>
      <t xml:space="preserve">a EF desta demanda.
</t>
    </r>
    <r>
      <rPr>
        <b/>
        <sz val="11"/>
        <color theme="1"/>
        <rFont val="Calibri"/>
        <family val="2"/>
        <scheme val="minor"/>
      </rPr>
      <t xml:space="preserve">
</t>
    </r>
    <r>
      <rPr>
        <sz val="11"/>
        <color theme="1"/>
        <rFont val="Calibri"/>
        <family val="2"/>
        <scheme val="minor"/>
      </rPr>
      <t>26/01 - Desde a última conferência realizada com a operação no dia 05/01 estamos aguardando a EF atualizada pelos mesmos.
Em paralelo estamos verificando com Engenharia pois tivemos retorno de que há necessidade de upgrade do Storage no qual estávamos aguardando o departamento comercial pois não tínhamos a cotação pois a renovação do serviço não foi realizada com a Dell.
---------------------------------------
04/01 - Iniciado estudo de engenharia
18/12 - Prazo de Engenharia 28/12 à 30/12
08/12 - EF anexada ontem (07/12) ao chamado, sendo avaliada pela Equipe de Desenvolvimento.
01/12 -Solicitado a EF desta demanda a operação. Foi sinalizado que foram feitos questionamentos de TI no chamado desde o dia 23/07 e não tivemos retorno. Aguardando.
24/11 - Em Estimativa de OG
17/11 - Estimativa de OG
30/10 - Estimativa de OG
20/10 - Aguardando recurso para análise e definição de OG e/ou priorização pela diretoria. 
13/10 - Aguardando recurso para Análise e definição de OG e/ou priorização pela diretoria. 
06/10 - Não iniciado. Precisamos alinhar expectativa de cronograma.</t>
    </r>
  </si>
  <si>
    <t>Operação / Fornecedor Uranet</t>
  </si>
  <si>
    <t xml:space="preserve">CC Brasil
</t>
  </si>
  <si>
    <t xml:space="preserve">Implantações Site / Negócios (Licença TLV 5) </t>
  </si>
  <si>
    <t>Diego Pacatuba / Jonas Santos</t>
  </si>
  <si>
    <t xml:space="preserve">Aplicaçoes / Fornecedor </t>
  </si>
  <si>
    <t>Raphael Marcandier / Jairo TQS</t>
  </si>
  <si>
    <t xml:space="preserve">Operação / Engenharia Telecom </t>
  </si>
  <si>
    <t>Rodrigo Ribeiro / Antonio Junior</t>
  </si>
  <si>
    <t>Aplicações TI / Fornecedor TQS</t>
  </si>
  <si>
    <t>Cris Sasaki</t>
  </si>
  <si>
    <t>Processamento Mailing Carga de Débitos Retenção Invol - TCollect</t>
  </si>
  <si>
    <t>Todos das operações Oi, Claro, VIVO e NET</t>
  </si>
  <si>
    <t>ENG/APP</t>
  </si>
  <si>
    <t>BI</t>
  </si>
  <si>
    <r>
      <rPr>
        <b/>
        <sz val="11"/>
        <rFont val="Calibri"/>
        <family val="2"/>
        <scheme val="minor"/>
      </rPr>
      <t xml:space="preserve">[03/05] - Projeto encerrado.
[03/05] - Novo Email para Solictante pedidndo confirmação para fechar o chamado.
[26/04] - CSE diz ja ter concluido as configurações. Email para Solictante pedidndo confirmação para fechar o chamado.
[19/04] - </t>
    </r>
    <r>
      <rPr>
        <sz val="11"/>
        <rFont val="Calibri"/>
        <family val="2"/>
        <scheme val="minor"/>
      </rPr>
      <t xml:space="preserve">Encaminhado 04 ramais pendentes para correção - CSE </t>
    </r>
    <r>
      <rPr>
        <b/>
        <sz val="11"/>
        <rFont val="Calibri"/>
        <family val="2"/>
        <scheme val="minor"/>
      </rPr>
      <t xml:space="preserve">
[12/04] </t>
    </r>
    <r>
      <rPr>
        <sz val="11"/>
        <rFont val="Calibri"/>
        <family val="2"/>
        <scheme val="minor"/>
      </rPr>
      <t>- Aguardando correção dessas 5 pendências  (ramais) pela equipe Gravadores)
[05/04] - Solicitante identificou 05 ramais com problemas na gravação. Direcionado para ação equipe tecnica.
[04/04] - Fase de homologação e ajuste com Solicitante.
[29/03] - Aguardando retorno da homologação (Cristiane Kuzuhara).
[22/03] - Ramais adequados em 16/03. Aguardando validação pelo Solicitante.
[15/03] - Previsto para 16/03 receber o prazo estimado para execução.
[08/03] - Previsto para 09/03 receber o prazo estimado para execução.
[29/02] - Fila de execução CSE . Aguardando retorno com prazo de execução.
[23/02] Fase de coleta de informações tecnicas para direcionamento  Projeto e briefing para fila do CSE.
[16/02] - Entendimento escopo realizado com Solicitante e TI Site.
Fase de coleta de informações tecnicas para direcionamento  Projeto e briefing para fila do CSE.
[10/02] - Fase Inicial - Esclarecer entendimento escopo com Solicitante
03/02 - Alterar gravação de 26 PA's que hoje gravam Outbound para Inbound</t>
    </r>
  </si>
  <si>
    <t>APP</t>
  </si>
  <si>
    <t>Fornecedor ISYS</t>
  </si>
  <si>
    <t>APP/CSE</t>
  </si>
  <si>
    <t>Engenharia - Telecom</t>
  </si>
  <si>
    <r>
      <t xml:space="preserve">Edison Nei Siqueira added a comment - 10/Mai/16 18:36
Aguardando a aprovação da demanda no comitê de caixa.
Continuamos aguardando .
Edison Nei Siqueira added a comment - 03/Mai/16 11:06
Aguardando aprovação no comitê de caixa, para que o fornecedor prossiga com a homologação junto a operação.
Edison Nei Siqueira added a comment - 26/Abr/16 20:38
Aguardando aprovação no comitê de caixa, para que o fornecedor prossiga com a homologação junto a operação.
Edison Nei Siqueira added a comment - 12/Abr/16 17:46
Aguardando verificação junto ao fornecedor Closer se teremos proposta comercial para o desenvolvimento ou se será diluído no pool de horas junto a Contax.
29/03 - Mesmo status
Edison Nei Siqueira added a comment - 15/Mar/16 09:51
Aguardando posicionamento da área de negócios.
</t>
    </r>
    <r>
      <rPr>
        <sz val="11"/>
        <color rgb="FFFF0000"/>
        <rFont val="Calibri"/>
        <family val="2"/>
        <scheme val="minor"/>
      </rPr>
      <t xml:space="preserve">
[16/02]</t>
    </r>
    <r>
      <rPr>
        <sz val="11"/>
        <color theme="1"/>
        <rFont val="Calibri"/>
        <family val="2"/>
        <scheme val="minor"/>
      </rPr>
      <t xml:space="preserve"> - Aguardando retorno Fornecedor. Closer.
02/02 - Mesmo status
Edison Nei Siqueira added a comment - 26/Jan/16 12:09
Aguardando retorno do fornecedor Closer com relação a analise da EF.
Edison Nei Siqueira added a comment - 18/Dez/15 12:55
Aguardando retorno do fornecedor Closer com relação a analise da EF. 
Edison Nei Siqueira added a comment - 17/Nov/15 17:12
Recebida a EF e encaminhada para o fornecedor Close, aguardando posicionamento da área de GSEG para seguir com a abertura dos chamados de liberação e inserção da caixa de e-mail do fornecedor na mailbox da operação.
Edison Nei Siqueira added a comment - 10/Nov/15 17:26
Conforme audio realizada junto a GSEG e o Fornecedor Close, ficamos aguardando a EF atualizada com as informações alinhadas na audio.
Edison Nei Siqueira added a comment - 03/Nov/15 15:25
Aguardando o de acordo da gerente da operação para abertura de chamados de liberações.
Edison Nei Siqueira added a comment - 20/Out/15 19:49
Realizado reunião com o fornecedor Close para entendimento e definição de modos operantes da operação.
Edison Nei Siqueira added a comment - 06/Out/15 16:27
Continuamos aguardando um posicionamento da equipe de melhoria continua e projetos da operação para seguir com a demanda
Edison Nei Siqueira added a comment - 29/Set/15 16:05
Continuamos aguardando um posicionamento da equipe de melhoria continua e projetos da operação para seguir com a demanda
Edison Nei Siqueira added a comment - 16/Set/15 11:17
Continuamos aguardando um posicionamento da equipe de melhoria continua e projetos da operação para seguir com a demanda.</t>
    </r>
  </si>
  <si>
    <t>Operações</t>
  </si>
  <si>
    <t>Fornecedor/ Operação / Aplicações</t>
  </si>
  <si>
    <t>Edison Nei Siqueira added a comment - 10/Mai/16 18:44
Aguardando retorno do comercial para fechar a demanda junto a PMO TI.
Edison Nei Siqueira added a comment - 03/Mai/16 18:08
Estamos aguardando o retorno do fornecedor MicroFocus com a proposta para upgrade de versão do emulador, em paralelo estamos providenciando a homologação do software no site Site Amaro.
Edison Nei Siqueira added a comment - 26/Abr/16 20:17
Entramos em contato com o fornecedor do software e nos foi solicitado o serial do mesmo, pelo que foi visto o Rumba 8.0 ainda não suportava TLS 1.2 só 1.1 logo a versão que está instalada na operação possivelmente também não deve suportar tal criptografia. A demanda ainda continua em analise junto a engenharia.
Edison Nei Siqueira added a comment - 20/Abr/16 08:35
Realizada a áudio junto o cliente ITAÚ, porém estamos buscando internamente junto ao site as informações se o emulador suporta ou não tal tipo de criptografia, o fornecedor nos solicitou o serial do do software para verificação, tal solicitação ja´feita ao site para auxiliar no levantamento da informação.
Edison Nei Siqueira added a comment - 12/Abr/16 18:10
Agendada audio junto ao cliente para entendimento da demanda, pois precisamos de maiores detalhes para que engenharia consiga evoluir na analise.
Edison Nei Siqueira added a comment - 15/Mar/16 12:10
Demanda em analise na área de engenharia com previsão de retorno para o dia 22/03/2016. 
01/03 - A Iniciar</t>
  </si>
  <si>
    <t>Engenhariia</t>
  </si>
  <si>
    <t xml:space="preserve">Engenharia </t>
  </si>
  <si>
    <t>Não tem</t>
  </si>
  <si>
    <t>10/05: Projeto concluído. Operação não necessita mais dos links informados.
03/05: Mesmo Status
26/04: Mesmo Status
19/04: Mesmo status
12/04: Mesmo status, portanto este projeto ficará em hold até recebermos os IP´s da Claro
05/04: Foram realizados testes e sem sucesso. Estamos aguardando o cliente enviar os IP´s de origem e destino das URL´s para refazer os testes afim de identicar por qual motivo as URL´s não funcionam no Acre.
28/03: Mesmo status
21/03: Aguardando CSE disponibilizar um recurso de redes. Liberação do recurso está prevista para 23/03.
08/03: Previsão de iniciar a análise em 09/03
03/03 - A iniciar</t>
  </si>
  <si>
    <t>Toda a operação</t>
  </si>
  <si>
    <t>Niterói/João Pessoa</t>
  </si>
  <si>
    <t>Atendimento Convergente Empresarial</t>
  </si>
  <si>
    <t>CTXJPASA-7778</t>
  </si>
  <si>
    <t>Cristiani Girardin Pimentel Furtado</t>
  </si>
  <si>
    <t>TIjuca/RJ</t>
  </si>
  <si>
    <t>Ampliar a infra do cliente Lafe</t>
  </si>
  <si>
    <t xml:space="preserve">SI </t>
  </si>
  <si>
    <r>
      <t xml:space="preserve">09/05/2016
</t>
    </r>
    <r>
      <rPr>
        <sz val="11"/>
        <color theme="1"/>
        <rFont val="Calibri"/>
        <family val="2"/>
        <scheme val="minor"/>
      </rPr>
      <t>20/05/2016</t>
    </r>
  </si>
  <si>
    <t>Marcio Nakaya</t>
  </si>
  <si>
    <t>11/05 - Homologação OK. Chamado finalizado
02/05 - Aguardando retorno quanto a homologação
27/04 - Insumos OK. Licenças OK. Heads OK. Site finalizando as configurações hoje para homologação amanhã
20/04 - Cronograma realizado. Licenças OK. Headsets OK. Site já começando a atuar. 
Riscos: 20 teclados e 20 mouses identificados no site Lapa, porém ainda não enviado a Santo Amaro por controle de ativos
13/04 - Projeto incluído na fila dos executores. Necessidade de heads, mouses e teclados já identificadas e em contato com controle de ativos para envio ao site.
Verificando as licenças com a equipe de ENG e CSE para esse projeto.
Equipe do site já ciente do projeto
06/04 - Em análise</t>
  </si>
  <si>
    <t>11/05 - Operação implantada e sem erros. Aparelhos AVAYA chegarão até amanhã de manhã no site para reposição.
03/05 - Aparelhos AVAYA Estão no site Lapa reservados para transporte para JPA. SC foi aprovada 28/abr e PC precisa ser imediato.  Aparelhos devem chegar até dia 05/mai. Em paralelo, TI site está atuando nas demais configurações
26/04 - 110 Heads enviadosde PL407 para site JPA via Malote. 105 Avayas 9608 devem ser enviados de site Lapa - SP para site JPA, estamos em processo de SC/PC (precisam chegar até dia 05/05 em JPA). Estamos solicitando criação de CDIs, Ofice ID, Ramais, etc para essa ampliação;
19/04 - Buscando Saving de insumos para implantação da 2° onda, prevista para 07/05. Treinamento em Andamento.
12/04 - Posições pré homologadas entre os dias 04 e 07/04. realizando alguns ajustes ate dia 13/04. nova homologação em 13/04. Roll out da primeira onda com 27 posições programado para 14/04. Treinamento da segunda onda inicia em 14/04;
29/03 - Recebemos hoje a confirmação de utilização de imagem do Win7, e que estarão no site JPA para homologar no periodo de 05 à 07/04. com isso iremos correr para entregar no dia solicitado, pois anteciparam em uma semana a homologação;
22/02 - Definição por parte do cliente ate dia 29/03 sobre utilização de imagens com o Win 7 ou Win XP. Isso definirá a necessidade de saving ou necessidade de maquinas;
21/03 - Entregue a fase da sala de treinamento - Sala 4 em JPA com 25 computadores + rede + Telecom;</t>
  </si>
  <si>
    <t>11/05 - Projeto concluído e homologado pela operação
11/05 - Pendente homologação da operação desde 05/05.
02/05 - Sem retorno de CSE até o momento
27/04 - Homologação NOK. O link está disponibilizado, porém não está entrando. CSE foi acionado para tratativa
20/04 - Site já disponibilizou o google chrome das máquinas. Aguardando homologação pelo solicitante
08/04 - A iniciar</t>
  </si>
  <si>
    <r>
      <t xml:space="preserve">11/05 - </t>
    </r>
    <r>
      <rPr>
        <sz val="11"/>
        <color theme="1"/>
        <rFont val="Calibri"/>
        <family val="2"/>
        <scheme val="minor"/>
      </rPr>
      <t>Aguardando o DA do contrato de comodato pelo jurídico</t>
    </r>
    <r>
      <rPr>
        <b/>
        <sz val="11"/>
        <color theme="1"/>
        <rFont val="Calibri"/>
        <family val="2"/>
        <scheme val="minor"/>
      </rPr>
      <t xml:space="preserve">
06/05 - A iniciar</t>
    </r>
  </si>
  <si>
    <t>Projetos TI</t>
  </si>
  <si>
    <t>Aplicações URAs</t>
  </si>
  <si>
    <t xml:space="preserve">Estratégia
</t>
  </si>
  <si>
    <t>Suporte a negócio</t>
  </si>
  <si>
    <t>Inovação e Inteligência CRM</t>
  </si>
  <si>
    <t>11/05: Ralizamos testes com a imagem do Santander e o resultado foi negativo. Não há compatibilidade entre W8.1, IE11 e Nice 3.5. Solução é o servidor virtual mensalizado em R$400,00/Mês e um setup de serviços de aproximadamente R$1.000,00. Se o custo for aprovado, será necessário a abertura de um novo chamado.
[03/05] Assunto escalado  no dia de hoje. Eng fez analise inicial sobre real necessidade de se migrar versão da Nice, como desnecessaria. Projeto passado para Debora.
[26/04] - Escalado com Noemia.
Aguardando retorno ENG. PRAZO (30/05) 
[12/04] - Em fase de Analise tecnica pela equipe de Engenharia . Conclusão prevista para 31/05.
[04/04] - Projeto direcionado para avaliação tecnica da equipe de Engenharia. Expectativa de retorno com  Alocação de Recurso tecnico para  avaliação e tratativa da solicitação - 06/04
30/03 - A iniciar</t>
  </si>
  <si>
    <t>CTXSPOAP407-16933</t>
  </si>
  <si>
    <t>Projeto -Implantação de 2 links de telecom da I360 na operação Leader Cobrança</t>
  </si>
  <si>
    <t>16/05 - Projeto concluído
11/05 - Mesmo status
02/05 - Aguardando retorno quanto a homologação
27/04 - Mesmo status
20/04 - Aguardando retorno da equipe de negócio quanto a homologação
13/04 - Aguardando posicionamento da equipe de negócios. Realizamos as configurações, testamos e está tudo OK.
06/04 - Aguardando envio de login Citrix para realizarmos testes e intervenção para adequação dos sistemas
30/03 - Projeto recebido por TI em 29/03 para implantação no dia 01/04.  Site já foi acionado para análise. Aguardando retorno até o dia de hoje</t>
  </si>
  <si>
    <t>CTXSALLM-125322</t>
  </si>
  <si>
    <t>Projeto - Crescimento e implementação do serviço 0800 na op. Mega Ilha</t>
  </si>
  <si>
    <t>Comércio/BA</t>
  </si>
  <si>
    <t>Projeto Implantar Discador Aspect + TLV 5.0 no CRV Oi TV_20 pas_Modo Preview</t>
  </si>
  <si>
    <t xml:space="preserve">Thiago Fialho / Daniel Farias </t>
  </si>
  <si>
    <r>
      <rPr>
        <b/>
        <sz val="11"/>
        <color theme="1"/>
        <rFont val="Calibri"/>
        <family val="2"/>
        <scheme val="minor"/>
      </rPr>
      <t xml:space="preserve">17/05 - </t>
    </r>
    <r>
      <rPr>
        <sz val="11"/>
        <color theme="1"/>
        <rFont val="Calibri"/>
        <family val="2"/>
        <scheme val="minor"/>
      </rPr>
      <t>Demanda Encerrada.</t>
    </r>
    <r>
      <rPr>
        <b/>
        <sz val="11"/>
        <color theme="1"/>
        <rFont val="Calibri"/>
        <family val="2"/>
        <scheme val="minor"/>
      </rPr>
      <t xml:space="preserve">
</t>
    </r>
    <r>
      <rPr>
        <sz val="11"/>
        <color theme="1"/>
        <rFont val="Calibri"/>
        <family val="2"/>
        <scheme val="minor"/>
      </rPr>
      <t>10/05 - Operação está homologando a base de integração.
03/05 - A</t>
    </r>
    <r>
      <rPr>
        <b/>
        <sz val="11"/>
        <color theme="1"/>
        <rFont val="Calibri"/>
        <family val="2"/>
        <scheme val="minor"/>
      </rPr>
      <t xml:space="preserve"> </t>
    </r>
    <r>
      <rPr>
        <sz val="11"/>
        <color theme="1"/>
        <rFont val="Calibri"/>
        <family val="2"/>
        <scheme val="minor"/>
      </rPr>
      <t>pa FORBMOIBDX1A193  foi feito a imagem, instalação do ONEX, Configuração do FF, criação dos ramais, solicitação de inclusão na gravação e afins. Solicitado a homologação a operação.
25/04 - Mesmo Status.
19/04 -</t>
    </r>
    <r>
      <rPr>
        <b/>
        <sz val="11"/>
        <color theme="1"/>
        <rFont val="Calibri"/>
        <family val="2"/>
        <scheme val="minor"/>
      </rPr>
      <t xml:space="preserve"> </t>
    </r>
    <r>
      <rPr>
        <sz val="11"/>
        <color theme="1"/>
        <rFont val="Calibri"/>
        <family val="2"/>
        <scheme val="minor"/>
      </rPr>
      <t xml:space="preserve">Aguardando retorno da solicitante com o preenchimento da planilha padrão do FF para reenvio à Aplicações TI.
Em paralelo, foi verificado que o link no Aspect está sendo compartilhado, solicitado definição do planejamento da operação,  se vamos migrar ou solicitar novos links no APC
12/04 </t>
    </r>
    <r>
      <rPr>
        <b/>
        <sz val="11"/>
        <color theme="1"/>
        <rFont val="Calibri"/>
        <family val="2"/>
        <scheme val="minor"/>
      </rPr>
      <t>-</t>
    </r>
    <r>
      <rPr>
        <sz val="11"/>
        <color theme="1"/>
        <rFont val="Calibri"/>
        <family val="2"/>
        <scheme val="minor"/>
      </rPr>
      <t xml:space="preserve"> Equipe Aplicações – Em OG  e com a EF anexada hoje, provável que precisem de um tempo para esta análise. Estou cobrando o prazo.
Equipe Engenharia – Em interação com o recurso e Suporte Site.
04/04 </t>
    </r>
    <r>
      <rPr>
        <b/>
        <sz val="11"/>
        <color theme="1"/>
        <rFont val="Calibri"/>
        <family val="2"/>
        <scheme val="minor"/>
      </rPr>
      <t>-</t>
    </r>
    <r>
      <rPr>
        <sz val="11"/>
        <color theme="1"/>
        <rFont val="Calibri"/>
        <family val="2"/>
        <scheme val="minor"/>
      </rPr>
      <t xml:space="preserve"> Conforme interação com a solicitante, aguardando o anexo da EF de Integração do FF X NBA.
Em OG.
28/03 -</t>
    </r>
    <r>
      <rPr>
        <b/>
        <sz val="11"/>
        <color theme="1"/>
        <rFont val="Calibri"/>
        <family val="2"/>
        <scheme val="minor"/>
      </rPr>
      <t xml:space="preserve"> </t>
    </r>
    <r>
      <rPr>
        <sz val="11"/>
        <color theme="1"/>
        <rFont val="Calibri"/>
        <family val="2"/>
        <scheme val="minor"/>
      </rPr>
      <t>Em análise de escopo inicial.</t>
    </r>
    <r>
      <rPr>
        <b/>
        <sz val="11"/>
        <color theme="1"/>
        <rFont val="Calibri"/>
        <family val="2"/>
        <scheme val="minor"/>
      </rPr>
      <t xml:space="preserve">
</t>
    </r>
    <r>
      <rPr>
        <sz val="11"/>
        <color theme="1"/>
        <rFont val="Calibri"/>
        <family val="2"/>
        <scheme val="minor"/>
      </rPr>
      <t>21/03 -</t>
    </r>
    <r>
      <rPr>
        <b/>
        <sz val="11"/>
        <color theme="1"/>
        <rFont val="Calibri"/>
        <family val="2"/>
        <scheme val="minor"/>
      </rPr>
      <t xml:space="preserve"> </t>
    </r>
    <r>
      <rPr>
        <sz val="11"/>
        <color theme="1"/>
        <rFont val="Calibri"/>
        <family val="2"/>
        <scheme val="minor"/>
      </rPr>
      <t>Em análise</t>
    </r>
  </si>
  <si>
    <t xml:space="preserve">Projeto - Gravação do BO DADOS e BO NBA </t>
  </si>
  <si>
    <t>Thiago Souza / ITIN</t>
  </si>
  <si>
    <t xml:space="preserve"> MG - Site Prado II</t>
  </si>
  <si>
    <t xml:space="preserve">Aplicações TI / Operação </t>
  </si>
  <si>
    <t>Tatiana Barbosa / Jill Ortiz</t>
  </si>
  <si>
    <t>Projeto Arquivo de Retorno
Desenvolver um arquivo de retorno com as criticas de todo o mailing enviado para a cobrança.
Operação = Retenção Empresarial - Cobrança PJ - Ativo e Receptivo</t>
  </si>
  <si>
    <t>MG - Site Prado II</t>
  </si>
  <si>
    <t>Aplicações TI / Operação</t>
  </si>
  <si>
    <t>Camilla Fermiano/ Tatiane Delacrode</t>
  </si>
  <si>
    <t>Não existe data fechada</t>
  </si>
  <si>
    <t>Villa</t>
  </si>
  <si>
    <t>17/05: Projeto passou para a área da Fabiana Carla, não será mais acompanhado pela equipe Milene.
06/05 - A iniciar</t>
  </si>
  <si>
    <t>Lucas Gil</t>
  </si>
  <si>
    <t xml:space="preserve">17/05 -  Aguardando envio do IP Nat de destino pelo solicitante
11/05 - Mesmo status
02/05 - Mesmo status
27/04 - Aguardando envio do IP Nat de destino pelo solicitante
20/04 - Mesmo status
12/04 - Aguardando retorno do CSE
06/04 - Não estamos conseguindo a criação de NAT por parte da Oi
29/03 - Mesmo status
14/03 - Foi identificado uma pendência no projeto. E será necessário a criação de NAT por parte da Oi
09/03 - Projeto entregue. Aguardando homologação do cliente
01/03 - Entrega prevista para hoje: VMs e Banco de dados. Após isso será passado para o solicitante homologar.
19/01 - Necessidade de Migração dos servidores do sistema Perficall para o Datacenter. </t>
  </si>
  <si>
    <t>19/05 - Na fila
11/05 - Na fila
04/05 - Na fila
30/03 - A iniciar</t>
  </si>
  <si>
    <t>17/05 - Aguardando retorno da Engenharia
10/05 - A iniciar</t>
  </si>
  <si>
    <t>17/05 - Aguardando retorno de Engenharia
02/05 - Incluído na fila de Engenharia para análise
29/04 - A iniciar</t>
  </si>
  <si>
    <r>
      <t xml:space="preserve">18/05 - Projeto cancelado. PAs serão retiradas da Oi em Junho não existindo mais a necessidade de continuar com o projeto
17/05 - </t>
    </r>
    <r>
      <rPr>
        <sz val="11"/>
        <color theme="1"/>
        <rFont val="Calibri"/>
        <family val="2"/>
        <scheme val="minor"/>
      </rPr>
      <t>Em estudo para utilizar a seguinte solução: 
 tGuidance! + Discafacil no modo preview + tIntegra</t>
    </r>
    <r>
      <rPr>
        <b/>
        <sz val="11"/>
        <color theme="1"/>
        <rFont val="Calibri"/>
        <family val="2"/>
        <scheme val="minor"/>
      </rPr>
      <t xml:space="preserve">
</t>
    </r>
    <r>
      <rPr>
        <sz val="11"/>
        <color theme="1"/>
        <rFont val="Calibri"/>
        <family val="2"/>
        <scheme val="minor"/>
      </rPr>
      <t>13/05 - Demanda foi designada ao analista de Controle de Demandas TI.</t>
    </r>
    <r>
      <rPr>
        <b/>
        <sz val="11"/>
        <color theme="1"/>
        <rFont val="Calibri"/>
        <family val="2"/>
        <scheme val="minor"/>
      </rPr>
      <t xml:space="preserve">
</t>
    </r>
    <r>
      <rPr>
        <sz val="11"/>
        <color theme="1"/>
        <rFont val="Calibri"/>
        <family val="2"/>
        <scheme val="minor"/>
      </rPr>
      <t>06/05 -</t>
    </r>
    <r>
      <rPr>
        <b/>
        <sz val="11"/>
        <color theme="1"/>
        <rFont val="Calibri"/>
        <family val="2"/>
        <scheme val="minor"/>
      </rPr>
      <t xml:space="preserve"> </t>
    </r>
    <r>
      <rPr>
        <sz val="11"/>
        <color theme="1"/>
        <rFont val="Calibri"/>
        <family val="2"/>
        <scheme val="minor"/>
      </rPr>
      <t>A iniciar</t>
    </r>
  </si>
  <si>
    <t>19/05 - Projeto cancelado.  O Cliente não prosseguirá com o mesmo.
11/05 - Mesmo status
27/04 - Mesmo status
20/04 - Mesmo status
12/04 - Mesmo status
06/04 - Mesmo status
01/04 - Aguardando aceite da proposta pelo Santander</t>
  </si>
  <si>
    <t>CTXRECSA-488096</t>
  </si>
  <si>
    <t>Edison Nei Siqueira added a comment - 18/Mai/16 12:21
Demanda inserida na fila da equipe de aplicações para estimativa de OG.</t>
  </si>
  <si>
    <t>CTXFORBM-328245</t>
  </si>
  <si>
    <t>CTXFORBM-331468</t>
  </si>
  <si>
    <t>CTXFORBM-331471</t>
  </si>
  <si>
    <t>CTXFORBM-331477</t>
  </si>
  <si>
    <t>CTXFORBM-331483</t>
  </si>
  <si>
    <t>CTXFORBM-331486</t>
  </si>
  <si>
    <t>CTXFORBM-331489</t>
  </si>
  <si>
    <t>CTXFORBM-332654</t>
  </si>
  <si>
    <t>CTXLONLA-26760</t>
  </si>
  <si>
    <t>CTXFORBM-315126</t>
  </si>
  <si>
    <t>CTXFORBM-320803</t>
  </si>
  <si>
    <t>CTXFORBM-322626</t>
  </si>
  <si>
    <t>CTXFORBM-322369</t>
  </si>
  <si>
    <t>CTXNITSP-163706</t>
  </si>
  <si>
    <t>CTXRJOMA-72255</t>
  </si>
  <si>
    <t>CTXRECAU-59909</t>
  </si>
  <si>
    <t>CTXRECAU-59931</t>
  </si>
  <si>
    <t>CTXSPOBF-122345</t>
  </si>
  <si>
    <t>CTXSPOAL-86352</t>
  </si>
  <si>
    <t>CTXFORBM-313079</t>
  </si>
  <si>
    <t>CTXSPOAL-97376</t>
  </si>
  <si>
    <t>CTXPOARB-92840</t>
  </si>
  <si>
    <t>CTXRECSA-447220</t>
  </si>
  <si>
    <t>CTXSALLM-118766</t>
  </si>
  <si>
    <t>CTXRECAM-55511</t>
  </si>
  <si>
    <t>CTXRECAM-55516</t>
  </si>
  <si>
    <t>CTXRECSA-493516</t>
  </si>
  <si>
    <t>Mudança de Perfil nas maquinas</t>
  </si>
  <si>
    <t>CTXRECSA-492902</t>
  </si>
  <si>
    <t>Mudança de DAC</t>
  </si>
  <si>
    <t>CTXRECAU-71109</t>
  </si>
  <si>
    <t>PROJETO - Substituição de 430 máquinas na operação NET</t>
  </si>
  <si>
    <t>CTXRECSA-495150</t>
  </si>
  <si>
    <t>CTXRECSA-495802</t>
  </si>
  <si>
    <t>CTXRECSA-495803</t>
  </si>
  <si>
    <t>CTXNITSP-184403</t>
  </si>
  <si>
    <t>CTXJPASA-8302</t>
  </si>
  <si>
    <t>CTXSALPB-67517</t>
  </si>
  <si>
    <t>Crescimento SAC Pós + OCT</t>
  </si>
  <si>
    <t>Crescimento Quality Pós + OCT</t>
  </si>
  <si>
    <t>Crescimento Contas Móvel</t>
  </si>
  <si>
    <t>Crescimento Suporte Técnico Pós-Pago</t>
  </si>
  <si>
    <t>CRESCIMENTO EMPRESARIAL FIXO</t>
  </si>
  <si>
    <t>CRESCIMENTO SAC OI TV</t>
  </si>
  <si>
    <t>SANTO AMARO</t>
  </si>
  <si>
    <t>NITERÓI</t>
  </si>
  <si>
    <t>JOAO PESSOA</t>
  </si>
  <si>
    <t>BOA VIAGEM</t>
  </si>
  <si>
    <t>20/05 - A iniciar</t>
  </si>
  <si>
    <t>20/05 - Projeto cancelado
17/05: Mesmo Status
10/05: Mesmo Status
03/05: Projeto consiste em três partes, ENG, CL e APP. Para concluir a análise do projeto e fornecer um cronograma, precisamos receber o retorno das 3 áreas. Até o momento não recebemos a confirmação das informações do cliente.
26/04: Retorno de ENG recebido hoje, aguardo retorno do cliente e informações do solicitante.
19/04: Aguarda retorno de ENG, retorno do cliente e informações do solicitante.
08/04 - A iniciar</t>
  </si>
  <si>
    <t>CTXSPOBF-145645</t>
  </si>
  <si>
    <t>Projeto - Gravação de frase - Santander Financiamentos</t>
  </si>
  <si>
    <t>Mauricio Perez</t>
  </si>
  <si>
    <t>20/05 - Aguardando aprovação de proposta pelo solicitante</t>
  </si>
  <si>
    <t>CTXRJOSC-16013</t>
  </si>
  <si>
    <t>Projeto - Retrofit na operação BB Maphre no site São Cristóvão</t>
  </si>
  <si>
    <t>CTXRECSA-491352</t>
  </si>
  <si>
    <t>Disponibilizar 100% das gravações das chamadas da célula sinergia para a Oi</t>
  </si>
  <si>
    <t>CTXNITSP-179079</t>
  </si>
  <si>
    <t>CTXNITSP-184612</t>
  </si>
  <si>
    <t>Alteração de Carga Oi Total – Concluir Bundle</t>
  </si>
  <si>
    <t>CTXFORBM-389719</t>
  </si>
  <si>
    <t>Inibição de faturas Front End tCollect</t>
  </si>
  <si>
    <t>Julio</t>
  </si>
  <si>
    <t>Paulo</t>
  </si>
  <si>
    <t>Juliana</t>
  </si>
  <si>
    <t>18 RTIs</t>
  </si>
  <si>
    <t>Leonardo</t>
  </si>
  <si>
    <t>America Móvil</t>
  </si>
  <si>
    <t>Clientes Especiais, Santander, Vivo</t>
  </si>
  <si>
    <t>Alexandre</t>
  </si>
  <si>
    <t>Itau</t>
  </si>
  <si>
    <t>Implantações</t>
  </si>
  <si>
    <t>#Projetos</t>
  </si>
  <si>
    <t>Líder TI</t>
  </si>
  <si>
    <t>Diretoria</t>
  </si>
  <si>
    <t>Todas</t>
  </si>
  <si>
    <t>23/05 - Projeto cancelado
04/05 - Proposta enviada pelo fornecedor. Aguardando aprovação da proposta pelo solicitante
27/04 - Mesmo status
20/04 - Mesmo status
06/04 - Aguardando proposta comercial</t>
  </si>
  <si>
    <t xml:space="preserve">23/5  - Liberação Genesys prevista para 25/5. TSA segue via chamado.
Escopo MIS ainda não avaliado.
16/5 - Liberação acesso TSA e Genesys em andamento. Equipes TI local enviou mapeamento dos IPs dos sites.
MIS - Qualidade enviou escopo para análise.
10/5 - Liberação acesso das aplicações TSA e Genesys nos Sites em andamento:
- TSA - Operação deve abrir chamado p/ liberação Proxy (em andamento);
- Genesys - Operação deve enviar IP das estações para enviarmos demanda para CSE (procedimento + planilha para extração do IP enviado para os supervisroes) - aguardando retorno da operação.
MIS - Aguardando escopo Operação para análise e cronograma.
12/04 - Fase 1 (Alegria): Em implantação/ajustes
Fase 2 (liberação outros sites): Na fila de Engenharia com previsão para entrega da análise em 15/04
Fase 3 (MIS): Em planejamento
29/03 - Dois dias de atraso em Claro e Net e um dia na Vivo e Oi.
Em homologação
22/03 - Mesmo status
17/03:
Etapa concluída:
Liberação de acessos ao ambiente Oi, Vivo, Valro e NETa partir do site Alegria;
Criação da VPN TSA x Genesys
Pontos de atenção:
Homlogação do acesso aos sistemas a partir do Alegria;
Instabilidade VPN TSA
Acesso ambiente TSA e Genesys
Próximos passos:
Preparação máquinas para homologaç~dos acessos
Homologação dos acessos pela equipe de qualidade, TSA e Genesys - 21/03
Transporte e preparação das PAs no Site Alegria - 21/03 (Claro) 24/03 (NET) 28/03 (Oi e Vivo)
08/03 - Etapas concluídas:
Liberações de acesso CTC Dom Pedro para Oi, VIVO, Claro e Net
Separação de 55 estações com controle de ativos
Desenho da solução acesso para a operação no Site Alegria
Criação de servidores TS para Claro e VIVO
Criação de usuário TS
Pontos de atenção:
Liberação de acessos pelos clientes (Oi principalmente)
Homologação do acesso aos sistemas a partir do Alegria
Próximos passos: 
Liberações de acessos ao site Alegria
Preparação das estações para homologação - 11/03
Homologação dos acessos pela equipe de qualidade - 16/03
Homologação dos acessos pela equipe Genesys e TSA - 18/03
Transporte e preparação das PAs no site alegria - 18/03 (Claro) , 21/03 (NET), 24/3 (Oi e VIVO)
16/02 - Etapas concluídas:
Separação de 55 estações com controle de ativos;
Mapeamento de 95% dos 130 sistemas;
Análise de banda WEB para acesso via VPN/Web;
Pontos de atenção:
Liberação de acesso para treianemnto CTC D.Pedro
Liberação de acesso pelos clientes (Oi principalmente)
Licenças terminal services (acessos Vivo e Claro)
Próximos passos:
Análise e liberação de acessos Rede Contax - CTC D. Pedro
Análise e liberação de acessos Rede Contax - Site Alegria
Transporte de estações Lapa &gt; Alegria
Homologar estação Alegria
Previsão: 20/mar
02/02 - Mesmo status
26/01 - Mesmo status 
15/1 - projeto retomado. Kick off agendado com Genesys e TSA
15/10-Leandro] Projeto encaminhado a fila do site para Análise e estimativa / Acionamento de sites para estudo de mapeamento de sistemas atrelados - na fila.
Dalton Bondesan added a comment - 29/Set/15 14:50 
Projeto encaminhado a fila do site para Análise e estimativa. </t>
  </si>
  <si>
    <t>23/5 - Implantação postergada para 16/6. Cliente e Contax ainda não celebraram contrato.
Instalador "VCC" pendente envio pela MAPIDEA.
Skype pendente equipe Negócios / Seg. Informação.
EF tGuidance! ainda não enviada, por enquanto, fora do escopo e não é premissa para implantação.
12/5 - Pendente EF tGuidance!
10/5 - Questões sobre conectividade e outras enviadas para área de Negócios. Aguardando retorno para fechar cenário com Engenharia TI
05/05 - A iniciar</t>
  </si>
  <si>
    <r>
      <rPr>
        <sz val="11"/>
        <color theme="1"/>
        <rFont val="Calibri"/>
        <family val="2"/>
        <scheme val="minor"/>
      </rPr>
      <t>23/5 - Escopo direcionado para análise Engenharia e Efs para aplicação
12/5 - EFs em confecção.
Direcionar escopo para filas das áreas TI para análise
Pendente definição Site Destino
10/5 - Início entendimento escopo com Operações</t>
    </r>
    <r>
      <rPr>
        <b/>
        <sz val="11"/>
        <color theme="1"/>
        <rFont val="Calibri"/>
        <family val="2"/>
        <scheme val="minor"/>
      </rPr>
      <t xml:space="preserve">
</t>
    </r>
    <r>
      <rPr>
        <sz val="11"/>
        <color theme="1"/>
        <rFont val="Calibri"/>
        <family val="2"/>
        <scheme val="minor"/>
      </rPr>
      <t>06/05 - A iniciar</t>
    </r>
  </si>
  <si>
    <t>Engenharia TI / Aplicações</t>
  </si>
  <si>
    <t>Felipe Vila / Nelson Klaus / Cristiane Sasaki</t>
  </si>
  <si>
    <t>Todos das operações Oi</t>
  </si>
  <si>
    <t>CTXRJOMA-80752</t>
  </si>
  <si>
    <t>Monitoria de Ativos TI Oi</t>
  </si>
  <si>
    <t>24/05 - Projeto concluído e homologado.
17/05 - projeto programado para implantação no dia 19/05.
11/05 - Testes realizados e OK.  Aguardando virada para produção.
02/05 - Equipe de CSE já disponibilizou o arquivo e os testes foram OK pro planejamento. Aguardando retorno da operação quanto a homolgoação
27/04 - Hoje teremos um retorno da equipe de CSE com a disponibilização do arquivo em ambiente de homologação para homologação da operação
20/04 - Projeto entregue pelo fornecedor em 15/abr. Foi aberto um chamado para equipe de produção para disponibilizar o pacote no ambiente para validação da operação. Previsão: 25/abr
29/03 - Projeto será entregue pelo fornecedor em 14/04</t>
  </si>
  <si>
    <t>24/05 - Projeto concluído.  Caso haja necessidade de alguma intervenção futura em relatórios, deverá ser aberto um chamado.
17/05 - Aguardando a homologação do cliente quanto aos tReports default e solicitados para fechar o projeto
11/05 - tReports funcionando normalmente. Aguardando validação da operação para podermos iniciar os novos desenvolvimentos.
02/05 - tReports default já foram disponibilizados. Aguardando homologação por parte do solicitante desde 29/abr.  Foram solicitados novos desenvolvimentos que estão em análise da previsão de entrega pela equipe de aplicações
27/04 - Hoje estamos nas fases de testes do tReports (visão default) para disponibilização à operação homologar.  A operação necessita de mais relatórios a serem enviados para o Cliente, estamos analisando o esforço para disponibilizarmos o BD para BI, conforme solicitado, pois será necessário novo desenvolvimento
20/04 - Sistema implantado. tReports (visão default) está previsto para ser implementado em 27/abr.  A operação necessita de mais relatórios a serem enviados para o Cliente, estamos analisando o esforço para disponibilizarmos o BD para BI, conforme solicitado, pois será necessário novo desenvolvimento
13/04 - Testes do tGuidance realizados com sucesso no dia 11/04 e dia 12/04. Homologação do cliente realizada no dia 12/04. 
Entrada em produçã do tGuidance será realizada faseadamente. Já temos dois operadores utilizando, dia 14/04 subirão mais 4 operadores para produção e dia 15/04 tod aoperação entrará em produção
tSupervisor OK.
Começaremos o desenvolvimento do tReports para implantar. Cronograma passaremos até o dia 15/abr
06/04 - Tivemos atrasos em algumas atividades devido a problemas no banco de dados do Tguidance. Sendo assim, foi reprogramada a entrega do FF para dia 11/04. Aguardando de acordo do cliente para homologação.  A instalação do ambiente tReports (relatórios) será iniciada após a homologação do cliente.
28/03 - Mesmo status
22/03 - Cronograma já enviado À equipe de negócios e operação. Data prevista para conclusão é dia 07/abr</t>
  </si>
  <si>
    <r>
      <rPr>
        <b/>
        <sz val="11"/>
        <color theme="1"/>
        <rFont val="Calibri"/>
        <family val="2"/>
        <scheme val="minor"/>
      </rPr>
      <t xml:space="preserve">24/05 - </t>
    </r>
    <r>
      <rPr>
        <sz val="11"/>
        <color theme="1"/>
        <rFont val="Calibri"/>
        <family val="2"/>
        <scheme val="minor"/>
      </rPr>
      <t>Demanda cancelada.
17/05 - Solicitante solicitou estender o prazo até p dia 20/05
10/05 - Mesmo Status. Prazo 15/05
03/05 -  Mesmo Status.
25/04 -</t>
    </r>
    <r>
      <rPr>
        <b/>
        <sz val="11"/>
        <color theme="1"/>
        <rFont val="Calibri"/>
        <family val="2"/>
        <scheme val="minor"/>
      </rPr>
      <t xml:space="preserve"> </t>
    </r>
    <r>
      <rPr>
        <sz val="11"/>
        <color theme="1"/>
        <rFont val="Calibri"/>
        <family val="2"/>
        <scheme val="minor"/>
      </rPr>
      <t xml:space="preserve">Conforme interação com a Fernanda Nazario, demanda em hold até 15/05. 
19/04 - Conforme interação com a Fernanda Nazario, demanda em hold até 15/05. 
12/04 - Mesmo Status
04/04 - Conforme interação com a Fernanda Nazario, demanda em hold até 15/05. </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 xml:space="preserve">Mesmo status, aguardando retorno da operação.
21/03 </t>
    </r>
    <r>
      <rPr>
        <b/>
        <sz val="11"/>
        <color theme="1"/>
        <rFont val="Calibri"/>
        <family val="2"/>
        <scheme val="minor"/>
      </rPr>
      <t xml:space="preserve">- </t>
    </r>
    <r>
      <rPr>
        <sz val="11"/>
        <color theme="1"/>
        <rFont val="Calibri"/>
        <family val="2"/>
        <scheme val="minor"/>
      </rPr>
      <t>Mesmo status, aguardando retorno da operação.
15/03</t>
    </r>
    <r>
      <rPr>
        <b/>
        <sz val="11"/>
        <color theme="1"/>
        <rFont val="Calibri"/>
        <family val="2"/>
        <scheme val="minor"/>
      </rPr>
      <t xml:space="preserve"> -</t>
    </r>
    <r>
      <rPr>
        <sz val="11"/>
        <color theme="1"/>
        <rFont val="Calibri"/>
        <family val="2"/>
        <scheme val="minor"/>
      </rPr>
      <t xml:space="preserve"> Mesmo status, aguardando retorno da operação.
07/03 - Conforme a análise de Engenharia é necessário que a operação realize um alinhamento com a área de Segurança da informação OI e Contax, por que não podemos rotear este IP 10.81.8.7  dentro do nosso ambiente, a  OI precisa criar um NAT com o range 10.173 
01/03 - Interação com o solicitante pois conforme retorno de Engenharia, é necessário o alinhamento com área de segurança da informação OI e Contax, por que não podemos rotear este IP 10.81.8.7  dentro do nosso ambiente, a  OI precisa criar um NAT com o range 10.173
23/02 - Conforme históricos de “bloqueio” em ambos os lados Oi e CSE, esta demanda está com Análise e Estudo de Viabilidade da Equipe de Engenharia . Prazo : 23/02 à 29/02
15/02 -</t>
    </r>
    <r>
      <rPr>
        <b/>
        <sz val="11"/>
        <color theme="1"/>
        <rFont val="Calibri"/>
        <family val="2"/>
        <scheme val="minor"/>
      </rPr>
      <t xml:space="preserve"> </t>
    </r>
    <r>
      <rPr>
        <sz val="11"/>
        <color theme="1"/>
        <rFont val="Calibri"/>
        <family val="2"/>
        <scheme val="minor"/>
      </rPr>
      <t>Mesmo Status.
10/02 -</t>
    </r>
    <r>
      <rPr>
        <b/>
        <sz val="11"/>
        <color theme="1"/>
        <rFont val="Calibri"/>
        <family val="2"/>
        <scheme val="minor"/>
      </rPr>
      <t xml:space="preserve"> </t>
    </r>
    <r>
      <rPr>
        <sz val="11"/>
        <color theme="1"/>
        <rFont val="Calibri"/>
        <family val="2"/>
        <scheme val="minor"/>
      </rPr>
      <t>Pendência de abertura de ARS com a Oi,. Em paralelo, colocamos na Fila do Morais para verificar a possibilidade de disponibilizar  a base de dados do Frevo, ao menos em uma única versão, para testes e validação pela Closer dentro do Evalyze.
Verificarmos possibilidade de uma contingencia manual para que o mesmo acesso que o analista de TI de PE utiliza hoje seja utilizado para pegar o arquivo do Frevo e colocar no ftp da Closer.
---------------------------------------------</t>
    </r>
    <r>
      <rPr>
        <u/>
        <sz val="11"/>
        <color theme="1"/>
        <rFont val="Calibri"/>
        <family val="2"/>
        <scheme val="minor"/>
      </rPr>
      <t xml:space="preserve">
Resumo do último status.</t>
    </r>
    <r>
      <rPr>
        <b/>
        <sz val="11"/>
        <color theme="1"/>
        <rFont val="Calibri"/>
        <family val="2"/>
        <scheme val="minor"/>
      </rPr>
      <t xml:space="preserve">
</t>
    </r>
    <r>
      <rPr>
        <sz val="11"/>
        <color theme="1"/>
        <rFont val="Calibri"/>
        <family val="2"/>
        <scheme val="minor"/>
      </rPr>
      <t>Hoje existe pendência de liberação de acesso pela Oi para a Contax acessar o ambiente do BD do Frevo a partir de Alphaville(regra 2). E nesse momento já temos o contato de Ti da Oi que diz que só vai nos atender, após alguém da OI abrir uma ARS(chamado), com as devidas liberações de Seg Inf da OI, para criação do Nat de acesso. 
A Contax ainda não conseguiu essa ajuda com produtos da Oi na abertura da ARS pois esse é um projeto da Contax, que na sua concepção não envolvia a Oi na sua execução. E está sendo necessário explicar e negociar a respeito.
A equipe de aplicações está aguardando esse retorno da liberação de acesso para configurar a aplicação e realizar testes com o robô desenvolvido. 
A fornecedoara da Closer já desenvolveu a parte deles  mas ainda não consegue fazer testes por não ter recebido dados através da interface de sistema desenhada
02/02 - Acionado a Cris Sasaki (Em estimativa de OG)</t>
    </r>
  </si>
  <si>
    <t>Pré- Vendas / Fornecedor</t>
  </si>
  <si>
    <t xml:space="preserve">Front Único Oi Total - Tlv </t>
  </si>
  <si>
    <t>Fornecedor TQS</t>
  </si>
  <si>
    <t>24/05 - Mesmo status
17/05 - Mesmo status
11/05 - Mesmo status
04/05 - Aguardando aprovação do solicitante
27/04 - Aguardando aprovação
19/04 - Proposta enviada pela ISYS e necessário inclusão na fila de ENG (equipe de infra se é possível disponibilizar um Servidor de Banco de Dados ou se já temos um disponível sendo usado pela operação)
13/04 - Mesmo status
06/04 - Mesmo status
01/04 - Questionamentos enviados pela Information no dia 21/03. 
Aguardando resposta do Santander
29/03 - Mesmo status
15/03 - Mesmo status
08/03 - Mesmo status
29/02 - Aguardando geração de pedido
22/02 - Mesmo status
16/02 - Aguardando DE ACORDO do solicitante em relação a proposta enviada pelo fornecedor
10/02 - Mesmo status
02/02 - Mesmo status
[28/01] - Aguardando aceite por parte do solicitante
[26/01] Aguardando proposta da ISYS
[26/11] Solicitação de proposta técnica/comercial para a Information. Aguardando retorno
[18/11] Pendente informações por parte de negócios (George / Veronica / Noemia)
14/10]] Análise de orçamento junto a Information Systems
[19/09 - Dalton] – encaminhado para George questionamentos levantados pela information, aguardando retorno.
[18/09 - Dalton] Aguardando análise e orçamento da Information.</t>
  </si>
  <si>
    <t xml:space="preserve">24/05 - Em hold
17/05 - Mesmo status
11/05 - Aguardando desenvolvimento da equipe de informacional para validação.
02/05 - Necessário o acesso da equipe de BI na base do aspect para extração de relatórios.  Já foi incluído na fila de aplicações, porém o Marcelo Caldeira entrará em contato para verificar se um desenvolvimento que eles estão fazendo pode ser aplicado para extração desses relatórios.
27/04 - Liberações e bancos de dados liberados. Aguardando homologação
20/04 - Liberações foram feitas. Hoje teremos uma reunião para definição do projeto
12/04 - Mesmo status
06/04 - Aguardando retorno de CSE
29/03 - Não homologado. LW solicitado para identificar o problema. Aguardando
14/03 - Servidor piloto disponibilizado. Aguardando homologação
08/03 - Aguardando homologação
01/03 - Aguardando homologação por parte do solicitante, referente ao Servidor Piloto
10/02 - Servidor piloto já foi elaborado (CSE e ENG). Hoje a equipe de negócios passou a relação dos usuários que precisam ter acesso a esse servidor. LW irá cadastrar... Para o servidor definitivo, é necessário uma outra call e definição melhor do escopo
02/02 - No call houve a mudança de escopo, Engenharia está elaborando a documentação com previsão de término até amanhã (03/02)
[28/01] Proposta enviada por Engenharia e aguardando aprovação por parte do solicitante.
[26/01] Tivemos uma call no início da semana com o José Maria, Eder e o Maurício Lustosa.
Esse projeto tinha um escopo inicial e foi mudado totalmente o escopo:
• Requisitos funcionais com dimensões bem maiores;
• Dois servidores ao invés de um;
• Necessidade de piloto (o que não estava contemplado no escopo inicial).
</t>
  </si>
  <si>
    <t>CTXSPOAP407-17062</t>
  </si>
  <si>
    <t>Projeto - Migração da operação Leader para o site Borges de Melo</t>
  </si>
  <si>
    <t>CTXSPOAP407-17064</t>
  </si>
  <si>
    <t>Projeto - Migração do Citi Cobrança para o site Borges de Melo</t>
  </si>
  <si>
    <t>Thaigo</t>
  </si>
  <si>
    <t>[23/05] - O Banco não aprovou o projeto e será cancelado.
[16/05] - Mesmo status
[10/05] - Aguardando retorno do cliente
[03/05] - Realizado reunião de alinhamento com Negocio e Engenharia e ficou de agendar uma reunião com o cliente para maiores esclarecimentos. Prazo TDB
[25/4] - A iniciar</t>
  </si>
  <si>
    <r>
      <rPr>
        <b/>
        <sz val="11"/>
        <color theme="1"/>
        <rFont val="Calibri"/>
        <family val="2"/>
        <scheme val="minor"/>
      </rPr>
      <t xml:space="preserve">24/05 - Finalizado.
</t>
    </r>
    <r>
      <rPr>
        <sz val="11"/>
        <color theme="1"/>
        <rFont val="Calibri"/>
        <family val="2"/>
        <scheme val="minor"/>
      </rPr>
      <t>17/05 - Aguardando validação da operação.
10/05 - Encontrado 2 problemas. Em tratamento. Previsão 16/05.
03/05- Gmud realizada. Em acompanhamento de pós implantação.
26/04 - GMUD reprogramada para 29/04.
19/04 - GMUD cancelada a pedido da operação. Aguardando data de disponibilidade da área de desenvolvimento.
21/03 - Cronograma em linha.
14/03 - Finalizada a adequação do cronograma e disponibilizado o mesmo.
11/03 - Operação solicitou adiamento de duas semanas na execução da GMUD, para 15/04. Validando com as áreas executoras.
08/03 - Cronograma em validação pela área de aplicações. Finalização 10/03.
02/03 - Para remarcação da GMUD foi estabelecido o pré-requisito de realização de backup do ambiente;
Infra do Site para backup tem data estimada de disponibilização 23/03;
Será enviado para a diretoria para verificação.
23/02 - GMUD cancelada a pedido do cliente. Aguardando nova data de disponibilidade da área para reprogramação.
22/02 - GMUD 19226 aberta para a implantação da nova versão da solução. Buscando aprovação da diretoria.
16/02 - Em linha.
10/02 - Em linha.
03/02/2016 - Aprovada pela operação a nova versão de software. 
- Em programação do Piloto.
29/01/2016 - Agendado o teste na posição de atendimento para dia 03/02/2016, estava agendado para dia 01/02, porém o Site não teria como realizar.
26/01/2016 - Em desenvolvimento pela área de aplicações.
Cronograma disponibilizado para operações e TI Site.
26/01/2016 - Liberação do ambiente remoto para aplicações.
26/01/2016 - Em desenvolvimento pela área de aplicações.
Cronograma disponibilizado para operações e TI Site.
22/01/2012 - Finalizado o desenvolvimento.</t>
    </r>
  </si>
  <si>
    <t>24/05: Projeto concluído.
17/05: Alteração do login realizada com sucesso. Aguardando validação de Tiago Fialho
10/05: O rollout foi feito com sucesso, está pendente a alteração dos logins programada para 12/05.
03/05: Piloto realizado com sucesso e iniciamos o rollout hoje, 03/05. Previsão de conclusão 23/05, total de 247 PA´s. Cronograma: 
Data            Atividade    Premissa
02/mai       Piloto              -
03/mai       Rollout 1        Ok Homolg Piloto
04/mai       Rollout 2       Ok Homolg Rollout 1
05/mai       Rollout 3       Ok Homolg Rollout 2
09/mai       Rollout 4       Ok Homolg Rollout 3
10/mai        Rollout 5       Ok Homolg Rollout 4
11/mai         Rollout 6       Ok Homolg Rollout 5
12/mai        Rollout 7       Ok Homolg Rollout 6
16/mai        Rollout 8       Ok Homolg Rollout 7
17/mai        Rollout 9       Ok Homolg Rollout 8
18/mai        Rollout 10     Ok Homolg Rollout 9
19/mai        Rollout 11      Ok Homolg Rollout 10
23/mai       Rollout 12     Ok Homolg Rollout 11
26/04: Cronograma enviado a operaçã, porém o mesmo não foi aceito e estamos em fase de rever as datas. Cronograma inicial: 
Desenvolvimento 26/abr a 09/mai
Liberação de Rede 26/abr a 04/mai
Homologação 09/mai a11/mai
Instalação 250 Máquinas 12/mai a 31/mai
19/04: Dúvidas sobre a operação foram enviadas ao solictante. Aguardando retorno.
08/04 - A iniciar</t>
  </si>
  <si>
    <t>PMO Neg</t>
  </si>
  <si>
    <r>
      <rPr>
        <strike/>
        <sz val="11"/>
        <color rgb="FFFF0000"/>
        <rFont val="Calibri"/>
        <family val="2"/>
        <scheme val="minor"/>
      </rPr>
      <t>28/04/2016</t>
    </r>
    <r>
      <rPr>
        <sz val="11"/>
        <color theme="1"/>
        <rFont val="Calibri"/>
        <family val="2"/>
        <scheme val="minor"/>
      </rPr>
      <t xml:space="preserve">
10/06/2016</t>
    </r>
  </si>
  <si>
    <t xml:space="preserve">[30/05] - Banco aprovou no dia 23/05 a utlização do tSupervisor. Próximo passo será alinhamento com os sites sobre as viradas e elaboração do cronograma.
[24/05] - Mesmo status
[16/05] - Aguardando aprovação do banco para a utilização do tSupervidor
 [10/05] - Banco solicita novamente uma call para tirar dúvidas do tSupervisor.
[02/05] - Banco fez novamente questionamentos sobre a aplicação. Prazo de entrega 04/05
[25/04] - Mesmo status
[19/4] - Mesmo status
[12/4] - Aguardando aprovação do banco para a utilização do tSupervisor.
[04/04] - Encaminhado ao banco as evidências de segurnaça do tSupervisor.
[29/03] - Mesmo status
[22/03] -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
Aguardando apenas o de acordo para seguir com o projeto. Juliana 20/01
O banco informou que o De acordo leva em média 10 dias úteis e com este prazo não conseguiremos implantar o t-Supervisor. Ainda permancemos aguardando o De acordo do banco. Débora 23/11
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
Projeto previsto para ser concluído em 16/11. Estou aguardando um de acordo do banco para seguir com a execução do projeto. Débora 03/11
Projeto previsto para ser concluído em 16/11. Estou aguardando um de acordo do banco para seguir com a execução do projeto. Débora 27/10
Em levantamento com os executores a duração para configuração do t-Supervisor, pois é um pré-requisito para implantar o Win7 e ainda não foi definido um resposável por apresentar a solução ao banco. Débora 20/10.
Ainda não foi definido um resposável por apresentar a solução ao banco. Débora 13/10.
Demanda está em análise. O sistema tSupervisor será apresentado ao banco como uma solução alternativa ao SMPA que não é compatível com o win7. A equipe do Alexandre Morais está responsável por elaborar o material que será apresentado ao banco. Data TBD.
[Fabiana 18/09] - BASE LINE ITAÚ (Windows 7) - Trata-se da análise do sistema T-Supervisor visto que nos testes realizados pelo Rosim há problemas de compatibilidade com o windows 7.
</t>
  </si>
  <si>
    <t>[30/05] - Mesmo status
[24/05] - Mesmo status
[16/05] - Em desenvolvimento
[10/05] - Aguardando a entrega das licenças
[02/05] - Gerado número do pedido. Aguardando o envio das licenças pelo fornecedor.
[25/4] - Mesmo status
[19/4] - Mesmo status
[12/4] - Mesmo status
[4/4] - Mesmo Status
[29/03] Cotação com os fornecedores e aguardando geração de Pedido. 
[22/03] - Mesmo status
[15/03] - Mesmo status
[08/03] - Aguardando geração de pedido                                                                                                                                                                                                                                                                            [29/02] - Aguardando aprovação da SC. 
[22/02] - Aguardando abertura de SC                                                                                                                                                                                                                                                                                 [16/02] - Solicitado abertura de SC para contratação do fornecedor                                                                [10/02] Mesmo Status                                                                                                                                                                                                                                                                                                                [02/02] - No dia 28/01 foi solicitado a revisão da proposta do fornecedor, estamos aguardando para a criação de SC.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a migração do t-Supervisor, pois é um pré-requisito para a migração do win7. Débora 01/12
A solução sem custos não funcionou e será necessário a contratação de um fornecedor para executar este projeto. Proposta comercial em análise pelo Banco. Débora 23/11
A solução sem custos não funcionou e será necessário a contratação de um fornecedor para executar este projeto. Proposta comercial em análise pelo Banco. Débora 17/11
A solução sem custos não funcionou e será necessário a contratação de um fornecedor para executar este projeto. Proposta comercial em análise pelo Banco. Débora 10/11
A solução sem custos não funcionou e será necessário a contratação de um fornecedor para executar este projeto. Proposta comercial em análise pelo Banco. Débora 03/11
A solução sem custos não funcionou e será necessário a contratação de um fornecedor para executar este projeto. Proposta comercial em análise pelo Banco. Débora 27/10
O piloto está previsto para iniciar em 19/10 à 21/10 no site Mackenzie. Débora 13/10/15.
O piloto está previsto para iniciar em 19/10 à 21/10 no site Mackenzie.
Esse chamado se aplica ao site Santo Amaro. Débora 05/10/15
[Fabiana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
Esse chamado se aplica ao site Santo Amaro.</t>
  </si>
  <si>
    <t>Francisco Rosberg</t>
  </si>
  <si>
    <t>[30/05] - Realizado conferencia com Itau e nossa equipe de redes para entendimento da configuração da Protheus. Necessário a criação de usuário de acesso ao servidor para que a equipe da Protheus possa configurar a aplicação.
[24/05] - Aguardando liberações de rede. Agendado para o dia 25/05 uma reunião de alinhamento com Itaú
[16/05] - Mesmo status
[10/05] - Aguardando liberação de rede para instalação da aplicação do Protheus
[02/05] - Disponibilizado servidor. Aguardando o banco instalar a aplicação do Protheus. Prazo TDB
[25/4] - Mesmo status
[19/4] - Projeto em andamento
[12/4] - Solicitado apoio da equipe do Veloso para iniciar as atividades do projeto. 
[4/4] - Aguardando data do cronograma para inicio das atividades
[29/03] - Mesmo status
[21/3] - Mesmo status
[15/03] - Mesmo status
[08/03]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o projeto. Débora 01/12
Cronograma definido e aguardando a negociação comercial com o banco e a aquisição dos recursos. Débora 23/11.
Cronograma definido e aguardando a negociação comercial com o banco e a aquisição dos recursos. Débora 17/11.
Cronograma definido e aguardando a negociação comercial com o banco e a aquisição dos recursos. Débora 10/11.
Em definição o cronograma de implantação da auditoria automatizada. Este projeto aguarda a implantação do Win7 para desenvolver o cronograma. Débora 03/11 
Em definição o cronograma de implantação da auditoria automatizada. Débora 27/10
22/10 - Auditoria Autómatica: Levantado o custo de implantação, porém está pendente o cronograma de implantação</t>
  </si>
  <si>
    <t>TI</t>
  </si>
  <si>
    <t xml:space="preserve">[30/05] - Mesmo status
[24/05] - Agendado uma nova reunião com equipe interna para entendimento e resolução do projeto.
[16/05] - Aguardando avaliação de SI
[10/5] - Aguardando avaliação de TI e SI sobre as propostas.
[02/05] - As consultorias retornou com as propostas comerciais, mas a equipe da Operação realizou vários questionamentos e teremos que realizar uma conferencia para tirar as dúvidas.
[25/04] - Aguardando retorno da consultoria
[19/04] Consultorias enviou as propostas, porém havia solicitado que a proposta teria que ser dividida entre os sub-projetos do Bolha. Solicitado revisão da proposta.
[12/4] - Aguardando envio de proposta comercial das consultorias. O prazo era até dia 8/4. 
[4/4] - Veloso entregou a lista de equipamentos e SI esta avaliando as informações. Prazo de avaliação 4/4
[29/03] - Mesmo status
[22/03] - Aguardando informações do Veloso 
[15/03] - Mesmo status
[08/03] - Mesmo status                                                                                                                                                                                                                                                                                                              [29/02] - Consultoria analisando a solução.    
[23/02]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Custos enviados pelo Veloso, R$581.768,16 e em análise se infra de TI tem algum custo. Débora 01/12
Custos enviados pelo Veloso, R$581.768,16 e em análise se infra de TI tem algum custo. Débora 23/11
Custos enviados pelo Veloso, R$581.768,16. Débora 17/11
Levantamento de custo e cronograma previsto para 13/11. Débora 10/11
Levantamento de custo e cronograma previsto para 13/11. Débora 03/11
Levantamento de custo e cronograma previsto para 13/11. Débora 27/10
22/10 - Baseline Itaú – Hardenings: Levantamento de custo e cronograma previsto para 13/11. </t>
  </si>
  <si>
    <t>[30/05] - Banco aprovou no dia 23/05 a utlização do tSupervisor. Próximo passo será alinhamento com os sites sobre as viradas e elaboração do cronograma.
[24/05] - Mesmo status
[16/05] - Aguardando aprovação do banco para a utilização do tSupervidor
[10/05] - Banco solicita novamente uma call para tirar dúvidas do tSupervisor.
[02/05] - Banco fez novamente questionamentos sobre a aplicação. Prazo de entrega 04/05
[25/04] - Mesmo status
[19/4] - Mesmo status
[12/4] - Mesmo status
[4/4] - Aguardando aprovação do banco para utilização do tSupervior
[29/03] - Mesmo status
[22/03]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
Aguardando apenas o de acordo para seguir com a migração do t-Supervisor, pois é um pré-requisito para a migração do win7. Débora 01/12
Projeto previsto para iniciar em 17/11 no site e a migração tem duração de 22 dias. Aguardando apenas o de acordo para seguir com a migração do t-Supervisor, pois é um pré-requisito para a migração do win7. Débora 23/11
Projeto previsto para iniciar em 17/11 no site e a migração tem duração de 22 dias. Aguardando apenas o de acordo para seguir com a migração do t-Supervisor, pois é um pré-requisito para a migração do win7. Débora 17/11
Projeto previsto para iniciar em 17/11 no site e a migração tem duração de 22 dias. Aguardando apenas o de acordo para seguir com a migração do t-Supervisor, pois é um pré-requisito para a migração do win7. Débora 03/11
Projeto previsto para iniciar em 17/11 no site e a migração tem duração de 22 dias. Aguardando apenas o de acordo para seguir com a migração do t-Supervisor, pois é um pré-requisito para a migração do win7. Débora 27/10
Em levantamento com os executores a duração para configuração do t-Supervisor, pois é um pré-requisito para implantar o Win7. Débora 20/10/15
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Windows 7 - Rosim concluiu a criação da imagem do Win 7 e iníciou os teste na operação em 25/09 com duração de uma semana  até a conclusão dos testes. Necessário realinhar o cronograma. 
Ainda permanece em andamento a Negociação das Licenças com o Banco (Resp.: Ricardo) / Pendente Mapeamento Operações 2° e 3° onda de PE (Resp.: Rosim).
Esse chamado aplica-se a implantação no Site Santo Amaro. Débora 25/09/15</t>
  </si>
  <si>
    <t xml:space="preserve">[30/05] - Mesmo status
[23/05] - Piloto na operação Fixo foi cancelado devido a desmobilização da operação. Foi solicitado por Negócios o inicio do piloto na operação Renteção PF, porem só no inicio de Junho devido a movimentações e mudanças de layout. 
[16/05] - Piloto na operação Fixo foi cancelado devido a desmobilização da operação. Foi solicitado por Negócios o inicio do piloto na operação Renteção PF, porem só no inicio de Junho devido a movimentações e mudanças de layout. 
[10/05 - Mesmo status
[03/05] - Mesmo status
[25/04] - Em piloto
[19/04] - Piloto iniciado em 18/4
[11/04] - Piloto programado para o dia 18/04/16, conforme solicitação da operação. 
[4/4] - Aguardando validação do site para iniciarmos o piloto no dia 18/4
[29/03] - Operação aprovou iniciar o piloto e sugeriu data do dia 18/4.
 [22/03] - Acompanhamento in loco feito entre os dias 15 e 18 de Março. Posicionamento será feito até o dia 23/03/16. 
[15/03] -  Equipe de automações fará acompanhamento in loco na semana de 15 a 18/03. 
[08/03] - Operação realizou novos testes e foram identificados que os erros não são relacionados ao RTI. Aguardando melhor data para o piloto e informações das 20 PAs para o piloto.                                                                                                                                                                                                                                                                                                                                          01/03/16: Pendente a verificação de erro apontado pela operação.
22/02/16: Piloto será iniciado em 24/02. Data de rollout a ser validada com a operação.
15/02/16 - nova versão corrigida será entregue em 16/02/16 - Data de Piloto e Rollout a ser validada com operação.
10/02 - Mesmo status
05/02 - Encontrado problemas técnicos na aplicação durante período de testes. Em análise pela equipe de RTI. Nova data para início do piloto a ser informada no dia 12/02
01/02: Início do piloto alterado para 02/02 a pedido de negócio.
26/01 - Mesmo status 
18/01/16 - Aguardando formalização de quais os sites e operações deverão receber a solução. Pendência PMO Negócios. Mariana APP </t>
  </si>
  <si>
    <t xml:space="preserve">[30/05] - Mesmo status.
[23/05] - Mesmo status. 
[16/05] - Testes feitos e o resultado não foi satisfatório. Erros persistem. Aguardando nova agenda com a Nice.
 [09/05] - Mesmo status
[02/05] - Testes feitos e o resultado não foi satisfatório. Erros persistem. Aguardando nova agenda com a Nice. 
[25/04] - Testes internos com solução ajustada previstos para finalizar em 29/04. Somente após resultado dos testes serão replanejados próximos passos.
 [18/04] - Após testes realizados em conjunto com a NICE em 13/04, haverá necessidade de ajuste na solução. Testes internos com solução ajustada previstos para finalizar em 29/04. Somente após resultado dos testes serão replanejados próximos passos. 
[11/04] - Análise realizada pela NICE. Feita alteração na solução. Testes internos até 15/04. 
[4/4] - A avliação do erro esta sendo conduzida pela equipe de desnvolevimento e NICE. Análise com a NICE será feita no dia 04/04/16. 
[29/03] - Aguardando recurso para elaboração de laudo. Previsto para 04/05/16 a 17/05/16 01/03/16: Pendente envio de OG.
 [15/03] - Mesmo status
[08/03] - Aguardando recurso para elaboração de laudo. Previsto para 04/05/16 a 17/05/16 01/03/16: Pendente envio de OG.
22/02/16: Pendente o envio do diagnóstico com análise dos problemas previsto para 04/03.
15/02/16 - data da data para diagnóstico em 17/02/16 - Dificuldades de acesso aos sistemas da operação.
10/02 - Em análise dos problemas com diagnoticos previstos para dia 12/02. Ainda sem previsão quanto ao rollout
01/02: Parecer dos testes será enviado em 02/02.
26/01 – Agendado novos testes com a presença de TI e Negócios na operação para 27 e 28 /01.
18/01/16 - Operação enviará até a data de 18/01 o resultado de novos testes de performance. Aguardando ok para seguir com rollout. 
</t>
  </si>
  <si>
    <t xml:space="preserve">[30/05] - Em desenvolvimento
[16/05] - Iniciado o desenvolvimento da solução. 
[10/05] - Aguardando desdenvolvimento
[02/05] - EF entregue. Analise até 04/05. 
[25/04] - Mesmo status
[18/04]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[11/04] - Agendado teste de conectividade do aplicativo Click para os dias 11 e 12/04. Após o resultado do teste de conectividade, planejaremos as próximas atividades. Previsão de publicação das próximas atividades no dia 18/04/16. 
[04/04] Acesso a aplicativo Click está OK, mas usuário aparentemente não tem perfil necessário. Pendente validação do usuário. 
Necessário planejar execução dos testes de conectividade caso usuário esteja ok.
 [29/03] - Pendente acesso ao sistema Click. Foi solicitado a liberação de rede (NAT), porém o recurso de redes informou IP errado na GMUD e será necessário o ajuste na próxima janela (quinta-feira 31/03).
[22/3] - Mesmo status
[14/03] Aguardando resolver pendência de acesso ao sistema Click para a execução de teste de conectividade e planejamento do desenvolvimento da demanda. PMO Negócio informada sobre atraso no projeto em 10/03/16. 
[08/03] - Aguardando liberação de acesso a pasta FTP da OI (Pendência OI)  
01/03/16: Mesmo status
22/02/16: Aguardando teste de conectividade para início do desenvolvimento. Pendência para o teste é o acesso ao sistema Click.
15/02 - Mesmo status
11/02 - Responsável: TI
10/02 - Mesmo status
05/02 - Em estimativa de OGs a ser enviada em 15/02 (dentro do SLA). PONTO DE ATENÇÃO: pendente acesso ao sistema click (chamado aberto em 06/01 - impacto na próxima etapa - testes de conectividade
02/02 - Mesmo status
29/01: EF entregue porém faltam informações. Necessário alinhamento entre TI e Negócios previsto para 01/02.
26/01: 22/01 – Pendente revisão da EF que foi entregue.
18/01 - Em análise de EF. Até 26/01 para retorno OG/ pendências.
Edison Nei Siqueira added a comment - 18/Dez/15 12:03
EF em analise pela área de desenvolvimento, aguardando retorno da operação.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15:31
Entrega das EFs atualizadas pela area de PMO Negócios prevista para o dia 19/11.
dison Nei Siqueira added a comment - 03/Nov/15 14:49
Foi solicitada a revalidação das EFs, levando em consideração que não teremos mais o JIRA e nem identificamos a validação da rotina de carga do mailing e afins.
Edison Nei Siqueira added a comment - 06/Out/15 15:18
Aguardando retorno da área de negócios com relação ao levantamos de insumos para prover a aprovação da demanda no comitê de gastos.
Edison Nei Siqueira added a comment - 09/Set/15 15:09 
recebido e encaminhado para Análise de aplicações NGR, aguardando retorno da priorização. 
</t>
  </si>
  <si>
    <t xml:space="preserve">[30/05] - Em desenvolvimento
[16/05] - Iniciado o desenvolvimento da solução. 
[09/05] - Aguardando inicio do desenvolvimento. 
[02/05] - EF entregue. Analise até 04/05. 
[25/04] - Mesmo status
[18/04]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[11/04] - Agendado teste de conectividade do aplicativo Click para os dias 11 e 12/04. Após o resultado do teste de conectividade, planejaremos as próximas atividades. Previsão de publicação das próximas atividades no dia 18/04/16. 
[04/04] Acesso a aplicativo Click está OK, mas usuário aparentemente não tem perfil necessário. Pendente validação do usuário. 
Necessário planejar execução dos testes de conectividade caso usuário esteja ok.
[29/03] - Pendente acesso ao sistema Click. Foi solicitado a liberação de rede (NAT), porém o recurso de redes informou IP errado na GMUD e será necessário o ajuste na próxima janela (quinta-feira 31/03).
[22/3] - Mesmo status
[14/03] Aguardando resolver pendência de acesso ao sistema Click para a execução de teste de conectividade e planejamento do desenvolvimento da demanda. PMO Negócio informada sobre atraso no projeto em 10/03/16. 
[08/03] - Aguardando liberação de acesso a pasta FTP da OI (Pendência OI)                                                   01/03/16: Mesmo status
22/02/16: Aguardando teste de conectividade para início do desenvolvimento. Pendência para o teste é o acesso ao sistema Click.
15/02 - Mesmo status
11/02 - Responsável: TI
10/02 - Mesmo status
05/02 - Em estimativa de OGs a ser enviada em 15/02 (dentro do SLA). PONTO DE ATENÇÃO: pendente acesso ao sistema click (chamado aberto em 06/01 - impacto na próxima etapa - testes de conectividade
02/02 - Mesmo status
29/01: EF entregue porém faltam informações. Necessário alinhamento entre TI e Negócios previsto para 01/02.
26/01 – Pendente revisão da EF que foi entregue.
18/01 - Aguarda EF
Edison Nei Siqueira added a comment - 18/Dez/15 12:10
EF em analise pela área de desenvolvimento, aguardando retorno da operação.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15:48
Entrega das EFs atualizadas pela area de PMO Negócios prevista para o dia 19/11. 
Edison Nei Siqueira added a comment - 03/Nov/15 14:50
Foi solicitada a revalidação das EFs, levando em consideração que não teremos mais o JIRA e nem identificamos a validação da rotina de carga do mailing e afins. 
Edison Nei Siqueira added a comment - 20/Out/15 19:25
Aguardando retorno da área de negócios com relação ao levantamos de insumos para prover a aprovação da demanda no comitê de gastos. 
Edison Nei Siqueira added a comment - 06/Out/15 15:22
Aguardando retorno da área de negócios com relação ao levantamos de insumos para prover a aprovação da demanda no comitê de gastos.
Edison Nei Siqueira added a comment - 09/Set/15 15:09 
recebido e encaminhado para Análise de aplicações NGR, aguardando retorno da priorização. 
</t>
  </si>
  <si>
    <t>[30/05] - Usuário CHR entregue. Testes do usuário agendado para 30/05. Após os testes, agendaremos os testes integrados. 
[24/05] - Por solicitação de Negócios, o piloto será adiado devido à não entrega da senha do usuário CHR. Nova data a ser confirmada.
[16/05] - Por solicitação de Negócios, o piloto será adiado devido à não entrega da senha do usuário CHR. Nova data a ser confirmada. 
[09/05] - Aguardando inicio dos testes integrados em 11/05. 
[02/05] - Ambiente não foi entregue no dia 29/04, conforme previsão. Aguardando nova data. Pendente usuário CHR previsto para 28/04; e alinhamento com a Closer para testes integrados.
[25/04] - Infra entregue, porém as liberações de redes não estão ok e precisamos aacionar a Closer para que a liberação seja realizada por eles. 
[18/04] - Em validação de ambiente. PONTO DE ATENÇÃO: Aguardando liberação de acesso ao Banco de Dados por PMO TI. Previsão de entrega das aplicações configuradas até 29/04/16. 
[12/4] - Infra entregue dia 11/4. Aguardando teste de liberação de rede. 
[5/4] - A entrega da infra estava programada para dia 4/4, porém tivemos alguns problemas em produção e será reprogramado a entrega. Novo prazo de entrega da infra 11/4. 
[29/03] - O ambiente de infra será entregue dia 4/4. Pendências: Equipe de desnvolvimento solicitou o usuário CHR especial pra executar macros. Prazo TDB /Necessário Planejamento para UAT, Piloto e Rollout. Prazo TDB
[22/03] Aguardando data para a entrega do ambiente de infra. Previsto 24/3
[14/03] - Nesta semana a solução de engenharia foi aprovada e vamos direcionar para a fila de CSE para a configuração do ambiente e replanejamento da data de UAT.
[08/03] - Solução em desenvolvimento. Ponto de Atenção: está pendente a definição de fluxo para registro de transação no STC.                                                                                      01/03/16: Mesmo status
22/02/16: Em desenvolvimento, pendente criação do ambiente de testes
15/02/16 - OG aprovada em 10/02/16.
15/02 - Início do piloto em 10/03
11/02 - Desenvolvimento até 04/03
10/02 - Mesmo status
05/02 - Enviada OG em 03/02. Aguardando aprovação de negócios
02/02 - Mesmo status
27/01: EF recebida. Em análise por TI para OG até 03/02.
26/01 – Pendente revisão da EF que foi entregue.
18/01 - Aguarda EF
Edison Nei Siqueira added a comment - 18/Dez/15 12:13
Aguardando a elaboração da EF por parte de operações para analise da equipe de desenvolvimento.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Entrega das EFs atualizadas pela area de PMO Negócios prevista para o dia 19/11. 
Edison Nei Siqueira added a comment - 03/Nov/15 14:54
Foi solicitada a revalidação das EFs, levando em consideração que não teremos mais o JIRA e nem identificamos a validação da rotina de carga do mailing e afins.
Edison Nei Siqueira added a comment - 20/Out/15 19:28
Recebido e encaminhado para Análise de aplicações NGR, aguardando retorno da priorização.
Edison Nei Siqueira added a comment - 09/Set/15 15:15
Recebido e encaminhado para Análise de aplicações NGR, aguardando retorno da priorização.</t>
  </si>
  <si>
    <t>[30/05] - Mesmo status
[24/05] - Mesmo status
[16/05] - Aguardando inicio dos desenvolvimentos.
 [10/05] - Aguardando inicio dos desenvolvimentos. 
[03/05] - Mesmo status
[25/04] - Solicitado alteração na EF com as novas telas do site do SERASA.  Aguardando documento até 27/04/16.
[18/04] - Procedimentos da EF estão desatualizados. Aguardando nova versão para realizar testes de acesso e conectividade. 
[11/04] - Usuário do Serasa sem acesso as telas necessárias. Aguardando para dar continuidade nos testes de conectividade.
 [04/04] Aguardando usuários SPC Serasa para iniciar a análise da EF. 
[29/03] - Pendente usuário do SPC e Serasa para validar a EF. Após acesso, será analisado a EF. Prazo de 5 dias úteis.
[22/03] Aguardando devolução da EF previsto para dia 21/03.
[16/03] - Recebimento da EF dia 14/03. Prazo para devolução 21/03.
08/03/16: Mesmo status  
 01/03/16: Mesmo status
22/02/16: Pendente envio de EF
15/02 - Análise de EF
10/02 - Mesmo status
02/02 - Mesmo status
27/01: Aguarda o envio da EF.
26/01 – Pendente revisão da EF que foi entregue.
18/01 - Aguarda EF
Edison Nei Siqueira added a comment - 18/Dez/15 12:31
EF recebida em 08/12, foi concluída a analise pela equipe de aplicações e foi identificada a necessidade de ajustes, estamos aguardando o retorno da operação para prosseguir no desenvolvimento.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17:06
Entrega das EFs atualizadas pela area de PMO Negócios prevista para o dia 19/11.
Edison Nei Siqueira added a comment - 03/Nov/15 15:01
Foi solicitada a revalidação das EFs, levando em consideração que não teremos mais o JIRA e nem identificamos a validação da rotina de carga do mailing e afins. 
Edison Nei Siqueira added a comment - 20/Out/15 19:32
Aguardando retorno da área de negócios com relação ao levantamos de insumos para prover a aprovação da demanda no comitê de gastos.
Edison Nei Siqueira added a comment - 06/Out/15 15:29
Aguardando retorno da área de negócios com relação ao levantamos de insumos para prover a aprovação da demanda no comitê de gastos.
Edison Nei Siqueira added a comment - 09/Set/15 15:15
Recebido e encaminhado para Análise de aplicações NGR, aguardando retorno da priorização.</t>
  </si>
  <si>
    <t>[30/05] - Projeto está paralisado até que a equipe de desenvolvimento tenha retorno da NICE para não conectividade com a tela de callback. 
[23/05] - UAT em andamento. O ganho de TMO com a solução é significativo, no entanto, ainda não temos o ok para seguir com o piloto devido ao probelma de conectividade do RTI com a tela de callback. Nossa sugestão é seguir com o piloto, pois, mesmo com o problema, ainda temos ganho, tanto de TMO como de qualidade. 
[16/05] - UAT será iniciado no dia 16 para validação da funcionalidade e medição do TMA, no entanto, devido ao problema de conectividade do RTI com a tela de callback, a operação solicitou o congelamento do projeto até a que a Nice nos envie uma solução. 
[09/05] - Em desenvolvimento. Há algumas questões encotradas durante o ajuste da solução que deverão ser tratadas pela NICE. Solicitamos um call em 09/05/16 para informar as questões e definir UAT. 
[03/05] - Em desenvolvimento
[25/04] - Iniciado o desenvolvimento conforme previsto. 
[18/04] - Aguardando desenvolvimento. Inicio em 25/04. 
[11/04] - Aguardando desenvolvimento. 
[04/04] Datas de desenvolvimento replanejada devido ao remanejamento de recursos para a execução das demandas de Claro. Datas de UAT precisam ser validadas com a operação.
[29/03] - Terá impacto no desenvolvido, pois o recurso foi alocado no projeto da Claro. Prazo para novas datas de desnvolvimento  4/4
[22/03] Aguardando inicio dos desenvolvimentos, conforme cronograma publicado. 
[15/03] Aguardando inicio do desenvolvimento. Data de UAT sugerida de 28/04 a 04/05/16. Aguardando confirmação de datas de piloto e rollout por PMO-Negócio. 
Data fim de desenvolvimento agora está considerando testes internos. Não impacta as demais datas. 
[08/03] - Desenvolvimento dos ajustes foram reagendados para 06/04/16 a 19/04/16. Sugestão de datas de Homologação de 29/04/16 a 07/06/16                                                   01/03/16: Pendente resposta do fornecedor. 
22/02/16: Homologação do Callback não aprovada pela operação. Nos dias 24 e 25, TI fará análise técnica in loco para determinar as próximas ações e replanejamento. 
10/02 - Piloto inconclusivo. Negócio deve confirmar o roll out... Aguardando
10/02 - Mesmo status
05/02 - Homologação "Call Back" não aprovada pela operação. Piloto estendido até 12/02. Demais OK
01/02: Aguarda a definição de negócio quanto a prioridade de projetos. Retrofit x RTI para definir a data do rollout.
26/01 – Piloto  em andamento sem problemas reportados no site Navegantes. Data  final estendida devido a necessidade  de testes nos sites de Recife, sem impacto no Rollout. 
18/01 - Funcionalidade em  teste. Sugerida por operações a data de roll out com início em 16/02 em função do DMM. Mariana APP
25/11 - • O projeto está previsto para ser tratado por ENG somente do dia 08/12 a 14/12 (quando a previsão inicial era para conclusão até o dia 27/11)
• Necessário rever atividades com CSE e site para novo cronograma de entrega
• Como a complexidade é alta, será realizado o projeto primeiramente no site de Navegantes para depois avançarmos para Santo Amaro e Aurora
24/11 – Encaminhamos ao PMO-TI um alerta de risco de atraso pois precisamos das atividades de ENG, CSE e Site prontos até dia 27/11
[17/11] Cronograma alinhado. Parte de desenvolvimento já concluída. Aguardando resposta de ENG com as datas de implantação.
Como o projeto é de alta complexidade, ocorrerá o piloto no site de navegantes, onde já temos cronogramas.  Para os sites de Aurora-PE e Santo Amaro-PE serão realizados depois do Freezing e do piloto -&gt; Cronograma a ser realizado
[27/10 – Leandro] disponibilizado um login único provisório para continuidade da equipe de RTI em 27/10  / em paralelo suporte negócio continuará tentar viabilizanr com a NET um login definitivo para uso de RTI)
[20/10 – Leandro] Alteração dos logins que serão usados para os testes e desenvolvimentos. Suporte ao Negócio interagindo com com NET para habilitação dos logins.  (ainda aguardando)
[13/10 – Leandro] Alteração dos logins que serão usados para os testes e desenvolvimentos. Suporte ao Negócio interagindo com com NET para habilitação dos logins. 
[5/10 – Leandro] Identificado a necessidade de abertura automática do registro.  Automação de processos aguardando passo a passo do processo de abertura de call-back pelo operador, para ajustar o desenho do TO BE e o desenho da solução. 
[28/09 - Leandro] Automação de Processos está tocando o detalhamento do processo, os mesmos solicitaram o apoio de Juliano Molina para auxilia-los, o mesmo já retornou com documento.
[17/09 – Cleonice] Aguardando recurso para realizar a análise da documentação e disponibilizar cronograma de desenvolvimento.</t>
  </si>
  <si>
    <t>[30/05] - Desenho da solução que foi desenvolvida em 4 mãos e aprovada no piloto não apresentou os ganhos esperados e será alinhado entre os diretores Zambon e Rivaldo qual definição será adotado para o projeto.
 [24/05] - Em piloto
[16/05] - Piloto iniciado em 16/5
[09/05] - UAT finalizado. Será realizado um call para definição do piloto em 10/05/16.
[03/05] - Mesmo status
[25/04] - UAT em andamento.
[18/04]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01/02: Assessment realizado por terceiro não atendeu aos requisitos mínimos para desenvolvimento. Reunião para envio de complementos agendada para 01/02/16 com impacto na data inicial do desenvolvimento. Nova da data a ser definida até 05/02/16.
26/01 – Processo de assessment concluído, com entrega da solução a ser desenvolvida prevista para dia 26/01.
18/01 - Início do assessment reagendado para 18/01 a pedido da Operação. Afetando demais datas do projeto
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t>
  </si>
  <si>
    <t>[30/05] - Desenho da solução que foi desenvolvida em 4 mãos e aprovada no piloto não apresentou os ganhos esperados e será alinhado entre os diretores Zambon e Rivaldo qual definição será adotado para o projeto.
[24/05]- Em piloto
[16/05] - Piloto iniciado em 16/5
[09/05] - UAT finalizado. Será realizado um call para definição do piloto em 10/05/16.
[03/05] - Mesmo status
[25/04] - UAT em andamento.
[18/04]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10/02 - Mesmo status
05/02 - Recebida revisão do documento em 05/02 e está em avaliação pelo time interno. Nova data de início do desenvolvimento será definida até dia 12/02
01/02: Assessment realizado por terceiro não atendeu aos requisitos mínimos para desenvolvimento. Reunião para envio de complementos agendada para 01/02/16 com impacto na data inicial do desenvolvimento. Nova da data a ser definida até 05/02/16.
26/01: Devido à incremento de escopo, tempo de desenvolvimento replanejado.
18/01 - Devido à incremento de escopo, tempo de desenvolvimento replanejado.
Solicitante respondeu EF ontem (dia 23/11) e no mesmo dia, após avaliação de TI, encaminhamos ao fornecedor para obter a proposta comercial
[23/11] EF encaminhada. O próximo passo agora é enviar os documentos recebidos na sexta-feira para o fornecedor, que nos enviará a proposta comercial para ser aprovada. O fornecedor está levando em média de 5 a 7 dias úteis para nos retornar.
[16/11] Aguardando retorno do solicitante.</t>
  </si>
  <si>
    <t>[30/05] - Desenho da solução que foi desenvolvida em 4 mãos e aprovada no piloto não apresentou os ganhos esperados e será alinhado entre os diretores Zambon e Rivaldo qual definição será adotado para o projeto.
[24/05] - Em piloto
[16/5] - Piloto iniciado 16/5
[09/05] - UAT finalizado. Será realizado um call para definição do piloto em 10/05/16.
[03/05] - Mesmo status
[25/04] - UAT em andamento.
[19/04]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01/02: Assessment realizado por terceiro não atendeu aos requisitos mínimos para desenvolvimento. Reunião para envio de complementos agendada para 01/02/16 com impacto na data inicial do desenvolvimento. Nova da data a ser definida até 05/02/16.
26/01 – Piloto  em andamento sem problemas reportados no site Navegantes. Data  final estendida devido a necessidade  de testes nos sites de Recife, sem impacto no Rollout. 
18/01 - Funcionalidade em  teste. Sugerida por operações a data de roll out com início em 16/02 em função do DMM. 
Fornecedor BETTA respondeu a proposta em 17/11, porém a proposta do fornecedor veio incompleta – Aguardando nova proposta 24/11
[16/11] Enviamos solicitação para proposta comercial de fornecedro BETTA – Aguardando proposta</t>
  </si>
  <si>
    <t>[30/05] - Versão que entrou em piloto apresentou problemas de travamento e foi disponibilizada nova versão para piloto em 30/05 e será realizado novos testes na operação. [23/05] - Desenvolvimento concluído. UAT em progresso.
 [16/05] - Desenvolvimento concluído. UAT será iniciado em 16/05. 
[10/05] - Mesmo desenvolvimento
[03/05] - Mesmo status
[25/04] - Desenvolvimento em andamento
[18/04] - Desenvolvimento em andamento
 [11/04] - TO BE aprovado pela operação. Inicio do desenvolvimento em 11/04/16. 
[04/04] TO BE enviado para aprovação da operação em 01/04/16; aguardando retorno da operação. Datas de desenvolvimento e UAT replanejadas devido ao remanejamento de recursos para a execução das demandas de Claro; datas de UAT precisam ser validadas.
 [29/03] - To be iniciado. Previsto entrega dia 30/4. 
[21/03] Aguardando inicio do desenho do TO BE, conforme cronograma publicado. 
[15/03]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
 [08/03] - Operação retornou com EF complementar em 03/03/16. Novas datas de desenvolvimento e TO BE publicadas. Datas de Homologação 18/05/16 a 24/06/16 01/03/16: Mesmo status.
22/02/16: Desenvolvimento da EF previamente enviada está concluído. Aguardando EF complementar ser enviada pela operação. 
11/02 - Replanejado para dia 26/02
05/02 - Devido à incremento de escopo, tempo de desenvolvimento replanejado para 06/01 a 19/02
01/02: Piloto previsto para 25/02 à 07/03.
26/01 – Piloto  em andamento sem problemas reportados no site Navegantes. Data  final estendida devido a necessidade  de testes nos sites de Recife, sem impacto no Rollout. 
18/01 - Funcionalidade em  teste. Sugerida por operações a data de roll out com início em 16/02 em função do DMM. 
24/11 - Juliano respondeu dia 19/11. Após avaliação de TI encaminhamos proposta para o fornecedor 24/11/15
[16/11] Aguardando retorno do solicitante.</t>
  </si>
  <si>
    <t>[30/05] - Inicio do Rollout 30/05. Previsão de conclusão 31/05.
[24/05] - Em piloto
[16/05] - Mesmo status
[10/05] - Mesmo status
[03/05] - Em piloto
[25/04] - Iniciado piloto em 20/04
[19/04] - Piloto programado para iniciar dia 20/04
[11/04] UAT aprovado pela operação. Aguardando inicio do Piloto, de acordo com as datas definidas pela operação.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[22/03] Inicio de UAT programado para as 14h do dia 22/03/16. Data de piloto confirmada pela operação.
[14/03] Validar com os sites as datas para piloto e rollout.
[08/03] - Rollout em Recife planejado do dia 08/03 a 18/03, porém a operação não aprovou as datas devido ao DMM. Aguardando novas datas para programarmos o rollout. 01/03/16: Pendente envio de cronograma. 
22/01/16: Em desenvolvimento, não há pendências. Piloto antecipado em função do DMM da operação.
05/02 - Em desenvolvimento até 19/02, porém o piloto foi antecipado para 29/02 a 09/03 devido ao DMM da operação
01/02: Piloto previsto para 29/02 à 09/03. Piloto foi antecipado a pedido de negócio devido ao DMM.
26/01 - Mesmo status 
18/01 - Devido à alteração da solução tecnico/operacional , necessário redesenho da solução técnica impactando início do desenvolvimento. 
[16/11] Aguardando retorno do solicitante. EF com dados insuficientes para solicitar a Proposta Comercial.</t>
  </si>
  <si>
    <t xml:space="preserve">[30/05] - Mesmo status
[24/05] - Mesmo status
[16/05] - Mesmo status
[10/05] - Mesmo status
[03/05] - Mesmo status
[25/04] - Mesmo status
[19/03] - Mesmo status
[12/4] - Aguardando aprovação do cliente 
[4/4] - Cliente solicita os logs em documento. Solicitado informações a equipe de MS. [29/03] - Mesmo status
[22/3] - Mesmo Status
[15/03] - Mesmo status
[08/03] - Encaminhado os logs dos servidores para George. Aguardando aprovação do cliente. 
[29/02] - Solicitado o processo de log dos servidores para equipe de MS.    
[23/02] - Aguardando resposta da equipe de aplicações para o processo de log dos servidores do tGuidance.                                                                                                                                    [16/02] - Agendado reunião de alinhamento com George                                           [10/02] - Mesmo status                                                                                                                                                                                                                                                                                                               02/02 - Mesmo status
26/01 - Mesmo status 
VERIFICAR COM O GEORGE
[05/10 – Dalton/Leandro] Aguardando Robson Costa com aceite do cliente para prosseguimento
[23/09 -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[18/09 – Leandro] faltando OK do cliente.
[16/09 - Leandro] Realizado follow-up presencial com Robson Costa, os mesmos mencionaram não terem conseguido o de acordo do cliente ainda.
</t>
  </si>
  <si>
    <t>[30/05] - Mesmo status
[23/05] - Conversado com equipe de TI e foi formalizado que o desenvolvimento da integração com o TG só poderá ser realizado após a entrega no polo Aspect.
[16/05] - Mesmo status
[10/05] - Mesmo status
[03/05] - Mesmo status
[25/4] - mesmo status
[19/04] - Mesmo Status
[12/4] - Aguardando a conclusão do POP
[4/4] - Mesmo status
[29/03] Mesmo status
[22/03] Mesmo status
[15/03] - Mesmo status
08/03 - Em hold
[29/02]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t>
  </si>
  <si>
    <t>[30/05] - Será agendado uma nova reunião de trabalho com a Nice nesta semana.
[24/05] - Realizado conferencia com a NIce para entendimento da documentação. Solicitado nova reunião de trabalho para semana do dia 30.
[16/05] - Mesmo status
[10/05] - Nice soliictou uma reunião para uma avaliação das EFs. Data prevista 17/5
[03/05] - Atualizado EF da integração do Ecadop com TTV. Aguradando aprovação para envio a Nice.
[25/04] - Aguardando aprovação das EFs (Negócio e Nice). 
[19/04] - Aguardando Nice enviar cronograma. Prazo TDB [12/4] -Aguardando envio da EF. Prazo 11/4 
[5/4] - Realizado reunião hoje com a Nice para alinhamento das integrações e foi defindo que na sexta-feira Adalton irá encaminhar a EF e após o recebimento Nice encaminha o cronograma. [29/03] - Nice solicita reunião no dia 30/3 para tratar as integrações (tClock; Ecadop). 
[22/03] Realizado reunião com Nice e alinhado as integrações que deveão ser realizadas. 
[15/03] - Aguardando reunião do Rivaldo com a Nice dia 17/03.
[08/03]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t>
  </si>
  <si>
    <t>[30/05] - Piloto iniciado dia 30/05. 
[23/05] - Inicio do piloto programado para 23/05.
 [16/05] - Inicio do piloto programado para 17/05. 
[09/05] - UAT iniciada. Prorrogada para 11/05. 
[02/05] - UAT iniciada. Termino dia 06/05.
[26/4] - em desenvolvimento
[19/04] - Em desenvolvimento
[12/4] - Em desenvolvimento
[04/04] Em desenvolvimento. Atraso devido à demora na liberação de usuário pela operação. 
Risco de atraso também devido a montagem do ambiente de desenvolvimento. Novo prazo de entrega 29/04/16.
[29/03] -  Usuários de sistemas envolvidos não foram enviados, portanto, haverá atraso. Aguardando previsão de envio para analisar impactos.
[22/03] - To Be validado.
[14/03] -  TO BE enviado para aprovação em 09/03/16. Em 11/03, negócios solicitou alteração no desenho. Previsão de envio para aprovação em 14/03/16. 
Não há impacto nas outras datas. 
[08/03] - Na execução do TO BE, identificamos falhas na EF. Aguardando envio de EF complementar para gerar cronograma.                                             01/03/16: Pendente desenho do TO BE.
22/02/16: PMO Negócios solicitou alteração no cronograma enviado no documento de OG no dia 19/02. Nova OG será enviada até 23/02.
12/02/16 - EF recebida , será enviada OG no dia 19/02/16
10/02 - Mesmo status
05/02 - EF em análise. Agendada sala de guerra para retirada de duvidas e fechamento da EF em 12/02
03/02 - A iniciar</t>
  </si>
  <si>
    <t>[30/05] - Piloto iniciado dia 30/05. 
[23/05] - Inicio do piloto programado para 23/05.
[16/05] - Inicio do piloto programado para 17/05. 
[09/05] - UAT iniciada. Prorrogada para 11/05. 
[02/05] - Em desenvolvimento. Inicio da UAT dia 04/05. 
[25/4] - Em desenvolvimento
[19/04] - Em desenvolvimento
[12/4] - Em desenvolvimento. Prazo de conclusão 3/5
[04/04] Em desenvolvimento
[29/03] - Em desenvolvimento
[22/03] - To Be ajustado pela equipe de desenvolvimento.
[14/03] TO BE em andamento 
[08/03] - Mesmo status
01/03/16: Pendente aprovação de OG.
22/02/16: Pendente revisão de EF.
12/02/2016  Primeira analise da EF concluída no dia 12/02  solicitado sala de guerra para retirada de dúvidas da EF. 
12/02 - A iniciar</t>
  </si>
  <si>
    <t>[30/05] - Equipe de TI aprovou a solução apresentada pela Avaya. Aguardando retorno do fornecedor para saber se haverá custo a solução.
[24/05] - No dia 20/05 Heitor solicitou a alteração de fornecedor alegando que a Information estava demorando muito para a entrega da solução. Heitor conversou com Avaya e solicitou uma reunião para entendimento da solução.
Na data de hoje foi realizado reunião com Avaya e ficou alinhado a entrega do desenho macro da solução no dia 25 e será avaliado a necessidade de custo pela Avaya.
[16/05] - Heitor solicitou uma nova reunião com a Information. Aguardando ok do fornecedor para dia 17/05.
[10/05] - Mesmo status
[03/05] - Projeto em andamento conforme planejado no cronograma.
[25/4] - Information esta avaliando as datas do cronograma e checar a viabilidade de alocação de recurso. Prazo de retorno 27/4.
[19/04] - Recebimento da Information EF e cronograma.  Elaboração e envio do cronograma de TI.
[12/4]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
[29/03] - Pendente envio do cronograma. Prazo 31/03.
[22/3] - Aguardando aprovação da Ana Coelho para a regra de negócios 
[15/03] - Solicitado cronograma para Information - Prazo de entrega 18/03. 
[08/03] - Realizada a reunião com o fornecedor Information para explicação da topologia. Aguardando envio das documentões para fornecedor desenhar EF. 
[29/02]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t>
  </si>
  <si>
    <t>[30/05] - Mesmo status
[24/05] - MEsmo status
[16/05] - Em levantamento de processos para a construção da EF
 [10/05] - Equipe de Negócio precisa abrir um chamado para cada solicitação e elaborar EF.
[03/05] - Demanda desmembrada da original 1478. Equipe de Negocio precisa abrir um chamado para cada solicitação
[25/04] - Aguardando priorização dos projetos
 [18/04] - Não será possível cumprir o planejadmento devido ao atraso na aprovação e a necessidade de ajustes, dos POPs 1601 e 1689. O novo replanejamento será publicado até o dia 25/04/16. 
[11/04] Data de TO BE replanejada devido ao atraso na entrega e validação dos TO BEs das outras demandas de Claro. Novo prazo 9/5
 [04/04] Replanejamento de datas devido à disponibilidade de recursos. Aguardando recurso para iniciar. 
[29/03] - Em fase de desenho de solução. 
Previsão de datas será publicado em 04/04/16. Aguradando Recurso</t>
  </si>
  <si>
    <t xml:space="preserve">{30/05] - Em piloto até 06/06. 
[23/05] - Em piloto. Foram identificadas oportunidades de melhorias que trarão redução de TMA; aguardando abertura do chamado.
 [16/05] - Em piloto até 25/05.
[09/05] - Testes internos e ajustes finalizados com sucesso. Ambiente e usuários estão ok para inicio do piloto em 11/05/16. 
[02/05] - Iniciamos os testes internos e idenficamos necessidade de fazer ajustes. Cronograma será estendido em 1 semana. 
[25/04] - Solicitado a equipe de negócios layout das PAs para o piloto. Prazo de envio TDB - Desenvolvimento concluído. Teste de conectividade será realizado nesta semana. Prazo de conclusão 29/04.
[18/04] - TO BE avaliado pela operação, ajustado e enviado para aprovação em 14/04/16. Desenvolvimento conforme cronograma.
[12/04] - TO BE enviado para aprovação em 08/04/16; previsão de retorno em 12/04/16. Em desenvolvimento conforme datas reprogramadas.
[04/04]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[29/03] - Pendente de envio do desenho do processo por parte de Negócios. Foi solicitada a sala de guerra para esclarecimento de dúvidas, ainda a ser agendada. </t>
  </si>
  <si>
    <t>[30/05] - Em piloto até 06/06. 
[23/05] - Em piloto. Foram identificadas oportunidades de melhorias que trarão redução de TMA; aguardando abertura do chamado.
[16/05] - Em piloto até 25/05. 
[09/05] - Testes internos e ajustes finalizados com sucesso. Ambiente e usuários estão ok para inicio do piloto em 11/05/16. 
[02/05] - Iniciamos os testes internos e identificamos necessidade de fazer ajustes. Cronograma será estendido em 1 semana. 
[25/04] - Solicitado a equipe de negócios layout das PAs para o piloto. Prazo de envio TDB - Desenvolvimento concluído. Teste de conectividade será realizado nesta semana. Prazo de conclusão 29/04.
[18/04] - TO BE avaliado pela operação, ajustado e enviado para aprovação em 14/04/16. Desenvolvimento conforme cronograma.
[11/04] TO BE ainda não validado pela operação; previsão 11/04/16. Em desenvolvimento conforme datas reprogramadas.
[04/04] Aguardando validação do TO BE pela operação. Previsto para 04/04/16. Desenvolvimento em andamento e estendido devido à complexidade encontrada. Data de UAT precisa ser validada pela operação.
[29/03] - Em desenvolvimento</t>
  </si>
  <si>
    <t>[30/05] - Mesmo status
[24/05] - MEsmo status
[16/05] - Em levantamento de processos para a construção da EF
[10/05] - Equipe de Negócio precisa abrir um chamado para cada solicitação e elaborar EF.
[03/05] - Demanda desmembrada da original 1478. Equipe de Negocio precisa abrir um chamado para cada solicitação
[25/04] - Aguardando priorização dos projetos
[18/04] - TO BE não iniciado devido ao atraso na validação, e a necessidade de ajustes, dos POPs 1601 e 1689. O novo replanejamento será publicado até o dia 25/04/16. 
[11/04] Data de TO BE replanejada devido ao atraso na entrega e validação dos TO BEs das outras demandas de Claro. Novo prazo 27/4.
[04/04] Replanejamento de datas devido à disponibilidade de recursos. Aguardando recurso para iniciar. 
[29/03] - Em fase de desenho de solução. 
Previsão de datas será publicado em 04/04/16. Aguradando Recurso</t>
  </si>
  <si>
    <t>[30/05] - Em desenvolvimento
[24/05] - Entregue cronograma para negócio
[16/05] - Documento de TI entregue. Alinhar com CSE data da entrega da Infra.
[10/05] - Negocios encaminhou documento com os prints de tela da ferramenta. Realizado reunião de kickoff com a equipe de Ti. Aguardando documento de engenharia 11/5
[03/05] - Solicitado documento com o detalhamento da solicitação. Prazo TDB
[26/4] - Aguardando envio da OG. Prazo 27/4.
[19/04] - Projeto encaminhado para a fila da equipe de aplicações. Aguardando retorno da OG. Prazo 20/4.14/04 - A iniciar</t>
  </si>
  <si>
    <t>[30/05] - Realizado questionamento sobre o campo Plano para operação no dia 24/05 e até o momento não tivemos retorno.
[24/05] - Em desenvolvimento
[16/05] - Entregue cronograma dia 16/5
[10/05] Pendente envio da OG. Prazo Após alinhamento de priorização.
28/04 - A iniciar</t>
  </si>
  <si>
    <t>Operção</t>
  </si>
  <si>
    <t>Cristiano</t>
  </si>
  <si>
    <r>
      <rPr>
        <sz val="11"/>
        <color theme="1"/>
        <rFont val="Calibri"/>
        <family val="2"/>
        <scheme val="minor"/>
      </rPr>
      <t>[30/05] - Equipe de engenharia concluiu o desnho da solução e estamos aguardando as datas da equipe de CSE para criarmos o cronograma.</t>
    </r>
    <r>
      <rPr>
        <b/>
        <sz val="11"/>
        <color theme="1"/>
        <rFont val="Calibri"/>
        <family val="2"/>
        <scheme val="minor"/>
      </rPr>
      <t xml:space="preserve">
</t>
    </r>
    <r>
      <rPr>
        <sz val="11"/>
        <color theme="1"/>
        <rFont val="Calibri"/>
        <family val="2"/>
        <scheme val="minor"/>
      </rPr>
      <t>[24/05] - Realizado kickoff com as áreas de TI. Aguardando priorização da equipe de engenharia</t>
    </r>
    <r>
      <rPr>
        <b/>
        <sz val="11"/>
        <color theme="1"/>
        <rFont val="Calibri"/>
        <family val="2"/>
        <scheme val="minor"/>
      </rPr>
      <t xml:space="preserve">
</t>
    </r>
    <r>
      <rPr>
        <sz val="11"/>
        <color theme="1"/>
        <rFont val="Calibri"/>
        <family val="2"/>
        <scheme val="minor"/>
      </rPr>
      <t>[16/05] - Agendado kickoff com as áreas de TI</t>
    </r>
    <r>
      <rPr>
        <b/>
        <sz val="11"/>
        <color theme="1"/>
        <rFont val="Calibri"/>
        <family val="2"/>
        <scheme val="minor"/>
      </rPr>
      <t xml:space="preserve">
</t>
    </r>
    <r>
      <rPr>
        <sz val="11"/>
        <color theme="1"/>
        <rFont val="Calibri"/>
        <family val="2"/>
        <scheme val="minor"/>
      </rPr>
      <t>[10/05] - Encaminhado projeto para a equipe de CSE</t>
    </r>
    <r>
      <rPr>
        <b/>
        <sz val="11"/>
        <color theme="1"/>
        <rFont val="Calibri"/>
        <family val="2"/>
        <scheme val="minor"/>
      </rPr>
      <t xml:space="preserve">
06/05 - A iniciar</t>
    </r>
  </si>
  <si>
    <t>CTXSPOAP407-15966</t>
  </si>
  <si>
    <t>CTXFORBM-361881</t>
  </si>
  <si>
    <t>31/05 - Liberações foram realizadas por fim.  Realizando testes internos e homologação estimada para dia 03/06
24/05 - Liberação de rede está pendente de liberação da Oi Cliente
17/05 - Apenas hoje foi liberada a rede. Estamos aguardando os testes da equipe de URA para finalização da primeira fase do projeto.
11/05 - Call marcada com o solicitante para hoje, definição de próximos passos
04/05 - Chamado de liberação das URLs aprovado por SI. Na fila de CSE Redes para atuação e, assim, continuação de testes pela equipe de desenvolvimento de URA
02/05 - Chamado com CSE Microsoft sem atuação desde 28/04
27/04 - Ocorreu erros no link, CSE Redes foi acionado. Está em análise desde 25/04, aguardando retorno.
19/04 - A partir da segunda-feira (18/04)
Desenvolvimento: 3 dias
Testes Unitários e funcionais: 2 dias
Previsão para homologação: 27/abr
12/04 - Mesmo status
06/04 - Estamos aguardando a liberação de proxy para iniciar os testes e retomar o cronograma. Ficamos parados grande parte do tempo aguardando a resposta do Cliente em relação a porta, proxy, envio de novo URL. 
29/03 - Aguardando informação do Tiago com a Oi para liberação da porta para prosseguirmos com os testes e homologação. 
"Bruno,
Tive retorno a pouco do Rubens da OI onde os mesmo irão criar “um novo acesso com IP público e assim que estiver disponível vamos informá-lo para que você solicite a liberação no seu proxy e possa executar os testes”.
"
14/03 - Alinhamento realizado. Aguardando retorno da equipe de desenvolvimento de URA quanto aos prazos para Base Fixa e Base Móvel
08/03 - Foram realizados os alinhamentos com engenharia. Hoje será realizado o alinhamento total (URA + ENG + Planejamento)
01/03 - Projeto aprovado pelo cliente em questão do desenvolvimento. Porém existem alguns custos adicionais que estão sendo verificados com a equipe de URA se é possível a redução. Em paralelo, os links estão sendo analisados pela equipe de Telecom
24/02 - Infelizmente na fila de Engenharia só conseguiremos iniciar a análise no dia 01/03.  
As primeiras demandas da fila de Engenharia são crescimentos, expansões, migrações e desmobilizações.
17/02 - Proposta da equipe de URA enviada à Cristiane Kuzuhara para aprovação. Com prazo em dias de 15 dias para implantação
10/02 - Aguardando resposta da equipe de URA
03/02 - A iniciar</t>
  </si>
  <si>
    <r>
      <t xml:space="preserve">Fase 1: </t>
    </r>
    <r>
      <rPr>
        <strike/>
        <sz val="11"/>
        <color theme="1"/>
        <rFont val="Calibri"/>
        <family val="2"/>
        <scheme val="minor"/>
      </rPr>
      <t>06/mai</t>
    </r>
    <r>
      <rPr>
        <sz val="11"/>
        <color theme="1"/>
        <rFont val="Calibri"/>
        <family val="2"/>
        <scheme val="minor"/>
      </rPr>
      <t xml:space="preserve">
</t>
    </r>
    <r>
      <rPr>
        <strike/>
        <sz val="11"/>
        <color theme="1"/>
        <rFont val="Calibri"/>
        <family val="2"/>
        <scheme val="minor"/>
      </rPr>
      <t>20/mai</t>
    </r>
    <r>
      <rPr>
        <sz val="11"/>
        <color theme="1"/>
        <rFont val="Calibri"/>
        <family val="2"/>
        <scheme val="minor"/>
      </rPr>
      <t xml:space="preserve">
03/jun
Fase 2: TBD</t>
    </r>
  </si>
  <si>
    <t>31/05 - Atualização ocorrida com sucesso, porém tivemos pendência do lado da ISYS em relação aos relatórios.  Aguardando normalização para fechamento do projeto
24/05 - Homologação ocorrida com sucesso. Em execução por TI: Iniciamos a atualização do Screen Pop do Santander para o site Antártica e finalizamos das PAs 3397 até 3508, total de 111 PAs. Nessa madrugada continuaremos.
No site Mackenzie só conseguiremos executar no dia 28, o ambiente todo.
17/05 - Mesmo status
11/05 - Reprogramado devido solicitação da operação. A homologação foi remarcada para dia 19/05, marcaremos a entrega de atualização da nova versão do SPOP em todas as PAS da operação no dia 31/05.
04/05 - Homologação marcada para dia 06/05 para finalização do projeto.
29/04 - Testes realizados e OK...
01/04 - Cronograma em andamento. Previsão de entrega - 13/05
29/02 - Desenvolvimento pela ISYS previsto para terminar em 15/04. Após isso será disponibilizado para testes e homologação. Depois de homologado, entrará as atividades do site TI prevista para início em 02/05
22/02 - Mesmo status
16/02 - Information repassou o Cronograma de desenvolvimeto da aplicação. Devido a complexibilidade, recebemos a previsão de implantação em produção em 13/05. Já alinhado com a operação (Veronica).
10/02 - Cronograma elaborado e andando conforme
02/02 - Aguardando elaboração de cronograma pela ISYS
[26/01] Pedido gerado. Aguardando cronograma da ISYS para execução
[17/11] Solicitações de compras geradas -&gt; Aguardando aprovações no fluig -&gt; Falta Ibrahim
[27/10– Bruno/Leandro] Em tratativa com controladoria  referente a SC, Information aguardando esse trâmite interno para dar inicio ao cronograma por parte deles.
[05/10 – Dalton/Leandro] Aguardando o “de acordo” do Cliente referente à Proposta da Information Systems para prosseguir com o Projeto.
[18/09 – Leandro] Aguardando o “de acordo” do Cliente referente à Pr Assim que se tiver esses usuários, se dará inicio nas movimentações.oposta da Information Systems para prosseguir com o Projeto.</t>
  </si>
  <si>
    <r>
      <rPr>
        <strike/>
        <sz val="11"/>
        <color rgb="FFFF0000"/>
        <rFont val="Calibri"/>
        <family val="2"/>
        <scheme val="minor"/>
      </rPr>
      <t>06/05/2016</t>
    </r>
    <r>
      <rPr>
        <sz val="11"/>
        <color theme="1"/>
        <rFont val="Calibri"/>
        <family val="2"/>
        <scheme val="minor"/>
      </rPr>
      <t xml:space="preserve">
19/05/2016
30/05/2016
03/06/2016</t>
    </r>
  </si>
  <si>
    <r>
      <rPr>
        <sz val="11"/>
        <color rgb="FFFF0000"/>
        <rFont val="Calibri"/>
        <family val="2"/>
        <scheme val="minor"/>
      </rPr>
      <t>Sim</t>
    </r>
    <r>
      <rPr>
        <sz val="11"/>
        <color theme="1"/>
        <rFont val="Calibri"/>
        <family val="2"/>
        <scheme val="minor"/>
      </rPr>
      <t xml:space="preserve">
Sim
Sim
Sim</t>
    </r>
  </si>
  <si>
    <t>31/05 - 2. Próximas etapas mapeadas?
A. Estamos programando a entrada da ferramenta em 175 PAs no site Boa Viagem - BA para o dia 20/jun  PAs configuradas com o CRM. Homologação a ser realizada até dia  03/jun
o SAC OI TV – 125 PAs
o NID – 50 PAs
B. Entrada de 63 PAs no site Santo Amaro nas operações Oi TV e Oi Contas para meado de junho, conforme abaixo  PAs serão configuradas com o CRM até dia 07/jun para homologação 
o 13/06 =&gt; 33 PAs BO Oi Tv 
o 15/06 =&gt; 30 PAs BO Oi Contas
C. Entrada de 60 PAs em Borges de Melo em 04/07 na operação Oi Fixo
D. Entrada de 35 PAs em João Pessoa em julho
o 11/07 =&gt; 10 PAs Empresarial B2B
o 18/07 =&gt; 25 PAs Empresarial B2B
25/05 – Nova solicitação de roll out em Santo Amaro. Em verificação com o site sobre  a possibilidade
17/05 - A data da entrada de operação na Bahia foi reprogramada para meados de junho (falta equipe de negócio confirmar). Aguardando homologação
Necessário fazer novo levantamento do parque de máquinas de todas as operações ´para verificarmos quais são as PAs aptas para entrada do CRM e estratégia de implantação
Decomissionamento: Realizando definições para envio à equipe de aplicações
11/05 - Aguardando retorno da operação para homologar as PAs da Bahia desde 09/mai. Sem retorno
PE: Operação funcionando normalemnte. 
Decomissionamento: Aguardando respostas do solicitante
02/05 - Mesmpo status para ambos estados, porém a soliciatção de entrada de nova operação não será possível.
27/04 - PE: Operação assistida dos operadores previstos para essa semana.  Foi solicitado pela Brigida entrada de nova operação.  Aguardando plano de roll out alinhado com a Oi para que TI possa analisar a viabilidade
BA: Configurações sendo realizadas na sala de treinamento, porém é necessário passar o login de rede dos operadores que realizarão o treinamento. Aguardando time de negócios 
Decomissionamento: Chamado em análise pela equipe de aplicações
20/04 - PE: Treinamento realizado pela operação, máquinas da operação configuradas, homologação prevista para hoje, operação inicia no dia 25. Disponibilização de rede para o cliente em andamento
BA: Configurações sendo realizadas na sala de treinamento, porém é necessário passar o login de rede dos operadores que realizarão o treinamento. Aguardando time de negócios 
Testes OSVC: Desenvolvimento realizado em 18/abr, testes agendados para a próxima semana (26,27)
Decomissionamento: Chamado aberto, incluindo na fila da equipe de aplicações, porém será necessário envio da EF por parte de negócios
13/04 - Máquinas de treinamento de PE configuradas e homologadas pela operação.
Treinamento sendo realizado até dia15/04.
Em paralelo estamos realizando a adequação das máquinas da operação em PE
06/04 - Cronograma alinhado com a equipe de negócio.
Pendências: 
Resultado dos testes no CTC em PE [Bruno Guerra, 06/abr]
Previsão de instalação do CRM nas máquinas do CTC em PE [Bruno Guerra, 08/abr]
Envio do layout de PE e BA [Brigida, 06/abr]
29/03 - PE:
Definições:
 Conseguimos 31PAs com os requisitos mínimos para a fase de estabilização do projeto;
 Treinamento será nos dias 12 e 13/abril no ECC (anexo do Santo Amaro)
Pendências:
1. Envio do layout com as PAs que serão utilizadas na operação para a fase de estabilização [Brígida]
2. Envio do plano de treinamento (salas, quantidade de PAs necessárias, etc) [Brígida]
Próximos passos:
o Após a resolução da pendência 1, conseguiremos elaborar um cronograma para troca das máquinas nas PAs solicitadas e instalação do CRM
o Após a resolução da pendência 2, conseguiremos elaborar estratégia para instalação do CRM nas PAs
Riscos
 Não é viável a utilização das mesmas PAs da operação para treinamento. Sendo assim, fica o ponto de atenção de não termos PAs adequadas para realização dos treinamentos
BA:
Definições:
 169 PAs na BA  (cenário é mais confortável já que o parque de maquinas é novo e o nosso prazo de implantação é 25/05)
 
Pendências:
1. Envio do layout com as PAs que serão utilizadas na operação para a fase de estabilização [Brígida]
2. Envio do plano de treinamento (salas, quantidade de PAs necessárias, etc) [Brígida]
Próximos passos:
o Após a resolução da pendência 1, conseguiremos elaborar um cronograma para troca das máquinas nas PAs solicitadas e instalação do CRM
o Após a resolução da pendência 2, conseguiremos elaborar estratégia para instalação do CRM nas PAs
14/03 - Mesmo status.
08/03 - Foi definida uma "Fase de estabilização" para abril em PE e em maio em BA.  Estamos realizando os alinhamentos das atividades necessárias para adequação das salas de treinamento e máquinas disponibilizadas
01/03 - Configuração já efetuadas para realização dos testes nos dias 01/03 e 02/03.
23/02 - . A Oi esta se planejando para realizar novos testes nos dias 01 e 02/03, precisaremos deixar nossa parte preparada para novos testes.
OBJETIVO PRINCIPAL:
Verificar se as novas informações disponibilizadas no servidor de contexto da Contax seriam enviadas corretamente ao OSvC, através da string do Front Fácil. Para a realização dos testes, foi necessário:
1. Viabilizar a transferência de chamadas de testes da URA Fixa
2. Adequar o FrontFácil para “popular” os campos da string com as novas informações
19/02 - Máquinas levantadas. Já com comercial para realizar proposta comercial.
A Oi fez os testes nas máquinas hoje com sucesso.
Próximos passos em definição
10/02 - Estamos levantando a quantidade de máquinas para Upgrade
02/02 - Foram levantados os custos de adequações das máquinas para suportar a aplicação nas regionais. Está com a equipe de comercial realizar a precificação. Em paralelo estamos realizando testes nas máquinas, performance e conectividade
28/01 - Call realizada. Está pendente a adequação das máquinas para aceitar a ferramente do OsVC... Plano de rollout já disponibilziado pela Oi, onde a primeira onda será em Recife (nosso pior cenário de máquinas)
26/01 - Mesmo status 
14/01 - Preencher o formulário de abertura de projeto</t>
  </si>
  <si>
    <t>31/05 - Mesmo status
17/05 - Aguardando homologação
12/05 - Proposta já foi aceita pelo cliente, já foi aberta SC e o pedido já foi gerado. Simulador em fase de homologação pelo cliente.
11/05 - Sem retorno do solicitante
02/05 - Sem retorno do solicitante
12/04 - Aguardando contato do solicitante
06/04 - Mesmo status
29/03 - Mesmo status
14/03 - Aguardando solicitação de compra por parte da operação
08/03 - Mesmo status
01/03 - EF não aprovada. Solicitado ao fornecedor novo desenho.
23/02 - Aguardando aprovação do solicitante quanto a EF 
10/02 - Em fase de definição de EF com a Lisandra
02/02 - Aguardando proposta comercial até amanhã (03/02)
29/01 - Enviado e-mail ao fornecedor solicitando proposta comercial
22/01 - Projeto novo em 22/01</t>
  </si>
  <si>
    <t>31/05 - Novo cronograma enviada. Aguardando aceite do cliente
19/05 - Proposta enviada. Aguardando aceite do solicitante
11/05 - Mesmo status
27/04 - Mesmo status
20/04 - Mesmo status
12/04 - Mesmo status
06/04 - Mesmo status
01/04 - Proposta enviada. Aguardando aceite do solicitante</t>
  </si>
  <si>
    <t>31/05 - Projeto será realizado após a implantação do projeto Fraseologias Autocompara
11/05 - Mesmo status
04/05 - Proposta aguardando suprimentos gerar o pedido
27/04 - Mesmo status
20/04 - Aguardando aprovação da proposta pelo solicitante
01/04 - Solicitada proposta ao fornecedor. Aguardando envio</t>
  </si>
  <si>
    <t>31/05 - Projeto concluído com sucesso
24/05 - Executado por TI. Aguardando homologação
16/05 - Insumos mapeados e solicitados. Licenças de TLV disponibilizadas para o crescimento.
Execução programada para 20/05</t>
  </si>
  <si>
    <t>31/05 - Aguardando análise técnica
20/05 - A iniciar</t>
  </si>
  <si>
    <t>31/05 - Em Piloto no Site Borges de Melo. Rollout no Site Santo Amaro. E Piloto no Site Mackenzie. 
24/05 -Cronograma reprogramada para 16/05. 
17/05 - Rollout Site João Pessoa finalizado. Redefinido o cronograma e houve atraso de 15 dias.
10/05 - Rollout Niterói finalizado. Iniciado Piloto em João Pessoa. 
02/05 - Piloto Santo Amaro inciado. Rollout Niterói programado para 04/05.
19/04 - Piloto Santo Amaro programado para início em 20/04.
12/04 - Piloto em andamento.
05/04 - Iniciado Piloto no Site Niterói 
29/03 - Cronograma em linha.
22/03 - Cronograma fechado. 
15/03 - Definindo cronograma. Entrega 16/03.
10/03 - Finalizada a EF. Aguardando data APP.
08/03 - Necessário conferência entre aplicações e buscando agenda para quarta.
02/03 - Ana fez a definição da solução a ser adotada;
Enviado para a área de aplicações para fazer entendimento e reprogramar cronograma.
22/02 - Ana informou que alinhará com PH no dia 23/02 para definir a solução a ser adotada. 
16/02 - Alinhado novo desenho de solução proposto pela área de APP. 
Aguardando definição do cliente.
11/02 - Ana informou à equipe q a solução desenhada não atende. 
- Rivaldo avaliando com a equipe.
10/02 - Em linha. 
03/02/2016 - Alinhamento das necessidades de definição de layout com a operação;
- Alexandre ainda não enviou a EF final, FUP realizado; 
- Operação já definiu mesagem a ser apresentada para o operador e aguarda EF para incluir;
- Operação já definiu "última transferência", após recebimento da EF será inserida na mesma.
28/01 - Fechamento do cronograma.
27/01 - Kickoff com os Sites. Envio do cronograma para validação (SItes e Aplicações)
26/01 - Mesmo status 
09/01/2016 - Início do tratamento do projeto.
Definição das etapas macro e avaliação da EF.
14/01/2016 - Kickoff com a participação da área de desenvolviemnto e operações para apresentação da solução desenhada.
Mudança de escopo, acordada entrega de nova EF dia 15/01/2016.
Envio do draft da solução para aprovação de operações.
18/01/2016 - Entrega da nova EF com o detalhamento da alteração de escopo.
Início da avaliação pela área de desenvolvimento.</t>
  </si>
  <si>
    <t>31/05 - Cronograma em linha. Agendada a homologação do desenvolvimento para o dia 01/06.
24/05 - Em desenvolvimento, Cronograma em linha.
17/05 - Aguardando posição da Operação (Juliano) para início do desenvolvimento da segunda fase.
10/05 - Aguardando finalização de homologação primeira fase projeto. Previsão 16/05.
03/05 - Início do desenvolvimento previsto para 06/05.
22/01/2016 - Desevolvimento se iniciará após entrega do Projeto CTXPOARB- 95971.</t>
  </si>
  <si>
    <t>31/05 - Agendado o início da atividade pela TQS para o dia 02/06. Prazo estimado de 2 semanas.
24/05 - preparando ambiente para TQS fazer acesso remoto. Previsão de início 30/05.
17/05 - TQS liberou a realização da atividade. Aguardando posicionamento de CSE para a disponibilizaçãodo ambiente. Data 19/05.
10/05 - Mesmo status.
03/05 - Mesmo status.
19/04 - TQS informou que só pode dar andamento do Projeto após o fechamento do contrato. Suprimentos ainda em negociação. Sem data
12/04 - Aguardando agenda TQS.
05/04 - Em aprovação pelo demandante.
29/03 - Mesmo status
21/03 - Aguardando proposta fornecedor.
11/03 - Enviadas as informações. Aguardando retorno APP.
10/03 - Em levantamento de informações do discador para fechamento do escopo e solicitação de proposta ao fornecedor.
08/03 - Definida a utilização de disca fácil+tGuidance. 
Em verificação com engenharia de pré-requisitos informados pela área. 03/03 - Aplicações enviará as informações de definições do projeto dia 03/03.
25/02 - Solicitado mais informações com relação ao ambiente Aspect.
Em levantamento informações do Discador Aspect para fechamento da avaliação pelo fornecedor. Novo contato com Engenharia 02/03. 
22/02 - Solicitado orçamento ao fornecedor TQS, sem data de envio.
16/02 - EF enviada para avaliação da área de desenvolvimento. Resposta 19/02.
10/02 - Providenciando EF - Elaine
02/01/2016 - Envio de solicitação de EF novamente.
26/01 - Mesmo status 
20/01/2016 - Em validação de EF.
21/01/2016 - EF sendo corrigida de acordo com a demanda.</t>
  </si>
  <si>
    <t>31/ 05 - Mesmo Status
24/ 05 - Mesmo Status
17/ 05 - Mesmo Status
10/05 - Mesmo status
19/04 - Mesmo status
29/03 - Mesmo status
10/03 - Orçamento finalizado. Aguardando aprovação do cliente.
08/03 - respondidos os questionamentos da Elaine e com base na resposta ela solicitou que fosse realizada uma alteração no orçamento. 
03/03 - Proposta enviada para área de negócios. Elaine enviou 2 questionamentos que estão sendo verificados por aplicações. Entrega 04/03.
26/02 - Aguardando orçamento TQS, data era 24/02. Enviada nova cobrança hoje.
18/02 - Liberado pela diretoria a precificação a ser realizada pela TQS. Sem data de entrega TQS.
16/02 - Informado à Diretoria a questão financeira. Será verificada.
TQS enviará a OG dia 18/02.
11/02 - Fechada a solução em conferência. TQS apresentará proposta para desenvolvimento. 
TQS informa que ainda não houve uma definição pela Contax com relação ao contrato de manutenção, só será possível fazer orçamento após essa definição.
10/02 - Conferência com fornecedor dia 11/02 para definir solução.
04/02/2016 - Conferência será reagendada para 11/04/2016.
03/02/2016 - Não foi possível realizar conferência. Agendada para o dia 04/02.
29/02/2016 - Feita nova rodada de negociação técnica para definição da solução a ser adotada. Nova conferênica agendada para 03/02/2016.
26/01/2016 - Em validação de EF com fornecedor e negócios
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t>
  </si>
  <si>
    <t>31/ 05 - Mesmo Status
24/ 05 - Mesmo Status
17/ 05 - Mesmo Status 
10/05 - Mesmo status
19/04 - Mesmo status
29/03 - Mesmo status
10/03 - Orçamento finalizado. Aguardando aprovação do cliente.
08/03 - respondidos os questionamentos da Elaine e com base na resposta ela solicitou que fosse realizada uma alteração no orçamento.
03/03 - Proposta enviada para área de negócios. Elaine enviou 2 questionamentos que estão sendo verificados por aplicações. Entrega 04/03.
26/02 - Aguardando orçamento TQS, data era 24/02. Enviada nova cobrança hoje.
18/02 - Liberado pela diretoria a precificação a ser realizada pela TQS. Sem data de entrega TQS.
16/02 - Informado à Diretoria a questão financeira. Será verificada.
TQS enviará a OG dia 18/02.
11/02 - Fechada a solução em conferência. TQS apresentará proposta para desenvolvimento.
TQS informa que ainda não houve uma definição pela Contax com relação ao contrato de manutenção, só será possível fazer orçamento após essa definição.
10/02 - Idem.
04/02/2016 - Conferência será reagendada para 11/04/2016.
29/02/2016 - Feita nova rodada de negociação técnica para definição da solução a ser adotada. Nova conferênica agendada para 03/02/2016.
26/01/2016 - Em validação de EF com fornecedor e negócios
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t>
  </si>
  <si>
    <t>31/ 05 - Mesmo Status
24/ 05 - Mesmo Status
17/ 05 - Mesmo Status
10/05 - Cronograma em linha.
03/05 - Cronograma em linha.
26/04 - Cronograma em linha.
12/04 - Cronograma em linha.
04/04 - Realizado Kickoff do Projeto. Em andamento.
29/03 - Mesmo status
21/03 - Cronograma em criação pela área desenvolvimento. Data: 31/03
15/03 - Recebida aprovação do cliente. Cronograma em confecção. Data 17/03.
08/03 - Aguardando resposta do Cliente
26/02 - Aguardando resposta cliente.
18/02 - Respostas enviadas. Aguardando aprovação do cliente.
16/02 - Negócios solicitou a informação da validade da proposta e tempo estimado de implantação. Encaminhado à área de URA.
04/10 - Operação avaliando custos. (Anthonny)
02/02/2016 - Envio dos custos para operação, aguardando avaliação.
27/01/2016 - Kickoff agendado para 01/02/2016.
19/01/2016 - Verificado que a URA CO não está sob a tutela de nosso contrato de desenvolvimento OI. Será necessário criar proposta ou incluir a mesma no contrato.
20/01/2016 - Anthonny verificará a possibilidade de propormos a inclusão dessa URA no pool de desenvolvimento de URAs da OI.
26/01/2016 - Envio do status da operação para desenvolvimento; "decisão da operação pela não inclusão dessa URA no Pool".
Devolutiva para verificação de caminho a seguir, desenvolver, solicitar código à Avaya ou orçar com Avaya.</t>
  </si>
  <si>
    <t>31/ 05 - Mesmo Status
24/05 - Após a validação de espaço em outro polo, operação não aprovou. Volta ao status de Hold, aguardando polo Aspect 7.3.
17/05 - Avaliando disponibilidade de licenças em outro Polo. Data 19/05
10/05 - Mesmo status.
03/05 -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10/03 - Validado pela engenharia, operação será no Polo Prado. 
08/03 - Em validação de possibilidade de colocar operação no Polo Aspect Prado.
03/03 - EF será disponibilizada 18/03.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</si>
  <si>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31/ 05 - Mesmo Status
24/05 - Pedido enviado ao fornecedor no dia 19/05. Previsão de entrega do ambiente para URAS: 16/06.
17/ 05 - Mesmo Status
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03/03 - Área de URA entrega informações de uso do banco de dados 03/03.
26/02 - Recebida OG de Telecom. Aguardando avaliação BD do ambiente NGR. Buscando data de entrega da avaliação pela engenharia.
18/02 - Definido que não será necessário utilizar ICR.
- OG de CSE em montagem (26/02)
16/02 - Solicitado à área de URAS o encaminhamento das chamadas para avaliação com planejamento. (19/02).
11/02 - Enviado questionamento de utilização de ICR para área de roteamento.(Julio)
05/02 - Disponibilizada EF - Àrea de aplicações avaliando
26/01 - Mesmo status 
14/01 - Agurando confecção da EF</t>
  </si>
  <si>
    <t>31/ 05 - Mesmo Status
24/05 - Pedido enviado ao fornecedor no dia 19/05. Previsão de entrega do ambiente para URAS: 16/06.
17/ 05 - Mesmo Status
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pela Engenharia.
23/02 - Aguardando informações área de negócios.
16/02 - Solicitado à área de URAS o encaminhamento das chamadas para avaliação com planejamento. (19/02).
11/02 - Enviado questionamento de utilização de ICR para área de roteamento.
05/02 - Disponibilizada EF - Àrea de aplicações avaliando
26/01 - Mesmo status 
14/01 - Agurando confecção da EFc</t>
  </si>
  <si>
    <t>31/ 05 - Mesmo Status
24/05 - Pedido enviado ao fornecedor no dia 19/05. Previsão de entrega do ambiente para URAS: 16/06.
17/ 05 - Mesmo Status
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pela Engenharia.
03/03 - Área de URA entrega informações de uso do banco de dados 03/03.
26/02 - Aguardando OG CSE e avaliação de BD do ambietne NGR.
18/02 - Definido que não será necessário utilizar ICR.
16/02 - Solicitado à área de URAS o encaminhamento das chamadas para avaliação com planejamento. (19/02).
11/02 - Enviado questionamento de utilização de ICR para área de roteamento.(Julio)
27/01 -Disponibilizada EF e inserida no chamado.
26/01 - Mesmo status 
14/01 - Agurando confecção da EF. 
20/01/2016 - Insumos de Telecom já disponibilizados. Continuamos aguardando EF.</t>
  </si>
  <si>
    <t>31/ 05 - Mesmo Status
24/ 05 - Mesmo Status.
17/ 05 - Mesmo Status
10/05 - Mesmo status.
29/03 - Mesmo status.
15/03 - Solicitado pela Tatiane que o Projeto seja colocado em hold pois o cliente não tem ainda o layout do mailing para a confecção da EF.
08/03 - Aguardando EF
03/03 - Aguardando EF.
22/02 - Faltam ainda informações que estão sendo levantadas pela Tatiane.
16/02 - Anderson enviará os custos no dia 16/02.
11/02 - Anderson enviará a EF com o entendimento da necessidade e após validação será gerado o custo.
04/02 - Enviadas as informações faltantes solicitadas pelo fornecedor para a precificação. (Julio)
- em avaliação a possibilidade de utilizar o tBPM.
02/02/2016 - Realização de conferência com o Fornecedor;
- Tatiane providenciará a criação das árvores de perfilamento;
29/01/2016 - Fornecedor enviou dúvidas com relação a EF, já respondidas pela Elaine.
26/01/2016 - Verificado com Fabiana Carla e há a ncessidade de acionamento de fornecedor para verificação do desenvolvimento.
Fabiana informou que o acionamento não é feito por ela.
Enviada EF para o fornecedor avaliar, data estimada de devolução 28/01/2016.
21/01/2016 - Verificado com o Luiz Washington o acionamento e ele verificará e retornará no dia 22/01/2016.
22/01/2016 - Luiz retornou que não tem histórico nem recurso que conhece aplicação para dar andamento.
26/01/2016 - envio da EF para o Fornecedor avaliar.</t>
  </si>
  <si>
    <t>31/ 05 - Aguardando posição área negócios.
24/ 05 - Mesmo Status.
17/05 - Fornecedor fez um alinhamento com relação à solução que deve ser repassado à cliente
10/05 - Cliente solicitou mudanças. Alinhamento a ser realizado com o fornecedor 11/05.
26/04 - EF confeccionada. Aguardando aprovação do cliente.
19/04 - aguardando confecção EF fornecedor. 
12/04 - Mesmo status
28/03 - Fornecedor realizaou as alterações. Em validação pelo Lucas Lourenço.
22/03 - Lucas enviou as alterações a serem feitas. Aguardando atuação do fornecedor.
10/03 - EF enviada pelo fornecedor. Aguardando validação Lucas Lourenço.
08/03 - Fornecedor enviou alguns questionamentos que Lucas está buscando.
01/03 - Lucas enviou as informações para fornecedor. Aguardando proposta. Sem data.
16/02 - Mesmo Status
01/02/2016 - Em revisão das especificações pelo demandante. (Lucas Lorencato)
28/01/2016 - Verificando responsável pelo projeto por parte de operações.
26/01/2016 - Verificado com Fabiana Carla e há a ncessidade de acionamento de fornecedor para verificação do desenvolvimento.
Fabiana informou que o acionamento não é feito por ela.
Enviada EF para o fornecedor avaliar, data estimada de devolução
21/01/2016 - Verificado com o Luiz Washington o acionamento e ele verificará e retornará no dia 22/01/2016.</t>
  </si>
  <si>
    <t>31/05 - Agendado o início da homologação para o dia 01/06. Previsão de homologação em 5 dias.
24/ 05 - Finalizado desenvolvimento Avaya. Alinhando início do Piloto.
17/ 05 - Mesmo Status
10/05 - Em desenvolvimento. Data entrega 30/06.
19/04 - Mesmo status.
12/04 - Aprovada SC Avaya. Avaya criando cronograma.
04/04 - Mesmo status
08/03 - Mesmo status
03/02 - Finalizada documentação Telecom para implantação.
Em aprovação proposta Avaya para configuração da URA.
26/02 - Nova data de validação por Engenharia e CSE - 26/02.
22/02 - Em aprovação proposta Avaya,
Em valiação por CSE da parte Telecom (25/02)
16/02 - Mesmo status
11/02 - Rodrigo verificou demandas no mesmo ambiente e não há concomitância de especificações técnicas entre demandas.
Solictei volume para estudo pela área de URA. (Rodrigo)
10/02 - Em avaliação.
03/02 - Rodrigo avaliará a real necessidade da demanda em comparação com outras 2 demandas para a mesma URA (CO).
02/02/2016 - Dificuldade de contato com Rodrigo, demandante.
01/02/2016 - Em conversa com o Gerson verifiquei a necessidade de levantar mais informações para darmos andamento. FAlar com Rodrigo.
27/01/2016 - aguardando retorno Avaya.
26/01/2016 - Início do tratamento da demanda.
21/02/2016 - Solicitada à Avaya a atualização da proposta de desenvolvimento que é de 16/09/2015 e tinha validade de 60 dias.</t>
  </si>
  <si>
    <t>31/ 05 - Mesmo Status
24/05 - Após a validação de espaço em outro polo, operação não aprovou. Volta ao status de Hold, aguardando polo Aspect 7.3.
17/05 - Avaliando disponibilidade de licenças em outro Polo. Data 19/05
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03/03 - Data de entrega aplicações 29/06. Aguardando redefinição de filas de prioridade para montar cronograma.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</si>
  <si>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31/ 05 - Mesmo Status
24/05 - Após a validação de espaço em outro polo, operação não aprovou. Volta ao status de Hold, aguardando polo Aspect 7.3.
17/05 - Avaliando disponibilidade de licenças em outro Polo. Data 19/05
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01/03 - Ef será entregue dia 25/03.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</si>
  <si>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31/ 05 - Mesmo Status
24/05 - Após a validação de espaço em outro polo, operação não aprovou. Volta ao status de Hold, aguardando polo Aspect 7.3.
17/05 - Avaliando disponibilidade de licenças em outro Polo. Data 19/05
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01/03 EF será entegue dia 01/04.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</si>
  <si>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31/ 05 - Mesmo Status
24/05 - Mesmo status
17/05 - Mesmo status
10/05 - Mesmo status.
03/05 - Mesmo status.
26/04 - Realizada reunião com o cliente. Alinhados alguns pontos e enviadas informações para início de desenvolvimento por parte da MS.
Aguardando discussão VW para alinhamento do "modus operandi" com relação ao chat. 
12/04 - VW solicita reunião para 20/04. Buscando recursos.
05/04 - Agendado kickoff para 06/04.
01/04 - A iniciar</t>
  </si>
  <si>
    <t>31/ 05 - Mesmo Status
24/05 - Pedido enviado ao fornecedor no dia 19/05. Previsão de entrega do ambiente para URAS: 16/06.
17/05 - Mesmo status.
10/05 - Mesmo status.
03/05 - Confirmada a disponibilidade de ICR. Em andamento aquisição de memória.
26/04 - Em estudo disponibilidade de ICR e Infra.
19/04 - Avaliação de ambiente ICR em andamento.
11/04 - A iniciar</t>
  </si>
  <si>
    <t>31/ 05 - Mesmo Status
24/05 - Mesmo status.
17/05 - Mesmo status.
10/05 - Data prevista de execução: 26/05.
03/05 - Na fila de CSE para execução. Aguardando andamento do Projeto Ura OI Total.
27/04 - A iniciar</t>
  </si>
  <si>
    <r>
      <rPr>
        <sz val="11"/>
        <color theme="1"/>
        <rFont val="Calibri"/>
        <family val="2"/>
        <scheme val="minor"/>
      </rPr>
      <t>31/ 05 - Em fase de levantamento das informações para a criação da operação no tGuidance. Previsão 03/06. 
24/05 - Mesmo status.
17/05 - Em avaliação áreas técnicas.</t>
    </r>
    <r>
      <rPr>
        <b/>
        <sz val="11"/>
        <color theme="1"/>
        <rFont val="Calibri"/>
        <family val="2"/>
        <scheme val="minor"/>
      </rPr>
      <t xml:space="preserve">
</t>
    </r>
    <r>
      <rPr>
        <sz val="11"/>
        <color theme="1"/>
        <rFont val="Calibri"/>
        <family val="2"/>
        <scheme val="minor"/>
      </rPr>
      <t>06/05 - A iniciar</t>
    </r>
  </si>
  <si>
    <r>
      <rPr>
        <sz val="11"/>
        <color theme="1"/>
        <rFont val="Calibri"/>
        <family val="2"/>
        <scheme val="minor"/>
      </rPr>
      <t>31/ 05 - Aguradando aprovação da Diretoria para abertura de demanda na controladoria para a aquisição de licenças do Evalyze.
24/05 - Mesmo status.
17/05 - Em avaliação áreas técnicas.</t>
    </r>
    <r>
      <rPr>
        <b/>
        <sz val="11"/>
        <color theme="1"/>
        <rFont val="Calibri"/>
        <family val="2"/>
        <scheme val="minor"/>
      </rPr>
      <t xml:space="preserve">
</t>
    </r>
    <r>
      <rPr>
        <sz val="11"/>
        <color theme="1"/>
        <rFont val="Calibri"/>
        <family val="2"/>
        <scheme val="minor"/>
      </rPr>
      <t>06/05 - A iniciar</t>
    </r>
  </si>
  <si>
    <r>
      <rPr>
        <sz val="11"/>
        <color theme="1"/>
        <rFont val="Calibri"/>
        <family val="2"/>
        <scheme val="minor"/>
      </rPr>
      <t>31/ 05 - Solução criada. Aguardando informações aplicações para agendar testes. Previsão da chegada das informações 01/06.
24/05 - Em avaliação áreas técnicas.
17/05 - Em avaliação áreas técnicas.</t>
    </r>
    <r>
      <rPr>
        <b/>
        <sz val="11"/>
        <color theme="1"/>
        <rFont val="Calibri"/>
        <family val="2"/>
        <scheme val="minor"/>
      </rPr>
      <t xml:space="preserve">
</t>
    </r>
    <r>
      <rPr>
        <sz val="11"/>
        <color theme="1"/>
        <rFont val="Calibri"/>
        <family val="2"/>
        <scheme val="minor"/>
      </rPr>
      <t>06/05 - A iniciar</t>
    </r>
  </si>
  <si>
    <r>
      <rPr>
        <sz val="11"/>
        <color theme="1"/>
        <rFont val="Calibri"/>
        <family val="2"/>
        <scheme val="minor"/>
      </rPr>
      <t>31/ 05 - Mesmo Status
24/05 - Mesmo status.
17/05 - EF em confeccção.</t>
    </r>
    <r>
      <rPr>
        <b/>
        <sz val="11"/>
        <color theme="1"/>
        <rFont val="Calibri"/>
        <family val="2"/>
        <scheme val="minor"/>
      </rPr>
      <t xml:space="preserve">
</t>
    </r>
    <r>
      <rPr>
        <sz val="11"/>
        <color theme="1"/>
        <rFont val="Calibri"/>
        <family val="2"/>
        <scheme val="minor"/>
      </rPr>
      <t>06/05 - A iniciar</t>
    </r>
  </si>
  <si>
    <t>31/ 05 - Mesmo Status
24/05 - Mesmo Status.
17/05 - Mesmo Status.
10/05 - Reaberto. Aguardando accenture.
03/05 - Concluído.
19/04 - Mesmo status.
08/03 - Mesmo status
01/02 - Piloto em andamento com atuação da accenture para resolver problemas de integração. 
22/02 - Operação tem espectativa de fechar Piloto até 26/02
11/02 - Piloto em andamento.
01/02/2016 - Houve problemas em formatos de campos esperados na integração. Testes a serem realizados hoje e início do Piloto agendado para amanhã, 02/03/2016.
26/01/2016 - Realizando configurações para realização do Piloto.</t>
  </si>
  <si>
    <t>CTXFORBM-389611</t>
  </si>
  <si>
    <t>CTXFORBM-390827</t>
  </si>
  <si>
    <t>CTXFORBM-390831</t>
  </si>
  <si>
    <t>CTXFORBM-391074</t>
  </si>
  <si>
    <t>CTXFORBM-391070</t>
  </si>
  <si>
    <t>CTXFORBM-391303</t>
  </si>
  <si>
    <t>CTXFORBM-391068</t>
  </si>
  <si>
    <t>CTXFORBM-391055</t>
  </si>
  <si>
    <t>CTXFORBM-391050</t>
  </si>
  <si>
    <t>CTXFORBM-390836</t>
  </si>
  <si>
    <t>CTXFORBM-390840</t>
  </si>
  <si>
    <t>CTXFORBM-391041</t>
  </si>
  <si>
    <t>CTXFORBM-391042</t>
  </si>
  <si>
    <t>CTXFORBM-391305</t>
  </si>
  <si>
    <t>CTXFORBM-391030</t>
  </si>
  <si>
    <t>CTXFORBM-391020</t>
  </si>
  <si>
    <t>CTXFORBM-391018</t>
  </si>
  <si>
    <t>CTXFORBM-391009</t>
  </si>
  <si>
    <t>CTXFORBM-390995</t>
  </si>
  <si>
    <t>CTXFORBM-390986</t>
  </si>
  <si>
    <t>CTXFORBM-390982</t>
  </si>
  <si>
    <t>CTXFORBM-390845</t>
  </si>
  <si>
    <t>CTXFORBM-390846</t>
  </si>
  <si>
    <t>CTXFORBM-390979</t>
  </si>
  <si>
    <t>CTXFORBM-390974</t>
  </si>
  <si>
    <t>CTXFORBM-390848</t>
  </si>
  <si>
    <t>CTXFORBM-390849</t>
  </si>
  <si>
    <t>CTXFORBM-390851</t>
  </si>
  <si>
    <t>CTXFORBM-390862</t>
  </si>
  <si>
    <t>CTXFORBM-390853</t>
  </si>
  <si>
    <t>CTXFORBM-390860</t>
  </si>
  <si>
    <t>CTXFORBM-390854</t>
  </si>
  <si>
    <t>CTXFORBM-390856</t>
  </si>
  <si>
    <t>CTXFORBM-390857</t>
  </si>
  <si>
    <t>ST VOZ + QUALITY ST - Migração</t>
  </si>
  <si>
    <t>ST VOZ - Migração</t>
  </si>
  <si>
    <t>ST VELOX - Migração</t>
  </si>
  <si>
    <t>ST AVANÇADO - Crescimento</t>
  </si>
  <si>
    <t>RETENÇÃO OCT - Crescimento</t>
  </si>
  <si>
    <t>RETENÇÃO OI TOTAL - Crescimento</t>
  </si>
  <si>
    <t>RETENÇÃO LOJA MOBILIDADE - Migração</t>
  </si>
  <si>
    <t>ILHA DE RECEITA FIXO R1 - Migração</t>
  </si>
  <si>
    <t>RETENÇÃO OI CONTROLE - Migração</t>
  </si>
  <si>
    <t>REVERSÃO ATIVO CONTROLE - Migração</t>
  </si>
  <si>
    <t>RETENÇÃO 3G - Migração</t>
  </si>
  <si>
    <t>RETENÇÃO CONTROLE - Crescimento</t>
  </si>
  <si>
    <t>REVERSÃO ATIVO TV - Crescimento</t>
  </si>
  <si>
    <t>WLL - Migração</t>
  </si>
  <si>
    <t>BO MOBILIDADE - Migração</t>
  </si>
  <si>
    <t>ROBO PORTABILIDADE - Migração</t>
  </si>
  <si>
    <t>ST VOZ / ST FIXO - Migração</t>
  </si>
  <si>
    <t>ST VOZ + QUALITY ST + Quality ST Off Line - Migração</t>
  </si>
  <si>
    <t>ATIVOS DE REVERSÃO (FIXO, VELOX, TV e MOVEL) - Crescimento</t>
  </si>
  <si>
    <t>RETENÇÃO OI TOTAL - Migração</t>
  </si>
  <si>
    <t>RAC R2 - Migração</t>
  </si>
  <si>
    <t>RAC R1 - Migração</t>
  </si>
  <si>
    <t>BLINDAGEM OI TOTAL 3P - Migração</t>
  </si>
  <si>
    <t>BLINDAGEM PROPENSO R2 - Migração</t>
  </si>
  <si>
    <t>RETENÇÃO PÓS MÓVEL - Migração</t>
  </si>
  <si>
    <t>RETENÇÃO OCT - Migração</t>
  </si>
  <si>
    <t>RETENÇÃO 4P - Crescimento</t>
  </si>
  <si>
    <t>RETENÇÃO INVOL FIXO R2 (RESERVA) - Crescimento</t>
  </si>
  <si>
    <t>RETENÇÃO INVOL FIXO R2 (RESERVA) - Migração</t>
  </si>
  <si>
    <t>RETENÇÃO INVOL FIXO R1 - Migração</t>
  </si>
  <si>
    <t>RETENÇÃO INVOL MÓVEL - Crescimento</t>
  </si>
  <si>
    <t>PORTABILIDADE BO MOBILIDADE - Crescimento</t>
  </si>
  <si>
    <t>BO PORTABILIDADE PRODUTIVIDADE - Crescimento</t>
  </si>
  <si>
    <t>BO PORTABILIDADE PRODUTIVIDADE - Migração</t>
  </si>
  <si>
    <t>PORTABILIDADE MÓVEL (PÓS+OCT) - Crescimento</t>
  </si>
  <si>
    <t>PORTABILIDADE MÓVEL (PÓS+OCT) - Migração</t>
  </si>
  <si>
    <t>PORTABILIDADE FIXO E VELOX (UNIFICADA) - Crescimento</t>
  </si>
  <si>
    <t>BO MOBILIDADE - Crescimento</t>
  </si>
  <si>
    <t>ILHA DE RECEITA FIXO R2 - Crescimento</t>
  </si>
  <si>
    <t>Marcelo Siqueira / Bruno Guerra</t>
  </si>
  <si>
    <t>31/05 - Finalizando.</t>
  </si>
  <si>
    <r>
      <rPr>
        <b/>
        <sz val="11"/>
        <color theme="1"/>
        <rFont val="Calibri"/>
        <family val="2"/>
        <scheme val="minor"/>
      </rPr>
      <t xml:space="preserve">31/05 - </t>
    </r>
    <r>
      <rPr>
        <sz val="11"/>
        <color theme="1"/>
        <rFont val="Calibri"/>
        <family val="2"/>
        <scheme val="minor"/>
      </rPr>
      <t>Está em comitê de aprovação.
24/05 -</t>
    </r>
    <r>
      <rPr>
        <b/>
        <sz val="11"/>
        <color theme="1"/>
        <rFont val="Calibri"/>
        <family val="2"/>
        <scheme val="minor"/>
      </rPr>
      <t xml:space="preserve"> </t>
    </r>
    <r>
      <rPr>
        <sz val="11"/>
        <color theme="1"/>
        <rFont val="Calibri"/>
        <family val="2"/>
        <scheme val="minor"/>
      </rPr>
      <t>Está em comitê de aprovação. 
17/05 - Desde: 04/03/2016 - Aguardando aprovação do comitê de Caixa para envio do Pedido de compra. Sendo verificado  renovação de contrato com a TQS.
10/05 - Sendo incluso no fluxo de OG perante a última EF anexada no dia 09/05/2016 pelo solicitante Rodrigo Ribeiro. Em análise com TI / Fornecedor.
03/05 -</t>
    </r>
    <r>
      <rPr>
        <b/>
        <sz val="11"/>
        <color theme="1"/>
        <rFont val="Calibri"/>
        <family val="2"/>
        <scheme val="minor"/>
      </rPr>
      <t xml:space="preserve"> </t>
    </r>
    <r>
      <rPr>
        <sz val="11"/>
        <color theme="1"/>
        <rFont val="Calibri"/>
        <family val="2"/>
        <scheme val="minor"/>
      </rPr>
      <t>Conforme solicitante,  a EF do TLV Blended será revista e anexada até o dia 06/05. 
25/04 - Solicitado a confirmação  da  importância/prioridade deste projeto e respectivo anexo no tprocess da documentação em falta: EF Revalidada e Aprovação de Comitê. Caso não tenhamos a EF/informação disponibilizada em 15 dias esse chamado será cancelado/fechado. 
19/04 - Mesmo status</t>
    </r>
    <r>
      <rPr>
        <b/>
        <sz val="11"/>
        <color theme="1"/>
        <rFont val="Calibri"/>
        <family val="2"/>
        <scheme val="minor"/>
      </rPr>
      <t xml:space="preserve">
</t>
    </r>
    <r>
      <rPr>
        <sz val="11"/>
        <color theme="1"/>
        <rFont val="Calibri"/>
        <family val="2"/>
        <scheme val="minor"/>
      </rPr>
      <t>12/04 -</t>
    </r>
    <r>
      <rPr>
        <b/>
        <sz val="11"/>
        <color theme="1"/>
        <rFont val="Calibri"/>
        <family val="2"/>
        <scheme val="minor"/>
      </rPr>
      <t xml:space="preserve"> </t>
    </r>
    <r>
      <rPr>
        <sz val="11"/>
        <color theme="1"/>
        <rFont val="Calibri"/>
        <family val="2"/>
        <scheme val="minor"/>
      </rPr>
      <t>Comitê, conforme interação com a analista de Projetos Contax - Sem previsão.
04/04 - Comitê
28/03 -</t>
    </r>
    <r>
      <rPr>
        <b/>
        <sz val="11"/>
        <color theme="1"/>
        <rFont val="Calibri"/>
        <family val="2"/>
        <scheme val="minor"/>
      </rPr>
      <t xml:space="preserve"> </t>
    </r>
    <r>
      <rPr>
        <sz val="11"/>
        <color theme="1"/>
        <rFont val="Calibri"/>
        <family val="2"/>
        <scheme val="minor"/>
      </rPr>
      <t>Comitê
15/03- Comitê
23/02 -</t>
    </r>
    <r>
      <rPr>
        <b/>
        <sz val="11"/>
        <color theme="1"/>
        <rFont val="Calibri"/>
        <family val="2"/>
        <scheme val="minor"/>
      </rPr>
      <t xml:space="preserve"> </t>
    </r>
    <r>
      <rPr>
        <sz val="11"/>
        <color theme="1"/>
        <rFont val="Calibri"/>
        <family val="2"/>
        <scheme val="minor"/>
      </rPr>
      <t>Mesmo status em relação a TI pela análise de Engenharia, porém demanda está no momento em Comitê.</t>
    </r>
    <r>
      <rPr>
        <b/>
        <sz val="11"/>
        <color theme="1"/>
        <rFont val="Calibri"/>
        <family val="2"/>
        <scheme val="minor"/>
      </rPr>
      <t xml:space="preserve">
</t>
    </r>
    <r>
      <rPr>
        <sz val="11"/>
        <color theme="1"/>
        <rFont val="Calibri"/>
        <family val="2"/>
        <scheme val="minor"/>
      </rPr>
      <t xml:space="preserve">15/02 - Solicitante Rodrigo não conseguiu participar da Conferência, aguardando o retorno da  operação perante esta definição desde o dia 21/01.
10/02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 xml:space="preserve">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t>
    </r>
    <r>
      <rPr>
        <b/>
        <sz val="11"/>
        <color theme="1"/>
        <rFont val="Calibri"/>
        <family val="2"/>
        <scheme val="minor"/>
      </rPr>
      <t xml:space="preserve">A solução encontrada é migrar as 02 operações para o Polo Pernambuco onde poderemos efetuar tanto o crescimento do Velox e Fixo, além da implantação da OI TV, </t>
    </r>
    <r>
      <rPr>
        <b/>
        <u/>
        <sz val="11"/>
        <color theme="1"/>
        <rFont val="Calibri"/>
        <family val="2"/>
        <scheme val="minor"/>
      </rPr>
      <t>foram informadas as premissas para a operação, aguardando o retorno.</t>
    </r>
    <r>
      <rPr>
        <sz val="11"/>
        <color theme="1"/>
        <rFont val="Calibri"/>
        <family val="2"/>
        <scheme val="minor"/>
      </rPr>
      <t xml:space="preserve">
18/12 - Em Comitê.
24/11 - Em Comitê.
Em paralelo, está sendo realizado interações com o Fornecedor peraante as regras de Negócios, Infra , Discador.
17/11 - Aguardando retorno do cliente perante a análise da proposta do fornecedor, interação referente as regras de negócio e verificando questões de licença
30/10 - Proposta enviada pelo Fornecedor. Em análise. Estimativa de OG. AGUARDANDO OK PARA CONTRATAÇÃO DA TQS. DISCUSSÃO DE LINKS LICENÇAS DISCADOR.
13/10 - Em comitê
06/10 - Em Comitê
29/09 - Em fase de Aprovação da Proposta Comercial
----------------------------------------------
22/09 - 1) Não temos licenças de TLV disponível para este crescimento – Verificando com a operação orçamento disponível para abrir um processo de compra de Licenças
2) O Planejamento destas Operações precisa dimensionar o crescimento de troncos, com base nesta informação saberemos se temos espaço disponível nos DCPs para inclusão de novos troncos.
</t>
    </r>
  </si>
  <si>
    <r>
      <rPr>
        <b/>
        <sz val="11"/>
        <color theme="1"/>
        <rFont val="Calibri"/>
        <family val="2"/>
        <scheme val="minor"/>
      </rPr>
      <t xml:space="preserve">31/05 - </t>
    </r>
    <r>
      <rPr>
        <sz val="11"/>
        <color theme="1"/>
        <rFont val="Calibri"/>
        <family val="2"/>
        <scheme val="minor"/>
      </rPr>
      <t>Conforme interação com a TQS, pacote está sendo finalizado para testes. Incluindo também a demanda CTXNITSP-172611_Alteração da regra de carga do Mailing no TLV.
24/05 - Mesmo status.
17/05 - Considerando a data de 27/06 para entrega do TLV Preview pela TQS.
10/05 - Sendo analisado o escopo junto ao fornecedor pois a demanda já foi paga pelo cliente.
03/05 - Sendo analisado a alteração  de escopo. Retirada do Preditivo, prevalecendo somente o Preview, sendo que neste caso o Tlv atende.
25/04 -</t>
    </r>
    <r>
      <rPr>
        <b/>
        <sz val="11"/>
        <color theme="1"/>
        <rFont val="Calibri"/>
        <family val="2"/>
        <scheme val="minor"/>
      </rPr>
      <t xml:space="preserve"> </t>
    </r>
    <r>
      <rPr>
        <sz val="11"/>
        <color theme="1"/>
        <rFont val="Calibri"/>
        <family val="2"/>
        <scheme val="minor"/>
      </rPr>
      <t>Solicitado a confirmação  da  importância/prioridade deste projeto e respectivo anexo no tprocess da documentação em falta: EF Revalidada e Aprovação de Comitê. Caso não tenhamos a EF/informação disponibilizada em 15 dias esse chamado será cancelado/fechado
19/04 -</t>
    </r>
    <r>
      <rPr>
        <b/>
        <sz val="11"/>
        <color theme="1"/>
        <rFont val="Calibri"/>
        <family val="2"/>
        <scheme val="minor"/>
      </rPr>
      <t xml:space="preserve"> </t>
    </r>
    <r>
      <rPr>
        <sz val="11"/>
        <color theme="1"/>
        <rFont val="Calibri"/>
        <family val="2"/>
        <scheme val="minor"/>
      </rPr>
      <t>Mesmo Status.
12/04 - Mesmo Status, aguardando definição do analista de projetos contax.
04/04 -</t>
    </r>
    <r>
      <rPr>
        <b/>
        <sz val="11"/>
        <color theme="1"/>
        <rFont val="Calibri"/>
        <family val="2"/>
        <scheme val="minor"/>
      </rPr>
      <t xml:space="preserve"> </t>
    </r>
    <r>
      <rPr>
        <sz val="11"/>
        <color theme="1"/>
        <rFont val="Calibri"/>
        <family val="2"/>
        <scheme val="minor"/>
      </rPr>
      <t>Aguardando a validação do escopo pelos stakeholders</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Foi solicitado ajuda a negócios para que o cliente defina o escopo desta demanda.
21/03 -</t>
    </r>
    <r>
      <rPr>
        <b/>
        <sz val="11"/>
        <color theme="1"/>
        <rFont val="Calibri"/>
        <family val="2"/>
        <scheme val="minor"/>
      </rPr>
      <t xml:space="preserve"> </t>
    </r>
    <r>
      <rPr>
        <sz val="11"/>
        <color theme="1"/>
        <rFont val="Calibri"/>
        <family val="2"/>
        <scheme val="minor"/>
      </rPr>
      <t>Foi solicitado ajuda a negócios para que o cliente defina o escopo desta demanda.</t>
    </r>
    <r>
      <rPr>
        <b/>
        <sz val="11"/>
        <color theme="1"/>
        <rFont val="Calibri"/>
        <family val="2"/>
        <scheme val="minor"/>
      </rPr>
      <t xml:space="preserve">
</t>
    </r>
    <r>
      <rPr>
        <sz val="11"/>
        <color theme="1"/>
        <rFont val="Calibri"/>
        <family val="2"/>
        <scheme val="minor"/>
      </rPr>
      <t xml:space="preserve">
15/03 - Mesmo Status
07/03 - Aguardando retorno da operação referente a alteração de Escopo
01/03 - Em discussão de alteração de escopo</t>
    </r>
    <r>
      <rPr>
        <b/>
        <sz val="11"/>
        <color theme="1"/>
        <rFont val="Calibri"/>
        <family val="2"/>
        <scheme val="minor"/>
      </rPr>
      <t xml:space="preserve">
</t>
    </r>
    <r>
      <rPr>
        <sz val="11"/>
        <color theme="1"/>
        <rFont val="Calibri"/>
        <family val="2"/>
        <scheme val="minor"/>
      </rPr>
      <t xml:space="preserve">23/02 - Mesmo status em relação a TI pela análise de Engenharia, porém em paralelo está sendo realizada a  interação com o Fornecedor referente a regras de negocio operacionais.
15/02 </t>
    </r>
    <r>
      <rPr>
        <b/>
        <sz val="11"/>
        <color theme="1"/>
        <rFont val="Calibri"/>
        <family val="2"/>
        <scheme val="minor"/>
      </rPr>
      <t>-</t>
    </r>
    <r>
      <rPr>
        <sz val="11"/>
        <color theme="1"/>
        <rFont val="Calibri"/>
        <family val="2"/>
        <scheme val="minor"/>
      </rPr>
      <t xml:space="preserve"> Solicitante Rodrigo não conseguiu participar da Conferência, aguardando o retorno da  operação perante esta definição desde o dia 21/01.
10/02 -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02/02 -</t>
    </r>
    <r>
      <rPr>
        <b/>
        <sz val="11"/>
        <color theme="1"/>
        <rFont val="Calibri"/>
        <family val="2"/>
        <scheme val="minor"/>
      </rPr>
      <t xml:space="preserve"> </t>
    </r>
    <r>
      <rPr>
        <sz val="11"/>
        <color theme="1"/>
        <rFont val="Calibri"/>
        <family val="2"/>
        <scheme val="minor"/>
      </rPr>
      <t>A solução encontrada é migrar as 02 operações para o Polo Pernambuco onde poderemos efetuar tanto o crescimento do Velox e Fixo, além da implantação da OI TV, foram informadas as premissas para a operação, aguardando o retorno.</t>
    </r>
    <r>
      <rPr>
        <b/>
        <sz val="11"/>
        <color theme="1"/>
        <rFont val="Calibri"/>
        <family val="2"/>
        <scheme val="minor"/>
      </rPr>
      <t xml:space="preserve">
</t>
    </r>
    <r>
      <rPr>
        <sz val="11"/>
        <color theme="1"/>
        <rFont val="Calibri"/>
        <family val="2"/>
        <scheme val="minor"/>
      </rPr>
      <t>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
18/12 - Em Comitê
08/12 - Em Comitê
24/11 - Em Comitê
17/11 - Interação com o fornecedor referente as regras operacionais,
30/10 - Em processo de handover com analista de Projetos. Em paralelo interação com o fornecedor referente a proposta enviada.
20/10 - Validação de algumas inf na operação em relação a proposta anterior que foram inclusos o Oi Tv.
13/10 - Aguardando retorno do Fornecedor perante as documentações de regra de negócio operacional.
06/10 - Em análise da árvore enviada pelo cliente.
29/09 - Aguardando a árvore do Oi Tv
------------------------------------------------
22/09 - Já foi diagnosticado pelo fornecedor que temos uma demanda que tem o Oi Tv, com o recebendo do mailing e exibindo na tela os dados do contato, sem integração com o Sinn.
Aguardando a operação enviar um arquivo do produto OiTV nesse layout, podendo ser um arquivo teste e também a árvore de marcação para esse produto, pois nesse projeto as marcações são liberadas conforme a campanha que se está trabalhando
16/09 - Verificando questões de quantidade de licença do Discador.</t>
    </r>
  </si>
  <si>
    <r>
      <rPr>
        <b/>
        <sz val="11"/>
        <color theme="1"/>
        <rFont val="Calibri"/>
        <family val="2"/>
        <scheme val="minor"/>
      </rPr>
      <t xml:space="preserve">31/05- </t>
    </r>
    <r>
      <rPr>
        <sz val="11"/>
        <color theme="1"/>
        <rFont val="Calibri"/>
        <family val="2"/>
        <scheme val="minor"/>
      </rPr>
      <t>Piloto retornará amanhã, devido a solicitação do cliente Oi. Em paralelo, estamos aguardando retorno do Doc sobre a FASE 2 que compreende a substituição do Unific pelo Evalyze (Fornecedor Closer).
24/05 - Mesmo  status</t>
    </r>
    <r>
      <rPr>
        <b/>
        <sz val="11"/>
        <color theme="1"/>
        <rFont val="Calibri"/>
        <family val="2"/>
        <scheme val="minor"/>
      </rPr>
      <t xml:space="preserve">
</t>
    </r>
    <r>
      <rPr>
        <sz val="11"/>
        <color theme="1"/>
        <rFont val="Calibri"/>
        <family val="2"/>
        <scheme val="minor"/>
      </rPr>
      <t xml:space="preserve">
17/05 - Previsão de Piloto (10 pa´s) hoje na parte da tarde.
Verificando algumas questões para sermos mais assertivos como:
Validação Riscos Processo de Tramitação, o arquivo ser disponibilizado 
para tratamento em paralelo da operação não impactando o sla,
UF segregada pela Oi, processo na operação da tabela verdade,
Validação Riscos Regra Tramitação,Análise arquivo retorno 
10/05 - Pré-Piloto em andamento com 2 pa´s
Piloto previsto com 10 pa´s para amanhã 11/05
Eventos sendo analisados no Pré- Piloto por Telecom e Oi:
Lig Muda
Numero não reconhecido.
03/05 - Pré-Piloto iniciou ontem com 2 pa´s, dentro do processo manual de expurgo. Em paralelo está sendo verificado com Engenharia e CSE as questões da liberação para a Automatização do mesmo.
25/04 - Alinhamentos sendo realizados internamente e com o cliente.
Possibilidade de Retorno do Piloto 02/05.
Processos sendo verificados abaixo:
1 - Cadastro de Operadores
2 - Alteração DAC na operação  10 PAs
3 - Atividades NID (48h):
    cadastramento campanhas
    configurações
    limpeza base, etc
4 - Validação configuração Discador
5 - Acesso Bco de Dados MIS (Automatização)
6 - Automatização processo expurgo (24h)
7 - Teste 2 PAs antes do Piloto
8 - Verificação senhas usuários STC com OI
9 - Alinhar junto a OI a UF que vamos Pilotar
10 - Criar rotina dos AGs abertos x tratamento (analisar possíveis  AGs vencidos e sem tratamento por falta de contato)
11 - Criar rotina para extração dos dados ( AG+ Data/hora abertura+ Data/hora View)
19/04 -</t>
    </r>
    <r>
      <rPr>
        <b/>
        <sz val="11"/>
        <color theme="1"/>
        <rFont val="Calibri"/>
        <family val="2"/>
        <scheme val="minor"/>
      </rPr>
      <t xml:space="preserve"> </t>
    </r>
    <r>
      <rPr>
        <sz val="11"/>
        <color theme="1"/>
        <rFont val="Calibri"/>
        <family val="2"/>
        <scheme val="minor"/>
      </rPr>
      <t>Equipe de TI está analisando a solução referente ao Discador que se encaixa melhor nas regras de negocios operacionais da demanda
12/04 - Dentro do tópico crítico que é o tempo de carga de mailing,  foi analisado pelo NID quanto a possibilidade de diminuirmos esse tempo de carga, contudo de acordo com o laudo da AVAYA não é recomendado a carga menor que 30min para operação com mailing pequeno.
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
*Sendo estudado esta possibilidade pela operação. Hoje faremos uma conferência com o cliente para detalhar esta solução. O piloto no momento está parado.
04/04 -</t>
    </r>
    <r>
      <rPr>
        <b/>
        <sz val="11"/>
        <color theme="1"/>
        <rFont val="Calibri"/>
        <family val="2"/>
        <scheme val="minor"/>
      </rPr>
      <t xml:space="preserve"> </t>
    </r>
    <r>
      <rPr>
        <sz val="11"/>
        <color theme="1"/>
        <rFont val="Calibri"/>
        <family val="2"/>
        <scheme val="minor"/>
      </rPr>
      <t>Stressando ao maximo um dos Itens em "Pendência" que é o Time da Carga de Mailing.Ti analisando o cenário atual, ainda esta semana faremos uma conferência interna Contax para alinhamento.
28/03 -</t>
    </r>
    <r>
      <rPr>
        <b/>
        <sz val="11"/>
        <color theme="1"/>
        <rFont val="Calibri"/>
        <family val="2"/>
        <scheme val="minor"/>
      </rPr>
      <t xml:space="preserve"> </t>
    </r>
    <r>
      <rPr>
        <sz val="11"/>
        <color theme="1"/>
        <rFont val="Calibri"/>
        <family val="2"/>
        <scheme val="minor"/>
      </rPr>
      <t>Piloto parado devido a solicitação do cliente. 
Aguardando definições da área de NID, MIS e TI.
21/03 -</t>
    </r>
    <r>
      <rPr>
        <b/>
        <sz val="11"/>
        <color theme="1"/>
        <rFont val="Calibri"/>
        <family val="2"/>
        <scheme val="minor"/>
      </rPr>
      <t xml:space="preserve"> </t>
    </r>
    <r>
      <rPr>
        <sz val="11"/>
        <color theme="1"/>
        <rFont val="Calibri"/>
        <family val="2"/>
        <scheme val="minor"/>
      </rPr>
      <t xml:space="preserve">Foi enviado laudo detalhado aguardando definição da Oi, do retorno do Piloto. </t>
    </r>
    <r>
      <rPr>
        <b/>
        <sz val="11"/>
        <color theme="1"/>
        <rFont val="Calibri"/>
        <family val="2"/>
        <scheme val="minor"/>
      </rPr>
      <t xml:space="preserve">
</t>
    </r>
    <r>
      <rPr>
        <sz val="11"/>
        <color theme="1"/>
        <rFont val="Calibri"/>
        <family val="2"/>
        <scheme val="minor"/>
      </rPr>
      <t>15/03 - Piloto está parado devido aos 8 Itens, porém 5 estão ok, aguardando retorno do Piloto para homologação.
07/03 -Ocorrências Piloto</t>
    </r>
    <r>
      <rPr>
        <b/>
        <sz val="11"/>
        <color theme="1"/>
        <rFont val="Calibri"/>
        <family val="2"/>
        <scheme val="minor"/>
      </rPr>
      <t xml:space="preserve">- </t>
    </r>
    <r>
      <rPr>
        <sz val="11"/>
        <color theme="1"/>
        <rFont val="Calibri"/>
        <family val="2"/>
        <scheme val="minor"/>
      </rPr>
      <t>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Em paralelo se faz necessário uma atualização na EF pela operação perante os processos de View da Oi e Processos de Expurgo.</t>
    </r>
    <r>
      <rPr>
        <b/>
        <sz val="11"/>
        <color theme="1"/>
        <rFont val="Calibri"/>
        <family val="2"/>
        <scheme val="minor"/>
      </rPr>
      <t xml:space="preserve">
</t>
    </r>
    <r>
      <rPr>
        <sz val="11"/>
        <color theme="1"/>
        <rFont val="Calibri"/>
        <family val="2"/>
        <scheme val="minor"/>
      </rPr>
      <t>01/03 -</t>
    </r>
    <r>
      <rPr>
        <b/>
        <sz val="11"/>
        <color theme="1"/>
        <rFont val="Calibri"/>
        <family val="2"/>
        <scheme val="minor"/>
      </rPr>
      <t xml:space="preserve"> </t>
    </r>
    <r>
      <rPr>
        <sz val="11"/>
        <color theme="1"/>
        <rFont val="Calibri"/>
        <family val="2"/>
        <scheme val="minor"/>
      </rPr>
      <t>Em  piloto</t>
    </r>
    <r>
      <rPr>
        <b/>
        <sz val="11"/>
        <color theme="1"/>
        <rFont val="Calibri"/>
        <family val="2"/>
        <scheme val="minor"/>
      </rPr>
      <t xml:space="preserve">
</t>
    </r>
    <r>
      <rPr>
        <sz val="11"/>
        <color theme="1"/>
        <rFont val="Calibri"/>
        <family val="2"/>
        <scheme val="minor"/>
      </rPr>
      <t xml:space="preserve">23/02 - Em piloto com 9 pas, segue abaixo  os detalhes: 
</t>
    </r>
    <r>
      <rPr>
        <u/>
        <sz val="11"/>
        <color theme="1"/>
        <rFont val="Calibri"/>
        <family val="2"/>
        <scheme val="minor"/>
      </rPr>
      <t>1.View Com Problemas:</t>
    </r>
    <r>
      <rPr>
        <sz val="11"/>
        <color theme="1"/>
        <rFont val="Calibri"/>
        <family val="2"/>
        <scheme val="minor"/>
      </rPr>
      <t xml:space="preserve"> 
As 14h:00  - View da OI voltou a trazer dados da regional RNE (PE), porém a view trouxe a data de abertura com o formato errado, não está trazendo o horário.
O processo de carga foi parado. 
View voltou a funcionar por volta das 15:50h com formato correto.
Os protocolos  enviados estão muito abaixo do padrão, o dia todo só foram carregados em torno de 354 registros.
</t>
    </r>
    <r>
      <rPr>
        <u/>
        <sz val="11"/>
        <color theme="1"/>
        <rFont val="Calibri"/>
        <family val="2"/>
        <scheme val="minor"/>
      </rPr>
      <t>2.Carregamento do Raw no Discador no APC</t>
    </r>
    <r>
      <rPr>
        <sz val="11"/>
        <color theme="1"/>
        <rFont val="Calibri"/>
        <family val="2"/>
        <scheme val="minor"/>
      </rPr>
      <t xml:space="preserve">
Para resolver problema do Discador, além do Edson que tem nos apoiado, envolveremos o Bruno Cordeiro de Curitiba que acompanhou todo o processo junto a programação de atualização de tempo das cargas para verificar o tempo de cargas.
Integração tGuidance com UNIFIC: já reportado pela Erica. Todos os casos estão com agendamento na base do UNIFIC, sendo assim a ferramenta só devolve no horário do agendamento.
Estamos envolvendo os respectivos departamentos, pois somente com todos os processos em 100% é que TI poderá pilotar o processo final com apoio da operação.
Estamos recebendo o arquivo da Oi, com dados tratados, para darmos sequência no piloto hoje.
-------
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
Conforme conferência hoje 15/02 foi acordado, o início do Piloto 16/02.
-----------
10/02 -  iniciaremos o Piloto no dia 11/02.</t>
    </r>
    <r>
      <rPr>
        <b/>
        <sz val="11"/>
        <color theme="1"/>
        <rFont val="Calibri"/>
        <family val="2"/>
        <scheme val="minor"/>
      </rPr>
      <t xml:space="preserve">
-----------
</t>
    </r>
    <r>
      <rPr>
        <sz val="11"/>
        <color theme="1"/>
        <rFont val="Calibri"/>
        <family val="2"/>
        <scheme val="minor"/>
      </rPr>
      <t>26/01 -</t>
    </r>
    <r>
      <rPr>
        <b/>
        <sz val="11"/>
        <color theme="1"/>
        <rFont val="Calibri"/>
        <family val="2"/>
        <scheme val="minor"/>
      </rPr>
      <t xml:space="preserve"> </t>
    </r>
    <r>
      <rPr>
        <sz val="11"/>
        <color theme="1"/>
        <rFont val="Calibri"/>
        <family val="2"/>
        <scheme val="minor"/>
      </rPr>
      <t>Conforme aprovação das áreas envolvidas (NID, CSE e Aplicações), foi enviado novo cronograma, no qual iniciaremos o Piloto no dia 11/02.</t>
    </r>
    <r>
      <rPr>
        <b/>
        <sz val="11"/>
        <color theme="1"/>
        <rFont val="Calibri"/>
        <family val="2"/>
        <scheme val="minor"/>
      </rPr>
      <t xml:space="preserve">
----------
</t>
    </r>
    <r>
      <rPr>
        <sz val="11"/>
        <color theme="1"/>
        <rFont val="Calibri"/>
        <family val="2"/>
        <scheme val="minor"/>
      </rPr>
      <t>19/01 -</t>
    </r>
    <r>
      <rPr>
        <b/>
        <sz val="11"/>
        <color theme="1"/>
        <rFont val="Calibri"/>
        <family val="2"/>
        <scheme val="minor"/>
      </rPr>
      <t xml:space="preserve"> </t>
    </r>
    <r>
      <rPr>
        <sz val="11"/>
        <color theme="1"/>
        <rFont val="Calibri"/>
        <family val="2"/>
        <scheme val="minor"/>
      </rPr>
      <t xml:space="preserve">O escopo do projeto foi alterado no dia 06/01 e por isso o Piloto não aumentou para 10 PAs e já nem está com 2 PAs (o Piloto parou).
Assim, o projeto necessita de ser replanejado, pois são necessárias atividades da equipe de desenvolvimento e CSE novamente. Como sabem os recursos estão 100% alocados e as filas das equipes vão se organizando com outros projetos prioritários.
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
08/12 - Aumentamos o Piloto em 5 pas, estamos monitorando o comportamento para darmos sequencia.
01/12 - Estamos em definição de aumento do Piloto, devido a alguns cenários ainda impeditivos.
1. Número excessivo de motivos Telefonia: chamado aberto junto a Oi para solução do problema nos circuitos (Resp.: Wenderson);
2. Discagem Horizontal apenas até o 2° Telefone: análise junto ao especialista Avaya para que possamos, após atuação, monitorar a solução aplicada (Resp.: Adalton  - Início Monitoramento: 01/12);
3. Atualização do Mailing: solução já aplicada e em processo de monitoramento (Resp.: Adalton – Parecer sobre a solução: 30/12);
4. Eficiência das Macros: análise a respeito da informação foi realizada e está sendo afetada pelo Item 2. Após solução do mesmo, informações estarão consistentes (Resp.: Adalton);
5. Análise de Protocolo Telefone Único: este caso também está na dependência da solução do Item 2 (Responsável: Adalton).
24/11 - Conforme conferência realizada no dia 19/11 foram discutidos alguns cenários impeditivos para o aumento do Piloto, estes cenários 
estão sendo verificados entre NID e Equipe de Desenvolvimento TI. Hoje 24/11, será realizado uma conferência para a análise da estratégia de discagem. Foram diagnosticadas ações na eficiência das macros quando não se utiliza o discador, sendo acompanhado os protocolos 
para identificação no que se refere a distribuição.
Foi criada uma nova campanha com novas configurações e iniciada dia 19/11 nas PA’s. Estamos acompanhando o comportamento 
do discador nos momentos de atualização do mailing. 
 Foi identificado na análise de Protocolo Telefone Único que alguns protocolos apresentam apenas um telefone, pela regra isso não deveria acontecer devido a análise do histórico, este assunto será discutido em detalhes hoje na reunião com o Wenderson NID.
17/11 - Fase 1 - a UF de Pernambuco está sendo disponibilizada.  Ainda está sendo visto a questão da Telefonia, por esse motivo ainda não temos previsão de aumento do Piloto.
Fase 2 - Foi informado o valor das licenças, prazo do fornecedor (2 meses). Foi solicitado:
_Ok formalizado para iniciarmos a contratação do serviço (Lançamento de SC, Aprovações e geração de pedido).
_Entrega de pedido gerado para contagem do prazo.
_Entrega do detalhamento do escopo do UNIFIC (Processo, telas e informações) ou a árvore de workflow que a Oi gostaria de desenvolver no Evalyze antes da data de início do desenvolvimento.
Aguardando o retorno do solicitante com as devidas informações.
-------------
10/11 - Constatados  casos de problemas que afetam a integração entre discador e UNIFIC e classificação erronea de status de chamadas, refletidas nos relatórios de produtividade. Ti contax e fornecedor atuando em conjunto. Piloto seguem com 2 PAs.
03/11 -  Iniciaremos o piloto no dia de hoje com a UF PE, o discador fará processo em afim sem a geração da macro gerando do mailing, fechamento de AG e abertura de BD antes do vencimento do SLA.
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
27/10- o Front-Fácil acaba de ser configurado para aguardar pelo perfilamento "sem tempo limite".
Desta forma, o operador poderá finalizar o perfilamento do UNIFIC com a garantia de que nenhuma outra chamada será entregue na PA enquanto o operador não preencher o “Motivo de Desligamento” no Front-Fácil.
Com esta configuração, não será necessária qualquer alteração/melhoria em nenhuma das ferramentas para que o piloto seja iniciado. Porém, há alguns pontos de atenção que não podemos deixar de alertar:
• Os operadores terão a oportunidade de retardar o atendimento depois desta nova configuração. No nosso entendimento, trata-se de uma ação contraditória à implantação do discador automático de chamadas, que visa a máxima produtividade dos colaboradores;
•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
• A solução também ainda estará sujeita ao problema original (chegada de chamada sem o screen-pop no UNIFIC), se o operador enviar o “Motivo de Desligamento” pelo Front-Fácil e permanecer com o protocolo em tratamento no UNIFIC, o que impossibilitaria o pop-up do novo protocolo.
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Estamos verificando com a Wenderson para criar uma nova coluna no mailing, exclusivamente para o UNIFIC.
---------------------
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
------------------------------
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
-----------------------------------------------
29/09 - Eventos de atraso na entrega dos links da Oi e Criação de login de STC impactaram no início do Piloto hoje 29/09, conforme cronograma. 
 - Foi diagnosticado ontem pela área de Desenvolvimento a necessidade de liberação de IP por parte da Oi;
- Os logins STC foram encaminhado na sexta passada 25/09, mas estavam com problemas na senha de acesso. Prazo de retorno da operação Hoje 29/09.
*Caso não tenhamos retorno das duas ações acima irá impactar novamente no início do Piloto, previsto para  o dia 05/10
-----------------------------------------------
22/09 - Validação de Mailing da Oi =  tivemos alterações de escopo sendo que a Oi já validou, estando em processo de desenvolvimento com risco de atraso, porém ainda não confirmado pelo Marquinhos.
_Atraso na entrega dos links da Oi =  a Entrega foi feita hoje dia 22/09, tendo impacto no cronograma das ações posteriores inserindo.
</t>
    </r>
  </si>
  <si>
    <r>
      <rPr>
        <b/>
        <sz val="11"/>
        <color theme="1"/>
        <rFont val="Calibri"/>
        <family val="2"/>
        <scheme val="minor"/>
      </rPr>
      <t xml:space="preserve">31/05 - </t>
    </r>
    <r>
      <rPr>
        <sz val="11"/>
        <color theme="1"/>
        <rFont val="Calibri"/>
        <family val="2"/>
        <scheme val="minor"/>
      </rPr>
      <t>Mesmo Status
24/05 - Mesmo Status
17/05 -</t>
    </r>
    <r>
      <rPr>
        <b/>
        <sz val="11"/>
        <color theme="1"/>
        <rFont val="Calibri"/>
        <family val="2"/>
        <scheme val="minor"/>
      </rPr>
      <t xml:space="preserve"> </t>
    </r>
    <r>
      <rPr>
        <sz val="11"/>
        <color theme="1"/>
        <rFont val="Calibri"/>
        <family val="2"/>
        <scheme val="minor"/>
      </rPr>
      <t>Mesmo Status
10/05 -</t>
    </r>
    <r>
      <rPr>
        <b/>
        <sz val="11"/>
        <color theme="1"/>
        <rFont val="Calibri"/>
        <family val="2"/>
        <scheme val="minor"/>
      </rPr>
      <t xml:space="preserve"> </t>
    </r>
    <r>
      <rPr>
        <sz val="11"/>
        <color theme="1"/>
        <rFont val="Calibri"/>
        <family val="2"/>
        <scheme val="minor"/>
      </rPr>
      <t>Devido a alteração de escopo o piloto parou, aguardando Desenvolvimento do Item Conferência (CTXRECSA-475951)
03/05 - Devido a alteração de escopo o piloto parou, aguardando Desenvolvimento do Item Conferência (CTXRECSA-475951)
25/04 -</t>
    </r>
    <r>
      <rPr>
        <b/>
        <sz val="11"/>
        <color theme="1"/>
        <rFont val="Calibri"/>
        <family val="2"/>
        <scheme val="minor"/>
      </rPr>
      <t xml:space="preserve"> </t>
    </r>
    <r>
      <rPr>
        <sz val="11"/>
        <color theme="1"/>
        <rFont val="Calibri"/>
        <family val="2"/>
        <scheme val="minor"/>
      </rPr>
      <t xml:space="preserve"> Devido a alteração de escopo o piloto parou, aguardando Desenvolvimento do Item Conferência (CTXRECSA-475951)
19/04 - Piloto parado, aguardando Desenvolvimento do Item Conferência (CTXRECSA-475951)
12/04 - Piloto parado, aguardando Desenvolvimento do Item Conferência (CTXRECSA-475951).
04/04 - Mesmo status
28/03 - 1. </t>
    </r>
    <r>
      <rPr>
        <u/>
        <sz val="11"/>
        <color theme="1"/>
        <rFont val="Calibri"/>
        <family val="2"/>
        <scheme val="minor"/>
      </rPr>
      <t>Cenário de ação de Conferência na operação, no qual não foi solicitado na EF.</t>
    </r>
    <r>
      <rPr>
        <sz val="11"/>
        <color theme="1"/>
        <rFont val="Calibri"/>
        <family val="2"/>
        <scheme val="minor"/>
      </rPr>
      <t xml:space="preserve">
      Ação: Operação abriu o chamado CTXRECSA-475951, com a EF atualizada. Em análise.
2. </t>
    </r>
    <r>
      <rPr>
        <u/>
        <sz val="11"/>
        <color theme="1"/>
        <rFont val="Calibri"/>
        <family val="2"/>
        <scheme val="minor"/>
      </rPr>
      <t>Cenário da Base do Click, no qual, foi alinhado que seria aberto uma nova demanda devido a complexidade do Desenvolvimento.</t>
    </r>
    <r>
      <rPr>
        <sz val="11"/>
        <color theme="1"/>
        <rFont val="Calibri"/>
        <family val="2"/>
        <scheme val="minor"/>
      </rPr>
      <t xml:space="preserve">
Ação: Solicitado a operação em conferência no dia 08/12 a abertura de um chamado no TProcess, no qual mencionasse esta necessidade que refere-se a Base do Click.
          Demanda do CRV, hoje em Piloto, foi desenvolvida em cima do que foi exposto na última versão da EF em que não contemplava a Base do Click, somente no que refere-se a relatório.
          Ressalto que em fórum paralelo foi solicitado ao Anthonny que abrisse um novo chamado para esta solicitação.
21/03 - Piloto em andamento conforme cronograma (2 pas).</t>
    </r>
    <r>
      <rPr>
        <b/>
        <sz val="11"/>
        <color theme="1"/>
        <rFont val="Calibri"/>
        <family val="2"/>
        <scheme val="minor"/>
      </rPr>
      <t xml:space="preserve">
</t>
    </r>
    <r>
      <rPr>
        <sz val="11"/>
        <color theme="1"/>
        <rFont val="Calibri"/>
        <family val="2"/>
        <scheme val="minor"/>
      </rPr>
      <t xml:space="preserve">
15/03 - Cronograma permanece o mesmo . Piloto Início: 17/03.
07/03 - Conforme cronograma alinhado, o Piloto teria início no dia 17/03, porém tivemos atraso na homologação do Perficall.
Aguardando retorno da operação.
01/03 - O solicitante informou novamente sobre a alteração de Dac, 
podendo assim retardar esta demanda. Aguardando definição  
23/02 - Ontem foi solicitado a Estimativa de esforço para o Site dentro das ações necessárias.
Desenvolvimento Perficall -  OK
Desenvolvimento tGuidance - 15/02 à 29/02
15/02 - A operação informou hoje a questão do Dac e envio da planilha de Insumos. Devido ao atraso nas informações, temos um novo prazo para o Desenvolvimento do TGuidance fica do dia 15/02 à 29/02.</t>
    </r>
    <r>
      <rPr>
        <b/>
        <sz val="11"/>
        <color theme="1"/>
        <rFont val="Calibri"/>
        <family val="2"/>
        <scheme val="minor"/>
      </rPr>
      <t xml:space="preserve">
</t>
    </r>
    <r>
      <rPr>
        <sz val="11"/>
        <color theme="1"/>
        <rFont val="Calibri"/>
        <family val="2"/>
        <scheme val="minor"/>
      </rPr>
      <t xml:space="preserve">10/02 - Mesmo Status
02/02 </t>
    </r>
    <r>
      <rPr>
        <b/>
        <sz val="11"/>
        <color theme="1"/>
        <rFont val="Calibri"/>
        <family val="2"/>
        <scheme val="minor"/>
      </rPr>
      <t xml:space="preserve">- </t>
    </r>
    <r>
      <rPr>
        <sz val="11"/>
        <color theme="1"/>
        <rFont val="Calibri"/>
        <family val="2"/>
        <scheme val="minor"/>
      </rPr>
      <t>Conforme conferência, devido ao problema do headset na operação iremos aguardar até o dia 12/02 (Início de Desenvolvimento) para confirmarmos esta migração de Dac.
Sendo assim, seguimos com o Desenvolvimento em paralelo no período de 12/02 à 25/02.
Abaixo algumas ações citadas:
_Necessário o cadastro dos Insumos se houver migração até o dia 11/02;
_Necessário a liberação de rede, instalação da aplicação do TGuidance com Suporte local, etc., se não houver migração;
_o Item de relatório será priorizado com a outra área de TI.</t>
    </r>
    <r>
      <rPr>
        <b/>
        <sz val="11"/>
        <color theme="1"/>
        <rFont val="Calibri"/>
        <family val="2"/>
        <scheme val="minor"/>
      </rPr>
      <t xml:space="preserve">
</t>
    </r>
    <r>
      <rPr>
        <sz val="11"/>
        <color theme="1"/>
        <rFont val="Calibri"/>
        <family val="2"/>
        <scheme val="minor"/>
      </rPr>
      <t xml:space="preserve">26/01 </t>
    </r>
    <r>
      <rPr>
        <b/>
        <sz val="11"/>
        <color theme="1"/>
        <rFont val="Calibri"/>
        <family val="2"/>
        <scheme val="minor"/>
      </rPr>
      <t>-</t>
    </r>
    <r>
      <rPr>
        <sz val="11"/>
        <color theme="1"/>
        <rFont val="Calibri"/>
        <family val="2"/>
        <scheme val="minor"/>
      </rPr>
      <t xml:space="preserve">  Enviado a EF no dia 13/01, Equipe de Aplicações está analisando a mesma. Em paralelo estamos vendo se há necessidade de liberações de rede, etc. na operação. Prazo de Cronograma de Desenv TI - 27/02
18/12 - Em definição de EF , aguardando retorno da operação
08/12 - Conforme conferência, estamos aguardando a EF com o escopo solicitado.
01/12 - A Conferência hoje foi cancelada, reagendada para dia 03/12 Qui.
24/11 - Aguardando o Doc solicitado no dia 27/11.
17/11 - Foi solicitada o doc ao cliente com todo o processo detalhado do atendimento, com prints de tela do passo a passo do atendimento, prazo de recebimento anterior no dia 12/11, porém sem sucesso. Prazo atual no dia 27/11 Sext . 
03/11 - Já foi solicitado  a EF  atualizada, e se possível uma conf com a operação só para entendimento de processo
27/10 - Aguardando a EF atualizada.
20/10 - Conforme conferência estamos aguardando a EF. Em estimativa de OG.
13/10 - Aguardando a árvore. Este Projeto esta em estimativa de OG
06/10 - Aguardando a árvore. Este Projeto esta em estimativa de OG 
29/09 - Aguardando o envio da EF/ Em estimativa de OG
--------------------------------
22/09 - Aguardando o envio da EF.</t>
    </r>
  </si>
  <si>
    <r>
      <rPr>
        <b/>
        <sz val="11"/>
        <color theme="1"/>
        <rFont val="Calibri"/>
        <family val="2"/>
        <scheme val="minor"/>
      </rPr>
      <t xml:space="preserve">31/05 - </t>
    </r>
    <r>
      <rPr>
        <sz val="11"/>
        <color theme="1"/>
        <rFont val="Calibri"/>
        <family val="2"/>
        <scheme val="minor"/>
      </rPr>
      <t xml:space="preserve"> Em Desenvolvimento por Aplicações TI - Prazo Resp: TI - 31/05 Hoje
24/05 - Em Desenvolvimento por Aplicações TI - Prazo Resp: TI - 31/05</t>
    </r>
    <r>
      <rPr>
        <b/>
        <sz val="11"/>
        <color theme="1"/>
        <rFont val="Calibri"/>
        <family val="2"/>
        <scheme val="minor"/>
      </rPr>
      <t xml:space="preserve">
</t>
    </r>
    <r>
      <rPr>
        <sz val="11"/>
        <color theme="1"/>
        <rFont val="Calibri"/>
        <family val="2"/>
        <scheme val="minor"/>
      </rPr>
      <t>17/05 - Em Desenvolvimento por Aplicações TI - Prazo Resp: TI - 31/05
10/05 - Em Desenvolvimento por Aplicações TI - Prazo Resp: TI - 31/05
03/05 - Mesmo Status
25/04 -  Em Desenvolvimento por Aplicações TI - Prazo Resp: TI - 31/05
19/04 -</t>
    </r>
    <r>
      <rPr>
        <b/>
        <sz val="11"/>
        <color theme="1"/>
        <rFont val="Calibri"/>
        <family val="2"/>
        <scheme val="minor"/>
      </rPr>
      <t xml:space="preserve"> </t>
    </r>
    <r>
      <rPr>
        <sz val="11"/>
        <color theme="1"/>
        <rFont val="Calibri"/>
        <family val="2"/>
        <scheme val="minor"/>
      </rPr>
      <t xml:space="preserve">Em Desenvolvimento por Aplicações TI - </t>
    </r>
    <r>
      <rPr>
        <u/>
        <sz val="11"/>
        <color theme="1"/>
        <rFont val="Calibri"/>
        <family val="2"/>
        <scheme val="minor"/>
      </rPr>
      <t>Prazo Resp: TI - 31/05</t>
    </r>
    <r>
      <rPr>
        <sz val="11"/>
        <color theme="1"/>
        <rFont val="Calibri"/>
        <family val="2"/>
        <scheme val="minor"/>
      </rPr>
      <t xml:space="preserve">
12/04 - Necessidade de desenvolvimento do item conferência que não estava previsto na EF inicial, aberto chamado CTXRECSA-475951 para resolução.
Necessária resolução do chamado CTXRECSA-475951 para continuidade do piloto  (Chamado CTXRECSA-407337)  - Resp: TI - Prazo: </t>
    </r>
    <r>
      <rPr>
        <u/>
        <sz val="11"/>
        <color theme="1"/>
        <rFont val="Calibri"/>
        <family val="2"/>
        <scheme val="minor"/>
      </rPr>
      <t xml:space="preserve">31/05 </t>
    </r>
  </si>
  <si>
    <r>
      <rPr>
        <b/>
        <sz val="11"/>
        <color theme="1"/>
        <rFont val="Calibri"/>
        <family val="2"/>
        <scheme val="minor"/>
      </rPr>
      <t>31/05 -</t>
    </r>
    <r>
      <rPr>
        <sz val="11"/>
        <color theme="1"/>
        <rFont val="Calibri"/>
        <family val="2"/>
        <scheme val="minor"/>
      </rPr>
      <t xml:space="preserve"> Conforme retorno da Equipe de Aplicações (Morais), esta demanda só será tratada a partir da entrega das solicitações CTXRECSA-358319 – ( fase 1 e fase2).
24/05 -</t>
    </r>
    <r>
      <rPr>
        <b/>
        <sz val="11"/>
        <color theme="1"/>
        <rFont val="Calibri"/>
        <family val="2"/>
        <scheme val="minor"/>
      </rPr>
      <t xml:space="preserve"> </t>
    </r>
    <r>
      <rPr>
        <sz val="11"/>
        <color theme="1"/>
        <rFont val="Calibri"/>
        <family val="2"/>
        <scheme val="minor"/>
      </rPr>
      <t xml:space="preserve">Conforme retorno da Equipe de Aplicações (Morais), esta demanda só será tratada a partir da entrega das solicitações CTXRECSA-358319 – ( fase 1 e fase2).
17/05 </t>
    </r>
    <r>
      <rPr>
        <b/>
        <sz val="11"/>
        <color theme="1"/>
        <rFont val="Calibri"/>
        <family val="2"/>
        <scheme val="minor"/>
      </rPr>
      <t xml:space="preserve">- </t>
    </r>
    <r>
      <rPr>
        <sz val="11"/>
        <color theme="1"/>
        <rFont val="Calibri"/>
        <family val="2"/>
        <scheme val="minor"/>
      </rPr>
      <t>Conforme retorno da Equipe de Aplicações (Morais), esta demanda só será tratada a partir da entrega das solicitações CTXRECSA-358319 – ( fase 1 e fase2).
10/05 - Mesmo Status
03/05 - Mesmo Status
25/04 -</t>
    </r>
    <r>
      <rPr>
        <b/>
        <sz val="11"/>
        <color theme="1"/>
        <rFont val="Calibri"/>
        <family val="2"/>
        <scheme val="minor"/>
      </rPr>
      <t xml:space="preserve"> </t>
    </r>
    <r>
      <rPr>
        <sz val="11"/>
        <color theme="1"/>
        <rFont val="Calibri"/>
        <family val="2"/>
        <scheme val="minor"/>
      </rPr>
      <t>Conforme retorno da Equipe de Aplicações (Morais), esta demanda só será tratada a partir da entrega das solicitações CTXRECSA-358319 – ( fase 1 e fase2).
19/04 -  Mesmo status.
12/04 -</t>
    </r>
    <r>
      <rPr>
        <b/>
        <sz val="11"/>
        <color theme="1"/>
        <rFont val="Calibri"/>
        <family val="2"/>
        <scheme val="minor"/>
      </rPr>
      <t xml:space="preserve"> </t>
    </r>
    <r>
      <rPr>
        <sz val="11"/>
        <color theme="1"/>
        <rFont val="Calibri"/>
        <family val="2"/>
        <scheme val="minor"/>
      </rPr>
      <t>Conforme retorno da Equipe de Aplicações (Morais), esta demanda só será tratada a partir da entrega das solicitações CTXRECSA-358319 – ( fase 1 e fase2).
04/04 -</t>
    </r>
    <r>
      <rPr>
        <b/>
        <sz val="11"/>
        <color theme="1"/>
        <rFont val="Calibri"/>
        <family val="2"/>
        <scheme val="minor"/>
      </rPr>
      <t xml:space="preserve">  </t>
    </r>
    <r>
      <rPr>
        <sz val="11"/>
        <color theme="1"/>
        <rFont val="Calibri"/>
        <family val="2"/>
        <scheme val="minor"/>
      </rPr>
      <t>Conforme retorno da Equipe de Aplicações (Morais), esta demanda só será tratada a partir da entrega das solicitações CTXRECSA-358319 – ( fase 1 e fase2).</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 xml:space="preserve">Mesmo Status
21/03 - Mesmo Status
15/03 - Mesmo Status
07/03 - </t>
    </r>
    <r>
      <rPr>
        <b/>
        <sz val="11"/>
        <color theme="1"/>
        <rFont val="Calibri"/>
        <family val="2"/>
        <scheme val="minor"/>
      </rPr>
      <t xml:space="preserve"> </t>
    </r>
    <r>
      <rPr>
        <sz val="11"/>
        <color theme="1"/>
        <rFont val="Calibri"/>
        <family val="2"/>
        <scheme val="minor"/>
      </rPr>
      <t>Conforme retorno da Equipe de Aplicações (Morais), esta demanda só será tratada a partir da entrega das solicitações CTXRECSA-358319 – ( fase 1 e fase2):
01/03- Conforme retorno da Equipe de Aplicações (Morais), esta demanda só será tratada a partir da entrega das solicitações CTXRECSA-358319 – ( fase 1 e fase2):
23/02 -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15/02 - Conforme retorno da Equipe de Aplicações (Morais), esta demanda só será tratada a partir da entrega das solicitações CTXRECSA-358319 – ( fase 1 e fase2):
10/02 -Solicitada a entrada na Fila da Equipe de Moraes devido a necessidade de Integração do sistema Perfiquality X TGuidance X Discador.
02/02 -</t>
    </r>
    <r>
      <rPr>
        <b/>
        <sz val="11"/>
        <color theme="1"/>
        <rFont val="Calibri"/>
        <family val="2"/>
        <scheme val="minor"/>
      </rPr>
      <t xml:space="preserve"> </t>
    </r>
    <r>
      <rPr>
        <sz val="11"/>
        <color theme="1"/>
        <rFont val="Calibri"/>
        <family val="2"/>
        <scheme val="minor"/>
      </rPr>
      <t>Conforme retorno hoje da operação o sistema Perfiquality é Oi , Infra na Oi e  é uma ferramenta para perfilamento e não tem vinculo com a telefonia. Sendo assim, iremos acionar a Equipe de Aplicações  para análise.</t>
    </r>
    <r>
      <rPr>
        <b/>
        <sz val="11"/>
        <color theme="1"/>
        <rFont val="Calibri"/>
        <family val="2"/>
        <scheme val="minor"/>
      </rPr>
      <t xml:space="preserve">
</t>
    </r>
    <r>
      <rPr>
        <sz val="11"/>
        <color theme="1"/>
        <rFont val="Calibri"/>
        <family val="2"/>
        <scheme val="minor"/>
      </rPr>
      <t xml:space="preserve">26/01 - Desenho de Engenharia de Telecom já está feito. 
Estamos aguardando retorno da operação verificar as informações da Infra do sistema com o José Nilton (Oi).
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18/12 - Em Comitê.
24/11 - Em Comitê.
Em paralelo, está sendo realizado interações com o Fornecedor peraante as regras de Negócios, Infra , Discador.
17/11 - Aguardando retorno do cliente perante a análise da proposta do fornecedor, interação referente as regras de negócio e verificando questões de licença
30/10 - Proposta enviada pelo Fornecedor. Em análise. Estimativa de OG. AGUARDANDO OK PARA CONTRATAÇÃO DA TQS. DISCUSSÃO DE LINKS LICENÇAS DISCADOR.
13/10 - Em comitê
06/10 - Em Comitê
29/09 - Em fase de Aprovação da Proposta Comercial
----------------------------------------------
22/09 - 1) Não temos licenças de TLV disponível para este crescimento – Verificando com a operação orçamento disponível para abrir um processo de compra de Licenças
2) O Planejamento destas Operações precisa dimensionar o crescimento de troncos, com base nesta informação saberemos se temos espaço disponível nos DCPs para inclusão de novos troncos.
</t>
    </r>
  </si>
  <si>
    <r>
      <rPr>
        <b/>
        <sz val="11"/>
        <color theme="1"/>
        <rFont val="Calibri"/>
        <family val="2"/>
        <scheme val="minor"/>
      </rPr>
      <t xml:space="preserve">31/05 - </t>
    </r>
    <r>
      <rPr>
        <sz val="11"/>
        <color theme="1"/>
        <rFont val="Calibri"/>
        <family val="2"/>
        <scheme val="minor"/>
      </rPr>
      <t>Conforme último status da operação , tivemos mudança de Dir da Oi, com isso estamos aguardando próxima diretiva perante esta aprovação.
24/05 - Mesmo Status.
17/05 - Em fase de Aprovação com o cliente, foi solicitado o prazo do mesmo.
10/05 - Mesmo Status.
03/05 -</t>
    </r>
    <r>
      <rPr>
        <b/>
        <sz val="11"/>
        <color theme="1"/>
        <rFont val="Calibri"/>
        <family val="2"/>
        <scheme val="minor"/>
      </rPr>
      <t xml:space="preserve"> </t>
    </r>
    <r>
      <rPr>
        <sz val="11"/>
        <color theme="1"/>
        <rFont val="Calibri"/>
        <family val="2"/>
        <scheme val="minor"/>
      </rPr>
      <t>Mesmo Status.
25/04 - Em fase de Aprovação com o cliente, foi solicitado o prazo do mesmo.
19/04 - Mesmo status
12/04 -</t>
    </r>
    <r>
      <rPr>
        <b/>
        <sz val="11"/>
        <color theme="1"/>
        <rFont val="Calibri"/>
        <family val="2"/>
        <scheme val="minor"/>
      </rPr>
      <t xml:space="preserve"> </t>
    </r>
    <r>
      <rPr>
        <sz val="11"/>
        <color theme="1"/>
        <rFont val="Calibri"/>
        <family val="2"/>
        <scheme val="minor"/>
      </rPr>
      <t>Em fase de Aprovação com o cliente, foi solicitado o prazo do mesmo.
04/04 - Interação com a Equipe de Ura sobre esta demanda. 
Ressaltando que essa restruturação não contempla a inclusão de novas consultas não relacionadas ao STC, apenas a melhorias dos menus e processos da aplicação de URA.</t>
    </r>
    <r>
      <rPr>
        <b/>
        <sz val="11"/>
        <color theme="1"/>
        <rFont val="Calibri"/>
        <family val="2"/>
        <scheme val="minor"/>
      </rPr>
      <t xml:space="preserve">
</t>
    </r>
    <r>
      <rPr>
        <sz val="11"/>
        <color theme="1"/>
        <rFont val="Calibri"/>
        <family val="2"/>
        <scheme val="minor"/>
      </rPr>
      <t>28/03 - Mesmo status, cliente Oi analisando a última proposta enviada
21/03 -</t>
    </r>
    <r>
      <rPr>
        <b/>
        <sz val="11"/>
        <color theme="1"/>
        <rFont val="Calibri"/>
        <family val="2"/>
        <scheme val="minor"/>
      </rPr>
      <t xml:space="preserve"> </t>
    </r>
    <r>
      <rPr>
        <sz val="11"/>
        <color theme="1"/>
        <rFont val="Calibri"/>
        <family val="2"/>
        <scheme val="minor"/>
      </rPr>
      <t>Mesmo status, cliente analisando a última proposta enviada.</t>
    </r>
    <r>
      <rPr>
        <b/>
        <sz val="11"/>
        <color theme="1"/>
        <rFont val="Calibri"/>
        <family val="2"/>
        <scheme val="minor"/>
      </rPr>
      <t xml:space="preserve">
</t>
    </r>
    <r>
      <rPr>
        <sz val="11"/>
        <color theme="1"/>
        <rFont val="Calibri"/>
        <family val="2"/>
        <scheme val="minor"/>
      </rPr>
      <t>15/03 - Mesmo Status.
07/03 - Mesmo Status.
01/03 - Proposta renovada e enviada ao cliente. Aguardando definição.
23/02 - Aguardando cronograma de Engenharia e em paralelo a Equipe de Ura está renovando a proposta.</t>
    </r>
    <r>
      <rPr>
        <b/>
        <sz val="11"/>
        <color theme="1"/>
        <rFont val="Calibri"/>
        <family val="2"/>
        <scheme val="minor"/>
      </rPr>
      <t xml:space="preserve">
</t>
    </r>
    <r>
      <rPr>
        <sz val="11"/>
        <color theme="1"/>
        <rFont val="Calibri"/>
        <family val="2"/>
        <scheme val="minor"/>
      </rPr>
      <t xml:space="preserve">
15/02 - Mesmo Status, acrescentando a solicitação da Equipe de Ura Contax, renovar a proposta interna devido a validade da mesma.
10/02 -</t>
    </r>
    <r>
      <rPr>
        <b/>
        <sz val="11"/>
        <color theme="1"/>
        <rFont val="Calibri"/>
        <family val="2"/>
        <scheme val="minor"/>
      </rPr>
      <t xml:space="preserve"> </t>
    </r>
    <r>
      <rPr>
        <sz val="11"/>
        <color theme="1"/>
        <rFont val="Calibri"/>
        <family val="2"/>
        <scheme val="minor"/>
      </rPr>
      <t>Solicitado o Estudo de Engenharia para o desenho desta solução, pois o valor  anterior da proposta da Equipe de Ura Contax  não contemplava infraestrutura e  sistema de monitoração.
02/02 - Mesmo status.</t>
    </r>
    <r>
      <rPr>
        <b/>
        <sz val="11"/>
        <color theme="1"/>
        <rFont val="Calibri"/>
        <family val="2"/>
        <scheme val="minor"/>
      </rPr>
      <t xml:space="preserve">
</t>
    </r>
    <r>
      <rPr>
        <sz val="11"/>
        <color theme="1"/>
        <rFont val="Calibri"/>
        <family val="2"/>
        <scheme val="minor"/>
      </rPr>
      <t>26/01 - Mesmo status, sem retorno da operação.
18/12 - Proposta realizada pela Equipe Interna Contax de URA , enviada para o solicitante, aguardando retorno.
08/12 - Proposta enviada para o solicitante, aguardando retorno.
01/12 - Aguardando definição de valores da Proposta da Equipe de Ura Contax. Foi cobrado a área de Ura Contax sobre a Proposta.
24/11 - Conforme alinhamento, a Equipe de Ura Contax enviará a proposta no dia 27/11 (Sext)
17/11 - Aguardando o aval do solicitante para que a Equipe de Ura Contax possa interagir e gerar uma nova proposta.
09/11 - Equipe de URA Contax aceitou fazer estudo de custo e prazo como alternativa a Avaya. Fontes solicitados para a AVAYA, que ainda não retornou.
30/10 - Acionado a área de Ura Produção para análise desta proposta.
20/10 -  Sendo analisado a Proposta enviada pela Avaya.
13/10 - Aguardando janela da operação para alinhamento sobre a proposta da avaya.
06/10 - Aguardando aprovação
29/09-Encaminhado o orçamento em PDF para aprovação.
16/09-Encaminhado orçamento para a area solicitante, estamos aguardando a proposta comercial em PDF, solicitada em 17/09.</t>
    </r>
  </si>
  <si>
    <r>
      <rPr>
        <b/>
        <sz val="11"/>
        <color theme="1"/>
        <rFont val="Calibri"/>
        <family val="2"/>
        <scheme val="minor"/>
      </rPr>
      <t xml:space="preserve">31/05 - </t>
    </r>
    <r>
      <rPr>
        <sz val="11"/>
        <color theme="1"/>
        <rFont val="Calibri"/>
        <family val="2"/>
        <scheme val="minor"/>
      </rPr>
      <t>Pendencia do acesso externo sendo verificada. 
Através do chamado SPOAS-12705, estamos estudando as viabilidades.
O mesmo foi fechado , pedimos para o cliente testar, aguardando retorno.
24/05 -  Conseguimos resolver a questão da Matriz de Acionamento que será realizada diretamente do cliente ao Noc e o mesmo será incluso no grupo de sms.
Quanto ao acesso externo, foi realizado uma conferência com Redes Oi e Contax no qual surgiram 2 cenários de viabilidade e depois o 3 via VPN . Através do chamado SPOAS-12705, estamos estudando as viabilidades.</t>
    </r>
    <r>
      <rPr>
        <b/>
        <sz val="11"/>
        <color theme="1"/>
        <rFont val="Calibri"/>
        <family val="2"/>
        <scheme val="minor"/>
      </rPr>
      <t xml:space="preserve">
</t>
    </r>
    <r>
      <rPr>
        <sz val="11"/>
        <color theme="1"/>
        <rFont val="Calibri"/>
        <family val="2"/>
        <scheme val="minor"/>
      </rPr>
      <t>17/05 - Temos duas ações que o cliente está solicitando para o fechamento desta demanda, conforme abaixo:
1. Acesso ao NGR Monitor ao cliente, fora do ambiente Contax
Nesta Quarta (disponibilidade do cliente) , será realizado uma conferência com Redes Oi e Redes Contax para verificação deste acesso, via NAT.
2. Matriz de Acionamento
Foi enviado esta matriz conforme padrão da Empresa, porém a cliente solicita um 0800 exclusivo para acionamento, caso precise.
Conforme última interação com o Ger. Jose Carlos de Ura , não temos este tipo de acionamento.
10/05 - Estamos em processo de Homologação, porém o solicitante deseja.
1 - Acesso externo para o cliente Oi, via Nat:
Aberto chamado SPOAS-12705, aguardando o DA do solicitante.
2 - Acionamento direto do cliente Oi ao Suporte de Ura:
Sendo analisado os contratos de Ura Oi para verificar a viabilidade.
03/05 - Cliente está solicitando uma liberação via web que não está dentro do escopo da demanda. Foi solicitado uma call amanhã 04/05 para esta definição.
25/04 -</t>
    </r>
    <r>
      <rPr>
        <b/>
        <sz val="11"/>
        <color theme="1"/>
        <rFont val="Calibri"/>
        <family val="2"/>
        <scheme val="minor"/>
      </rPr>
      <t xml:space="preserve"> </t>
    </r>
    <r>
      <rPr>
        <sz val="11"/>
        <color theme="1"/>
        <rFont val="Calibri"/>
        <family val="2"/>
        <scheme val="minor"/>
      </rPr>
      <t>Mesmo status.
19/04 - Aguardando o retorno de Ura Contax com as pendências de finalização desta demanda.
12/04 -Noc já treinado. a Matriz de Acionamento enviada.
Aguardando retorno sobre os acessos e finalizando questões de relatórios.
04/04 -</t>
    </r>
    <r>
      <rPr>
        <b/>
        <sz val="11"/>
        <color theme="1"/>
        <rFont val="Calibri"/>
        <family val="2"/>
        <scheme val="minor"/>
      </rPr>
      <t xml:space="preserve"> </t>
    </r>
    <r>
      <rPr>
        <sz val="11"/>
        <color theme="1"/>
        <rFont val="Calibri"/>
        <family val="2"/>
        <scheme val="minor"/>
      </rPr>
      <t>Treinamento do Noc sendo realizado.Liberação do cliente, sendo realizado. 
Conforme interação com Dennys Noc, o treinamento será finalizado no dia 11/04, no qual posteriormente será enviado a Matriz de Acionamento para o solicitante.</t>
    </r>
    <r>
      <rPr>
        <b/>
        <sz val="11"/>
        <color theme="1"/>
        <rFont val="Calibri"/>
        <family val="2"/>
        <scheme val="minor"/>
      </rPr>
      <t xml:space="preserve">
</t>
    </r>
    <r>
      <rPr>
        <sz val="11"/>
        <color theme="1"/>
        <rFont val="Calibri"/>
        <family val="2"/>
        <scheme val="minor"/>
      </rPr>
      <t xml:space="preserve">
28/03 -</t>
    </r>
    <r>
      <rPr>
        <b/>
        <sz val="11"/>
        <color theme="1"/>
        <rFont val="Calibri"/>
        <family val="2"/>
        <scheme val="minor"/>
      </rPr>
      <t xml:space="preserve"> </t>
    </r>
    <r>
      <rPr>
        <sz val="11"/>
        <color theme="1"/>
        <rFont val="Calibri"/>
        <family val="2"/>
        <scheme val="minor"/>
      </rPr>
      <t xml:space="preserve">Treinamento do Noc sendo realizado.Liberação do cliente, sendo realizado.
21/03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15/03 - Analisando a possibilidade dos acesso do cliente Oi ( Via Link de Internet ou Acesso Via Nat);
 - Matriz de Acionamento, estamos em treinamento do Noc  para que possamos enviá-la.
07/03 - Definição de treinamento com NOC.
01/03 -</t>
    </r>
    <r>
      <rPr>
        <b/>
        <sz val="11"/>
        <color theme="1"/>
        <rFont val="Calibri"/>
        <family val="2"/>
        <scheme val="minor"/>
      </rPr>
      <t xml:space="preserve"> </t>
    </r>
    <r>
      <rPr>
        <sz val="11"/>
        <color theme="1"/>
        <rFont val="Calibri"/>
        <family val="2"/>
        <scheme val="minor"/>
      </rPr>
      <t>Aplicação em Produção, feito treinamento direto com o cliente.
Homologado com sucesso.
No momento estamos, tentando interação com o NOC para definição 
de processos de Monitoração.
23/02-</t>
    </r>
    <r>
      <rPr>
        <b/>
        <sz val="11"/>
        <color theme="1"/>
        <rFont val="Calibri"/>
        <family val="2"/>
        <scheme val="minor"/>
      </rPr>
      <t xml:space="preserve"> </t>
    </r>
    <r>
      <rPr>
        <sz val="11"/>
        <color theme="1"/>
        <rFont val="Calibri"/>
        <family val="2"/>
        <scheme val="minor"/>
      </rPr>
      <t xml:space="preserve">A ferramenta está em Produção porém, para a Ura conseguir passar as informações de Produção é necessário a GMUD (dia 24/02).
Fase de Piloto com término no dia 26/02.
Quanto a parte de Monitoração, estamos alinhando com as partes de TI para que o NOC entre em contato com o Manuel Botelho (Site), informando a indisponibilidade, caso haja.
Ontem a Equipe de URA fez um over view com o cliente.
Hoje teremos uma conferência para fechar este fluxo. </t>
    </r>
    <r>
      <rPr>
        <b/>
        <sz val="11"/>
        <color theme="1"/>
        <rFont val="Calibri"/>
        <family val="2"/>
        <scheme val="minor"/>
      </rPr>
      <t xml:space="preserve">
</t>
    </r>
    <r>
      <rPr>
        <sz val="11"/>
        <color theme="1"/>
        <rFont val="Calibri"/>
        <family val="2"/>
        <scheme val="minor"/>
      </rPr>
      <t>15/02 - Cronograma seguindo conforme acordado. Equipe de Ura atuando, conforme previsto.</t>
    </r>
    <r>
      <rPr>
        <b/>
        <sz val="11"/>
        <color theme="1"/>
        <rFont val="Calibri"/>
        <family val="2"/>
        <scheme val="minor"/>
      </rPr>
      <t xml:space="preserve">
</t>
    </r>
    <r>
      <rPr>
        <sz val="11"/>
        <color theme="1"/>
        <rFont val="Calibri"/>
        <family val="2"/>
        <scheme val="minor"/>
      </rPr>
      <t>10/02 - Cronograma refeito com o dealine 24/02, amanhã daremos continuidade as ações de Ura.
02/02 -</t>
    </r>
    <r>
      <rPr>
        <b/>
        <sz val="11"/>
        <color theme="1"/>
        <rFont val="Calibri"/>
        <family val="2"/>
        <scheme val="minor"/>
      </rPr>
      <t xml:space="preserve"> </t>
    </r>
    <r>
      <rPr>
        <sz val="11"/>
        <color theme="1"/>
        <rFont val="Calibri"/>
        <family val="2"/>
        <scheme val="minor"/>
      </rPr>
      <t>Refeito o cronograma, a parte do CSE já está concluída. Estamos trabalhando com a Equipe de Ura para que possamos reduzir as ações do mesmo. Por enquanto dead line está em 29/02.</t>
    </r>
    <r>
      <rPr>
        <b/>
        <sz val="11"/>
        <color theme="1"/>
        <rFont val="Calibri"/>
        <family val="2"/>
        <scheme val="minor"/>
      </rPr>
      <t xml:space="preserve">
</t>
    </r>
    <r>
      <rPr>
        <sz val="11"/>
        <color theme="1"/>
        <rFont val="Calibri"/>
        <family val="2"/>
        <scheme val="minor"/>
      </rPr>
      <t xml:space="preserve">
26/01 - Encontramos um problema no switch onde o servidor está conectado perante a este cenário o cronograma está atrasado, </t>
    </r>
    <r>
      <rPr>
        <u/>
        <sz val="11"/>
        <color theme="1"/>
        <rFont val="Calibri"/>
        <family val="2"/>
        <scheme val="minor"/>
      </rPr>
      <t>aguardando retorno do LW para atualização.</t>
    </r>
    <r>
      <rPr>
        <sz val="11"/>
        <color theme="1"/>
        <rFont val="Calibri"/>
        <family val="2"/>
        <scheme val="minor"/>
      </rPr>
      <t xml:space="preserve">
15/12 - CTXSALSM-78582 - Projeto entregue em: 15/12/2015 
18/12 - Conforme retorno de Engenharia, foi consolidado o cronograma de ações do CSE e Ura, enviados hoje ao solicitante.
Prazo Homologação Final: 19/02/2016
08/12 - Apesar do solicitante pedir a homologação dentro do prazo do dia 09/12, devido as prioridades, o Prazo ENG foi 08/12 às 15/12.
01/12 - a Equipe de Ura está andando com o processo. Porém, a Equipe de  ENG estão reprogramando a fila devido as solicitações da diretoria e não podiam definir um prazo no momento.
24/11 - Interação entre a Equipe de Ura e Linux a fim de criar um script de limpeza dos logs.  Assim que recebermos as inf de Ura, o Analista Linux irá criar a rotina de expurgo de dados.
17/11 - Aguardando retorno do cliente perante estas informações de Infra, verificando necessidade de uma redução nos requisitos da infra solicitada pelo Klaus.
Foi solicitado um valor mínimo aceitável para o número de processadores e espaço em disco.
05/11 - Conforme análise de Infra pelo Klaus:
-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
</t>
    </r>
  </si>
  <si>
    <r>
      <rPr>
        <b/>
        <sz val="11"/>
        <color theme="1"/>
        <rFont val="Calibri"/>
        <family val="2"/>
        <scheme val="minor"/>
      </rPr>
      <t xml:space="preserve">31/05 - </t>
    </r>
    <r>
      <rPr>
        <sz val="11"/>
        <color theme="1"/>
        <rFont val="Calibri"/>
        <family val="2"/>
        <scheme val="minor"/>
      </rPr>
      <t xml:space="preserve">Mesmo status. 
24/05 </t>
    </r>
    <r>
      <rPr>
        <b/>
        <sz val="11"/>
        <color theme="1"/>
        <rFont val="Calibri"/>
        <family val="2"/>
        <scheme val="minor"/>
      </rPr>
      <t xml:space="preserve">- </t>
    </r>
    <r>
      <rPr>
        <sz val="11"/>
        <color theme="1"/>
        <rFont val="Calibri"/>
        <family val="2"/>
        <scheme val="minor"/>
      </rPr>
      <t xml:space="preserve">Mesmo status. </t>
    </r>
    <r>
      <rPr>
        <b/>
        <sz val="11"/>
        <color theme="1"/>
        <rFont val="Calibri"/>
        <family val="2"/>
        <scheme val="minor"/>
      </rPr>
      <t xml:space="preserve">
</t>
    </r>
    <r>
      <rPr>
        <sz val="11"/>
        <color theme="1"/>
        <rFont val="Calibri"/>
        <family val="2"/>
        <scheme val="minor"/>
      </rPr>
      <t>17/05 - Prazo do solicitante expirado, foi solicitado novamente urgencia neste retorno.
10/05 - A Ticket deverá retornar com previsão e cronograma para dia 15 de maio
03/05 - A troca dos equipamentos irá ser efetuada pela Ticket/DNK e a Ticket deverá retornar com previsão e cronograma para dia 15 de maio.
19/04 -</t>
    </r>
    <r>
      <rPr>
        <b/>
        <sz val="11"/>
        <color theme="1"/>
        <rFont val="Calibri"/>
        <family val="2"/>
        <scheme val="minor"/>
      </rPr>
      <t xml:space="preserve"> </t>
    </r>
    <r>
      <rPr>
        <sz val="11"/>
        <color theme="1"/>
        <rFont val="Calibri"/>
        <family val="2"/>
        <scheme val="minor"/>
      </rPr>
      <t xml:space="preserve">Mesmo status. Agendado reunião dia 25/04 sobre estes pontos da Ticket.
12/04 - Conforme contato com o ponto focal de TI do Site Lapa, não tivemos retorno da DNK sobre os servidores.
Contanto, o cronograma está defasado. Foi solicitado atualização.
04/04 - </t>
    </r>
    <r>
      <rPr>
        <b/>
        <sz val="11"/>
        <color theme="1"/>
        <rFont val="Calibri"/>
        <family val="2"/>
        <scheme val="minor"/>
      </rPr>
      <t xml:space="preserve"> </t>
    </r>
    <r>
      <rPr>
        <sz val="11"/>
        <color theme="1"/>
        <rFont val="Calibri"/>
        <family val="2"/>
        <scheme val="minor"/>
      </rPr>
      <t>Mesmo Status. Cronograma sendo seguido.</t>
    </r>
    <r>
      <rPr>
        <b/>
        <sz val="11"/>
        <color theme="1"/>
        <rFont val="Calibri"/>
        <family val="2"/>
        <scheme val="minor"/>
      </rPr>
      <t xml:space="preserve">
</t>
    </r>
    <r>
      <rPr>
        <sz val="11"/>
        <color theme="1"/>
        <rFont val="Calibri"/>
        <family val="2"/>
        <scheme val="minor"/>
      </rPr>
      <t>28/03 - Mesmo Status. Cronograma sendo seguido.
21/03 - Mesmo status.
15/03</t>
    </r>
    <r>
      <rPr>
        <b/>
        <sz val="11"/>
        <color theme="1"/>
        <rFont val="Calibri"/>
        <family val="2"/>
        <scheme val="minor"/>
      </rPr>
      <t xml:space="preserve"> - </t>
    </r>
    <r>
      <rPr>
        <sz val="11"/>
        <color theme="1"/>
        <rFont val="Calibri"/>
        <family val="2"/>
        <scheme val="minor"/>
      </rPr>
      <t>Cronograma da DNK recebido e alinhado com TI.  
Início 15/04</t>
    </r>
    <r>
      <rPr>
        <b/>
        <sz val="11"/>
        <color theme="1"/>
        <rFont val="Calibri"/>
        <family val="2"/>
        <scheme val="minor"/>
      </rPr>
      <t xml:space="preserve">
</t>
    </r>
    <r>
      <rPr>
        <sz val="11"/>
        <color theme="1"/>
        <rFont val="Calibri"/>
        <family val="2"/>
        <scheme val="minor"/>
      </rPr>
      <t>07/03 - Mesmo status, aguardando retorno da DNK.
01/03 - DNK informou que irão enviar novo cronograma para sequencia da demanda. Foi solicitado por TI envio com 72 horas de antecendência, para organização de todas as frentes.
23/02 - Carlos reportou que DNK e Cliente tiveram reunião na sexta 19/02 e fizeram um cronograma, aguardando o mesmo.</t>
    </r>
    <r>
      <rPr>
        <b/>
        <sz val="11"/>
        <color theme="1"/>
        <rFont val="Calibri"/>
        <family val="2"/>
        <scheme val="minor"/>
      </rPr>
      <t xml:space="preserve">
</t>
    </r>
    <r>
      <rPr>
        <sz val="11"/>
        <color theme="1"/>
        <rFont val="Calibri"/>
        <family val="2"/>
        <scheme val="minor"/>
      </rPr>
      <t xml:space="preserve">15/02 - Mesmo Status. Cronograma realizado junto ao CSE e Suporte Site. Dead line 17/02
10/02 </t>
    </r>
    <r>
      <rPr>
        <b/>
        <sz val="11"/>
        <color theme="1"/>
        <rFont val="Calibri"/>
        <family val="2"/>
        <scheme val="minor"/>
      </rPr>
      <t xml:space="preserve">- </t>
    </r>
    <r>
      <rPr>
        <sz val="11"/>
        <color theme="1"/>
        <rFont val="Calibri"/>
        <family val="2"/>
        <scheme val="minor"/>
      </rPr>
      <t>Cronograma realizado junto ao CSE e Suporte Site. Dead line 17/02</t>
    </r>
    <r>
      <rPr>
        <b/>
        <sz val="11"/>
        <color theme="1"/>
        <rFont val="Calibri"/>
        <family val="2"/>
        <scheme val="minor"/>
      </rPr>
      <t xml:space="preserve">
</t>
    </r>
    <r>
      <rPr>
        <sz val="11"/>
        <color theme="1"/>
        <rFont val="Calibri"/>
        <family val="2"/>
        <scheme val="minor"/>
      </rPr>
      <t>02/02 -</t>
    </r>
    <r>
      <rPr>
        <b/>
        <sz val="11"/>
        <color theme="1"/>
        <rFont val="Calibri"/>
        <family val="2"/>
        <scheme val="minor"/>
      </rPr>
      <t xml:space="preserve"> </t>
    </r>
    <r>
      <rPr>
        <sz val="11"/>
        <color theme="1"/>
        <rFont val="Calibri"/>
        <family val="2"/>
        <scheme val="minor"/>
      </rPr>
      <t>CSE já está atuando no sentido de preparar a Infra no ambiente, interação com Controle de Ativos para esta necessidade.</t>
    </r>
    <r>
      <rPr>
        <b/>
        <sz val="11"/>
        <color theme="1"/>
        <rFont val="Calibri"/>
        <family val="2"/>
        <scheme val="minor"/>
      </rPr>
      <t xml:space="preserve">
</t>
    </r>
    <r>
      <rPr>
        <sz val="11"/>
        <color theme="1"/>
        <rFont val="Calibri"/>
        <family val="2"/>
        <scheme val="minor"/>
      </rPr>
      <t>26/01 - Aguardando cronograma do CSE  em relação a preparação de Infra para os servidores da DNK.</t>
    </r>
    <r>
      <rPr>
        <b/>
        <sz val="11"/>
        <color theme="1"/>
        <rFont val="Calibri"/>
        <family val="2"/>
        <scheme val="minor"/>
      </rPr>
      <t xml:space="preserve">
</t>
    </r>
    <r>
      <rPr>
        <sz val="11"/>
        <color theme="1"/>
        <rFont val="Calibri"/>
        <family val="2"/>
        <scheme val="minor"/>
      </rPr>
      <t>21/01 - Definido as ações abaixo, ainda aguardando retorno do Item 1.
1. O servidores serão disponibilizados pela própria DNK –</t>
    </r>
    <r>
      <rPr>
        <u/>
        <sz val="11"/>
        <color theme="1"/>
        <rFont val="Calibri"/>
        <family val="2"/>
        <scheme val="minor"/>
      </rPr>
      <t xml:space="preserve"> Definição dos servidores nesta Seg 18/01.</t>
    </r>
    <r>
      <rPr>
        <sz val="11"/>
        <color theme="1"/>
        <rFont val="Calibri"/>
        <family val="2"/>
        <scheme val="minor"/>
      </rPr>
      <t xml:space="preserve">
2. A instalação e configuração serão realizadas pela DNK
3. Precisamos informar para a  DNK os IPs dos servidores  10.51.0.83/23 e 10.51.84./23 (descritos na topologia)
4. Necessário a  passagem de cabeamento dos core ate os servidores
5. No firewall já existem uma regras,  para  validar o é necessário efetuar testes em conjunto com a DNK</t>
    </r>
    <r>
      <rPr>
        <b/>
        <sz val="11"/>
        <color theme="1"/>
        <rFont val="Calibri"/>
        <family val="2"/>
        <scheme val="minor"/>
      </rPr>
      <t xml:space="preserve">
-----------------------------------------------</t>
    </r>
    <r>
      <rPr>
        <sz val="11"/>
        <color theme="1"/>
        <rFont val="Calibri"/>
        <family val="2"/>
        <scheme val="minor"/>
      </rPr>
      <t xml:space="preserve">
18/12 - Prazo de Engenharia: 
14/12 à 05/01/2016
08/12 - Conforme padrão, foi enviado para Fila de ENG com todo  o escopo detalhado da demanda. Aguardando Prazo para análise</t>
    </r>
  </si>
  <si>
    <r>
      <rPr>
        <b/>
        <sz val="11"/>
        <color theme="1"/>
        <rFont val="Calibri"/>
        <family val="2"/>
        <scheme val="minor"/>
      </rPr>
      <t>31/05 -</t>
    </r>
    <r>
      <rPr>
        <sz val="11"/>
        <color theme="1"/>
        <rFont val="Calibri"/>
        <family val="2"/>
        <scheme val="minor"/>
      </rPr>
      <t xml:space="preserve"> A ticket  está analisando toda a ferramenta da Uranet para posteriormente realizar a implantação. TBD
24/05 - Mesmo Status.
17/05 - Os testes na operação seriam no dia 12/05 porém devido ao atraso do treinamento, não ocorreu. Foi solicitado a atualização do cronograma.
10/05 - Treinamento para administração do Mailing  está sendo realizado hoje. Posteriormente será o início da operação utilizando mailing de teste.
Aguardando retorno da Uranet.
03/05 - Sem retorno do fornecedor, aguardando.
25/04 - Reunião a ser agendada por Cibele com o time de projeto do lado da Ticket, para levantar histórico e situação atual do projeto, para prover respostas pendentes para a Contax e demais atividades.
19/04 -</t>
    </r>
    <r>
      <rPr>
        <b/>
        <sz val="11"/>
        <color theme="1"/>
        <rFont val="Calibri"/>
        <family val="2"/>
        <scheme val="minor"/>
      </rPr>
      <t xml:space="preserve"> </t>
    </r>
    <r>
      <rPr>
        <sz val="11"/>
        <color theme="1"/>
        <rFont val="Calibri"/>
        <family val="2"/>
        <scheme val="minor"/>
      </rPr>
      <t xml:space="preserve">Aguardando retorno da operação, perante a homologação.
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
</t>
    </r>
    <r>
      <rPr>
        <u/>
        <sz val="11"/>
        <color theme="1"/>
        <rFont val="Calibri"/>
        <family val="2"/>
        <scheme val="minor"/>
      </rPr>
      <t>Aguardando retorno do solicitante para os testes na operação.</t>
    </r>
    <r>
      <rPr>
        <sz val="11"/>
        <color theme="1"/>
        <rFont val="Calibri"/>
        <family val="2"/>
        <scheme val="minor"/>
      </rPr>
      <t xml:space="preserve">
04/04 - Durante a segunda parte da conferência entre as áreas de TI Contax e URANET, foi identificada a necessidade de realizar uma configuração extra nos links para garantir a automatização da solução em caso de queda de um destes links.
Engenharia TI atuando no novo desenho da solução</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Cronograma alterado: Início: 23/03 Seg  -  Fim: 01/04 Qua
21/03 -</t>
    </r>
    <r>
      <rPr>
        <b/>
        <sz val="11"/>
        <color theme="1"/>
        <rFont val="Calibri"/>
        <family val="2"/>
        <scheme val="minor"/>
      </rPr>
      <t xml:space="preserve"> </t>
    </r>
    <r>
      <rPr>
        <sz val="11"/>
        <color theme="1"/>
        <rFont val="Calibri"/>
        <family val="2"/>
        <scheme val="minor"/>
      </rPr>
      <t>Cronograma alterado: Início: 28/03 Seg  -  Fim: 08/04 Qua</t>
    </r>
    <r>
      <rPr>
        <b/>
        <sz val="11"/>
        <color theme="1"/>
        <rFont val="Calibri"/>
        <family val="2"/>
        <scheme val="minor"/>
      </rPr>
      <t xml:space="preserve">
</t>
    </r>
    <r>
      <rPr>
        <sz val="11"/>
        <color theme="1"/>
        <rFont val="Calibri"/>
        <family val="2"/>
        <scheme val="minor"/>
      </rPr>
      <t>15/03 - Prazo TI 
Início: 15/03 Seg  -  Fim: 08/04 Qua</t>
    </r>
    <r>
      <rPr>
        <b/>
        <sz val="11"/>
        <color theme="1"/>
        <rFont val="Calibri"/>
        <family val="2"/>
        <scheme val="minor"/>
      </rPr>
      <t xml:space="preserve">
</t>
    </r>
    <r>
      <rPr>
        <sz val="11"/>
        <color theme="1"/>
        <rFont val="Calibri"/>
        <family val="2"/>
        <scheme val="minor"/>
      </rPr>
      <t xml:space="preserve">
07/03 -</t>
    </r>
    <r>
      <rPr>
        <b/>
        <sz val="11"/>
        <color theme="1"/>
        <rFont val="Calibri"/>
        <family val="2"/>
        <scheme val="minor"/>
      </rPr>
      <t xml:space="preserve"> </t>
    </r>
    <r>
      <rPr>
        <sz val="11"/>
        <color theme="1"/>
        <rFont val="Calibri"/>
        <family val="2"/>
        <scheme val="minor"/>
      </rPr>
      <t>Solicitado a atualização do cronograma porTI Site.</t>
    </r>
    <r>
      <rPr>
        <b/>
        <sz val="11"/>
        <color theme="1"/>
        <rFont val="Calibri"/>
        <family val="2"/>
        <scheme val="minor"/>
      </rPr>
      <t xml:space="preserve">
</t>
    </r>
    <r>
      <rPr>
        <sz val="11"/>
        <color theme="1"/>
        <rFont val="Calibri"/>
        <family val="2"/>
        <scheme val="minor"/>
      </rPr>
      <t>01/03 - Tivemos uma ativação de circuito Oi no site Lapa. Cronograma seguindo conforme previsto.
23/02 -</t>
    </r>
    <r>
      <rPr>
        <b/>
        <sz val="11"/>
        <color theme="1"/>
        <rFont val="Calibri"/>
        <family val="2"/>
        <scheme val="minor"/>
      </rPr>
      <t xml:space="preserve"> </t>
    </r>
    <r>
      <rPr>
        <sz val="11"/>
        <color theme="1"/>
        <rFont val="Calibri"/>
        <family val="2"/>
        <scheme val="minor"/>
      </rPr>
      <t xml:space="preserve">Cronograma de TI sendo seguido . Início: 15/02 Seg  -  Fim: 11/03 Qua.  </t>
    </r>
    <r>
      <rPr>
        <b/>
        <sz val="11"/>
        <color theme="1"/>
        <rFont val="Calibri"/>
        <family val="2"/>
        <scheme val="minor"/>
      </rPr>
      <t xml:space="preserve">
</t>
    </r>
    <r>
      <rPr>
        <sz val="11"/>
        <color theme="1"/>
        <rFont val="Calibri"/>
        <family val="2"/>
        <scheme val="minor"/>
      </rPr>
      <t>10/02 - Cronograma realizado junto ao CSE e Suporte Site. Dead line 11/03</t>
    </r>
    <r>
      <rPr>
        <b/>
        <sz val="11"/>
        <color theme="1"/>
        <rFont val="Calibri"/>
        <family val="2"/>
        <scheme val="minor"/>
      </rPr>
      <t xml:space="preserve">
</t>
    </r>
    <r>
      <rPr>
        <sz val="11"/>
        <color theme="1"/>
        <rFont val="Calibri"/>
        <family val="2"/>
        <scheme val="minor"/>
      </rPr>
      <t>02/02 - CSE já está atuando no sentido de preparar a Infra no ambiente, interação com Controle de Ativos para esta necessidade.
26/01 - Aguardando o cronograma de CSE perante as preparações de Infra. Em paralelo estamos interagindo com  a operação perante algumas pendências de informações para análise de Engenharia Telecom.</t>
    </r>
    <r>
      <rPr>
        <b/>
        <sz val="11"/>
        <color theme="1"/>
        <rFont val="Calibri"/>
        <family val="2"/>
        <scheme val="minor"/>
      </rPr>
      <t xml:space="preserve">
</t>
    </r>
    <r>
      <rPr>
        <sz val="11"/>
        <color theme="1"/>
        <rFont val="Calibri"/>
        <family val="2"/>
        <scheme val="minor"/>
      </rPr>
      <t xml:space="preserve">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
• Instalar um novo switch extranet     (Modelo sugerido 3560G 24portas ).
• Dois roteadores ( 3845, 2811, 1841, 2851) .
• Passagem de cabo do firewall até o novo extranet, passagem de cabo do extranet até os novo roteadores, passagem de cabo dos nossos roteadores até o equipamento das operadoras Algar e Oi .
• Na topologia contem as informações para configurar o extranet e os dois roteadores,  segue também um txt com as regras de firewall e roteamento, as liberações também envolvem a comunicação do nosso PABX com o PABX da Uranet as regras estão no txt.  
• Verificar com Microsoft para  cadastrar os endereços no DNS.
</t>
    </r>
    <r>
      <rPr>
        <b/>
        <sz val="11"/>
        <color theme="1"/>
        <rFont val="Calibri"/>
        <family val="2"/>
        <scheme val="minor"/>
      </rPr>
      <t>Foi solicitado cronograma ao CSE perante as ações acima.</t>
    </r>
    <r>
      <rPr>
        <sz val="11"/>
        <color theme="1"/>
        <rFont val="Calibri"/>
        <family val="2"/>
        <scheme val="minor"/>
      </rPr>
      <t xml:space="preserve">
-----------------------------------------------------------
18/12 - Prazo de Engenharia: 
14/12 à 05/01/2016
08/12 - Conforme padrão, foi enviado para Fila de ENG com todo  o escopo detalhado da demanda. Aguardando Prazo de ENG.</t>
    </r>
  </si>
  <si>
    <r>
      <rPr>
        <b/>
        <sz val="11"/>
        <color theme="1"/>
        <rFont val="Calibri"/>
        <family val="2"/>
        <scheme val="minor"/>
      </rPr>
      <t>31/05 -</t>
    </r>
    <r>
      <rPr>
        <sz val="11"/>
        <color theme="1"/>
        <rFont val="Calibri"/>
        <family val="2"/>
        <scheme val="minor"/>
      </rPr>
      <t xml:space="preserve"> Em processo de  transporte.
24/05 </t>
    </r>
    <r>
      <rPr>
        <b/>
        <sz val="11"/>
        <color theme="1"/>
        <rFont val="Calibri"/>
        <family val="2"/>
        <scheme val="minor"/>
      </rPr>
      <t>-</t>
    </r>
    <r>
      <rPr>
        <sz val="11"/>
        <color theme="1"/>
        <rFont val="Calibri"/>
        <family val="2"/>
        <scheme val="minor"/>
      </rPr>
      <t xml:space="preserve"> Processo de NF sendo verificado, em transporte.
17/05 - Pedido de transporte foi aprovado hoje, solicitando verificando com Suprimentos.
10/05 </t>
    </r>
    <r>
      <rPr>
        <b/>
        <sz val="11"/>
        <color theme="1"/>
        <rFont val="Calibri"/>
        <family val="2"/>
        <scheme val="minor"/>
      </rPr>
      <t xml:space="preserve">- </t>
    </r>
    <r>
      <rPr>
        <sz val="11"/>
        <color theme="1"/>
        <rFont val="Calibri"/>
        <family val="2"/>
        <scheme val="minor"/>
      </rPr>
      <t>Em Comitê, para aprovação do transporte do Servidor para gravação
03/05 -</t>
    </r>
    <r>
      <rPr>
        <b/>
        <sz val="11"/>
        <color theme="1"/>
        <rFont val="Calibri"/>
        <family val="2"/>
        <scheme val="minor"/>
      </rPr>
      <t xml:space="preserve"> </t>
    </r>
    <r>
      <rPr>
        <sz val="11"/>
        <color theme="1"/>
        <rFont val="Calibri"/>
        <family val="2"/>
        <scheme val="minor"/>
      </rPr>
      <t>Em Comitê, para aprovação do transporte do Servidor para gravação. Lembrando que são 15 pas para gravação.
25/04 -</t>
    </r>
    <r>
      <rPr>
        <b/>
        <sz val="11"/>
        <color theme="1"/>
        <rFont val="Calibri"/>
        <family val="2"/>
        <scheme val="minor"/>
      </rPr>
      <t xml:space="preserve"> </t>
    </r>
    <r>
      <rPr>
        <sz val="11"/>
        <color theme="1"/>
        <rFont val="Calibri"/>
        <family val="2"/>
        <scheme val="minor"/>
      </rPr>
      <t>Mesmo Status.
19/04 - Em Comitê, para aprovação do transporte do Servidor para gravação. Lembrando que são 15 pas para gravação.
12/04 - Aguardando status do CC Brasil quanto a cotação de transporte para remanejamento do Servidor para gravação. 
04/04 - Mesmo status. 
28/03 -</t>
    </r>
    <r>
      <rPr>
        <b/>
        <sz val="11"/>
        <color theme="1"/>
        <rFont val="Calibri"/>
        <family val="2"/>
        <scheme val="minor"/>
      </rPr>
      <t xml:space="preserve"> </t>
    </r>
    <r>
      <rPr>
        <sz val="11"/>
        <color theme="1"/>
        <rFont val="Calibri"/>
        <family val="2"/>
        <scheme val="minor"/>
      </rPr>
      <t>Foi repassado a cotação de Transporte ao recurso de Negócios (Jonas), para seguimento de abertura de SC. Ressaltando que apenas 15 pas estão sem gravação.
21/03 -</t>
    </r>
    <r>
      <rPr>
        <b/>
        <sz val="11"/>
        <color theme="1"/>
        <rFont val="Calibri"/>
        <family val="2"/>
        <scheme val="minor"/>
      </rPr>
      <t xml:space="preserve"> </t>
    </r>
    <r>
      <rPr>
        <sz val="11"/>
        <color theme="1"/>
        <rFont val="Calibri"/>
        <family val="2"/>
        <scheme val="minor"/>
      </rPr>
      <t xml:space="preserve">Servidor de gravação encontrado. Em cotação de transporte para posterior abertura de SC.
</t>
    </r>
    <r>
      <rPr>
        <b/>
        <sz val="11"/>
        <color theme="1"/>
        <rFont val="Calibri"/>
        <family val="2"/>
        <scheme val="minor"/>
      </rPr>
      <t xml:space="preserve">
</t>
    </r>
    <r>
      <rPr>
        <sz val="11"/>
        <color theme="1"/>
        <rFont val="Calibri"/>
        <family val="2"/>
        <scheme val="minor"/>
      </rPr>
      <t>15/03 -</t>
    </r>
    <r>
      <rPr>
        <b/>
        <sz val="11"/>
        <color theme="1"/>
        <rFont val="Calibri"/>
        <family val="2"/>
        <scheme val="minor"/>
      </rPr>
      <t xml:space="preserve"> </t>
    </r>
    <r>
      <rPr>
        <sz val="11"/>
        <color theme="1"/>
        <rFont val="Calibri"/>
        <family val="2"/>
        <scheme val="minor"/>
      </rPr>
      <t>Aguardando retorno de Controle de Ativos.
07/03 - Mesmo Status.
01/03 -</t>
    </r>
    <r>
      <rPr>
        <b/>
        <sz val="11"/>
        <color theme="1"/>
        <rFont val="Calibri"/>
        <family val="2"/>
        <scheme val="minor"/>
      </rPr>
      <t xml:space="preserve"> </t>
    </r>
    <r>
      <rPr>
        <sz val="11"/>
        <color theme="1"/>
        <rFont val="Calibri"/>
        <family val="2"/>
        <scheme val="minor"/>
      </rPr>
      <t>Ainda temos apenas pendência de gravação em 15 pas. CSE está estudando um upgrade no Nice 2.0 para que possamos resolver este "problema" de gravação.
23/02 -</t>
    </r>
    <r>
      <rPr>
        <b/>
        <sz val="11"/>
        <color theme="1"/>
        <rFont val="Calibri"/>
        <family val="2"/>
        <scheme val="minor"/>
      </rPr>
      <t xml:space="preserve"> </t>
    </r>
    <r>
      <rPr>
        <sz val="11"/>
        <color theme="1"/>
        <rFont val="Calibri"/>
        <family val="2"/>
        <scheme val="minor"/>
      </rPr>
      <t>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"problema" de gravação.</t>
    </r>
    <r>
      <rPr>
        <b/>
        <sz val="11"/>
        <color theme="1"/>
        <rFont val="Calibri"/>
        <family val="2"/>
        <scheme val="minor"/>
      </rPr>
      <t xml:space="preserve">
</t>
    </r>
    <r>
      <rPr>
        <sz val="11"/>
        <color theme="1"/>
        <rFont val="Calibri"/>
        <family val="2"/>
        <scheme val="minor"/>
      </rPr>
      <t>15/02 - Mesmo Status.
10/02 - Acionamento Site para os pré-requisitos de Dac e Imagem das pas. Em paralelo aguardando retorno de Engenharia para as verificações do Discador. Única ação da Equipe do Morais é no final da demanda com o cadastro do novo range de Hostname.</t>
    </r>
    <r>
      <rPr>
        <b/>
        <sz val="11"/>
        <color theme="1"/>
        <rFont val="Calibri"/>
        <family val="2"/>
        <scheme val="minor"/>
      </rPr>
      <t xml:space="preserve">
</t>
    </r>
    <r>
      <rPr>
        <sz val="11"/>
        <color theme="1"/>
        <rFont val="Calibri"/>
        <family val="2"/>
        <scheme val="minor"/>
      </rPr>
      <t xml:space="preserve">
03/02 - A iniciar</t>
    </r>
  </si>
  <si>
    <r>
      <rPr>
        <b/>
        <sz val="11"/>
        <color theme="1"/>
        <rFont val="Calibri"/>
        <family val="2"/>
        <scheme val="minor"/>
      </rPr>
      <t xml:space="preserve">31/05 </t>
    </r>
    <r>
      <rPr>
        <sz val="11"/>
        <color theme="1"/>
        <rFont val="Calibri"/>
        <family val="2"/>
        <scheme val="minor"/>
      </rPr>
      <t>- Em processo de  transporte.
24/05 -</t>
    </r>
    <r>
      <rPr>
        <b/>
        <sz val="11"/>
        <color theme="1"/>
        <rFont val="Calibri"/>
        <family val="2"/>
        <scheme val="minor"/>
      </rPr>
      <t xml:space="preserve"> </t>
    </r>
    <r>
      <rPr>
        <sz val="11"/>
        <color theme="1"/>
        <rFont val="Calibri"/>
        <family val="2"/>
        <scheme val="minor"/>
      </rPr>
      <t xml:space="preserve">Processo de NF sendo verificado, em transporte.
17/05 </t>
    </r>
    <r>
      <rPr>
        <b/>
        <sz val="11"/>
        <color theme="1"/>
        <rFont val="Calibri"/>
        <family val="2"/>
        <scheme val="minor"/>
      </rPr>
      <t>-</t>
    </r>
    <r>
      <rPr>
        <sz val="11"/>
        <color theme="1"/>
        <rFont val="Calibri"/>
        <family val="2"/>
        <scheme val="minor"/>
      </rPr>
      <t xml:space="preserve"> Pedido de transporte foi aprovado hoje, solicitando verificando com Suprimentos.
10/05 -</t>
    </r>
    <r>
      <rPr>
        <b/>
        <sz val="11"/>
        <color theme="1"/>
        <rFont val="Calibri"/>
        <family val="2"/>
        <scheme val="minor"/>
      </rPr>
      <t xml:space="preserve"> </t>
    </r>
    <r>
      <rPr>
        <sz val="11"/>
        <color theme="1"/>
        <rFont val="Calibri"/>
        <family val="2"/>
        <scheme val="minor"/>
      </rPr>
      <t>Em Comitê, para aprovação do transporte do Servidor para gravação.
03/05 -</t>
    </r>
    <r>
      <rPr>
        <b/>
        <sz val="11"/>
        <color theme="1"/>
        <rFont val="Calibri"/>
        <family val="2"/>
        <scheme val="minor"/>
      </rPr>
      <t xml:space="preserve"> </t>
    </r>
    <r>
      <rPr>
        <sz val="11"/>
        <color theme="1"/>
        <rFont val="Calibri"/>
        <family val="2"/>
        <scheme val="minor"/>
      </rPr>
      <t xml:space="preserve">Em Comitê, para aprovação do transporte do Servidor para gravação. Lembrando que são 15 pas para gravação.
25/04 </t>
    </r>
    <r>
      <rPr>
        <b/>
        <sz val="11"/>
        <color theme="1"/>
        <rFont val="Calibri"/>
        <family val="2"/>
        <scheme val="minor"/>
      </rPr>
      <t>-</t>
    </r>
    <r>
      <rPr>
        <sz val="11"/>
        <color theme="1"/>
        <rFont val="Calibri"/>
        <family val="2"/>
        <scheme val="minor"/>
      </rPr>
      <t xml:space="preserve"> Mesmo Status.
19/04 - Em Comitê, para aprovação do transporte do Servidor para gravação.
12/04</t>
    </r>
    <r>
      <rPr>
        <b/>
        <sz val="11"/>
        <color theme="1"/>
        <rFont val="Calibri"/>
        <family val="2"/>
        <scheme val="minor"/>
      </rPr>
      <t xml:space="preserve"> - </t>
    </r>
    <r>
      <rPr>
        <sz val="11"/>
        <color theme="1"/>
        <rFont val="Calibri"/>
        <family val="2"/>
        <scheme val="minor"/>
      </rPr>
      <t>Aguardando status do CC Brasil quanto a cotação de transporte para remanejamento do Servidor para gravação. 
04/04 -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28/03 -</t>
    </r>
    <r>
      <rPr>
        <b/>
        <sz val="11"/>
        <color theme="1"/>
        <rFont val="Calibri"/>
        <family val="2"/>
        <scheme val="minor"/>
      </rPr>
      <t xml:space="preserve"> </t>
    </r>
    <r>
      <rPr>
        <sz val="11"/>
        <color theme="1"/>
        <rFont val="Calibri"/>
        <family val="2"/>
        <scheme val="minor"/>
      </rPr>
      <t>Foi repassado a cotação de Transporte ao recurso de Negócios, para seguimento de abertura de SC.</t>
    </r>
    <r>
      <rPr>
        <b/>
        <sz val="11"/>
        <color theme="1"/>
        <rFont val="Calibri"/>
        <family val="2"/>
        <scheme val="minor"/>
      </rPr>
      <t xml:space="preserve">
</t>
    </r>
    <r>
      <rPr>
        <sz val="11"/>
        <color theme="1"/>
        <rFont val="Calibri"/>
        <family val="2"/>
        <scheme val="minor"/>
      </rPr>
      <t>21/03 - Servidor de gravação encontrado. Em cotação de transporte para posterior abertura de SC</t>
    </r>
    <r>
      <rPr>
        <b/>
        <sz val="11"/>
        <color theme="1"/>
        <rFont val="Calibri"/>
        <family val="2"/>
        <scheme val="minor"/>
      </rPr>
      <t xml:space="preserve">.
</t>
    </r>
    <r>
      <rPr>
        <sz val="11"/>
        <color theme="1"/>
        <rFont val="Calibri"/>
        <family val="2"/>
        <scheme val="minor"/>
      </rPr>
      <t>15/03 -Aguardando retorno de Controle de Ativos.
07/03 -</t>
    </r>
    <r>
      <rPr>
        <b/>
        <sz val="11"/>
        <color theme="1"/>
        <rFont val="Calibri"/>
        <family val="2"/>
        <scheme val="minor"/>
      </rPr>
      <t xml:space="preserve"> </t>
    </r>
    <r>
      <rPr>
        <sz val="11"/>
        <color theme="1"/>
        <rFont val="Calibri"/>
        <family val="2"/>
        <scheme val="minor"/>
      </rPr>
      <t>Mesmo status.
01/03 -</t>
    </r>
    <r>
      <rPr>
        <b/>
        <sz val="11"/>
        <color theme="1"/>
        <rFont val="Calibri"/>
        <family val="2"/>
        <scheme val="minor"/>
      </rPr>
      <t xml:space="preserve"> </t>
    </r>
    <r>
      <rPr>
        <sz val="11"/>
        <color theme="1"/>
        <rFont val="Calibri"/>
        <family val="2"/>
        <scheme val="minor"/>
      </rPr>
      <t>Headsets ok. 
Ainda temos  pendência de gravação  nas pas. CSE está estudando um upgrade no Nice 2.0 para que possamos resolver este "problema" de gravação.
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t>
    </r>
    <r>
      <rPr>
        <b/>
        <sz val="11"/>
        <color theme="1"/>
        <rFont val="Calibri"/>
        <family val="2"/>
        <scheme val="minor"/>
      </rPr>
      <t xml:space="preserve">
</t>
    </r>
    <r>
      <rPr>
        <sz val="11"/>
        <color theme="1"/>
        <rFont val="Calibri"/>
        <family val="2"/>
        <scheme val="minor"/>
      </rPr>
      <t>10/02 - Em análise.
03/02 - A iniciar</t>
    </r>
  </si>
  <si>
    <r>
      <rPr>
        <b/>
        <sz val="11"/>
        <color theme="1"/>
        <rFont val="Calibri"/>
        <family val="2"/>
        <scheme val="minor"/>
      </rPr>
      <t xml:space="preserve">31/05 - </t>
    </r>
    <r>
      <rPr>
        <sz val="11"/>
        <color theme="1"/>
        <rFont val="Calibri"/>
        <family val="2"/>
        <scheme val="minor"/>
      </rPr>
      <t xml:space="preserve">Pendência de uma fonte avaya para que possamos finalizar a pa 127 Térreo . Encerrando assim , esta demanda.
24/05 </t>
    </r>
    <r>
      <rPr>
        <b/>
        <sz val="11"/>
        <color theme="1"/>
        <rFont val="Calibri"/>
        <family val="2"/>
        <scheme val="minor"/>
      </rPr>
      <t xml:space="preserve">- </t>
    </r>
    <r>
      <rPr>
        <sz val="11"/>
        <color theme="1"/>
        <rFont val="Calibri"/>
        <family val="2"/>
        <scheme val="minor"/>
      </rPr>
      <t>Em homologação da operação.
17/05 - Já finalizamos a alteração do SO na operação. No momento implantações TI está retornando com as correções do térreo que foram sinalizadas na última homologação.
10/05 -</t>
    </r>
    <r>
      <rPr>
        <b/>
        <sz val="11"/>
        <color theme="1"/>
        <rFont val="Calibri"/>
        <family val="2"/>
        <scheme val="minor"/>
      </rPr>
      <t xml:space="preserve"> </t>
    </r>
    <r>
      <rPr>
        <sz val="11"/>
        <color theme="1"/>
        <rFont val="Calibri"/>
        <family val="2"/>
        <scheme val="minor"/>
      </rPr>
      <t>Suporte TI, finalizando os últimos ajustes da alteração do SO para finalizar a demanda.</t>
    </r>
    <r>
      <rPr>
        <b/>
        <sz val="11"/>
        <color theme="1"/>
        <rFont val="Calibri"/>
        <family val="2"/>
        <scheme val="minor"/>
      </rPr>
      <t xml:space="preserve">
</t>
    </r>
    <r>
      <rPr>
        <sz val="11"/>
        <color theme="1"/>
        <rFont val="Calibri"/>
        <family val="2"/>
        <scheme val="minor"/>
      </rPr>
      <t>03/05 -</t>
    </r>
    <r>
      <rPr>
        <b/>
        <sz val="11"/>
        <color theme="1"/>
        <rFont val="Calibri"/>
        <family val="2"/>
        <scheme val="minor"/>
      </rPr>
      <t xml:space="preserve"> </t>
    </r>
    <r>
      <rPr>
        <sz val="11"/>
        <color theme="1"/>
        <rFont val="Calibri"/>
        <family val="2"/>
        <scheme val="minor"/>
      </rPr>
      <t xml:space="preserve">Gravação - homologado </t>
    </r>
    <r>
      <rPr>
        <b/>
        <sz val="11"/>
        <color theme="1"/>
        <rFont val="Calibri"/>
        <family val="2"/>
        <scheme val="minor"/>
      </rPr>
      <t xml:space="preserve">
</t>
    </r>
    <r>
      <rPr>
        <sz val="11"/>
        <color theme="1"/>
        <rFont val="Calibri"/>
        <family val="2"/>
        <scheme val="minor"/>
      </rPr>
      <t>SO foi alterado neste final de semana., aguardando homologação.
A questão das licenças do Tlv ainda estão em análise.
25/04 -</t>
    </r>
    <r>
      <rPr>
        <b/>
        <sz val="11"/>
        <color theme="1"/>
        <rFont val="Calibri"/>
        <family val="2"/>
        <scheme val="minor"/>
      </rPr>
      <t xml:space="preserve"> </t>
    </r>
    <r>
      <rPr>
        <sz val="11"/>
        <color theme="1"/>
        <rFont val="Calibri"/>
        <family val="2"/>
        <scheme val="minor"/>
      </rPr>
      <t xml:space="preserve">Em pendência das licenças do Tlv, não sendo necessário abri SC sendo anallisado a partir do contrato.
Alteração do SO, área de Implantações verificando questões de GPO, previsão de alteração neste final de semana.
19/04 - 5  Onda em homologação, incluindo a parte de gravação.
Conforme contato com CC Brasil, a SC foi aprovada, porém estava com erro em um formulário . Aguardando definição com Financeiro.
12/04 - 4 Onda homologada. Definindo de escopo na 5 Onda.
</t>
    </r>
    <r>
      <rPr>
        <u/>
        <sz val="11"/>
        <color theme="1"/>
        <rFont val="Calibri"/>
        <family val="2"/>
        <scheme val="minor"/>
      </rPr>
      <t>Gravação</t>
    </r>
    <r>
      <rPr>
        <sz val="11"/>
        <color theme="1"/>
        <rFont val="Calibri"/>
        <family val="2"/>
        <scheme val="minor"/>
      </rPr>
      <t xml:space="preserve"> - Ramais cadastrados hoje, solicitado a operação, a hpmologação.  
</t>
    </r>
    <r>
      <rPr>
        <u/>
        <sz val="11"/>
        <color theme="1"/>
        <rFont val="Calibri"/>
        <family val="2"/>
        <scheme val="minor"/>
      </rPr>
      <t xml:space="preserve">Tlv 5 </t>
    </r>
    <r>
      <rPr>
        <sz val="11"/>
        <color theme="1"/>
        <rFont val="Calibri"/>
        <family val="2"/>
        <scheme val="minor"/>
      </rPr>
      <t xml:space="preserve"> -  Aberto SC para as licenças do Tlv , em comitê com o Jonas (Negócios)
04/04 -Homologação da 4 Onda no Térreo, em andamento. </t>
    </r>
    <r>
      <rPr>
        <b/>
        <sz val="11"/>
        <color theme="1"/>
        <rFont val="Calibri"/>
        <family val="2"/>
        <scheme val="minor"/>
      </rPr>
      <t xml:space="preserve">
</t>
    </r>
    <r>
      <rPr>
        <u/>
        <sz val="11"/>
        <color theme="1"/>
        <rFont val="Calibri"/>
        <family val="2"/>
        <scheme val="minor"/>
      </rPr>
      <t xml:space="preserve">Gravação - </t>
    </r>
    <r>
      <rPr>
        <sz val="11"/>
        <color theme="1"/>
        <rFont val="Calibri"/>
        <family val="2"/>
        <scheme val="minor"/>
      </rPr>
      <t xml:space="preserve">  Portas ainda disponíveis, informado os IP´s dos ramais para o CSE cadastrar, aguardando retorno.
</t>
    </r>
    <r>
      <rPr>
        <u/>
        <sz val="11"/>
        <color theme="1"/>
        <rFont val="Calibri"/>
        <family val="2"/>
        <scheme val="minor"/>
      </rPr>
      <t>Tlv 5  -</t>
    </r>
    <r>
      <rPr>
        <b/>
        <sz val="11"/>
        <color theme="1"/>
        <rFont val="Calibri"/>
        <family val="2"/>
        <scheme val="minor"/>
      </rPr>
      <t xml:space="preserve"> </t>
    </r>
    <r>
      <rPr>
        <sz val="11"/>
        <color theme="1"/>
        <rFont val="Calibri"/>
        <family val="2"/>
        <scheme val="minor"/>
      </rPr>
      <t xml:space="preserve"> Aberto SC para as alicenças do Tlv , em comitê com o Jonas (Negócios)
*Aguardando  o final da homologação da 4 onda para fechamento de escopo da 5 Onda.
28/03 - Layout do Térreo em homologação.
21/03 - Layout do 9 andar e 11 andar entregues. Sendo revisado a lista de insumos necessárias para entrega do Térreo. Em paralelo, estamos analisando questões de licenças de Tlv 5, portas de gravação e afins.</t>
    </r>
    <r>
      <rPr>
        <b/>
        <sz val="11"/>
        <color theme="1"/>
        <rFont val="Calibri"/>
        <family val="2"/>
        <scheme val="minor"/>
      </rPr>
      <t xml:space="preserve">
</t>
    </r>
    <r>
      <rPr>
        <sz val="11"/>
        <color theme="1"/>
        <rFont val="Calibri"/>
        <family val="2"/>
        <scheme val="minor"/>
      </rPr>
      <t xml:space="preserve">
15/03 - Dentro das 5 Ondas, estamos entregando a 2 Onda.</t>
    </r>
    <r>
      <rPr>
        <b/>
        <sz val="11"/>
        <color theme="1"/>
        <rFont val="Calibri"/>
        <family val="2"/>
        <scheme val="minor"/>
      </rPr>
      <t xml:space="preserve"> </t>
    </r>
    <r>
      <rPr>
        <sz val="11"/>
        <color theme="1"/>
        <rFont val="Calibri"/>
        <family val="2"/>
        <scheme val="minor"/>
      </rPr>
      <t>Aguardando DA de licenças do TLV 5 (+84)  e Desenho de Engenharia  referente a Migração do a migração de licenças do Polo Aspect de CE para PE .</t>
    </r>
    <r>
      <rPr>
        <b/>
        <sz val="11"/>
        <color theme="1"/>
        <rFont val="Calibri"/>
        <family val="2"/>
        <scheme val="minor"/>
      </rPr>
      <t xml:space="preserve">
</t>
    </r>
    <r>
      <rPr>
        <sz val="11"/>
        <color theme="1"/>
        <rFont val="Calibri"/>
        <family val="2"/>
        <scheme val="minor"/>
      </rPr>
      <t>07/03 - Crescimento sendo dividido em 5 Ondas. Estamos na 2 Fase em Homologação.</t>
    </r>
  </si>
  <si>
    <r>
      <rPr>
        <b/>
        <sz val="11"/>
        <color theme="1"/>
        <rFont val="Calibri"/>
        <family val="2"/>
        <scheme val="minor"/>
      </rPr>
      <t xml:space="preserve">31/05 - </t>
    </r>
    <r>
      <rPr>
        <sz val="11"/>
        <color theme="1"/>
        <rFont val="Calibri"/>
        <family val="2"/>
        <scheme val="minor"/>
      </rPr>
      <t>Conforme interação com a TQS, pacote está sendo finalizado para testes. Estamos em pendência  de algumas regras operacionais. Aguardando retorno da operação.
24/05 -</t>
    </r>
    <r>
      <rPr>
        <b/>
        <sz val="11"/>
        <color theme="1"/>
        <rFont val="Calibri"/>
        <family val="2"/>
        <scheme val="minor"/>
      </rPr>
      <t xml:space="preserve"> </t>
    </r>
    <r>
      <rPr>
        <sz val="11"/>
        <color theme="1"/>
        <rFont val="Calibri"/>
        <family val="2"/>
        <scheme val="minor"/>
      </rPr>
      <t>Como ficou acordado como Demanda, previsão de retorno/desenvolvimento da TQS dia 27/05.
17/05 - Solicitante confirmando a suposta alteração de escopo para reenvio a TQS.
10/05 - Aguardando retorno da TQS perante análise da EF.
03/05 - Aguardando EF atualizada  para seguimento da Demanda.
25/04 - Mesmo status, aguardando retorno da operação com a definição de escopo.
19/04 - Conforme alinhado em conferência, a TQS vai considerar esta demanda como chamado, assim não é preciso fazer proposta comercial.
Solicitado a operação, o documento atualizado com o escopo da demanda.
12/04 -</t>
    </r>
    <r>
      <rPr>
        <b/>
        <sz val="11"/>
        <color theme="1"/>
        <rFont val="Calibri"/>
        <family val="2"/>
        <scheme val="minor"/>
      </rPr>
      <t xml:space="preserve"> </t>
    </r>
    <r>
      <rPr>
        <sz val="11"/>
        <color theme="1"/>
        <rFont val="Calibri"/>
        <family val="2"/>
        <scheme val="minor"/>
      </rPr>
      <t>Delegado a Engenharia Telecom - Antonio, prazo amanhã 13/04
04/04 - Em análise
30/03 - A iniciar</t>
    </r>
  </si>
  <si>
    <r>
      <rPr>
        <b/>
        <sz val="11"/>
        <color theme="1"/>
        <rFont val="Calibri"/>
        <family val="2"/>
        <scheme val="minor"/>
      </rPr>
      <t xml:space="preserve">31/05 - </t>
    </r>
    <r>
      <rPr>
        <sz val="11"/>
        <color theme="1"/>
        <rFont val="Calibri"/>
        <family val="2"/>
        <scheme val="minor"/>
      </rPr>
      <t>Somente o Item RF004, que está em homologação pela operação.</t>
    </r>
    <r>
      <rPr>
        <b/>
        <sz val="11"/>
        <color theme="1"/>
        <rFont val="Calibri"/>
        <family val="2"/>
        <scheme val="minor"/>
      </rPr>
      <t xml:space="preserve">
</t>
    </r>
    <r>
      <rPr>
        <sz val="11"/>
        <color theme="1"/>
        <rFont val="Calibri"/>
        <family val="2"/>
        <scheme val="minor"/>
      </rPr>
      <t>24/05 -</t>
    </r>
    <r>
      <rPr>
        <b/>
        <sz val="11"/>
        <color theme="1"/>
        <rFont val="Calibri"/>
        <family val="2"/>
        <scheme val="minor"/>
      </rPr>
      <t xml:space="preserve"> </t>
    </r>
    <r>
      <rPr>
        <sz val="11"/>
        <color theme="1"/>
        <rFont val="Calibri"/>
        <family val="2"/>
        <scheme val="minor"/>
      </rPr>
      <t>Somente o Item RF004, entrará em Produção dia 24/05.
17/05 -</t>
    </r>
    <r>
      <rPr>
        <b/>
        <sz val="11"/>
        <color theme="1"/>
        <rFont val="Calibri"/>
        <family val="2"/>
        <scheme val="minor"/>
      </rPr>
      <t xml:space="preserve"> </t>
    </r>
    <r>
      <rPr>
        <sz val="11"/>
        <color theme="1"/>
        <rFont val="Calibri"/>
        <family val="2"/>
        <scheme val="minor"/>
      </rPr>
      <t>Envio de homologação para o solicitante no dia 16/05, aguardando retorno da operação.</t>
    </r>
    <r>
      <rPr>
        <b/>
        <sz val="11"/>
        <color theme="1"/>
        <rFont val="Calibri"/>
        <family val="2"/>
        <scheme val="minor"/>
      </rPr>
      <t xml:space="preserve">
</t>
    </r>
    <r>
      <rPr>
        <sz val="11"/>
        <color theme="1"/>
        <rFont val="Calibri"/>
        <family val="2"/>
        <scheme val="minor"/>
      </rPr>
      <t>10/05 -</t>
    </r>
    <r>
      <rPr>
        <b/>
        <sz val="11"/>
        <color theme="1"/>
        <rFont val="Calibri"/>
        <family val="2"/>
        <scheme val="minor"/>
      </rPr>
      <t xml:space="preserve"> </t>
    </r>
    <r>
      <rPr>
        <sz val="11"/>
        <color theme="1"/>
        <rFont val="Calibri"/>
        <family val="2"/>
        <scheme val="minor"/>
      </rPr>
      <t>Desenvolvimento ocorrendo. Probabilidade de Início de Homologação no período de 16 à 18/05. 
03/05 - Em Desenvolvimento de Aplicações TI.
Anthonny, irá atualizar a EF com o novo escopo, totalizando 4 itens. 
 O último item “novo” envolve a outra área de TI , sendo Aplicações TI (Viviane Rodriguez). Iremos realizar uma conferência após recebimento da EF atualizada,  para verificar viabilidade de Desenvolvimento. Lembrando que não tem dependência com o desenvolvimento anterior.
Em paralelo, precisamos de um apoio com a Oi para a criação deste NAT (Motivo: Nosso servidor acessar o STC ), não impactando no cronograma deste projeto.
O servidor atual fica em Santo Amaro, estamos realizando um upgrade de infra  e colocando servidores novos no Data Center em São Paulo.
25/04 - O prazo de Aplicações para  o Desenvolvimento são 25 dias úteis a partir desta liberação de acesso ao FTP. 
Esta liberação já está com o CSE através do chamado RECSA-362778.
19/04 - Aberto chamado para a liberação do FTP da Oi para seguimento do Desenv de TI. 
12/04 - Demanda já priorizada e sendo analisada a EF. 
05/04: Projeto alocado na fila dos executores em 01/04.
01/04 - A iniciar</t>
    </r>
  </si>
  <si>
    <r>
      <rPr>
        <b/>
        <sz val="11"/>
        <color theme="1"/>
        <rFont val="Calibri"/>
        <family val="2"/>
        <scheme val="minor"/>
      </rPr>
      <t>31/05 -</t>
    </r>
    <r>
      <rPr>
        <sz val="11"/>
        <color theme="1"/>
        <rFont val="Calibri"/>
        <family val="2"/>
        <scheme val="minor"/>
      </rPr>
      <t xml:space="preserve"> Insumos on site. Equipe de Implantações / Engenharia e CSE atuando.
24/05 - Dentre os insumos, estamos apenas dependendo do (SW).
Conforme interação com Implantações Site foi verificado que temos uma previsão de chegada de 9 SW´s no Site Niterói, que acaba atendendo. (Demanda do Leo Marques).
Chegando o SW, teremos atuações abaixo com a estimativa em horas.
</t>
    </r>
    <r>
      <rPr>
        <u/>
        <sz val="11"/>
        <color theme="1"/>
        <rFont val="Calibri"/>
        <family val="2"/>
        <scheme val="minor"/>
      </rPr>
      <t>CSE Redes (Config de SW)</t>
    </r>
    <r>
      <rPr>
        <sz val="11"/>
        <color theme="1"/>
        <rFont val="Calibri"/>
        <family val="2"/>
        <scheme val="minor"/>
      </rPr>
      <t xml:space="preserve"> – 2 horas
</t>
    </r>
    <r>
      <rPr>
        <u/>
        <sz val="11"/>
        <color theme="1"/>
        <rFont val="Calibri"/>
        <family val="2"/>
        <scheme val="minor"/>
      </rPr>
      <t>CSE Telecom (Alteração de ramais para Voip)</t>
    </r>
    <r>
      <rPr>
        <sz val="11"/>
        <color theme="1"/>
        <rFont val="Calibri"/>
        <family val="2"/>
        <scheme val="minor"/>
      </rPr>
      <t xml:space="preserve">  – 1 hora
</t>
    </r>
    <r>
      <rPr>
        <u/>
        <sz val="11"/>
        <color theme="1"/>
        <rFont val="Calibri"/>
        <family val="2"/>
        <scheme val="minor"/>
      </rPr>
      <t>Implantações Site (Instalação das pas e config da aplicação)–</t>
    </r>
    <r>
      <rPr>
        <sz val="11"/>
        <color theme="1"/>
        <rFont val="Calibri"/>
        <family val="2"/>
        <scheme val="minor"/>
      </rPr>
      <t xml:space="preserve"> 48 Horas</t>
    </r>
    <r>
      <rPr>
        <b/>
        <sz val="11"/>
        <color theme="1"/>
        <rFont val="Calibri"/>
        <family val="2"/>
        <scheme val="minor"/>
      </rPr>
      <t xml:space="preserve">
</t>
    </r>
    <r>
      <rPr>
        <sz val="11"/>
        <color theme="1"/>
        <rFont val="Calibri"/>
        <family val="2"/>
        <scheme val="minor"/>
      </rPr>
      <t xml:space="preserve">
17/05 -</t>
    </r>
    <r>
      <rPr>
        <b/>
        <sz val="11"/>
        <color theme="1"/>
        <rFont val="Calibri"/>
        <family val="2"/>
        <scheme val="minor"/>
      </rPr>
      <t xml:space="preserve"> </t>
    </r>
    <r>
      <rPr>
        <u/>
        <sz val="11"/>
        <color theme="1"/>
        <rFont val="Calibri"/>
        <family val="2"/>
        <scheme val="minor"/>
      </rPr>
      <t xml:space="preserve">Headset </t>
    </r>
    <r>
      <rPr>
        <sz val="11"/>
        <color theme="1"/>
        <rFont val="Calibri"/>
        <family val="2"/>
        <scheme val="minor"/>
      </rPr>
      <t xml:space="preserve">- on site
</t>
    </r>
    <r>
      <rPr>
        <u/>
        <sz val="11"/>
        <color theme="1"/>
        <rFont val="Calibri"/>
        <family val="2"/>
        <scheme val="minor"/>
      </rPr>
      <t xml:space="preserve">SW </t>
    </r>
    <r>
      <rPr>
        <sz val="11"/>
        <color theme="1"/>
        <rFont val="Calibri"/>
        <family val="2"/>
        <scheme val="minor"/>
      </rPr>
      <t xml:space="preserve">- Site Niterói está recebendo 9 sw que acabam atendendo esta demanda, aguardando retorno.
</t>
    </r>
    <r>
      <rPr>
        <u/>
        <sz val="11"/>
        <color theme="1"/>
        <rFont val="Calibri"/>
        <family val="2"/>
        <scheme val="minor"/>
      </rPr>
      <t>Aparelhos Voip</t>
    </r>
    <r>
      <rPr>
        <b/>
        <sz val="11"/>
        <color theme="1"/>
        <rFont val="Calibri"/>
        <family val="2"/>
        <scheme val="minor"/>
      </rPr>
      <t xml:space="preserve"> </t>
    </r>
    <r>
      <rPr>
        <sz val="11"/>
        <color theme="1"/>
        <rFont val="Calibri"/>
        <family val="2"/>
        <scheme val="minor"/>
      </rPr>
      <t>- Sendo verificado Transporte com Controle de Ativos.
10/05 -</t>
    </r>
    <r>
      <rPr>
        <b/>
        <sz val="11"/>
        <color theme="1"/>
        <rFont val="Calibri"/>
        <family val="2"/>
        <scheme val="minor"/>
      </rPr>
      <t xml:space="preserve"> </t>
    </r>
    <r>
      <rPr>
        <sz val="11"/>
        <color theme="1"/>
        <rFont val="Calibri"/>
        <family val="2"/>
        <scheme val="minor"/>
      </rPr>
      <t>Verificando insumos (SW , Headset, Aparelhos Voip)
03/05 -</t>
    </r>
    <r>
      <rPr>
        <b/>
        <sz val="11"/>
        <color theme="1"/>
        <rFont val="Calibri"/>
        <family val="2"/>
        <scheme val="minor"/>
      </rPr>
      <t xml:space="preserve"> </t>
    </r>
    <r>
      <rPr>
        <sz val="11"/>
        <color theme="1"/>
        <rFont val="Calibri"/>
        <family val="2"/>
        <scheme val="minor"/>
      </rPr>
      <t>Mesmo Status</t>
    </r>
    <r>
      <rPr>
        <b/>
        <sz val="11"/>
        <color theme="1"/>
        <rFont val="Calibri"/>
        <family val="2"/>
        <scheme val="minor"/>
      </rPr>
      <t xml:space="preserve">
</t>
    </r>
    <r>
      <rPr>
        <sz val="11"/>
        <color theme="1"/>
        <rFont val="Calibri"/>
        <family val="2"/>
        <scheme val="minor"/>
      </rPr>
      <t>25/04 - Prazo Engenharia:
Redes ( Carlos Herdeiro)  = Início  Seg 25/04/16 /  Término Ter 03/05/16
Telecom (Antônio Júnior) =  Início  Seg 25/04/16 /  Término Ter 03/05/16
19/04 - Aguardando retorno do CSE 
12/04 - Enviado para Engenharia TI - E-mail de Inclusão de 15/04.
Verificação de licenças Nice e Aquisição de SWIT POE 48 portas
08/04 - A iniciar</t>
    </r>
  </si>
  <si>
    <t xml:space="preserve">Implantações Site / Engenharia / CSE </t>
  </si>
  <si>
    <t>Diego Pacatuba / Benedito / LW</t>
  </si>
  <si>
    <r>
      <rPr>
        <b/>
        <sz val="11"/>
        <color theme="1"/>
        <rFont val="Calibri"/>
        <family val="2"/>
        <scheme val="minor"/>
      </rPr>
      <t xml:space="preserve">31/05 - </t>
    </r>
    <r>
      <rPr>
        <sz val="11"/>
        <color theme="1"/>
        <rFont val="Calibri"/>
        <family val="2"/>
        <scheme val="minor"/>
      </rPr>
      <t>Aguardando retorno de Pre- Venda
24/05 - Engenharia enviou e-mail hoje para o Thiago Souza para acionamento ao Fornecedor Aspect e Nice. Solicitando uma proposta para fazer a integração junto ao NICE Contax 2.0 e ao Aspect 6.7
Segue a quantidade de PAs:
Aspect Ceara versão 6.7 : 150 
Nice Contax 2.0 Niterói : 612
17/05 -  Aguardando algumas informações da operação para Engenharia Telecom dar seguimento a interação com o fornecedor Nice.
Prazo de Engenharia Telecom (Antonio Junior) = 03/05 à 03/06/2016
10/05 -</t>
    </r>
    <r>
      <rPr>
        <b/>
        <sz val="11"/>
        <color theme="1"/>
        <rFont val="Calibri"/>
        <family val="2"/>
        <scheme val="minor"/>
      </rPr>
      <t xml:space="preserve"> </t>
    </r>
    <r>
      <rPr>
        <sz val="11"/>
        <color theme="1"/>
        <rFont val="Calibri"/>
        <family val="2"/>
        <scheme val="minor"/>
      </rPr>
      <t xml:space="preserve">Aguardando algumas informações da operação para Engenharia Telecom dar seguimento a interação com o fornecedor Nice.
</t>
    </r>
    <r>
      <rPr>
        <u/>
        <sz val="11"/>
        <color theme="1"/>
        <rFont val="Calibri"/>
        <family val="2"/>
        <scheme val="minor"/>
      </rPr>
      <t>Prazo de Engenharia Telecom (Antonio Junior) = 03/05 à 03/06/2016</t>
    </r>
    <r>
      <rPr>
        <sz val="11"/>
        <color theme="1"/>
        <rFont val="Calibri"/>
        <family val="2"/>
        <scheme val="minor"/>
      </rPr>
      <t xml:space="preserve">
03/05 - A demanda foi analisada por CSE e Engenharia e atualmente no parque da Contax não temos licenças de gravação de tela tanto para o Aspect quanto para o Nice. Para que isto seja feito é necessário o envolvimento de Fornecedores para que eles façam uma análise de nosso ambiente e façam uma proposta de instalação.
Está sendo avaliado este escopo de acionamento.
25/04 - Demanda foi encaminhada para Engenharia Villa(Telecom/Gravadores) no dia 20/04. Retorno dos mesmos será 27/04.</t>
    </r>
    <r>
      <rPr>
        <b/>
        <sz val="11"/>
        <color theme="1"/>
        <rFont val="Calibri"/>
        <family val="2"/>
        <scheme val="minor"/>
      </rPr>
      <t xml:space="preserve">
</t>
    </r>
    <r>
      <rPr>
        <sz val="11"/>
        <color theme="1"/>
        <rFont val="Calibri"/>
        <family val="2"/>
        <scheme val="minor"/>
      </rPr>
      <t>19/04 - Demanda foi encaminhada a Aplicações TI, porém a Cris Sasaki  informou que não condiz com o escopo. 
Foi redirecionado a Equipe de Felipe Villa e Silvio Vial.
12/04 - Enviado para Aplicações TI  -  E-mail de Inclusão de 15/04.
Verificação de um sistema capaz de gravar chamadas de voz e telas de atendimento e se possível tenha integração com Tlv By Contax. 
-----------------------------------------------------------------
Operações: CRV 
Site: NIterói 
Rede: Contax-br 
DAC:Niterói 
08/04 - A iniciar</t>
    </r>
  </si>
  <si>
    <r>
      <rPr>
        <b/>
        <sz val="11"/>
        <color theme="1"/>
        <rFont val="Calibri"/>
        <family val="2"/>
        <scheme val="minor"/>
      </rPr>
      <t xml:space="preserve">31/05 - </t>
    </r>
    <r>
      <rPr>
        <sz val="11"/>
        <color theme="1"/>
        <rFont val="Calibri"/>
        <family val="2"/>
        <scheme val="minor"/>
      </rPr>
      <t>Mesmo Status</t>
    </r>
    <r>
      <rPr>
        <b/>
        <sz val="11"/>
        <color theme="1"/>
        <rFont val="Calibri"/>
        <family val="2"/>
        <scheme val="minor"/>
      </rPr>
      <t xml:space="preserve">
</t>
    </r>
    <r>
      <rPr>
        <sz val="11"/>
        <color theme="1"/>
        <rFont val="Calibri"/>
        <family val="2"/>
        <scheme val="minor"/>
      </rPr>
      <t>24/05 -</t>
    </r>
    <r>
      <rPr>
        <b/>
        <sz val="11"/>
        <color theme="1"/>
        <rFont val="Calibri"/>
        <family val="2"/>
        <scheme val="minor"/>
      </rPr>
      <t xml:space="preserve"> </t>
    </r>
    <r>
      <rPr>
        <sz val="11"/>
        <color theme="1"/>
        <rFont val="Calibri"/>
        <family val="2"/>
        <scheme val="minor"/>
      </rPr>
      <t xml:space="preserve">Mesmo status, aguardando retorno de Pre- Venda
17/05 - Reenviado ao Thiago Souza a análise de Engenharia para acionamento ao Fornecedor ITIN.
10/05 - A ferramenta chama-se plataforma de voz ITIN, do fornecedor ITIN.  Hoje a Contax não paga mais a manutenção desse fornecedor, por isso fica inviável a utilização dela no projeto. 
</t>
    </r>
    <r>
      <rPr>
        <u/>
        <sz val="11"/>
        <color theme="1"/>
        <rFont val="Calibri"/>
        <family val="2"/>
        <scheme val="minor"/>
      </rPr>
      <t>Prazo Engenharia Telecom  (Antonio Junior) = 10/05 à 27/05/2016</t>
    </r>
    <r>
      <rPr>
        <b/>
        <sz val="11"/>
        <color theme="1"/>
        <rFont val="Calibri"/>
        <family val="2"/>
        <scheme val="minor"/>
      </rPr>
      <t xml:space="preserve">
</t>
    </r>
    <r>
      <rPr>
        <sz val="11"/>
        <color theme="1"/>
        <rFont val="Calibri"/>
        <family val="2"/>
        <scheme val="minor"/>
      </rPr>
      <t>03/05 - A iniciar
29/04 - A iniciar</t>
    </r>
  </si>
  <si>
    <r>
      <rPr>
        <b/>
        <sz val="11"/>
        <color theme="1"/>
        <rFont val="Calibri"/>
        <family val="2"/>
        <scheme val="minor"/>
      </rPr>
      <t>31/05 -</t>
    </r>
    <r>
      <rPr>
        <sz val="11"/>
        <color theme="1"/>
        <rFont val="Calibri"/>
        <family val="2"/>
        <scheme val="minor"/>
      </rPr>
      <t xml:space="preserve"> Conforme retorno de Aplicações TI , a Demanda ainda está em levantamento de requisitos e não temos prazos.
24/05 - Retorno de EF validada pelo cliente OI hoje. Sendo analisado por Aplicações TI.
17/05 - Conforme conferência nesta Quinta 12/05, fizemos o entendimento da EF e aguardamos o retorno da operação/cliente atualizando a mesma e anexando ao chamado,  para darmos seguimento com a Estimativa de Desenvolvimento de Aplicações TI / TCollect.</t>
    </r>
    <r>
      <rPr>
        <b/>
        <sz val="11"/>
        <color theme="1"/>
        <rFont val="Calibri"/>
        <family val="2"/>
        <scheme val="minor"/>
      </rPr>
      <t xml:space="preserve">
</t>
    </r>
    <r>
      <rPr>
        <sz val="11"/>
        <color theme="1"/>
        <rFont val="Calibri"/>
        <family val="2"/>
        <scheme val="minor"/>
      </rPr>
      <t>10/05 - Em OG</t>
    </r>
    <r>
      <rPr>
        <b/>
        <sz val="11"/>
        <color theme="1"/>
        <rFont val="Calibri"/>
        <family val="2"/>
        <scheme val="minor"/>
      </rPr>
      <t xml:space="preserve">
</t>
    </r>
    <r>
      <rPr>
        <sz val="11"/>
        <color theme="1"/>
        <rFont val="Calibri"/>
        <family val="2"/>
        <scheme val="minor"/>
      </rPr>
      <t>03/05 - A iniciar
29/04 - A iniciar</t>
    </r>
  </si>
  <si>
    <t>Tatiana Delacrode</t>
  </si>
  <si>
    <r>
      <t>31/05 -</t>
    </r>
    <r>
      <rPr>
        <sz val="11"/>
        <color theme="1"/>
        <rFont val="Calibri"/>
        <family val="2"/>
        <scheme val="minor"/>
      </rPr>
      <t xml:space="preserve"> Mesmo status.
24/05 -</t>
    </r>
    <r>
      <rPr>
        <b/>
        <sz val="11"/>
        <color theme="1"/>
        <rFont val="Calibri"/>
        <family val="2"/>
        <scheme val="minor"/>
      </rPr>
      <t xml:space="preserve"> </t>
    </r>
    <r>
      <rPr>
        <sz val="11"/>
        <color theme="1"/>
        <rFont val="Calibri"/>
        <family val="2"/>
        <scheme val="minor"/>
      </rPr>
      <t>Desenvolvimento são 15 dias úteis e uma semana para homologação. Para informar o planejamento de datas precisamos que a consolidação do cronograma e entrega da demanda 5245 =</t>
    </r>
    <r>
      <rPr>
        <u/>
        <sz val="11"/>
        <color theme="1"/>
        <rFont val="Calibri"/>
        <family val="2"/>
        <scheme val="minor"/>
      </rPr>
      <t xml:space="preserve"> CTXFORBM-356388 </t>
    </r>
    <r>
      <rPr>
        <sz val="11"/>
        <color theme="1"/>
        <rFont val="Calibri"/>
        <family val="2"/>
        <scheme val="minor"/>
      </rPr>
      <t>pois essa demanda é precedente. 
17/05 - Em OG</t>
    </r>
    <r>
      <rPr>
        <b/>
        <sz val="11"/>
        <color theme="1"/>
        <rFont val="Calibri"/>
        <family val="2"/>
        <scheme val="minor"/>
      </rPr>
      <t xml:space="preserve">
</t>
    </r>
    <r>
      <rPr>
        <sz val="11"/>
        <color theme="1"/>
        <rFont val="Calibri"/>
        <family val="2"/>
        <scheme val="minor"/>
      </rPr>
      <t>13/05 -</t>
    </r>
    <r>
      <rPr>
        <b/>
        <sz val="11"/>
        <color theme="1"/>
        <rFont val="Calibri"/>
        <family val="2"/>
        <scheme val="minor"/>
      </rPr>
      <t xml:space="preserve"> </t>
    </r>
    <r>
      <rPr>
        <sz val="11"/>
        <color theme="1"/>
        <rFont val="Calibri"/>
        <family val="2"/>
        <scheme val="minor"/>
      </rPr>
      <t>Demanda foi designada ao analista de Controle de Demandas TI.</t>
    </r>
    <r>
      <rPr>
        <b/>
        <sz val="11"/>
        <color theme="1"/>
        <rFont val="Calibri"/>
        <family val="2"/>
        <scheme val="minor"/>
      </rPr>
      <t xml:space="preserve">
</t>
    </r>
    <r>
      <rPr>
        <sz val="11"/>
        <color theme="1"/>
        <rFont val="Calibri"/>
        <family val="2"/>
        <scheme val="minor"/>
      </rPr>
      <t>06/05 -</t>
    </r>
    <r>
      <rPr>
        <b/>
        <sz val="11"/>
        <color theme="1"/>
        <rFont val="Calibri"/>
        <family val="2"/>
        <scheme val="minor"/>
      </rPr>
      <t xml:space="preserve"> </t>
    </r>
    <r>
      <rPr>
        <sz val="11"/>
        <color theme="1"/>
        <rFont val="Calibri"/>
        <family val="2"/>
        <scheme val="minor"/>
      </rPr>
      <t>A iniciar</t>
    </r>
  </si>
  <si>
    <r>
      <rPr>
        <b/>
        <sz val="11"/>
        <color theme="1"/>
        <rFont val="Calibri"/>
        <family val="2"/>
        <scheme val="minor"/>
      </rPr>
      <t>31/05 -</t>
    </r>
    <r>
      <rPr>
        <sz val="11"/>
        <color theme="1"/>
        <rFont val="Calibri"/>
        <family val="2"/>
        <scheme val="minor"/>
      </rPr>
      <t xml:space="preserve"> Mesmo Status, aguardando retorno da TQS.
24/05 -  Nova demanda para TQS . Conforme e-mail de Milene do dia 19/05 que o  Julio está consolidando todas as demandas da TQS e entrando em contato com o fornecedor para solicitar as propostas e seguir com o processo de compras. </t>
    </r>
    <r>
      <rPr>
        <u/>
        <sz val="11"/>
        <color theme="1"/>
        <rFont val="Calibri"/>
        <family val="2"/>
        <scheme val="minor"/>
      </rPr>
      <t>Aguardando retorno do mesmo.</t>
    </r>
    <r>
      <rPr>
        <sz val="11"/>
        <color theme="1"/>
        <rFont val="Calibri"/>
        <family val="2"/>
        <scheme val="minor"/>
      </rPr>
      <t xml:space="preserve">
20/05 - A iniciar</t>
    </r>
  </si>
  <si>
    <r>
      <rPr>
        <b/>
        <sz val="11"/>
        <color theme="1"/>
        <rFont val="Calibri"/>
        <family val="2"/>
        <scheme val="minor"/>
      </rPr>
      <t>31/05 -</t>
    </r>
    <r>
      <rPr>
        <sz val="11"/>
        <color theme="1"/>
        <rFont val="Calibri"/>
        <family val="2"/>
        <scheme val="minor"/>
      </rPr>
      <t xml:space="preserve"> Em contato com a TQS hoje, fomos informados que provavelmente a solução atual já atenda, estão verificando e mandarão um e-mail com a informação, até amanhã.
24/05 - Nova demanda para TQS . Conforme e-mail de Milene do dia 19/05 que o PMO-TI  Julio está consolidando todas as demandas da TQS e entrando em contato com o fornecedor para solicitar as propostas e seguir com o processo de compras. </t>
    </r>
    <r>
      <rPr>
        <u/>
        <sz val="11"/>
        <color theme="1"/>
        <rFont val="Calibri"/>
        <family val="2"/>
        <scheme val="minor"/>
      </rPr>
      <t>Aguardando retorno do mesmo</t>
    </r>
    <r>
      <rPr>
        <sz val="11"/>
        <color theme="1"/>
        <rFont val="Calibri"/>
        <family val="2"/>
        <scheme val="minor"/>
      </rPr>
      <t>.
20/05 - A iniciar</t>
    </r>
  </si>
  <si>
    <r>
      <rPr>
        <sz val="11"/>
        <color rgb="FFFF0000"/>
        <rFont val="Calibri"/>
        <family val="2"/>
        <scheme val="minor"/>
      </rPr>
      <t xml:space="preserve">[31/05] </t>
    </r>
    <r>
      <rPr>
        <sz val="11"/>
        <rFont val="Calibri"/>
        <family val="2"/>
        <scheme val="minor"/>
      </rPr>
      <t>- Aguardando retorno de avaliação de Impactos pela equipe Aplicações.</t>
    </r>
    <r>
      <rPr>
        <sz val="11"/>
        <color rgb="FFFF0000"/>
        <rFont val="Calibri"/>
        <family val="2"/>
        <scheme val="minor"/>
      </rPr>
      <t xml:space="preserve">
[24/05] </t>
    </r>
    <r>
      <rPr>
        <sz val="11"/>
        <rFont val="Calibri"/>
        <family val="2"/>
        <scheme val="minor"/>
      </rPr>
      <t>- Necessário definição de proximos passos sobre a analise / execução dessa solicitação ( Adalto )</t>
    </r>
    <r>
      <rPr>
        <sz val="11"/>
        <color rgb="FFFF0000"/>
        <rFont val="Calibri"/>
        <family val="2"/>
        <scheme val="minor"/>
      </rPr>
      <t xml:space="preserve">
[17/05] -</t>
    </r>
    <r>
      <rPr>
        <sz val="11"/>
        <rFont val="Calibri"/>
        <family val="2"/>
        <scheme val="minor"/>
      </rPr>
      <t xml:space="preserve"> Necessário definição de proximos passos sobre a analise / execução dessa solicitação ( Adalto )</t>
    </r>
    <r>
      <rPr>
        <b/>
        <sz val="11"/>
        <color rgb="FFFF0000"/>
        <rFont val="Calibri"/>
        <family val="2"/>
        <scheme val="minor"/>
      </rPr>
      <t xml:space="preserve">
</t>
    </r>
    <r>
      <rPr>
        <sz val="11"/>
        <rFont val="Calibri"/>
        <family val="2"/>
        <scheme val="minor"/>
      </rPr>
      <t>[10/05]Pendente entrega de Aplicações.Alinhamento com Rivaldo.
[03/05]Pendente entrega de Aplicações.
[26/04]Respondido por time de aplicações que OG será entrege até 26/04.</t>
    </r>
    <r>
      <rPr>
        <b/>
        <sz val="11"/>
        <color rgb="FFFF0000"/>
        <rFont val="Calibri"/>
        <family val="2"/>
        <scheme val="minor"/>
      </rPr>
      <t xml:space="preserve">
</t>
    </r>
    <r>
      <rPr>
        <b/>
        <sz val="11"/>
        <rFont val="Calibri"/>
        <family val="2"/>
        <scheme val="minor"/>
      </rPr>
      <t xml:space="preserve">
[19/04] - P</t>
    </r>
    <r>
      <rPr>
        <sz val="11"/>
        <rFont val="Calibri"/>
        <family val="2"/>
        <scheme val="minor"/>
      </rPr>
      <t>rojeto encaminhadopara analise tecnica equipe Adalto. (Recomendação (Koreeda e Rivaldo). Email Klaus.
Retorno Aplicações previsto 26/04.</t>
    </r>
    <r>
      <rPr>
        <b/>
        <sz val="11"/>
        <rFont val="Calibri"/>
        <family val="2"/>
        <scheme val="minor"/>
      </rPr>
      <t xml:space="preserve">
[12/04] </t>
    </r>
    <r>
      <rPr>
        <sz val="11"/>
        <rFont val="Calibri"/>
        <family val="2"/>
        <scheme val="minor"/>
      </rPr>
      <t>- Aguardando retorno do solicitante , se prosseguiremos como projeto, a partir das cotações apresentadas apara Upgrade.
[05/04] - Mesmo status 
[29/03] - Mesmo status.[22/03] mesmo status.
Aguardando agenda do solicitante para call tecnico (redução cistos x risco ambiente ) 
[15/03] - Aguardand o agenda do solicitante para call tecnico (redução cistos x risco ambiente ) .
[08/03] - Solicitante pediu revisão de solução ( possibilidade redução custos).</t>
    </r>
    <r>
      <rPr>
        <sz val="11"/>
        <color rgb="FFFF0000"/>
        <rFont val="Calibri"/>
        <family val="2"/>
        <scheme val="minor"/>
      </rPr>
      <t xml:space="preserve">
</t>
    </r>
    <r>
      <rPr>
        <sz val="11"/>
        <rFont val="Calibri"/>
        <family val="2"/>
        <scheme val="minor"/>
      </rPr>
      <t xml:space="preserve">
[29/02] - Custos encaminhados para analise do Solicitante.</t>
    </r>
    <r>
      <rPr>
        <sz val="11"/>
        <color rgb="FFFF0000"/>
        <rFont val="Calibri"/>
        <family val="2"/>
        <scheme val="minor"/>
      </rPr>
      <t xml:space="preserve">
</t>
    </r>
    <r>
      <rPr>
        <sz val="11"/>
        <rFont val="Calibri"/>
        <family val="2"/>
        <scheme val="minor"/>
      </rPr>
      <t xml:space="preserve">
[23/02] - Aguardando retorno Engenharia.
[16/02] -  Em  Processo de cotação de insumo de TI para upgrage servidores (em andamento por Engenharia)</t>
    </r>
    <r>
      <rPr>
        <b/>
        <sz val="11"/>
        <color rgb="FFFF0000"/>
        <rFont val="Calibri"/>
        <family val="2"/>
        <scheme val="minor"/>
      </rPr>
      <t xml:space="preserve">
</t>
    </r>
    <r>
      <rPr>
        <sz val="11"/>
        <rFont val="Calibri"/>
        <family val="2"/>
        <scheme val="minor"/>
      </rPr>
      <t xml:space="preserve">[10/02] </t>
    </r>
    <r>
      <rPr>
        <b/>
        <sz val="11"/>
        <rFont val="Calibri"/>
        <family val="2"/>
        <scheme val="minor"/>
      </rPr>
      <t>-</t>
    </r>
    <r>
      <rPr>
        <sz val="11"/>
        <rFont val="Calibri"/>
        <family val="2"/>
        <scheme val="minor"/>
      </rPr>
      <t xml:space="preserve"> Processo de cotação de insumo de TI para upgrage servidores está em andamento por Engenharia.
03/02 -Projeto já Inserido na Fila Klaus. Estava sendo tratado diretamente entre Lustosa e Klaus
Status  atual: Equipe de Engenharia está fazendo a cotação de Insumos para Upgrade servidores.</t>
    </r>
    <r>
      <rPr>
        <b/>
        <sz val="11"/>
        <color rgb="FFFF0000"/>
        <rFont val="Calibri"/>
        <family val="2"/>
        <scheme val="minor"/>
      </rPr>
      <t xml:space="preserve">
</t>
    </r>
    <r>
      <rPr>
        <b/>
        <sz val="11"/>
        <rFont val="Calibri"/>
        <family val="2"/>
        <scheme val="minor"/>
      </rPr>
      <t xml:space="preserve">
02/02</t>
    </r>
    <r>
      <rPr>
        <sz val="11"/>
        <rFont val="Calibri"/>
        <family val="2"/>
        <scheme val="minor"/>
      </rPr>
      <t xml:space="preserve"> -</t>
    </r>
    <r>
      <rPr>
        <sz val="11"/>
        <color theme="1"/>
        <rFont val="Calibri"/>
        <family val="2"/>
        <scheme val="minor"/>
      </rPr>
      <t xml:space="preserve"> Esclarecendo com Solicitante, pois nessa demanda solicita migração de 2 servidores sem contrato de suporte e alto risco falha, rodando faturamento, relatórios contratuais e informações de trafego do Itau, além sandbox. Projeto aberto Set/15;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
Dalton Bondesan added a comment - 08/Set/15 18:56 
Projeto encaminhado para a Fila de TI-ENG para Análise e estimativa. </t>
    </r>
  </si>
  <si>
    <t>Adalto/Marcelo</t>
  </si>
  <si>
    <r>
      <rPr>
        <sz val="11"/>
        <color rgb="FFFF0000"/>
        <rFont val="Calibri"/>
        <family val="2"/>
        <scheme val="minor"/>
      </rPr>
      <t xml:space="preserve">[31/05 ]- </t>
    </r>
    <r>
      <rPr>
        <sz val="11"/>
        <rFont val="Calibri"/>
        <family val="2"/>
        <scheme val="minor"/>
      </rPr>
      <t>Aguardando lançamento de nova versão do SQL 2016. ( Previsão 1° sem 2016)</t>
    </r>
    <r>
      <rPr>
        <sz val="11"/>
        <color rgb="FFFF0000"/>
        <rFont val="Calibri"/>
        <family val="2"/>
        <scheme val="minor"/>
      </rPr>
      <t xml:space="preserve">
[24/05 ]- </t>
    </r>
    <r>
      <rPr>
        <sz val="11"/>
        <rFont val="Calibri"/>
        <family val="2"/>
        <scheme val="minor"/>
      </rPr>
      <t>Aguardando lançamento de nova versão do SQL 2016. ( Previsão 1° sem 2016)</t>
    </r>
    <r>
      <rPr>
        <sz val="11"/>
        <color rgb="FFFF0000"/>
        <rFont val="Calibri"/>
        <family val="2"/>
        <scheme val="minor"/>
      </rPr>
      <t xml:space="preserve">
[17/05] </t>
    </r>
    <r>
      <rPr>
        <sz val="11"/>
        <rFont val="Calibri"/>
        <family val="2"/>
        <scheme val="minor"/>
      </rPr>
      <t xml:space="preserve">- Em andamento com equipe Arquitetura. 
Aguardando lançamento de nova versão do SQL 2016. ( Previsão 1° sem 2016)
[03/05] - Em andamento com Arquitetura TI (Eder) Questionada nova previsão de  entrega para 13/05. Klaus citou que projeto vai ficar congelado até lançamento do SQL 2016.
[03/05] - Em andamento com Arquitetura TI (Eder) previsão de 
05/05.
[26/04] - Em andamento com Arquitetura TI (Eder) previsão de entrega em 29/04.
</t>
    </r>
    <r>
      <rPr>
        <b/>
        <sz val="11"/>
        <rFont val="Calibri"/>
        <family val="2"/>
        <scheme val="minor"/>
      </rPr>
      <t xml:space="preserve">
[19/04] - Em andamento com Arquitetura TI (Eder) 
[12/04] -</t>
    </r>
    <r>
      <rPr>
        <sz val="11"/>
        <rFont val="Calibri"/>
        <family val="2"/>
        <scheme val="minor"/>
      </rPr>
      <t xml:space="preserve"> Ações tecnicas em andamento, sendo alinhadas diretamente com solicitante x TI .
[05/04] - Ações tecnicas sendo alinhadas diretamente com solicitante .
[29/03] - Em andamento . Alinhamento direto entre Engenharia e equipe BI
[22/03] - BP aprovado. Fase de desenho solução com Engenharia e BI.
[15/03] - Aguradando retorno do solicitante (Lustosa) com a aprovação do BP no Comitê.
[08/03 ] - devido ao parecer tecnico no projeto CTXRJOMA-78762   Projeto - DATAZEN "On Premises", Mauricio Lustosa seguirá  com a apresentação do BP no comitê.
[29/02] - BP avaliadopor Engenharia. EM Hold, aguardando avaliação de uma nova proposta de solução utilizando servidores fisicos na Contax. Sendo desenhada em outro projeto.
[23/02] - Aguardando retorno Engenharia.
[16/02] -  BP avaliado por  TI e  uma segunda proposta para solução  ( on premises) enviada pelo Solicitante, sendo avaliada por Engenharia TI.
[10/02] - Solução tecnica sendo avaliada pela Diretoria e Engenharia.
03/02 - Escopo desse projeto já estava sendo tratado pela equipe do Klaus, direto com equipe Lustosa.
Klaus havia sinalizado a necessidade do Lustosa apresentar BP para comitê. A discussão desse tema está no email anexo.
Ação:  esclarecer com Koreeda, se seguiremos sem apresentação BP (email anexo) .
Trata-se de utilização de Créditos “ já pagos “ pela Contax, para implementação deste Projeto na Nuvem.</t>
    </r>
    <r>
      <rPr>
        <b/>
        <sz val="11"/>
        <rFont val="Calibri"/>
        <family val="2"/>
        <scheme val="minor"/>
      </rPr>
      <t xml:space="preserve">
02/02</t>
    </r>
    <r>
      <rPr>
        <sz val="11"/>
        <rFont val="Calibri"/>
        <family val="2"/>
        <scheme val="minor"/>
      </rPr>
      <t xml:space="preserve"> - Esclarecendo com solicitante. Necessário aprovação de BP (resp. Lustosa), para continuidade do porjeto, por Engenharia.  (+/- US$ 6.682,92)
Necessário retomar a prioridade deste projeto com Engenharia.
26/01 - Mesmo status 
Projeto está aguardando a execução da ENG. Débora 01/12
Projeto está aguardand</t>
    </r>
    <r>
      <rPr>
        <sz val="11"/>
        <color theme="1"/>
        <rFont val="Calibri"/>
        <family val="2"/>
        <scheme val="minor"/>
      </rPr>
      <t xml:space="preserve">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
Dalton Bondesan added a comment - 24/Set/15 15:44 
Projeto encaminhado para a Fila de TI-ENG para iniciar a Análise e estimativa. </t>
    </r>
  </si>
  <si>
    <r>
      <rPr>
        <sz val="11"/>
        <color rgb="FFFF0000"/>
        <rFont val="Calibri"/>
        <family val="2"/>
        <scheme val="minor"/>
      </rPr>
      <t xml:space="preserve">[31/05] </t>
    </r>
    <r>
      <rPr>
        <sz val="11"/>
        <rFont val="Calibri"/>
        <family val="2"/>
        <scheme val="minor"/>
      </rPr>
      <t xml:space="preserve">- Aguardando retorno da TAM sobre a necessidade de liberações de redes no ambiente TAM e Multiplus. Acionado equipe negócios em 23/05.
</t>
    </r>
    <r>
      <rPr>
        <u/>
        <sz val="11"/>
        <rFont val="Calibri"/>
        <family val="2"/>
        <scheme val="minor"/>
      </rPr>
      <t>Proximos passos:</t>
    </r>
    <r>
      <rPr>
        <sz val="11"/>
        <rFont val="Calibri"/>
        <family val="2"/>
        <scheme val="minor"/>
      </rPr>
      <t xml:space="preserve"> 
1) Validar liberações realizadas pela TAM e Fornecedor ISYS, realizar testes com a nova aplicação no ambiente Virtualizado;
2) Fornecedor ISYS apresentar Plano de Ação para testes do ambiente com Cliente e Operação TAM;
3) Fornecedor ISYS apresentar Plano de Ação para RollOut do novo ambiente;
[23/05] -</t>
    </r>
    <r>
      <rPr>
        <sz val="11"/>
        <color theme="1"/>
        <rFont val="Calibri"/>
        <family val="2"/>
        <scheme val="minor"/>
      </rPr>
      <t xml:space="preserve"> Identificado pelo CSE , a necessidade de liberações de redes no ambiente TAM e Multiplus. Acionado cienteem 23/05.
</t>
    </r>
    <r>
      <rPr>
        <u/>
        <sz val="11"/>
        <color theme="1"/>
        <rFont val="Calibri"/>
        <family val="2"/>
        <scheme val="minor"/>
      </rPr>
      <t xml:space="preserve">Proximos passos </t>
    </r>
    <r>
      <rPr>
        <sz val="11"/>
        <color theme="1"/>
        <rFont val="Calibri"/>
        <family val="2"/>
        <scheme val="minor"/>
      </rPr>
      <t xml:space="preserve">- Acionar TI TAM e Multiplus.
1) Fornecedor ISYS, realizar testes com a nova aplicação no ambiente Virtualizado;
2) Fornecedor ISYS apresentar Plano de Ação para testes do ambiente com Cliente e Operação TAM;
3) Fornecedor ISYS apresentar Plano de Ação para RollOut do novo ambiente;
</t>
    </r>
    <r>
      <rPr>
        <sz val="11"/>
        <color rgb="FFFF0000"/>
        <rFont val="Calibri"/>
        <family val="2"/>
        <scheme val="minor"/>
      </rPr>
      <t xml:space="preserve">[17/05] </t>
    </r>
    <r>
      <rPr>
        <sz val="11"/>
        <color theme="1"/>
        <rFont val="Calibri"/>
        <family val="2"/>
        <scheme val="minor"/>
      </rPr>
      <t xml:space="preserve">- Liberações de redes executadas. Aguardando retorno do fornecedor ISYS, sobre testes de acesso .
</t>
    </r>
    <r>
      <rPr>
        <u/>
        <sz val="11"/>
        <color theme="1"/>
        <rFont val="Calibri"/>
        <family val="2"/>
        <scheme val="minor"/>
      </rPr>
      <t>Proximos passos</t>
    </r>
    <r>
      <rPr>
        <sz val="11"/>
        <color theme="1"/>
        <rFont val="Calibri"/>
        <family val="2"/>
        <scheme val="minor"/>
      </rPr>
      <t>: Fornecedor entregar plano de Ação para Validação (Testes e RollOut ) para novo ambinete URA.
.</t>
    </r>
    <r>
      <rPr>
        <b/>
        <sz val="11"/>
        <color rgb="FFFF0000"/>
        <rFont val="Calibri"/>
        <family val="2"/>
        <scheme val="minor"/>
      </rPr>
      <t xml:space="preserve">[10/05] - Pendências de Liberações de redes executada. Necessario cobrar retorno do fornecedor; 
[03/05] - Pendências de Liberações de redes executada. Necessario solicitar novos testes com o fornecedor; 
[26/04] - Pendências de Liberações de redes para prosseguimento ações ISYS (Homologação Infra/Aplicação). Solicitado apoio CSE (emial em18/04, com informações)
[19/04] </t>
    </r>
    <r>
      <rPr>
        <sz val="11"/>
        <color rgb="FFFF0000"/>
        <rFont val="Calibri"/>
        <family val="2"/>
        <scheme val="minor"/>
      </rPr>
      <t>- Pendências de Liberações de redes para prosseguimento ações ISYS (Homologação Infra/Aplicação). Solicitado apoio CSE (emial em18/04, com informações)</t>
    </r>
    <r>
      <rPr>
        <sz val="11"/>
        <color theme="1"/>
        <rFont val="Calibri"/>
        <family val="2"/>
        <scheme val="minor"/>
      </rPr>
      <t xml:space="preserve">
</t>
    </r>
    <r>
      <rPr>
        <b/>
        <sz val="11"/>
        <color rgb="FFFF0000"/>
        <rFont val="Calibri"/>
        <family val="2"/>
        <scheme val="minor"/>
      </rPr>
      <t>[12/04] -</t>
    </r>
    <r>
      <rPr>
        <sz val="11"/>
        <color rgb="FFFF0000"/>
        <rFont val="Calibri"/>
        <family val="2"/>
        <scheme val="minor"/>
      </rPr>
      <t xml:space="preserve"> </t>
    </r>
    <r>
      <rPr>
        <sz val="11"/>
        <rFont val="Calibri"/>
        <family val="2"/>
        <scheme val="minor"/>
      </rPr>
      <t xml:space="preserve">Problemas de redes Contax,  inviabilizaram testes dia 06/04. 
Nova data proposta para retomada dos testes com ISYS ( 13/04] .
</t>
    </r>
    <r>
      <rPr>
        <u/>
        <sz val="11"/>
        <rFont val="Calibri"/>
        <family val="2"/>
        <scheme val="minor"/>
      </rPr>
      <t>Fase Atual</t>
    </r>
    <r>
      <rPr>
        <sz val="11"/>
        <rFont val="Calibri"/>
        <family val="2"/>
        <scheme val="minor"/>
      </rPr>
      <t xml:space="preserve"> - Homologação da Plataforma e da Nova Aplicação. [previsto até 25/04 ]
1) Plano de Ação para homologação Aplicação, será apresentado pela ISYS após homologação da nova plataforma.
[05/04] - Agendado Teste de Homologação da Plataforma com Fornecedor ISYS ( 06/03 - 14HS ). 
Proxima etapa - Plano de Açã opara testes de Homologação Aplicação na nova Plataforma.</t>
    </r>
    <r>
      <rPr>
        <sz val="11"/>
        <color rgb="FFFF0000"/>
        <rFont val="Calibri"/>
        <family val="2"/>
        <scheme val="minor"/>
      </rPr>
      <t xml:space="preserve">
[29/03] </t>
    </r>
    <r>
      <rPr>
        <sz val="11"/>
        <color theme="1"/>
        <rFont val="Calibri"/>
        <family val="2"/>
        <scheme val="minor"/>
      </rPr>
      <t xml:space="preserve">-  Ambiente disponibilizado para testes . Solicitado esclarecimentos para fornecedor ISYS sobre Plano de ação para homologação (Login Agent) . Ag. retorno para dar inicio aos testes,
</t>
    </r>
    <r>
      <rPr>
        <sz val="11"/>
        <color rgb="FFFF0000"/>
        <rFont val="Calibri"/>
        <family val="2"/>
        <scheme val="minor"/>
      </rPr>
      <t xml:space="preserve">[22/03] - </t>
    </r>
    <r>
      <rPr>
        <sz val="11"/>
        <rFont val="Calibri"/>
        <family val="2"/>
        <scheme val="minor"/>
      </rPr>
      <t xml:space="preserve"> Entrega ambnte para para testes tecnicos planejado para 23/03. O fornecedor enviará o plano de ação para a homologação da nova infra até 22/03.
Fase de validação por Negócios, para as informações  solicitdas pelo Fornecedor YSYS, para configuração do novo ambinete URA  (Plano de rollout)  [Logins, vdns e skill, hostnames pa's ativas]</t>
    </r>
    <r>
      <rPr>
        <sz val="11"/>
        <color rgb="FFFF0000"/>
        <rFont val="Calibri"/>
        <family val="2"/>
        <scheme val="minor"/>
      </rPr>
      <t xml:space="preserve">
</t>
    </r>
    <r>
      <rPr>
        <sz val="11"/>
        <rFont val="Calibri"/>
        <family val="2"/>
        <scheme val="minor"/>
      </rPr>
      <t>[15/03] -</t>
    </r>
    <r>
      <rPr>
        <sz val="11"/>
        <color theme="1"/>
        <rFont val="Calibri"/>
        <family val="2"/>
        <scheme val="minor"/>
      </rPr>
      <t xml:space="preserve"> Desenvolvimento em andamento pela ISYS. Aguardando agendda do Cliente para alinharmos a criação do  plano de Ação para Rollout ambiente.
 [11/03] - Problemas de redes e Infra CTX, resolvidos em 10/03. Solicitado testes e atualizaão do Cronograma, para fornecedor ISYS. Impacto estimado de 8 dias . Nova data entrega ambiente para homologação TAM - 23/03
</t>
    </r>
    <r>
      <rPr>
        <sz val="11"/>
        <color rgb="FFFF0000"/>
        <rFont val="Calibri"/>
        <family val="2"/>
        <scheme val="minor"/>
      </rPr>
      <t xml:space="preserve">[08/03] - </t>
    </r>
    <r>
      <rPr>
        <sz val="11"/>
        <rFont val="Calibri"/>
        <family val="2"/>
        <scheme val="minor"/>
      </rPr>
      <t>Solucionados problemas de Infra (redes) no ambiente Contax.
Fornecedor retomou a etapa de instalação componentes para prosseguir com desenvolvimento.
Impacto no Cronograma  (Atraso) : +/-  15 dias</t>
    </r>
    <r>
      <rPr>
        <sz val="11"/>
        <color rgb="FFFF0000"/>
        <rFont val="Calibri"/>
        <family val="2"/>
        <scheme val="minor"/>
      </rPr>
      <t xml:space="preserve">
[29/02] -</t>
    </r>
    <r>
      <rPr>
        <sz val="11"/>
        <color theme="1"/>
        <rFont val="Calibri"/>
        <family val="2"/>
        <scheme val="minor"/>
      </rPr>
      <t xml:space="preserve"> Ponto Atenção (Atraso) - Identificamos problemas Infra Contax e está sendo tratado pela equipe Tecnica. 
Impacto direto no tempo de desenvolvimento do fornecedor URA ( 10 dias )
 até momento.
Expectativa de Conclusão: até 04/03
</t>
    </r>
    <r>
      <rPr>
        <sz val="11"/>
        <color rgb="FFFF0000"/>
        <rFont val="Calibri"/>
        <family val="2"/>
        <scheme val="minor"/>
      </rPr>
      <t xml:space="preserve">[23/02] - </t>
    </r>
    <r>
      <rPr>
        <sz val="11"/>
        <rFont val="Calibri"/>
        <family val="2"/>
        <scheme val="minor"/>
      </rPr>
      <t>Desenvolvimento URA sendo executado pelo fornecedor, conforme planejado. Data prevista para disponibilização da ferramenta para testes ( 15/03 ).</t>
    </r>
    <r>
      <rPr>
        <sz val="11"/>
        <color rgb="FFFF0000"/>
        <rFont val="Calibri"/>
        <family val="2"/>
        <scheme val="minor"/>
      </rPr>
      <t xml:space="preserve">
[16/02] </t>
    </r>
    <r>
      <rPr>
        <sz val="11"/>
        <rFont val="Calibri"/>
        <family val="2"/>
        <scheme val="minor"/>
      </rPr>
      <t>- Desenvolvimento URA sendo executado pelo fornecedor, conforme planejado. Data prevista para disponibilização da ferramenta para testes ( 15/03 ).
[10/02] - Desenvolvimento URA sendo executado pelo fornecedor, conforme planejado. Data prevista para disponibilização da ferramenta para testes ( 15/03 ).</t>
    </r>
    <r>
      <rPr>
        <b/>
        <sz val="11"/>
        <color rgb="FFFF0000"/>
        <rFont val="Calibri"/>
        <family val="2"/>
        <scheme val="minor"/>
      </rPr>
      <t xml:space="preserve">
</t>
    </r>
    <r>
      <rPr>
        <sz val="11"/>
        <color rgb="FFFF0000"/>
        <rFont val="Calibri"/>
        <family val="2"/>
        <scheme val="minor"/>
      </rPr>
      <t xml:space="preserve">
</t>
    </r>
    <r>
      <rPr>
        <sz val="11"/>
        <rFont val="Calibri"/>
        <family val="2"/>
        <scheme val="minor"/>
      </rPr>
      <t xml:space="preserve">02/02 - Desenvolvimento sendo realizado pelo fornecedor, conforme planejado. Data prevista para disponibilização da ferramenta é 15/03.
</t>
    </r>
    <r>
      <rPr>
        <sz val="11"/>
        <color rgb="FFFF0000"/>
        <rFont val="Calibri"/>
        <family val="2"/>
        <scheme val="minor"/>
      </rPr>
      <t xml:space="preserve">
[29/01] </t>
    </r>
    <r>
      <rPr>
        <sz val="11"/>
        <rFont val="Calibri"/>
        <family val="2"/>
        <scheme val="minor"/>
      </rPr>
      <t>- Aguardando status atualizado do cronograma de desenvolvimento da URA (Fornecedor ISYS)
[26/01] - Em andamento Desenvolvimento.
[21/01]</t>
    </r>
    <r>
      <rPr>
        <b/>
        <sz val="11"/>
        <rFont val="Calibri"/>
        <family val="2"/>
        <scheme val="minor"/>
      </rPr>
      <t xml:space="preserve"> </t>
    </r>
    <r>
      <rPr>
        <sz val="11"/>
        <color theme="1"/>
        <rFont val="Calibri"/>
        <family val="2"/>
        <scheme val="minor"/>
      </rPr>
      <t>- Em andamento. Fase de Desenvolvimento pelo Fornecedor ISYS até 15/03. Cronograma d eentrega replanejado, devido a imprevistos de Infra Contax. Nova data informada no status de 21/01.
Proxima etapa será homologação TAM (30DIAS) 
[18/12] - Aguardando conclusão de liberações de acesso para Fornecedor ISYS [ LW - CSE ], previsão conclusão 18/12.
O fornecedor ISYS iniciará desenvolvimento dia 04/01. Previsão de disponibilização do ambiente para Homologação da TAM em 02/03/16.
[01/12] Servidores OK. Previsão de liberação na rede em 2/12.
Pendente informação dos logins dos analistas pela ISYS para liberação do acesso nos novos servidores.
Pendente status da disponibilização do AES
Cronograma enviado para atualização pela ISYS.
[25/11] Aguardando retorno do Marangoni (área de Segurança) quanto alguns questionamentos realizados
Cliente está cobrando posicionamento
[18/11] Projeto está com as filas executoras e cronograma já foi feito.
Necessário cobrar atividades de CSE, as mesmas não estão sendo pontuadas por eles.
[15/10 – Leandro] Cronograma enviado em 20/10
[5/10 – Leandro]  Novo call envolvendo áreas técnicas  e cliente realizado dia 5/10. Próximos passos: cada área enviar suas lista  de atividades para montagem do cronograma.
[18/09 – Dalton] Cronograma disponibilizado pelo Thiago Ferreira em 16/Set, neste momento estamos aguardando a definição do range de IPs pela equipe do Felipe Villa. 
[28/09 - Leandro] Retorno pendente de ENG. Faremos um follow-up e cobrança desse assunto para prosseguimento.</t>
    </r>
  </si>
  <si>
    <r>
      <rPr>
        <sz val="11"/>
        <color rgb="FFFF0000"/>
        <rFont val="Calibri"/>
        <family val="2"/>
        <scheme val="minor"/>
      </rPr>
      <t xml:space="preserve">[31/05] - </t>
    </r>
    <r>
      <rPr>
        <sz val="11"/>
        <rFont val="Calibri"/>
        <family val="2"/>
        <scheme val="minor"/>
      </rPr>
      <t xml:space="preserve">Doctos encaminhados pela equipe Negócios, não esclarecem quais são as regras de negócio para validação arquivo mailing antes submeter ao discador. Informação pendente para fechamento da validação EF. Avaliando se as regras aplicadas no projeto CTXRECSA-457626, podem ser refeerencia para este projeto.
</t>
    </r>
    <r>
      <rPr>
        <sz val="11"/>
        <color rgb="FFFF0000"/>
        <rFont val="Calibri"/>
        <family val="2"/>
        <scheme val="minor"/>
      </rPr>
      <t xml:space="preserve">
[24/05] - </t>
    </r>
    <r>
      <rPr>
        <sz val="11"/>
        <rFont val="Calibri"/>
        <family val="2"/>
        <scheme val="minor"/>
      </rPr>
      <t xml:space="preserve">Aguardando retorno do Solicitante para conclusão da analise da EF pela equipe Aplicações.
</t>
    </r>
    <r>
      <rPr>
        <sz val="11"/>
        <color rgb="FFFF0000"/>
        <rFont val="Calibri"/>
        <family val="2"/>
        <scheme val="minor"/>
      </rPr>
      <t xml:space="preserve">
[17/05] - </t>
    </r>
    <r>
      <rPr>
        <sz val="11"/>
        <rFont val="Calibri"/>
        <family val="2"/>
        <scheme val="minor"/>
      </rPr>
      <t>EF esta sendo validada pela equipe de Aplicações, retorno previsto 18/05.
[03/05] Servidor a ser concluido por CSE ainda pendente. Cal realizada para tirar duvidas sobre EF.
[03/05] Servidor a ser concluido por CSE em 04/05. Novas duvidas levantadas por aplicações a serem encaminhadas para solicitante.
[26/04] A etapa de disponibilização da infra está em execução e terá seus servidores entregues no dia de terça-feira(27/04).
Ao consultar o cronograma do projeto, notei que ele ainda não existe data do desenvolvimento, por estar em analise do time de aplicações dos itens que estavam pendentes da EF. Ainda sem previsão de retorno. Email para Marcelo Guedes.
[19/04] - Aguardando Cronograma CSE.
[12/04] - Infra Servidores definida por Arquitetura e EF fase final de validação por Aplicações. Encaminhando para fila de Execução (CSE). Proximo passo avaliação e definição de  esforço, insumo e Cronograma de execução ( Criação Maquinas)
[05/04] - Esclarecimentos da EF ( solicitante) recebidos em 05/04 e encaminhados  para equipe Tecnica Aplicações. . Em paralelo , equipe Engenharia avaliando premissas de Infra TI par aatender a nova Aplicação.
[29/03] -  Pendencia Solicitante  - Aguardando  retorno do solicitante para os esclarecimentos a EF.
[22/03] - Aguardando  retorno do solicitante para os esclarecimentos a EF.
Projeto direcionado para fila de Engenharia para validação de primissas de Infra estrutura solicitadas por Aplicações .
[15/03] - EF recebida em  10/03. Projeto encaminhado para fila de Aplicações. (Aguardando analise EF e mapeamento de esforço e necessidade insumos TI.
[11/03] - EF recebida em 10/03. Considerações e questionamentos esclarecidos com Solicitando. Aguardando validação da EF com Operação . Proximo passo - encaminhar EF para analise da equipe de Aplicações.
Solicitante informado que o projeto será encerrado em 09/03, pois ainda não consta EF. 
[29/02] - Aguardando EF com escopo atualizado.
[23/02] - Mudança de Escopo. Entendimento Escopo do projeto realizado com equipe Projeto Negocios (George) e GerOperação (Veronica). Aguardando EF atualizada para 
direcionar projeto para fila de Aplicações. Necesidade: Front End integrada com discador com possibilidade de discagem manual. Mantendo mesmas funcionalidades da aplicação atual em produção.
[16/02] - Avaliando proposta Tecnica TQS com equipe Aplicações.
[10/02] - Avaliando proposta tecnica do fornecedor .
[02/02] - Necessário levantar maiores esclarecimentos com C. Sasaki e Engenharia (Telecom), para esclarecer escopo e como foi elaborada a proposta Comercial do fornecedor TQS.
Avaliar com fornecedor a possibilidade de execução piloto sem custos.
[29/01]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
[26/01] - sEM ALTERAÇÃO.
[21/01] - Proposta Comercial Contax encaminhada para aprovação do cliente Santander em 02/12 ( Solução TQS). Ainda não obtivemos retorno sobre a aprovação. O cliente solicitou a realização de um Piloto antes da aprovação da Proposta.
Solução FF descartada, pois o escopo contempla Operação Blended e o FF não foi customizado para operações Bended. (C. Sasaki - 21/01)
[17/11 - George] Solicitada nova proposta comercial para a Ayty. Finalizando documentação da operação para orçamento.
[14/10 – Dalton/Leandro] Pontos de atenção:
-Aprovação proposta TQS pelo solicitante  Esclarecido dúvidas sobre TQS / aguardando decisão da possibilidade de um benck mark em outro cliente)
-Desenho da topologia (Pendente com ENG).
-Preenchimento Quadro TODO´s (George complementou itens referentes a ele.).
[05/10 – Dalton/Leandro] Pontos de atenção:
-Aprovação proposta TQS pelo solicitante (Pendente conversa entre Suporte ao Negócio/Projetos/Aplicações) para esclarecer a necessidade de se contratar a TQS.
-Desenho da topologia (Pendente com ENG).
-Preenchimento Quadro TODO´s (Necessário apoio George).
[23/09 - Leandro] Washington realizou a análise do discador e decidiu-se pelo Aspect 7.1.
Próximos passos antes da execução:
Orçamento TQS; 
Desenho da topologia;
Saber-se se o Link é do cliente ou não.
[18/09 – Leandro] Ainda encontra-se em análise pela equipe de CSE e aplicações
[16/09 - Leandro] Realizand</t>
    </r>
    <r>
      <rPr>
        <sz val="11"/>
        <color theme="1"/>
        <rFont val="Calibri"/>
        <family val="2"/>
        <scheme val="minor"/>
      </rPr>
      <t xml:space="preserve">o levantamento com área de CSE sobre a viabilidade do uso das ferramentas APC ou Aspect para atender a demanda
</t>
    </r>
  </si>
  <si>
    <r>
      <rPr>
        <sz val="11"/>
        <color rgb="FFFF0000"/>
        <rFont val="Calibri"/>
        <family val="2"/>
        <scheme val="minor"/>
      </rPr>
      <t xml:space="preserve">[31/05] - </t>
    </r>
    <r>
      <rPr>
        <sz val="11"/>
        <rFont val="Calibri"/>
        <family val="2"/>
        <scheme val="minor"/>
      </rPr>
      <t>Aguardando retorno Comercial . Compartilhado com equipe Negócios.</t>
    </r>
    <r>
      <rPr>
        <sz val="11"/>
        <color rgb="FFFF0000"/>
        <rFont val="Calibri"/>
        <family val="2"/>
        <scheme val="minor"/>
      </rPr>
      <t xml:space="preserve">
[24/05] -</t>
    </r>
    <r>
      <rPr>
        <sz val="11"/>
        <rFont val="Calibri"/>
        <family val="2"/>
        <scheme val="minor"/>
      </rPr>
      <t xml:space="preserve"> Aguardando direcionamento da Diretoria TI, para seguirmos com solução desenhada por Engenharia, sem custos para Cliente.
Pendente estimativas e diefinição de custos para repasse para cliente ( Infra já disponivel, não necessário investimento Contax)</t>
    </r>
    <r>
      <rPr>
        <sz val="11"/>
        <color rgb="FFFF0000"/>
        <rFont val="Calibri"/>
        <family val="2"/>
        <scheme val="minor"/>
      </rPr>
      <t xml:space="preserve">
[17/05] - </t>
    </r>
    <r>
      <rPr>
        <sz val="11"/>
        <rFont val="Calibri"/>
        <family val="2"/>
        <scheme val="minor"/>
      </rPr>
      <t>Aguardando direcionamento da Diretoria TI, para seguirmos com solução desenhada por Engenharia, sem custos para Cliente.
Pendente estimativas e diefinição de custos para repasse para cliente ( Infra já disponivel, não necessário investimento Contax)</t>
    </r>
    <r>
      <rPr>
        <b/>
        <sz val="11"/>
        <color rgb="FFFF0000"/>
        <rFont val="Calibri"/>
        <family val="2"/>
        <scheme val="minor"/>
      </rPr>
      <t xml:space="preserve">
</t>
    </r>
    <r>
      <rPr>
        <sz val="11"/>
        <rFont val="Calibri"/>
        <family val="2"/>
        <scheme val="minor"/>
      </rPr>
      <t>[03/05] - Aguardando definição Koreeda (Email Villa) Escalar Milene.
[26/04] - Aguardando definição Koreeda (Email Villa) 
[19/04] - Aguardando definição Koreeda (Email Villa) 
[12/04] - Aguardando definição da Diretoria TI. (Direcionamento Gestor Engenharia)
[05/04] -  Aguardando esclarecimentos tecnicos entre  Engenharia e  Comercial Contax, para prosseguimento do projeto.
[2903] -  Aguardando esclarecimentos tecnicos entre  Engenharia e  Comercial.
[22/03] -  Aguardando esclarecimentos Engenharia e direcionamento Comercial.
[15/03] - Aguardando retorno de Engenharia  para os questionamento realizados pelo Comercial.
[08/03] -  Em 08/03 recebemos alguns questionamento enviados  pelo Comercial, referente as respostas do cliente TAM , para itens contidos na RFP. Será necessário avaliação equipe tecnica.
[29/02] - Aguardando Retorno Comercial. Custos encaminhados para equipe Projetos e Comercial . Aguardando direcionamento, para iniciar execução.
[23/02] - Custos encaminhados para equipe Projetos e Comercial . Aguardando direcionamento, para iniciar execução.
[16/02] - Necessário esclarecer qustão comercial Contax .
Equipe de Engenharia levantando os custos de TI para a Infra DAC (SM) que será utilizada neste projeto, para encaminhar para Comercial Contax. Passível de repasse custos para Cliente. Previsão : 17/02
[10/02] - Em analise e aprovação da solução tecnica, pela Diretoria TI.
[02/02] - Desenho arquitetura e solução finalizado por Engenharia.
Direcionado para Equipe Implantação CSE.
Necessário a aprovação da diretoria, para utilização da Plataforma o Avaya Session Manager  no data center. Já encaminhado .</t>
    </r>
  </si>
  <si>
    <t>SIM</t>
  </si>
  <si>
    <r>
      <rPr>
        <b/>
        <sz val="11"/>
        <color rgb="FFFF0000"/>
        <rFont val="Calibri"/>
        <family val="2"/>
        <scheme val="minor"/>
      </rPr>
      <t>[24/05] -</t>
    </r>
    <r>
      <rPr>
        <b/>
        <sz val="11"/>
        <rFont val="Calibri"/>
        <family val="2"/>
        <scheme val="minor"/>
      </rPr>
      <t xml:space="preserve"> </t>
    </r>
    <r>
      <rPr>
        <b/>
        <sz val="11"/>
        <color rgb="FFFF0000"/>
        <rFont val="Calibri"/>
        <family val="2"/>
        <scheme val="minor"/>
      </rPr>
      <t>CONCLUÍDO</t>
    </r>
    <r>
      <rPr>
        <sz val="11"/>
        <color rgb="FFFF0000"/>
        <rFont val="Calibri"/>
        <family val="2"/>
        <scheme val="minor"/>
      </rPr>
      <t xml:space="preserve">
[17/05] - </t>
    </r>
    <r>
      <rPr>
        <sz val="11"/>
        <color theme="1"/>
        <rFont val="Calibri"/>
        <family val="2"/>
        <scheme val="minor"/>
      </rPr>
      <t xml:space="preserve">Testes e homologações realizadas com solicitante e Oi.. Gmud programada para 16/05.
Check de validação do ambiente produção, proposto para  18/05
</t>
    </r>
    <r>
      <rPr>
        <b/>
        <sz val="11"/>
        <color rgb="FFFF0000"/>
        <rFont val="Calibri"/>
        <family val="2"/>
        <scheme val="minor"/>
      </rPr>
      <t xml:space="preserve">[10/05] </t>
    </r>
    <r>
      <rPr>
        <b/>
        <sz val="11"/>
        <rFont val="Calibri"/>
        <family val="2"/>
        <scheme val="minor"/>
      </rPr>
      <t>O arquivo exemplo foi disponibilizado está em desenvolvimento, está sendo confirmado nova data para implantação.</t>
    </r>
    <r>
      <rPr>
        <b/>
        <sz val="11"/>
        <color rgb="FFFF0000"/>
        <rFont val="Calibri"/>
        <family val="2"/>
        <scheme val="minor"/>
      </rPr>
      <t xml:space="preserve">
[03/05] </t>
    </r>
    <r>
      <rPr>
        <b/>
        <sz val="11"/>
        <rFont val="Calibri"/>
        <family val="2"/>
        <scheme val="minor"/>
      </rPr>
      <t>Arquivos entregues em 28/04. Pegar posição de aplicações.</t>
    </r>
    <r>
      <rPr>
        <b/>
        <sz val="11"/>
        <color rgb="FFFF0000"/>
        <rFont val="Calibri"/>
        <family val="2"/>
        <scheme val="minor"/>
      </rPr>
      <t xml:space="preserve">
[26/04] </t>
    </r>
    <r>
      <rPr>
        <b/>
        <sz val="11"/>
        <rFont val="Calibri"/>
        <family val="2"/>
        <scheme val="minor"/>
      </rPr>
      <t>Vamos fechar chamado se arquivo não vier até 30/04.</t>
    </r>
    <r>
      <rPr>
        <b/>
        <sz val="11"/>
        <color rgb="FFFF0000"/>
        <rFont val="Calibri"/>
        <family val="2"/>
        <scheme val="minor"/>
      </rPr>
      <t xml:space="preserve">
[19/04] </t>
    </r>
    <r>
      <rPr>
        <sz val="11"/>
        <rFont val="Calibri"/>
        <family val="2"/>
        <scheme val="minor"/>
      </rPr>
      <t xml:space="preserve">Pendência do Solicitante. [  arquivo de mailing exemplo ]
Informado ao solicitante o impacto direto no início do Desenvolvimento. Uma nova expectativa  esforço Deesenvolvimento será realizada, quando recebermos o arquivo de mailing </t>
    </r>
    <r>
      <rPr>
        <b/>
        <sz val="11"/>
        <color rgb="FFFF0000"/>
        <rFont val="Calibri"/>
        <family val="2"/>
        <scheme val="minor"/>
      </rPr>
      <t xml:space="preserve">
[12/04] -</t>
    </r>
    <r>
      <rPr>
        <sz val="11"/>
        <color rgb="FFFF0000"/>
        <rFont val="Calibri"/>
        <family val="2"/>
        <scheme val="minor"/>
      </rPr>
      <t xml:space="preserve"> </t>
    </r>
    <r>
      <rPr>
        <sz val="11"/>
        <rFont val="Calibri"/>
        <family val="2"/>
        <scheme val="minor"/>
      </rPr>
      <t>Pendência do Solicitante. [  arquivo de mailing exemplo ]
Informado ao solicitante o impacto direto no início do Desenvolvimento. Uma nova expectativa  esforço Deesenvolvimento será realizada, quando recebermos o arquivo de mailing exemplo. 
Obs: Solicitante ainda sem data para entrega do arquiv</t>
    </r>
    <r>
      <rPr>
        <sz val="11"/>
        <color rgb="FFFF0000"/>
        <rFont val="Calibri"/>
        <family val="2"/>
        <scheme val="minor"/>
      </rPr>
      <t xml:space="preserve">o
[05/04] - </t>
    </r>
    <r>
      <rPr>
        <sz val="11"/>
        <rFont val="Calibri"/>
        <family val="2"/>
        <scheme val="minor"/>
      </rPr>
      <t>Pendência Solicitante. Informado ao solicitante o impacto direto no início do Desenvolvimento. Uma nova expectativa será realizada quando recebermos o arquivo de mailing exemplo. Obs: Solicitante ainda sem data para entrega do arquivo</t>
    </r>
    <r>
      <rPr>
        <sz val="11"/>
        <color rgb="FFFF0000"/>
        <rFont val="Calibri"/>
        <family val="2"/>
        <scheme val="minor"/>
      </rPr>
      <t xml:space="preserve">
[29/03] -</t>
    </r>
    <r>
      <rPr>
        <sz val="11"/>
        <rFont val="Calibri"/>
        <family val="2"/>
        <scheme val="minor"/>
      </rPr>
      <t xml:space="preserve"> Pendência Solicitante  - Aguardando retorno solicitante. 
Obs: Impacto direto no inicio desenvolvimento e entrega.</t>
    </r>
    <r>
      <rPr>
        <sz val="11"/>
        <color rgb="FFFF0000"/>
        <rFont val="Calibri"/>
        <family val="2"/>
        <scheme val="minor"/>
      </rPr>
      <t xml:space="preserve">
</t>
    </r>
    <r>
      <rPr>
        <sz val="11"/>
        <rFont val="Calibri"/>
        <family val="2"/>
        <scheme val="minor"/>
      </rPr>
      <t xml:space="preserve">
[22/03] - Pend~encia  do solicitante,</t>
    </r>
    <r>
      <rPr>
        <sz val="11"/>
        <color theme="1"/>
        <rFont val="Calibri"/>
        <family val="2"/>
        <scheme val="minor"/>
      </rPr>
      <t xml:space="preserve"> na entrega do arquivo de exemplo do mailing até 23/03/2016.
Essa entrega é premissa para garantir a o inicio do desenvolvimento e a data de entrega do projeto.(15/04)</t>
    </r>
    <r>
      <rPr>
        <sz val="11"/>
        <color rgb="FFFF0000"/>
        <rFont val="Calibri"/>
        <family val="2"/>
        <scheme val="minor"/>
      </rPr>
      <t xml:space="preserve">
[15/03] - </t>
    </r>
    <r>
      <rPr>
        <sz val="11"/>
        <rFont val="Calibri"/>
        <family val="2"/>
        <scheme val="minor"/>
      </rPr>
      <t>Aguardando retorno solicitante. ( Modelo arquivo mailing). Limite 23/03</t>
    </r>
    <r>
      <rPr>
        <sz val="11"/>
        <color rgb="FFFF0000"/>
        <rFont val="Calibri"/>
        <family val="2"/>
        <scheme val="minor"/>
      </rPr>
      <t xml:space="preserve">
08/03] - </t>
    </r>
    <r>
      <rPr>
        <sz val="11"/>
        <rFont val="Calibri"/>
        <family val="2"/>
        <scheme val="minor"/>
      </rPr>
      <t>Aguardando o envio arquivo exemplo mailing. ( Jeane (02/03)</t>
    </r>
    <r>
      <rPr>
        <sz val="11"/>
        <color rgb="FFFF0000"/>
        <rFont val="Calibri"/>
        <family val="2"/>
        <scheme val="minor"/>
      </rPr>
      <t xml:space="preserve">
</t>
    </r>
    <r>
      <rPr>
        <sz val="11"/>
        <rFont val="Calibri"/>
        <family val="2"/>
        <scheme val="minor"/>
      </rPr>
      <t xml:space="preserve">[03/03] - Para priorizarmos este ultimo projeto para inicio de desenvolvimento no dia 29 Mar, precisamos de entrega do arquivo de exemplo do mailing até 23/03/2016 e alinhar convosco que afetaremos as demais solicitações prioritárias da fila  em mais ou menos 14 dias úteis.
</t>
    </r>
    <r>
      <rPr>
        <sz val="11"/>
        <color rgb="FFFF0000"/>
        <rFont val="Calibri"/>
        <family val="2"/>
        <scheme val="minor"/>
      </rPr>
      <t xml:space="preserve">
</t>
    </r>
    <r>
      <rPr>
        <sz val="11"/>
        <rFont val="Calibri"/>
        <family val="2"/>
        <scheme val="minor"/>
      </rPr>
      <t xml:space="preserve">[02/03] - Aguardando " de acordo "  Admilson par areorganização da Fila de Projetos par apodermos Priorizar o projeto para atender  a data  esperada pelo Cliente.
</t>
    </r>
    <r>
      <rPr>
        <sz val="11"/>
        <color rgb="FFFF0000"/>
        <rFont val="Calibri"/>
        <family val="2"/>
        <scheme val="minor"/>
      </rPr>
      <t xml:space="preserve">
</t>
    </r>
    <r>
      <rPr>
        <sz val="11"/>
        <rFont val="Calibri"/>
        <family val="2"/>
        <scheme val="minor"/>
      </rPr>
      <t xml:space="preserve"> [29/02] - Ponto de Atenção: O lay out do Arquivo mailing será alterado pela Oi em  05/05/16.
Previsão de execução por Aplicações  - Desenvolvimento entre 06 e 27/12/12016</t>
    </r>
    <r>
      <rPr>
        <sz val="11"/>
        <color rgb="FFFF0000"/>
        <rFont val="Calibri"/>
        <family val="2"/>
        <scheme val="minor"/>
      </rPr>
      <t xml:space="preserve">
[23/02] -</t>
    </r>
    <r>
      <rPr>
        <sz val="11"/>
        <color theme="1"/>
        <rFont val="Calibri"/>
        <family val="2"/>
        <scheme val="minor"/>
      </rPr>
      <t xml:space="preserve"> Projeto em analise por Aplicações . Data prevista retorno de esforço e prazo execução - 29/02.
</t>
    </r>
    <r>
      <rPr>
        <sz val="11"/>
        <color rgb="FFFF0000"/>
        <rFont val="Calibri"/>
        <family val="2"/>
        <scheme val="minor"/>
      </rPr>
      <t>[16/02] -</t>
    </r>
    <r>
      <rPr>
        <sz val="11"/>
        <rFont val="Calibri"/>
        <family val="2"/>
        <scheme val="minor"/>
      </rPr>
      <t xml:space="preserve"> Fase inicial.  Entendimento do escopo com solicitante 
[10/02] - Fase Inicial - Esclarecer entendimento escopo com Solicitante</t>
    </r>
    <r>
      <rPr>
        <sz val="11"/>
        <color rgb="FFFF0000"/>
        <rFont val="Calibri"/>
        <family val="2"/>
        <scheme val="minor"/>
      </rPr>
      <t xml:space="preserve">
</t>
    </r>
    <r>
      <rPr>
        <sz val="11"/>
        <rFont val="Calibri"/>
        <family val="2"/>
        <scheme val="minor"/>
      </rPr>
      <t>04/02 - Aguardando Briefing do projeto</t>
    </r>
  </si>
  <si>
    <r>
      <rPr>
        <sz val="11"/>
        <color rgb="FFFF0000"/>
        <rFont val="Calibri"/>
        <family val="2"/>
        <scheme val="minor"/>
      </rPr>
      <t>[31/05] -</t>
    </r>
    <r>
      <rPr>
        <sz val="11"/>
        <rFont val="Calibri"/>
        <family val="2"/>
        <scheme val="minor"/>
      </rPr>
      <t xml:space="preserve"> Fase de desenho da Topologia  - em andamento - Eng. TI
</t>
    </r>
    <r>
      <rPr>
        <u/>
        <sz val="11"/>
        <rFont val="Calibri"/>
        <family val="2"/>
        <scheme val="minor"/>
      </rPr>
      <t xml:space="preserve">PendÊncia </t>
    </r>
    <r>
      <rPr>
        <sz val="11"/>
        <rFont val="Calibri"/>
        <family val="2"/>
        <scheme val="minor"/>
      </rPr>
      <t>- Definições de Estrura de algumas tabelas do BD.</t>
    </r>
    <r>
      <rPr>
        <sz val="11"/>
        <color rgb="FFFF0000"/>
        <rFont val="Calibri"/>
        <family val="2"/>
        <scheme val="minor"/>
      </rPr>
      <t xml:space="preserve">
[24/05] - </t>
    </r>
    <r>
      <rPr>
        <sz val="11"/>
        <rFont val="Calibri"/>
        <family val="2"/>
        <scheme val="minor"/>
      </rPr>
      <t>Aguardando retorno Aplicações .
Proximos passos: analise de Infra equipe Arquitetura</t>
    </r>
    <r>
      <rPr>
        <sz val="11"/>
        <color rgb="FFFF0000"/>
        <rFont val="Calibri"/>
        <family val="2"/>
        <scheme val="minor"/>
      </rPr>
      <t xml:space="preserve">
[17/05] -</t>
    </r>
    <r>
      <rPr>
        <sz val="11"/>
        <rFont val="Calibri"/>
        <family val="2"/>
        <scheme val="minor"/>
      </rPr>
      <t xml:space="preserve"> Equipe App avaliando localmemente a consistencia das informações enviadas pelo solicitante  (APP FE ).
Frente (Desenvolvimento Relatórios ) - Viviane,
Avaliar ultimos email recebifods Fabio, George, Fabiana</t>
    </r>
    <r>
      <rPr>
        <b/>
        <sz val="11"/>
        <color rgb="FFFF0000"/>
        <rFont val="Calibri"/>
        <family val="2"/>
        <scheme val="minor"/>
      </rPr>
      <t xml:space="preserve">
</t>
    </r>
    <r>
      <rPr>
        <sz val="11"/>
        <rFont val="Calibri"/>
        <family val="2"/>
        <scheme val="minor"/>
      </rPr>
      <t xml:space="preserve">
[10/05] Pendente entrega de engenharia. EF de Relatórios sendo refeita.
[03/05] Pendente entrega de engenharia.
[26/04] Falta retorno de Engenhatia sobre infra para Time de App. Previsto p</t>
    </r>
    <r>
      <rPr>
        <b/>
        <sz val="11"/>
        <rFont val="Calibri"/>
        <family val="2"/>
        <scheme val="minor"/>
      </rPr>
      <t>ara 27/04.</t>
    </r>
    <r>
      <rPr>
        <b/>
        <sz val="11"/>
        <color rgb="FFFF0000"/>
        <rFont val="Calibri"/>
        <family val="2"/>
        <scheme val="minor"/>
      </rPr>
      <t xml:space="preserve">
[12/04] </t>
    </r>
    <r>
      <rPr>
        <sz val="11"/>
        <color rgb="FFFF0000"/>
        <rFont val="Calibri"/>
        <family val="2"/>
        <scheme val="minor"/>
      </rPr>
      <t>-</t>
    </r>
    <r>
      <rPr>
        <sz val="11"/>
        <rFont val="Calibri"/>
        <family val="2"/>
        <scheme val="minor"/>
      </rPr>
      <t xml:space="preserve"> Fase de esclarecimento de Pendências na EF com equipe Aplicações, Negócios e TI. Nova Verão de EF atualizada sendo anexada ao Tprocess.
</t>
    </r>
    <r>
      <rPr>
        <u/>
        <sz val="11"/>
        <rFont val="Calibri"/>
        <family val="2"/>
        <scheme val="minor"/>
      </rPr>
      <t xml:space="preserve">Pendente: </t>
    </r>
    <r>
      <rPr>
        <sz val="11"/>
        <rFont val="Calibri"/>
        <family val="2"/>
        <scheme val="minor"/>
      </rPr>
      <t>Envio de informações e detalhamento dos  Relatórios que deverão ser contamplados no Projeto ( Projetos /Operações - George)</t>
    </r>
    <r>
      <rPr>
        <sz val="11"/>
        <color rgb="FFFF0000"/>
        <rFont val="Calibri"/>
        <family val="2"/>
        <scheme val="minor"/>
      </rPr>
      <t xml:space="preserve">
[05/04] -</t>
    </r>
    <r>
      <rPr>
        <sz val="11"/>
        <rFont val="Calibri"/>
        <family val="2"/>
        <scheme val="minor"/>
      </rPr>
      <t xml:space="preserve"> Avaliação tecnica da EF pela equipe de Aplicações. Estimativas previta : 07/04</t>
    </r>
    <r>
      <rPr>
        <sz val="11"/>
        <color rgb="FFFF0000"/>
        <rFont val="Calibri"/>
        <family val="2"/>
        <scheme val="minor"/>
      </rPr>
      <t xml:space="preserve">
[29/03] - </t>
    </r>
    <r>
      <rPr>
        <sz val="11"/>
        <rFont val="Calibri"/>
        <family val="2"/>
        <scheme val="minor"/>
      </rPr>
      <t xml:space="preserve">Recebida EF. Fase de analise e entendimento escopo.
Direcionado  para fila de analise tecnica /priorizações de Aplicações. </t>
    </r>
    <r>
      <rPr>
        <sz val="11"/>
        <color rgb="FFFF0000"/>
        <rFont val="Calibri"/>
        <family val="2"/>
        <scheme val="minor"/>
      </rPr>
      <t xml:space="preserve">
[22/03]  - </t>
    </r>
    <r>
      <rPr>
        <sz val="11"/>
        <color theme="1"/>
        <rFont val="Calibri"/>
        <family val="2"/>
        <scheme val="minor"/>
      </rPr>
      <t>Fase de entendimento do escopo e validação da documentação enviada pelo solicitante. Estruturação da EF (PMO Negócios)</t>
    </r>
    <r>
      <rPr>
        <sz val="11"/>
        <color rgb="FFFF0000"/>
        <rFont val="Calibri"/>
        <family val="2"/>
        <scheme val="minor"/>
      </rPr>
      <t xml:space="preserve">
[15/03] </t>
    </r>
    <r>
      <rPr>
        <sz val="11"/>
        <color theme="1"/>
        <rFont val="Calibri"/>
        <family val="2"/>
        <scheme val="minor"/>
      </rPr>
      <t xml:space="preserve">- Detalhamento Funcional anexado ao Tprocess em 15/03. 
Em fase de avaliação da documentação e posterior direcionamento para Fila de Aplicações.
</t>
    </r>
    <r>
      <rPr>
        <sz val="11"/>
        <color rgb="FFFF0000"/>
        <rFont val="Calibri"/>
        <family val="2"/>
        <scheme val="minor"/>
      </rPr>
      <t>[08/03] -</t>
    </r>
    <r>
      <rPr>
        <sz val="11"/>
        <color theme="1"/>
        <rFont val="Calibri"/>
        <family val="2"/>
        <scheme val="minor"/>
      </rPr>
      <t xml:space="preserve"> Aguardando envio da EF preenchida e resposta ao questionamento disponibilizados no Tprocess.
01/03 - Aguardando EF</t>
    </r>
  </si>
  <si>
    <t>Klaus/Cristiane Sasaki</t>
  </si>
  <si>
    <r>
      <rPr>
        <sz val="11"/>
        <color rgb="FFFF0000"/>
        <rFont val="Calibri"/>
        <family val="2"/>
        <scheme val="minor"/>
      </rPr>
      <t>[30/05] -</t>
    </r>
    <r>
      <rPr>
        <sz val="11"/>
        <rFont val="Calibri"/>
        <family val="2"/>
        <scheme val="minor"/>
      </rPr>
      <t xml:space="preserve"> Avaliando prazo estimado de entrega com equipe  Aplicações.
Previsão entrega  - 26/07</t>
    </r>
    <r>
      <rPr>
        <sz val="11"/>
        <color rgb="FFFF0000"/>
        <rFont val="Calibri"/>
        <family val="2"/>
        <scheme val="minor"/>
      </rPr>
      <t xml:space="preserve">
[24/05] - </t>
    </r>
    <r>
      <rPr>
        <sz val="11"/>
        <rFont val="Calibri"/>
        <family val="2"/>
        <scheme val="minor"/>
      </rPr>
      <t xml:space="preserve">Infra  para implantação do Tabulador já definida e em fase de implantação. Previsão 08/06.
Aguardando  definição de atividades e prazos de Desenvolvimento por Aplicações.Previsão entrega dos prazos - </t>
    </r>
    <r>
      <rPr>
        <sz val="11"/>
        <color rgb="FFFF0000"/>
        <rFont val="Calibri"/>
        <family val="2"/>
        <scheme val="minor"/>
      </rPr>
      <t xml:space="preserve">xxxxxx
[17/05] </t>
    </r>
    <r>
      <rPr>
        <sz val="11"/>
        <color theme="1"/>
        <rFont val="Calibri"/>
        <family val="2"/>
        <scheme val="minor"/>
      </rPr>
      <t xml:space="preserve">- Novos entendimentos com cliente sobre a solução que será apresentada para projeto. Proposta é apresentar a mesma solução que está sendo desenvolvida para Itau ( Projeto da Juliana ). Infra necessária sendo avaliada por Engenharia
EF para adequação da solução para CAC sendo avaliada pela equipe APP. 
Necessário Mariana atualizar EF para Juliana APP estimar prazos de desenvolvimento.
</t>
    </r>
    <r>
      <rPr>
        <b/>
        <sz val="11"/>
        <color rgb="FFFF0000"/>
        <rFont val="Calibri"/>
        <family val="2"/>
        <scheme val="minor"/>
      </rPr>
      <t xml:space="preserve">[10/05] Pendente entrega de engenharia. Previsão 15/05. App definiu nova solução, sugerida pelo cliente. em fase final de entendimento, para então dar OG.
[03/05] Pendente entrega de engenharia. Solicitaram informações sobre escopo. App fez apresentaçao em 28/04 sobre proposta de implamentação negada pelo solicitante. Estudo de adequação em andamento.
[26/04] - Aguardando retorno Aplicações com data de precvisão conclução e de Eng Sobre estudo de infra.
[19/04] </t>
    </r>
    <r>
      <rPr>
        <sz val="11"/>
        <color rgb="FFFF0000"/>
        <rFont val="Calibri"/>
        <family val="2"/>
        <scheme val="minor"/>
      </rPr>
      <t xml:space="preserve">- </t>
    </r>
    <r>
      <rPr>
        <sz val="11"/>
        <rFont val="Calibri"/>
        <family val="2"/>
        <scheme val="minor"/>
      </rPr>
      <t>Aguardando retorno Aplicações ccom precvisão conclução da Analise OG</t>
    </r>
    <r>
      <rPr>
        <b/>
        <sz val="11"/>
        <color rgb="FFFF0000"/>
        <rFont val="Calibri"/>
        <family val="2"/>
        <scheme val="minor"/>
      </rPr>
      <t xml:space="preserve">
[12/04] </t>
    </r>
    <r>
      <rPr>
        <sz val="11"/>
        <color rgb="FFFF0000"/>
        <rFont val="Calibri"/>
        <family val="2"/>
        <scheme val="minor"/>
      </rPr>
      <t xml:space="preserve">- </t>
    </r>
    <r>
      <rPr>
        <sz val="11"/>
        <rFont val="Calibri"/>
        <family val="2"/>
        <scheme val="minor"/>
      </rPr>
      <t>Projeto direcionado para avaliação tecnica da equipe Aplicações..
EF recebida em 07/04.</t>
    </r>
    <r>
      <rPr>
        <sz val="11"/>
        <color rgb="FFFF0000"/>
        <rFont val="Calibri"/>
        <family val="2"/>
        <scheme val="minor"/>
      </rPr>
      <t xml:space="preserve">
[04/04] -</t>
    </r>
    <r>
      <rPr>
        <sz val="11"/>
        <rFont val="Calibri"/>
        <family val="2"/>
        <scheme val="minor"/>
      </rPr>
      <t xml:space="preserve"> Aguardando envio da EF preenchida e resposta ao questionamento disponibilizados no Tprocess.</t>
    </r>
    <r>
      <rPr>
        <sz val="11"/>
        <color rgb="FFFF0000"/>
        <rFont val="Calibri"/>
        <family val="2"/>
        <scheme val="minor"/>
      </rPr>
      <t xml:space="preserve">
[29/03] - </t>
    </r>
    <r>
      <rPr>
        <sz val="11"/>
        <rFont val="Calibri"/>
        <family val="2"/>
        <scheme val="minor"/>
      </rPr>
      <t>Aguardando envio da EF preenchida e resposta ao questionamento disponibilizados no Tprocess.</t>
    </r>
    <r>
      <rPr>
        <sz val="11"/>
        <color rgb="FFFF0000"/>
        <rFont val="Calibri"/>
        <family val="2"/>
        <scheme val="minor"/>
      </rPr>
      <t xml:space="preserve">
[22/03]  </t>
    </r>
    <r>
      <rPr>
        <sz val="11"/>
        <color theme="1"/>
        <rFont val="Calibri"/>
        <family val="2"/>
        <scheme val="minor"/>
      </rPr>
      <t xml:space="preserve">- Aguardando envio da EF preenchida e resposta ao questionamento disponibilizados no Tprocess.
</t>
    </r>
    <r>
      <rPr>
        <sz val="11"/>
        <color rgb="FFFF0000"/>
        <rFont val="Calibri"/>
        <family val="2"/>
        <scheme val="minor"/>
      </rPr>
      <t>[15/03] -</t>
    </r>
    <r>
      <rPr>
        <sz val="11"/>
        <rFont val="Calibri"/>
        <family val="2"/>
        <scheme val="minor"/>
      </rPr>
      <t xml:space="preserve"> Aguardando envio da EF preenchida e resposta ao questionamento disponibilizados no Tprocess.</t>
    </r>
    <r>
      <rPr>
        <sz val="11"/>
        <color rgb="FFFF0000"/>
        <rFont val="Calibri"/>
        <family val="2"/>
        <scheme val="minor"/>
      </rPr>
      <t xml:space="preserve">
[08/03] -</t>
    </r>
    <r>
      <rPr>
        <sz val="11"/>
        <color theme="1"/>
        <rFont val="Calibri"/>
        <family val="2"/>
        <scheme val="minor"/>
      </rPr>
      <t xml:space="preserve"> Aguardando envio da EF preenchida e resposta ao questionamento disponibilizados no Tprocess.
01/03 - Aguardando EF</t>
    </r>
  </si>
  <si>
    <r>
      <rPr>
        <b/>
        <sz val="11"/>
        <color rgb="FFFF0000"/>
        <rFont val="Calibri"/>
        <family val="2"/>
        <scheme val="minor"/>
      </rPr>
      <t xml:space="preserve">[17/05] </t>
    </r>
    <r>
      <rPr>
        <b/>
        <sz val="11"/>
        <rFont val="Calibri"/>
        <family val="2"/>
        <scheme val="minor"/>
      </rPr>
      <t>-</t>
    </r>
    <r>
      <rPr>
        <sz val="11"/>
        <rFont val="Calibri"/>
        <family val="2"/>
        <scheme val="minor"/>
      </rPr>
      <t xml:space="preserve"> Sem retorno do Cliente. Avaliando possibilidade de cancelamento da solicitação, devido a falta de retorno do solicitante.
[26/04] Sem retorno do cliente. Tratar o pedido de cancelamento.</t>
    </r>
    <r>
      <rPr>
        <b/>
        <sz val="11"/>
        <color rgb="FFFF0000"/>
        <rFont val="Calibri"/>
        <family val="2"/>
        <scheme val="minor"/>
      </rPr>
      <t xml:space="preserve">
[19/04] </t>
    </r>
    <r>
      <rPr>
        <sz val="11"/>
        <rFont val="Calibri"/>
        <family val="2"/>
        <scheme val="minor"/>
      </rPr>
      <t xml:space="preserve"> Mesmo status anterior.</t>
    </r>
    <r>
      <rPr>
        <b/>
        <sz val="11"/>
        <color rgb="FFFF0000"/>
        <rFont val="Calibri"/>
        <family val="2"/>
        <scheme val="minor"/>
      </rPr>
      <t xml:space="preserve">
[12/04] -</t>
    </r>
    <r>
      <rPr>
        <sz val="11"/>
        <color rgb="FFFF0000"/>
        <rFont val="Calibri"/>
        <family val="2"/>
        <scheme val="minor"/>
      </rPr>
      <t xml:space="preserve">  </t>
    </r>
    <r>
      <rPr>
        <sz val="11"/>
        <rFont val="Calibri"/>
        <family val="2"/>
        <scheme val="minor"/>
      </rPr>
      <t>Aguardando retorno do soliicitante  (Cheuin)  - (Esclarecer escopo com Cliente BBMapfre).</t>
    </r>
    <r>
      <rPr>
        <sz val="11"/>
        <color rgb="FFFF0000"/>
        <rFont val="Calibri"/>
        <family val="2"/>
        <scheme val="minor"/>
      </rPr>
      <t xml:space="preserve">
[04/04] -  </t>
    </r>
    <r>
      <rPr>
        <sz val="11"/>
        <rFont val="Calibri"/>
        <family val="2"/>
        <scheme val="minor"/>
      </rPr>
      <t xml:space="preserve">Aguardando retorno do soliicitante  (Cheuin)  - (Esclarecer escopo com Cliente BBMapfre),. </t>
    </r>
    <r>
      <rPr>
        <sz val="11"/>
        <color rgb="FFFF0000"/>
        <rFont val="Calibri"/>
        <family val="2"/>
        <scheme val="minor"/>
      </rPr>
      <t xml:space="preserve">
[29/03] -</t>
    </r>
    <r>
      <rPr>
        <sz val="11"/>
        <rFont val="Calibri"/>
        <family val="2"/>
        <scheme val="minor"/>
      </rPr>
      <t xml:space="preserve">  Aguardando retorno do soliicitante (Esclarecer escopo com Cliente BBMapfre),
[22/03] </t>
    </r>
    <r>
      <rPr>
        <sz val="11"/>
        <color rgb="FFFF0000"/>
        <rFont val="Calibri"/>
        <family val="2"/>
        <scheme val="minor"/>
      </rPr>
      <t xml:space="preserve">- </t>
    </r>
    <r>
      <rPr>
        <sz val="11"/>
        <rFont val="Calibri"/>
        <family val="2"/>
        <scheme val="minor"/>
      </rPr>
      <t xml:space="preserve">Aguardando retorno do soliicitante (Esclarecer escopo com Cliente BBMapfre),. </t>
    </r>
    <r>
      <rPr>
        <sz val="11"/>
        <color rgb="FFFF0000"/>
        <rFont val="Calibri"/>
        <family val="2"/>
        <scheme val="minor"/>
      </rPr>
      <t xml:space="preserve">
[15/03] - </t>
    </r>
    <r>
      <rPr>
        <sz val="11"/>
        <rFont val="Calibri"/>
        <family val="2"/>
        <scheme val="minor"/>
      </rPr>
      <t>Projeto sendo analisado por Engenharia TI . Recomendado agendamento de call tecnico com TI Cliente para esclarecimentos escopo.Contato (Fabio Pinheiro - BBMapfre).
[08/03] - A</t>
    </r>
    <r>
      <rPr>
        <sz val="11"/>
        <color theme="1"/>
        <rFont val="Calibri"/>
        <family val="2"/>
        <scheme val="minor"/>
      </rPr>
      <t xml:space="preserve">guardando mapeamento TI Site.
Direcionando projeto para fila de projetos de Engenharia (Redes) .
[04/03] - Detalhamento escopo projeto.
Acionamento equipe TI Site para mapeamento das ações locais.
[08/02)01/03 - Aguardando formulário de abertura de projeto </t>
    </r>
  </si>
  <si>
    <r>
      <rPr>
        <sz val="11"/>
        <color rgb="FFFF0000"/>
        <rFont val="Calibri"/>
        <family val="2"/>
        <scheme val="minor"/>
      </rPr>
      <t xml:space="preserve">[31/05] - </t>
    </r>
    <r>
      <rPr>
        <sz val="11"/>
        <rFont val="Calibri"/>
        <family val="2"/>
        <scheme val="minor"/>
      </rPr>
      <t>Aguardando retorno de avaliação de Impactos pela equipe Aplicações.</t>
    </r>
    <r>
      <rPr>
        <sz val="11"/>
        <color rgb="FFFF0000"/>
        <rFont val="Calibri"/>
        <family val="2"/>
        <scheme val="minor"/>
      </rPr>
      <t xml:space="preserve">
[24/05] -</t>
    </r>
    <r>
      <rPr>
        <sz val="11"/>
        <rFont val="Calibri"/>
        <family val="2"/>
        <scheme val="minor"/>
      </rPr>
      <t xml:space="preserve"> Necessário definição de proximos passos sobre a analise / execução dessa solicitação ( Adalto )</t>
    </r>
    <r>
      <rPr>
        <sz val="11"/>
        <color rgb="FFFF0000"/>
        <rFont val="Calibri"/>
        <family val="2"/>
        <scheme val="minor"/>
      </rPr>
      <t xml:space="preserve">
[17/05] -</t>
    </r>
    <r>
      <rPr>
        <sz val="11"/>
        <rFont val="Calibri"/>
        <family val="2"/>
        <scheme val="minor"/>
      </rPr>
      <t xml:space="preserve"> Necessário definição de proximos passos sobre a analise / execução dessa solicitação ( Adalto )
[10/05]Pendente entrega de Aplicações.Alinhamento com Rivaldo.
[03/05]Pendente entrega de Aplicações.</t>
    </r>
    <r>
      <rPr>
        <b/>
        <sz val="11"/>
        <color rgb="FFFF0000"/>
        <rFont val="Calibri"/>
        <family val="2"/>
        <scheme val="minor"/>
      </rPr>
      <t xml:space="preserve">
[26/04] No aguardo da OG.
[19/04] </t>
    </r>
    <r>
      <rPr>
        <sz val="11"/>
        <rFont val="Calibri"/>
        <family val="2"/>
        <scheme val="minor"/>
      </rPr>
      <t>Projeto encaminhado para analise tecnica equipe Adalto. (Recomendação (Koreeda e Rivaldo). Email Klaus.
Retorno Aplicações previsto 26/04.</t>
    </r>
    <r>
      <rPr>
        <b/>
        <sz val="11"/>
        <color rgb="FFFF0000"/>
        <rFont val="Calibri"/>
        <family val="2"/>
        <scheme val="minor"/>
      </rPr>
      <t xml:space="preserve">
[12/04] </t>
    </r>
    <r>
      <rPr>
        <sz val="11"/>
        <color theme="1"/>
        <rFont val="Calibri"/>
        <family val="2"/>
        <scheme val="minor"/>
      </rPr>
      <t xml:space="preserve">- Fase de entendimento Tecnico e direcionamento para Equipe Especialista.
</t>
    </r>
    <r>
      <rPr>
        <sz val="11"/>
        <color rgb="FFFF0000"/>
        <rFont val="Calibri"/>
        <family val="2"/>
        <scheme val="minor"/>
      </rPr>
      <t xml:space="preserve">[04/04] - </t>
    </r>
    <r>
      <rPr>
        <sz val="11"/>
        <rFont val="Calibri"/>
        <family val="2"/>
        <scheme val="minor"/>
      </rPr>
      <t>Consulta de Saving com Gestão Ativos.</t>
    </r>
    <r>
      <rPr>
        <sz val="11"/>
        <color rgb="FFFF0000"/>
        <rFont val="Calibri"/>
        <family val="2"/>
        <scheme val="minor"/>
      </rPr>
      <t xml:space="preserve">
[29/03] </t>
    </r>
    <r>
      <rPr>
        <sz val="11"/>
        <rFont val="Calibri"/>
        <family val="2"/>
        <scheme val="minor"/>
      </rPr>
      <t>- Não identificado saving.</t>
    </r>
    <r>
      <rPr>
        <sz val="11"/>
        <color rgb="FFFF0000"/>
        <rFont val="Calibri"/>
        <family val="2"/>
        <scheme val="minor"/>
      </rPr>
      <t xml:space="preserve"> </t>
    </r>
    <r>
      <rPr>
        <sz val="11"/>
        <rFont val="Calibri"/>
        <family val="2"/>
        <scheme val="minor"/>
      </rPr>
      <t xml:space="preserve">Direcionar para Analise tecnica.
</t>
    </r>
    <r>
      <rPr>
        <sz val="11"/>
        <color rgb="FFFF0000"/>
        <rFont val="Calibri"/>
        <family val="2"/>
        <scheme val="minor"/>
      </rPr>
      <t xml:space="preserve">
[22/03] -</t>
    </r>
    <r>
      <rPr>
        <sz val="11"/>
        <color theme="1"/>
        <rFont val="Calibri"/>
        <family val="2"/>
        <scheme val="minor"/>
      </rPr>
      <t xml:space="preserve"> Avaliando com equipe TI Recife se procede a disponibilidade de servidores, coforme informado pelo do saving de servidor, conforme sinalizado pelo Solicitante.
</t>
    </r>
  </si>
  <si>
    <t xml:space="preserve">Adalto/Marcelo </t>
  </si>
  <si>
    <r>
      <rPr>
        <b/>
        <sz val="11"/>
        <color rgb="FFFF0000"/>
        <rFont val="Calibri"/>
        <family val="2"/>
        <scheme val="minor"/>
      </rPr>
      <t xml:space="preserve">[31/05] - CONCLUÍDO
</t>
    </r>
    <r>
      <rPr>
        <sz val="11"/>
        <color rgb="FFFF0000"/>
        <rFont val="Calibri"/>
        <family val="2"/>
        <scheme val="minor"/>
      </rPr>
      <t xml:space="preserve">
[24/05] -</t>
    </r>
    <r>
      <rPr>
        <sz val="11"/>
        <rFont val="Calibri"/>
        <family val="2"/>
        <scheme val="minor"/>
      </rPr>
      <t xml:space="preserve"> Migração da URA Realizada com sucesso.
Proxima atividade : Migração dos E1s - Previsto  24/05 a aprtir 23hs.</t>
    </r>
    <r>
      <rPr>
        <sz val="11"/>
        <color rgb="FFFF0000"/>
        <rFont val="Calibri"/>
        <family val="2"/>
        <scheme val="minor"/>
      </rPr>
      <t xml:space="preserve">
[17/05] </t>
    </r>
    <r>
      <rPr>
        <sz val="11"/>
        <rFont val="Calibri"/>
        <family val="2"/>
        <scheme val="minor"/>
      </rPr>
      <t>- RollOut previsto para iniciar as 23hs de 18/05 até as 03hs. GOnoGO determinado para 03:30hs. Sala de Guerra agendada para 23hs
[10/05] Virada de ligações feita em 01/05. Pendente migração de URA, apresentando errros na homologação. Sem nova previsão de virada. Solicitado avisoo com 24h de antecedencia.
[03/05] Virada de ligações feita em 01/05. Pendente migração de URA, Call em 04/05 para plano de migração.
[26/04] Aguardando ok do cliente para alinhar virada, inicialmente para 27/04.
[19/04] - Testes de transbordo ligação URA para DAC Orbitall ( 01 VDN) realizado em 18/04 com sucesso. 
Aguardando proximos passos (Cliente Multiplus) e confimação data Virada ambiente.
Homologação: [ VDN: 20251 Multiplus Grupo A]
- Transbordo realizado com Sucesso (Túnel Contax e Orbitall).
- Transferência URA Multiplus ( Realizada com sucesso)
[12/04] - Solução de Contingência para trasnbordo e transferencias das Ligações da  atual URA Multiplus para DAC Orbital em andamento. Em paralelo ações de configuração de DAC sendo realizadas pelo Fornecedor Orbital.
[04/04] - Projeto direcionado para avaliação tecnica da equipe de Engenharia. Expectativa de retorno com  Alocação de Recurso tecnico para  avaliação e tratativa da solicitação - 06/04
28/03 - A iniciar</t>
    </r>
  </si>
  <si>
    <r>
      <rPr>
        <sz val="11"/>
        <color rgb="FFFF0000"/>
        <rFont val="Calibri"/>
        <family val="2"/>
        <scheme val="minor"/>
      </rPr>
      <t xml:space="preserve">[31/05] </t>
    </r>
    <r>
      <rPr>
        <sz val="11"/>
        <rFont val="Calibri"/>
        <family val="2"/>
        <scheme val="minor"/>
      </rPr>
      <t xml:space="preserve">- Fase 01 - Concluida, ativação de um link Contax x Alamviva em 27/05.
</t>
    </r>
    <r>
      <rPr>
        <u/>
        <sz val="11"/>
        <rFont val="Calibri"/>
        <family val="2"/>
        <scheme val="minor"/>
      </rPr>
      <t>Proxima Etapa:</t>
    </r>
    <r>
      <rPr>
        <sz val="11"/>
        <rFont val="Calibri"/>
        <family val="2"/>
        <scheme val="minor"/>
      </rPr>
      <t xml:space="preserve"> Instalação do 2° link Oi (CLiente) - Previsto para 17/06
</t>
    </r>
    <r>
      <rPr>
        <sz val="11"/>
        <color rgb="FFFF0000"/>
        <rFont val="Calibri"/>
        <family val="2"/>
        <scheme val="minor"/>
      </rPr>
      <t xml:space="preserve">
[24/05] - </t>
    </r>
    <r>
      <rPr>
        <sz val="11"/>
        <rFont val="Calibri"/>
        <family val="2"/>
        <scheme val="minor"/>
      </rPr>
      <t>Configurações Contax  concluidas, testes em andamento (TAM, Almaviva e Contax )
Previsão de RollOut - 27/05 as 8hs</t>
    </r>
    <r>
      <rPr>
        <sz val="11"/>
        <color rgb="FFFF0000"/>
        <rFont val="Calibri"/>
        <family val="2"/>
        <scheme val="minor"/>
      </rPr>
      <t xml:space="preserve">
[17/05] -</t>
    </r>
    <r>
      <rPr>
        <sz val="11"/>
        <rFont val="Calibri"/>
        <family val="2"/>
        <scheme val="minor"/>
      </rPr>
      <t xml:space="preserve"> Realizando avaliação de Infra dos links entregues pela Operadora. Problema com um dos circuitos entregue.
Necessário realizar Gmud para concluir configurações de redes dos Links, previsto para 18/05.
Proximos passos &gt; configurações de Telecom e testes com Almaviva.
Entrada em produção  - 23/05
 [10/05] Vistoria da Oi esperada para essa data, para viabilizar instalação dos links. desenho e plano de GMUD fechados e enviados para CSE..
[03/05] Reunião com cliente realizada com sucesso. desenho da solução aprovado com o cliente. Em fase de montagem de cronograma.
[26/04] Reunião com cliente marcada para 02/05.
[19/04] - Em fase de entendimento escopo. Reunião tecnica entre TAM e ENG (Antônio) , agendada para 18/04 as 16hs
[12/04] - Projeto direcionado para  fila de Engenharia TI, previsão de conclusão da analise tecnica em 04/05.
[04/04] - Projeto direcionado para avaliação tecnica da equipe de Engenharia. Expectativa de retorno com  Alocação de Recurso tecnico para  avaliação e tratativa da solicitação - 06/04
30/03 - A iniciar</t>
    </r>
  </si>
  <si>
    <t>TAM</t>
  </si>
  <si>
    <r>
      <rPr>
        <sz val="11"/>
        <color rgb="FFFF0000"/>
        <rFont val="Calibri"/>
        <family val="2"/>
        <scheme val="minor"/>
      </rPr>
      <t xml:space="preserve">[31/05] - </t>
    </r>
    <r>
      <rPr>
        <sz val="11"/>
        <rFont val="Calibri"/>
        <family val="2"/>
        <scheme val="minor"/>
      </rPr>
      <t>Em andamento com equipe Engenharia. (Proposta de Cotação novo servidor)</t>
    </r>
    <r>
      <rPr>
        <sz val="11"/>
        <color rgb="FFFF0000"/>
        <rFont val="Calibri"/>
        <family val="2"/>
        <scheme val="minor"/>
      </rPr>
      <t xml:space="preserve">
[24/05] -</t>
    </r>
    <r>
      <rPr>
        <sz val="11"/>
        <rFont val="Calibri"/>
        <family val="2"/>
        <scheme val="minor"/>
      </rPr>
      <t xml:space="preserve"> Solicitação de cotação de novos servidores redirecionada para Engenharia.</t>
    </r>
    <r>
      <rPr>
        <sz val="11"/>
        <color rgb="FFFF0000"/>
        <rFont val="Calibri"/>
        <family val="2"/>
        <scheme val="minor"/>
      </rPr>
      <t xml:space="preserve">
[17/05] </t>
    </r>
    <r>
      <rPr>
        <sz val="11"/>
        <color theme="1"/>
        <rFont val="Calibri"/>
        <family val="2"/>
        <scheme val="minor"/>
      </rPr>
      <t xml:space="preserve">- call com fornecedor TQS realizado. Fornecedor recomendou realizar as ações faseadas, e não garantiu ganho de performance.
Proposta - Avaliar com solicitante se seguiremos com testes ou cotação direto.
</t>
    </r>
    <r>
      <rPr>
        <b/>
        <sz val="11"/>
        <rFont val="Calibri"/>
        <family val="2"/>
        <scheme val="minor"/>
      </rPr>
      <t xml:space="preserve">[10/05] Para essa data call do CSE com a TQS. Cliente estressado com a demora.
[26/05] Sem evolução. Necessário fazer call com TQS.
[19/04] - </t>
    </r>
    <r>
      <rPr>
        <sz val="11"/>
        <rFont val="Calibri"/>
        <family val="2"/>
        <scheme val="minor"/>
      </rPr>
      <t xml:space="preserve">Direcionado para Fila CSE. Assunto esclarecido com LW ee direcionado para DBA. Ainda sem retorno da avaliação tecnica. Será necessário envolver fornecedor TQS.
</t>
    </r>
    <r>
      <rPr>
        <b/>
        <sz val="11"/>
        <rFont val="Calibri"/>
        <family val="2"/>
        <scheme val="minor"/>
      </rPr>
      <t>[12/04] -</t>
    </r>
    <r>
      <rPr>
        <sz val="11"/>
        <rFont val="Calibri"/>
        <family val="2"/>
        <scheme val="minor"/>
      </rPr>
      <t xml:space="preserve">  Avaliação tecnica realizada pela Equipe Engenharia. Foram recomendadas melhorias como Criação de indices para as tabelas, Alarmes criticos de Storage e Back up, e posteriormente avaliar a performance da máquina.
Projeto direcionado para Avaliação equipe Execução.
[04/04] - Projeto direcionado para avaliação tecnica da equipe de Arquitetura. Expectativa de retorno com  Alocação de Recurso tecnico para  avaliação e tratativa da solicitação - 06/04
30/03 - A iniciar</t>
    </r>
  </si>
  <si>
    <t>31/05 - Executando passagem de cabeamento entre equipamentos entre gabinete avaya e Aspect / reguá Balloon. Após, necessarios configuração do E1, Aspect, DAC, PAs, e Aspect nas novas Campanhas;
25/05 - Esforço já enviado.  Aguardando retorno de TI Site quanto ao inicio das atividades para realização do cronograma.
17/05 - Novo desenho de engenharia já realizado.  Aguardando análise e próximos passos da equipe de CSE para avançarmos com o projeto
11/05 - Verificando com Engenharia qual o prazo para novo desenho, uma vez que o polo aspect a ser usado será o do Alegria. Previsão de retorno até 13/05
04/05 - Tivemos algumas definições que impactaram o cronograma de desenvolvimento (Polo Aspect, outras demandas, etc). Novo cronograma em análise com previsão de elaboração até dia 06/05
26/04 - Aguardando Definição de qual polo aspect utilizar. Definição Corporativa. sem prazo. Rico alto de atraso. Desenvolvimento Parcial...
22/03 - Em Desenvolvimento...previsão de conclusão do desenvolvimento em Maio/2016;
15/03 - Recebemos o layout do arquivo raw, equipe de desenvolvimento irá analisar ate amanhã. Desenvolvimento continua....
01/03 - Foram disponibilizados os Servidores em 26/02. Estamos em fase de desenvolvimento. Evoluindo...
23/02 - Disponibilizanod os servidores de BD, APP e D-1, até dia 26/02. Em paralelo as confirgurações da aplicação;
16/02 - Fase 1 de Desenvolvimento concluida. fase 2 em andamento. Em paralelo estamos analisando o espaço de Oracle (servidor) para a aplicação, com data limite até dia 22/02;
10/02 - Realisando ajustes na topologia para iniciar atividades com CSE. Em Paralelo estamos iniciando as atividades com equipe de desenvolvimento;
02/02 - Avaliações entre as equipes de Telecom, Discadores e Plataforma;
26/01 - Equipe de Plataforma esta revendo espaço do Storage pata liberar À equipe de Desenvolvimento. Desenvolvimento em andamento;
20/01 - devido a necessidade de investimento para upo grade do storage, e os debitos junto a não renovação de contrato com a DELL., estamos buscando 'limpar' o storage atual para tentar assim disponibilizar espaço. Sem Previsão, sendo tratado por Nelsom Klaus.
04/01 - Inicio de ENG em 04/01 e previsão de término em 15/01
25/11 - Cobrando disponibilização de Servidores para disponibilizar para desenvolvimentos. ainda sem data;
17/11 - Levantando insumos necessarios para desenvolvimento (servidor de desenvolvimento e Aplicação e BD);
03/11 - Aguardando avaliação da euiqpe do Rivaldo; sem previsão.
27/10 - Conforme alinhado no ultima reunião de Up Data de Projetos, será avaliado pela equipe do Rivaldo a real necessidade dessa solicitação, se farão correções no By Contax ou outro FF. Ainda sem data;
Enviado posteriormente/ encaminhar para priorização</t>
  </si>
  <si>
    <t xml:space="preserve">31/05 - Aguardando renovaçõa de contrato junto a NICE para poder solicitar proposta de integração do TTV com as posiç~eos restantes da VIVO (Intergrall + Genesys), sem previsão;
11/05 - Mesmo status
04/05 - Mesmo status
26/04 - Aguardando proposta do Fornecedor que fará a intregraçãentre o TTV e posições da VIVO Fixa; sem previsão;
18/12 - Aguardando proposta do Fornecedor que fará a intregraçãentre o TTV e posições da VIVO Fixa; sem previsão;
25/11 - Aguardando proposta de terceiros para desenvolvimento de solução para capturar informações dos 8% de posições restantes (que utilizam InterGrall e Genesys do segmento da FIXA);
17/11 - TTV implantado em 92% das posiçoes da VIVO (Movel em 100%, fixa 82%, restando vizualizar 258 PAs que são Intergrall e 'Genesys' a definir estratégia);
03/11 - Realizando algumas configurações de SKILL junto as equipe de Planejamento, Avaya e NICE;
27/10 - Configurações finalizadas. em fase de homologação. No momento estamos aguardando as correções a serem realizadas pela equipe do Antonio Carlos - Planejamento VIVO, sem prazo informado;
20/10 - Periodo de configurações entre Contax e NICE. Previsão de conclusão das confgurações de TI, é 28/10;
06/10 - Aguardando emissão do PC para acionar a NICE, prazo para emissão até 08/10;
29/09 - Processo de Aprovação de SC e após, gerar pedidos;
29/09 - ja realizada aprovação do valor (U$34.794,54) em Comitê, sem data;
22/09 - Já temos a proposta da NICE, e estamos em processo de SC / Aprovações / PC. Após termos os pedido aguardaremos a disponibilização das licenças (em processo normal, o tempo é de até 60 dias, mas vamos trabalhar para ser disponibilizado o mais breve possivel;
16/09 - Estamos aguardando definição do Rivaldo Barbosa sobre a configuração e licenças da NICE para realizarmos testes (conf. Avaya já Ok desde 04/09). Milene ciente da necessidade de cobrar o Rivaldo.
</t>
  </si>
  <si>
    <t xml:space="preserve">31/05 - Aguardando o aceite do Projeto pelo solicitante / operações;
25/05 - Projeto concluído, sem quedas.  Aguardando retorno da homologação
17/05 - A operação entrou em produção ontem. Tivemos três quedas de operação na data de ontem, porém, nenhuma das quedas teve relação com a Ret Invol R2.  Estamos analisando através do chamado FORBM-492948 e com a equipe de planejamento.  Devemos ter um retorno até o final da semana para identificar a causa raiz e atuação em cima do problema.
11/05 - Aplicações está terminando até hoje as cargas de mailing.  Aguardando algumas definições da equipe de operações para realização dos testes amanhã.
04/05 - Projeto está em desenvolvimento pela equipe de aplicações com previsão de término dia 16/mai. Após isso, o site atuará para entrega das posições
26/04 - Definido em 19/04 qu iremos utilizar o polo aspect MG para implantar essas posições. no momento estamos aguardando a configrações dos servidores que esta prevista para ser entregue no dia 03/04. após isso continua-se os desenvolvimentos (estou buscando datas). Jasolicitado ao LW a criação de OU/AD e os usuários que precisam ter acesso as essa estrutura;
19/04 - Aguardando Definição de qual polo aspect utilizar. Definição Corporativa. sem prazo. Rico alto de atraso.
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
23/02 - Realizado em 19/02 uma reunião de alinhamento entre solicitante, desenvolvimento, PMOs. Estamos em processo de To Be;
16/02 - Aguardando, desde 20/01, a EF para analises de Desenvolvimentos  e Engenharia. Sem Previsão.
26/02 - Aguardando agenda com a Accenture;
20/01 - Em analise de engenharia e plataforma de TI, já acionado Equipe de NGR - Desenvolvimento;
14/01 - Favor preencher o formulário de crescimento anexo. 
Favor enviar o layout aprovado pela equipe de planejamento. </t>
  </si>
  <si>
    <t>31/05 - 3° onda prevista para 19/05 com 20 PAs. Em Andamento;
17/05 - A operação entrou em produção ontem.Tivemos alguns problemas nos CIDs (responsável: TAM) , porém estamos atuando normalmente. Para A 3º onda (28 recursos) o treinamento terá inicio em 19/5. 
Em relação aos aparelhos AVAYA, foram bloqueados pela SEFAZ de JP e o nosso Jurídico está verificando para liberação
11/05 - Aparelhos AVAYA chegarão até amanhã de manhã no site. E, após isso, iniciará a configuração e implantação das PAs para homologação
03/05 - Aparelhos AVAYA Estão no site Lapa reservados para transporte para JPA. SC foi aprovada 28/abr e PC precisa ser imediato.  Aparelhos devem chegar até dia 05/mai. Em paralelo, TI site está atuando nas demais configurações
26/04 - 110 Heads enviadosde PL407 para site JPA via Malote. 105 Avayas 9608 devem ser enviados de site Lapa - SP para site JPA, estamos em processo de SC/PC (precisam chegar até dia 05/05 em JPA). Estamos solicitando criação de CDIs, Ofice ID, Ramais, etc para essa ampliação;
19/04 - Buscando Saving de insumos para implantação da 2° onda, prevista para 14/05. Treinamento em Andamento.
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
29/03 - Realizado o transporte dos computadores , avayas e heads. teremos que refazer as imagens, devido a solicitação do cliente de trocar de win XP para win7. Iniciaremos em 30/03 até dia 04/04. Homologação de 05 à 07/04. Roll out em 08/04;
22/03 - Agendando transporte dos insumos, os mesmos devem chegar ate a proxima semana;
15/03 - Aguardando numero de PC para transportes de maquinas FOR/JPA e avayas de FOR/JPA;
08/03 - Entregamos o ambiente de treinamento com 3 salas. estamos aguardando numero de PC para transporte de maquinas FOR/JPS e avayas de FOR/JPA;
01/03 - Em Homologação do ambiente de trainamento pelo cliente. GMUD realizada com sucesso no dia 24/02 com sucesso. Configuração das maquinas de treinamento configuradas no periodo de 25 à 29/02 .
23/02 - Realizando algumas configurações nas maquinas da sala de treinamento, realizando liberações de rota / rede. Previsão de configurações por parte do cliente é de 25/02 a partir da 23hs;
16/02 - roteadores entregues no sites JP (em 16/02 às 15h30min). iremos instalar no local e disponibilizar uma maquina remota para as configurações, que devem ir até dia 18/02 à 11h00min;
10/02 - Aguardando numero do PC para acionar a transportadora para poder realizar o trasnporte dos dois roteadores de Lapa p/ JPA. estamos dependendo desse trasnporte para poder acionar as equipes internas e do cliente para realizar as devidas liberações e configurações de redes;
02/02 - Há necessidade detransporte de roteadores de SP para JPA. Estamos buscando 25 Maquinas e heads para completar os insumos. Em paralelo estamos levantando informações para repassar ao cliente para liberação de acessos no site JPA;
26/01 - Realizando o entendimento do projeto;</t>
  </si>
  <si>
    <t>31/05 - Configurações de REDES TAM no site AS em andamento com previsão de termino até 01/06, configurações das maquinas e ramais com previsão até 03/06 ////////// TAM Viagens, previsão de configurações até dia 20/06;
25/05 - Switchs e roteadores entregue ao site Alameda Santos. Hoje chegam as máquinas no Augusta e Alameda Santos.  Solicitado CIDs e outras informações para TAM.  Teremos 5 dias úteis para configuração de rede, após configuração de rede 3 dias para configuração do ambiente (depende de info da TAM).  Previsão de conclusão: 10/jun
17/05 - Pedido gerado para transporte dos Switchs --&gt; Verificando a questão se será por transporte rodoviário (Pedido gerado já, porém sera entregue até 8 dias uteis) ou se por transprote áreo (adicional de cerca de R$500,00, qual deve passar por todas as aprovações pertinentes). Resp.: Thiago Fellipe
Pedido gerado para transporte das máquinas + aparelhos (Alegria para Alameda e Alegria para Augusta) --&gt; Marcando com o fornecedor para dia 24/05 o transporte desses insumos.
2 roteadores --&gt; Será enviado na segunda-feira
Após a chegada no site, TI site deverá realizar as configurações
11/05 - Mesmo status
04/05 - Sala de Treinamento no Alameda Santos (27/mai): Dois roteadores serão transportados para o site AS ainda essa semana. Pendente geração de PC de transporte dos Switchs, Máquinas, Avayas do site Alegria para o Alameda Santos. Após chegada no site:
• Acionar LW para realizar as liberações e configurações de rede e Coordenador do site para instalar os roteadores e switches
• Cobrar a Zenailde de uma VLAN para colocar nessas posições
• Acionar o coordenador do site AS e Zenailde para apoiar nas configurações das máquinas e ramais
Entrada de 91PAs no Augusta (10/mai): Pendente geração de PC de transporte das Máquinas e Avayas do site Alegria para o Augusta (em conjunto com os da Sala de Treinamento). Após chegada no site: • Acionar a Zenailde para configurações das máquinas e ramais com as imagens já disponíveis e outras configurações que o cliente enviar
26/04 - Dois Roteadores localizado em SP (modelo 3800), iremos transportar via taxi para o site Alameda Santos. Dois Switch localizado no site Santo Amaro, Luciana Cardoso esta cobrando processo de SC/PC para transportar para o site Alameda Santos. com os insumos no site As, necessario realizar as devidas configurações junto a Redes / Microsoft. Necessario levantar a rede a ser utilizada no site AS, Zenailde esta verificando disponibilidade.
19/04 - Aguardando definições das atividades para os movimentos 8, 9 e10. Faremos uma reunião em 19 e 20/04 para definições das proximas fazes. Cobrando Controle de Ativos sobre os insumos necesarios (Switches e Roteadores) para implantar as salas de treinamemnto no site Alameda Santos, entretanto o cliente quer uma reunião para esse tema , pois diz não estar ciente. estamos agendando.
12/04 - Analisando atividades para os proximos movimentos (8, 9 e 10);
29/03 - Migrado Mazanino para 4° andar. fazermos movimentações entre o 5°andar e o 3° andar do grupos Reserva e Cargo, e voltaremos o Planejamento para o Mezanino, no periodo de 01 à 04/04;
22/03 - Em execução de movimentações entre andares, e analisando as necessidades das salas de treinamentos no site AS;
15/03 -  Em execução das movimentações entre andares para execuções das obras. validando insumos para o crescimeto;
01/03 - Realizamos algumas reuniões na ultima semana, e foi definido o cronograma com base na data alvo a ser atingida em 10/05;
23/02 - realizado alguns alinhamentos, e no momento estamos aguardando definição de cronograma de obras e de ordem para as atividades nos andares;
16/02 - Aguardando cliente disponibilizar links e aplicações a serm utilizadas na operação (desde 28/01). Em paralelo estamos analisando o layout proposto, infra, insumos, etc. Precisamos tambem que seja definida a data de liberação do ambiente para TI trabalhar;
10/02 - Aguardando cliente disponibilizar links e aplicações a serm utilizadas na operação (desde 28/01). Em paralelo estamos analisando o layout proposto, infra, insumos, etc;
26/01 - Realizando o entendimento do projeto;</t>
  </si>
  <si>
    <t>31/05 - Solicitado Analise da equipe de Engenharia, previsão de retorno ate dia 08/06. solicitado analise do time de SD, previsão de retorno dia 06/06.
24/05 - A iniciar</t>
  </si>
  <si>
    <t>Engenharia /// CSE</t>
  </si>
  <si>
    <t>VILLA /// José Carlos</t>
  </si>
  <si>
    <t>08/06 /// 06/06</t>
  </si>
  <si>
    <t>CTXSPOAL-117663</t>
  </si>
  <si>
    <t>Projeto - Crescimento SAS CEMAC Intermédica (mais do mesmo)</t>
  </si>
  <si>
    <t>Alegria</t>
  </si>
  <si>
    <t>31/05 - Devido ao cliente solicitar e precionar diretor o time do site, esse crescimento esta sendo executado pelo SD do Site Alegria, sem as devidas avaliações e fluxos pelas areas de TI;
30/05 - Recebimento da Demanda;</t>
  </si>
  <si>
    <t>Zenailde Santana</t>
  </si>
  <si>
    <t>CTXSPOAL-118246</t>
  </si>
  <si>
    <t>Projeto - Migração de salão operação Intermédica Site Alegria</t>
  </si>
  <si>
    <t xml:space="preserve">31/05 - Aguardando definições de Layout, DE/PARA, </t>
  </si>
  <si>
    <t>Equipe Projetos Implantaçaõ</t>
  </si>
  <si>
    <t>CTXSPOAP407-16899</t>
  </si>
  <si>
    <t>PROJETOS - MIGRAÇÃO TAM ALEGRIA 1º / 2º ANDAR</t>
  </si>
  <si>
    <t>31/05 - 60 PA´s finalizadas e Homologadas                                      11/05 - Em análise pela Engenharia. Em paralelo, TI site está adiantando as atividades
10/05 - A iniciar</t>
  </si>
  <si>
    <t>31/05 - 4 PA´s finalizadas e Homologadas                                      11/05 - Em análise pela Engenharia. Em paralelo, TI site está adiantando as atividades
10/05 - A iniciar</t>
  </si>
  <si>
    <t>31/05 - Escopo alterado - Cenário proposto 08 PA´s "mais do mesmo" para entrega em 16/06                                                        16/05 - A iniciar</t>
  </si>
  <si>
    <t>31/05 - Em Homologação pela Operação</t>
  </si>
  <si>
    <t>22/05 - Em andamento                                                                                                                    20/05 - A iniciar</t>
  </si>
  <si>
    <t>22/05 - Faltou LayOut - Demanda possívelmente será Cancelada pelo solicitante                                                                                                                                                  20/05 - A iniciar</t>
  </si>
  <si>
    <r>
      <t xml:space="preserve">[31/05] -  Fase de avaliação topologia apresentada pela LATAM. Avaliando prazo estimado de retorno, com equipe  Engenharia TI.
Não esquece de atualizar a sua versão, para proxima semana. Colocar esse no meu nome. 
</t>
    </r>
    <r>
      <rPr>
        <sz val="11"/>
        <color rgb="FFFF0000"/>
        <rFont val="Calibri"/>
        <family val="2"/>
        <scheme val="minor"/>
      </rPr>
      <t>[24/05]</t>
    </r>
    <r>
      <rPr>
        <sz val="11"/>
        <color theme="1"/>
        <rFont val="Calibri"/>
        <family val="2"/>
        <scheme val="minor"/>
      </rPr>
      <t xml:space="preserve"> - Fase de Analise da proposta de Arquitetura apresentada pelo Cliente TAM.
Equipe de Engenharia avaliando viabilidade Tecnica de implantar Infra no site Augusta. . Previsão retorno:  </t>
    </r>
    <r>
      <rPr>
        <sz val="11"/>
        <color rgb="FFFF0000"/>
        <rFont val="Calibri"/>
        <family val="2"/>
        <scheme val="minor"/>
      </rPr>
      <t>xxxxxx</t>
    </r>
    <r>
      <rPr>
        <sz val="11"/>
        <color theme="1"/>
        <rFont val="Calibri"/>
        <family val="2"/>
        <scheme val="minor"/>
      </rPr>
      <t xml:space="preserve">
[10/05]: Alinhamento do projeto realizado hoje com a Cleonice. Próximos passos, aguardar retorno dos executores quanto a esse projeto.</t>
    </r>
  </si>
  <si>
    <r>
      <t>Edison Nei Siqueira added a comment - 31/Mai/16 16:58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- 10/Mai/16 17:55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- 03/Mai/16 10:53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- 26/Abr/16 11:42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- 20/Abr/16 08:53
Aguardando retorno de engenharia Telecom, pois a demanda visa centralizar todo o DAC da Fixa utilizando o DAC Prado I, o site encontra-se em processo de desmobilização que está em analise por parte da diretoria.
Edison Nei Siqueira added a comment - 12/Abr/16 17:41
Além da necessidade de insumos sinalizada por engenharia, hoje recebi o retorno de que a demanda estará Freezing até que seja definida a situação da regional BH com relação a desmobilização ou não do CPD.
Edison Nei Siqueira added a comment - 05/Abr/16 16:47
Continuamos na busca de insumos junto a controle de ativos, conseguimos os gabinetes e agora estamos buscando 20 placas DS1.
Edison Nei Siqueira added a comment - 29/Mar/16 15:12
Estamos buscando internamente junto a controle de ativos os insumos solicitados pela área de engenharia Telecom. 
20 Placas DS1 e 02 Gabinetes Avaya.
Edison Nei Siqueira added a comment - 08/Mar/16 17:01
Demanda reinserida na fila de engenharia para analise e desenho de solução, previsão de entrega entre 07/03/16 e 18/03/16. Após o retorno vamos agendar o kick off do projeto.</t>
    </r>
    <r>
      <rPr>
        <sz val="11"/>
        <color rgb="FFFF0000"/>
        <rFont val="Calibri"/>
        <family val="2"/>
        <scheme val="minor"/>
      </rPr>
      <t xml:space="preserve">
[29/02] -</t>
    </r>
    <r>
      <rPr>
        <sz val="11"/>
        <rFont val="Calibri"/>
        <family val="2"/>
        <scheme val="minor"/>
      </rPr>
      <t xml:space="preserve"> Projeto na fila de execução. Aguardando priorização, para alocação de recurso Telecom 
[16/02] - A equipe </t>
    </r>
    <r>
      <rPr>
        <sz val="11"/>
        <color theme="1"/>
        <rFont val="Calibri"/>
        <family val="2"/>
        <scheme val="minor"/>
      </rPr>
      <t>Telecom reavaliou o cenário e fez as respectivas considerações e ajustes na topologia. Seguiremos com a centralização dessa ultima onda de ramais para DAC MG A. Ramais sendo mapeados par a oanalise de esforço e criar plano de ação.
Edison Nei Siqueira added a comment - 02/Fev/16 10:57
Recebemos ontem dia 01/02/2016 o retorno da quantidade de PAs envolvidas na demanda, agora vam+os aguardar a conclusão da analise de Engenharia.
Edison Nei Siqueira added a comment - 26/Jan/16 08:13
Demanda em analise junto a engenharia com previsão de entrega da analise para o dia 29/01/2016.
Edison Nei Siqueira added a comment - 21/Jan/16 10:18
Demanda na fila de Engenharia para analise.
Edison Nei Siqueira added a comment - 01/Dez/15 11:34
Fabrício, por gentileza verificar se a demanda seguirá, visto que a mesma requer investimento.
Edison Nei Siqueira added a comment - 03/Nov/15 12:11
Aguardando aprovação interna de investimentos para solicitar a abertura de contratação dos links junto a OI.
Edison Nei Siqueira added a comment - 20/Out/15 17:58
Aguardando aprovação interna de investimentos para solicitar a abertura de contratação dos links junto a OI.
Edison Nei Siqueira added a comment - 05/Out/15 08:39
Aguardando aprovação interna de investimentos para solicitar a abertura de contratação dos links junto a OI.
Edison Nei Siqueira added a comment - 22/Set/15 18:44
Aguardando aprovação interna de investimentos para solicitar a abertura de contratação dos links junto a OI.</t>
    </r>
  </si>
  <si>
    <r>
      <t xml:space="preserve">Edison Nei Siqueira added a comment - 31/Mai/16 17:41
Continuamos buscando junto a engenharia a validação da topologia que seja suportada pela OI para instalação dos UMS dentro do ambiente do POP.
Edison Nei Siqueira added a comment - 10/Mai/16 18:24
Estamos realizando reuniões internas de TI analisando cada requisito da EF a Closer, para identificar a melhor solução a ser aplicada para operação.
Edison Nei Siqueira added a comment - 03/Mai/16 10:58
Foi enviado para o cliente OI validar a possibilidade de utilizar o POP da OI para a entrega dos 25 E1s. Estamos aguardando engenharia Contax entregar o desenho definitivo com a nova topologia para avaliação e aprovação da OI, previsão de entrega do desenho prevista para hoje dia 03/05. 
Em analise junto a equipe de aplicações o retorno de operações com as informações dos RF e RFNs que foram esclarecidos.
Edison Nei Siqueira added a comment - 26/Abr/16 11:50
Reunião realizada junto ao fornecedor Aspect, estamos internalizando novamente a demanda em engenharia para novo estudo e desenho da solução.
Edison Nei Siqueira added a comment - 20/Abr/16 08:18
A reunião junto a Aspect e CSE não ocorreu na data acordada, estamos aguardando retorno hoje sobre a evolução do dia de ontem, só podemos evoluir com relação a topologia após ocorrer essa reunião. 
Reunião entre a equipe de aplicações NGR e Closer, foi identificado a necessidade de maior detalhamento de alguma RF e RFN descritos na EF, tal necessidade foi encaminhada para o solicitante da demanda e operações para esclarecimentos, ficamos aguardando esse retorno para informar as respectivas OGs.
Edison Nei Siqueira added a comment - 12/Abr/16 17:44
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
Edison Nei Siqueira added a comment - 05/Abr/16 16:51
Reunião de kick off planejada para a próxima semana junto a Closer, áreas especialistas e operações..
Edison Nei Siqueira added a comment - 29/Mar/16 15:32
SC aprovada e pedido gerado para o fornecedor, o Oi deu previsão de instalação dos links E1s para 18/05. 
Aguardando reunião de kick off junto as áreas especialistas e o fornecedor Closer.
Demanda será inserida no pipe das áreas especialistas para que seja agendada a reunião de kick off.
Edison Nei Siqueira added a comment - 08/Mar/16 17:33
Aprovada a EF pela OI em 29/02 
Aguardando retorno da OI para a disponibilização dos 25 links.Prazo: TBD 
Em levantamento das informações para preparação do material de defesa no comitê de caixa. Foi solicitado apoio para o Fábio Koreeda e Milene, pois não conseguimos identificar o valor da licença mensal do Aspect - Prazo: TBD
</t>
    </r>
    <r>
      <rPr>
        <sz val="11"/>
        <color rgb="FFFF0000"/>
        <rFont val="Calibri"/>
        <family val="2"/>
        <scheme val="minor"/>
      </rPr>
      <t xml:space="preserve">
[16/02] - </t>
    </r>
    <r>
      <rPr>
        <sz val="11"/>
        <rFont val="Calibri"/>
        <family val="2"/>
        <scheme val="minor"/>
      </rPr>
      <t>Custos do desenvolvimento aguardando aprovação do Comitê de Caixa.</t>
    </r>
    <r>
      <rPr>
        <sz val="11"/>
        <color rgb="FFFF0000"/>
        <rFont val="Calibri"/>
        <family val="2"/>
        <scheme val="minor"/>
      </rPr>
      <t xml:space="preserve">
[10/02]</t>
    </r>
    <r>
      <rPr>
        <sz val="11"/>
        <color theme="1"/>
        <rFont val="Calibri"/>
        <family val="2"/>
        <scheme val="minor"/>
      </rPr>
      <t xml:space="preserve"> - - EF encaminhada para fornecedor e custos de desenvolvimento estão aguardando aprovação comitê caixa
Edison Nei Siqueira added a comment - 02/Fev/16 11:36
aguardando retorno do fornecedor com relação a analise da EF.
Edison Nei Siqueira added a comment - 26/Jan/16 11:52
EF anexada ao chamado de projeto, estamos aguardando o posicionamento com relação a plataforma a ser utilizada e a solicitação dos E1s junto a Oi.
Edison Nei Siqueira added a comment - 21/Jan/16 13:00
Diante da indisponibilidade de polo Aspect para atender a demanda, estamos seguindo com a solução do APC como o discador da operação, em fase de analise de contratação de link de dados e infraestrutura local do site na regional CE.
Edison Nei Siqueira added a comment - 18/Dez/15 11:50
Diante da indisponibilidade de polo Aspect para atender a demanda, estamos seguindo com a solução do APC como o discador da operação, em fase de analise de contratação de link de dados e infraestrutura local do site na regional CE.
Edison Nei Siqueira added a comment - 01/Dez/15 14:44
Previsão de receber até o dia de amanhã 02/12 o desenho da solução por parte de ENG com a solução proposta para a implementação do discador.
Edison Nei Siqueira added a comment - 24/Nov/15 17:02
Começamos a receber hoje as EFs com ajustes solicitados pela equipe de App, assim que for concluída a Análise estaremos dividindo com os envolvidos.
Em Análise de estudo de viabilidade junto a área de ENG para utilizar o polo Aspect SP. 
Foi avaliado e não tem custo de licenças. 
No entanto, este projeto necessita de vários insumos: 
Link de voz 
Customização do fonrt end evalyse 
Carga de mailing 
etc... 
Assim, mesmo que não haja custos envolvidos temos que analisar as precedências para este projeto acontecer sem surpresas.
Edison Nei Siqueira added a comment - 27/Out/15 18:09 
Em Análise de estudo de viabilidade junto a área de ENG para utilizar o polo Aspect SP. 
Foi avaliado e não tem custo de licenças. 
No entanto, este projeto necessita de vários insumos: 
Link de voz 
Customização do fonrt end evalyse 
Carga de mailing 
etc... 
Assim, mesmo que não haja custos envolvidos temos que analisar as precedências para este projeto acontecer sem surpresas. 
Edison Nei Siqueira added a comment - 20/Out/15 19:24
Aguardando retorno da área de negócios com relação ao levantamos de insumos para prover a aprovação da demanda no comitê de gastos.
Edison Nei Siqueira added a comment - 06/Out/15 15:16
Aguardando retorno da área de negócios com relação ao levantamos de insumos para prover a aprovação da demanda no comitê de gastos
Edison Nei Siqueira added a comment - 09/Set/15 15:10 
Recebido e encaminhado para Análise de aplicações NGR, aguardando retorno da priorização. 
+P22</t>
    </r>
  </si>
  <si>
    <r>
      <t>Edison Nei Siqueira added a comment - 25/Mai/16 10:20
Demanda foi cancelada por falta de definição de escopo pelo cliente Oi.
Edison Nei Siqueira added a comment - 03/Mai/16 11:34
Projeto colocado em hold conforme orientação do solicitante, vale ressaltar que o projeto já vai para um ano e ainda não tem o seu escopo definitivo.
Edison Nei Siqueira added a comment - 26/Abr/16 20:34
Estamos aguardando ajustes solicitados na EF para que a demanda seja inserida na fila de engenharia.
29/03 - Mesmo status
Edison Nei Siqueira added a comment - 08/Mar/16 17:45
Estamos aguardando ajustes solicitados na EF para que a demanda seja inserida na fila de engenharia.</t>
    </r>
    <r>
      <rPr>
        <sz val="11"/>
        <color rgb="FFFF0000"/>
        <rFont val="Calibri"/>
        <family val="2"/>
        <scheme val="minor"/>
      </rPr>
      <t xml:space="preserve">
[16/02] </t>
    </r>
    <r>
      <rPr>
        <sz val="11"/>
        <color theme="1"/>
        <rFont val="Calibri"/>
        <family val="2"/>
        <scheme val="minor"/>
      </rPr>
      <t>- Aguardando retorno Cliente Oi.
02/02 - Mesmo status
Edison Nei Siqueira added a comment - 26/Jan/16 12:12
Aguardando posicionamento da OI com relação a solução que serrá seguida após o alinhamento com a Eleventhec.
Edison Nei Siqueira added a comment - 18/Dez/15 13:02
Aguardando posicionamento da OI com relação a solução que serrá seguida após o alinhamento com a Eleventhec.
[16/02] Aguardando Retorno Oi.
Edison Nei Siqueira added a comment - 01/Dez/15 11:09
Realizada reunião de alinhamento junto a área de projetos das operações de SAC e áreas especialistas, ficou alinhado que precisamos do retorno da OI com a definição de qual cenário vai ser seguido para a solução Smart Office.
Edison Nei Siqueira added a comment - 24/Nov/15 16:28
Continuamos aguardando que seja agendada a reunião junto ao cliente para alinhamento com a equipe de ENG.
Edison Nei Siqueira added a comment - 17/Nov/15 14:53
Continuamos aguardando que seja agendada a reunião junto ao cliente para alinhamento com a equipe de ENG.
Edison Nei Siqueira added a comment - 10/Nov/15 16:47
Continuamos aguardando que seja agendada a reunião junto ao cliente para alinhamento com a equipe de ENG.
Edison Nei Siqueira added a comment - 03/Nov/15 11:28
Continuamos aguardando que seja agendada a reunião junto ao cliente para alinhamento com a equipe de ENG.
Edison Nei Siqueira added a comment - 20/Out/15 16:43
Em estudo com ENG de TI: Implementação, Manutenção e Suporte de TI.
Edison Nei Siqueira added a comment - 13/Out/15 14:39
Em estudo com ENG de TI: Implementação, Manutenção e Suporte de TI.</t>
    </r>
  </si>
  <si>
    <r>
      <t xml:space="preserve">Edison Nei Siqueira added a comment - 31/Mai/16 17:30
Rollout realizado em 40 PAs da operação Rentabilização, programado o segundo rollout para o dia 13/06 de mais 29 PAs completando toda a operação utilizando Aspect + FF. Estamos com a pendência de disponibilizar a chaves do e-cadop e a homologação de uma nova versão do FF com melhoria solicitada pela operação.
Edison Nei Siqueira added a comment - 18/Mai/16 11:28
Iniciamos o piloto no dia 16/05 utilizando a solução do FF + Aspect, estamos com um daley com relação ao agendamento fidelizado x a plataforma Aspect, já foi aberto chamado junto ao fornecedor para analise, mesmo com essa situação a operação optou por iniciar o piloto com 40 PAs.
Edison Nei Siqueira added a comment - 03/Mai/16 12:26
Homologada a versão versão 4.15009.205.1642 . O erro da janela de motivo de desligamento foi corrigido, porém o erro do número binado permaneceu. 
Na segunda chamada de retorno de agendamento pessoal, o número binado que estava no Screenpop era o terminal da chamada anterior. Também, no momento de encerrar a chamada apareceu o erro de “Object reference no set to na instance of na object”: 
Edison Nei Siqueira added a comment - 26/Abr/16 20:32
Em homologação junto a equipe de projetos, aplicações NGR e NID.
29/03 - Mesmo status
Edison Nei Siqueira added a comment - 07/Mar/16 15:01
Aguardando retorno do teste dos 20 agendamentos para analise de CSE Discadores.
</t>
    </r>
    <r>
      <rPr>
        <sz val="11"/>
        <color rgb="FFFF0000"/>
        <rFont val="Calibri"/>
        <family val="2"/>
        <scheme val="minor"/>
      </rPr>
      <t xml:space="preserve">
[16/02] -</t>
    </r>
    <r>
      <rPr>
        <sz val="11"/>
        <color theme="1"/>
        <rFont val="Calibri"/>
        <family val="2"/>
        <scheme val="minor"/>
      </rPr>
      <t xml:space="preserve"> Aguardando retorno cliente Oi.
02/02 - Mesmo status
Edison Nei Siqueira added a comment - 26/Jan/16 13:29
Aguardando retorno com relação aos testes de agendamento solicitado pela equipe de discadores.
Edison Nei Siqueira added a comment - 18/Dez/15 13:52
Continuamos em homologação , pois o agendamento fidelizado continua apresentando inconsistência. 
Edison Nei Siqueira added a comment - 10/Nov/15 17:30
Em Análise a questão de agendamento x horário de verão.
Edison Nei Siqueira added a comment - 03/Nov/15 15:28
Evoluímos, porém ainda precisamos da Análise com relação ao tratamento do horário de verão nos agendamentos. 
Edison Nei Siqueira added a comment - 20/Out/15 19:54
Realizado audio hoje onde foi tratado o tom de ocupado após as chamadas para telefone fixo, amanhã será dado sequência no agendamento.
Edison Nei Siqueira added a comment - 06/Out/15 17:00
Continuamos em homologação com relação a inconsistência no agendamento de contato no Aspect + FF, vamos retornar os testes essa semana ainda.
Edison Nei Siqueira added a comment - 16/Set/15 11:22
Continuamos em homologação com relação a inconsistência no agendamento de contato no Aspect + FF.</t>
    </r>
  </si>
  <si>
    <r>
      <t>Edison Nei Siqueira added a comment - 31/Mai/16 17:48
Estamos realizando ajustes junto a Telecom-PT na aplicação para operação Outbound.
Edison Nei Siqueira added a comment - 18/Mai/16 11:30
Estamos realizando os ajustes nas aplicações junto ao fornecedor Telecom-PT para darmos inicio ao piloto das operações outbound.
Edison Nei Siqueira added a comment - 03/Mai/16 12:36
Continuamos aguardando o posicionamento da Telecom-PT com relação a versão que vai tratar as chamadas da operação Outbound estava previsto para 27/04 e até o presente momento não recebemos um posicionamento.
Edison Nei Siqueira added a comment - 26/Abr/16 20:24
Continuamos aguardando o posicionamento da Telecom-PT com relação a versão que vai tratar as chamadas da operação Outbound previsto para 26/04.
Edison Nei Siqueira added a comment - 20/Abr/16 08:49
Realizada a carga do mailing do Outbound com sucesso, estamos aguardando agora a Telecom-PT disponibilizar a versão do Carbon que vai tratar o recebimento da chamada, previsão de liberação da versão por parte da Telecom-PT ficou para o dia 26/04.
Edison Nei Siqueira added a comment - 12/Abr/16 18:22
Hoje foi concluído o rollout do Carbon para a operação Unificado. 
Aguardando o versão da Telecom-PT para homologar as operações de Outbound .
Edison Nei Siqueira added a comment - 05/Abr/16 17:08
Iniciamos o rollout da integração tGuidance x Carbon nas operações Ountbound. 
4P - rollout realizado em 04/04 para 100% da operação. 
3P - rollout em andamento. 
Edison Nei Siqueira added a comment - 29/Mar/16 15:40
Desenvolvimento tControl, tGuidance e Carbon, homologação concluída e validada junto a operação. 
Instalação do Carbon nas posições de crescimento, 209 PAs site Comércio OCT e 164 no site Boa Viagem concluído e em homologação por parte de operações. 
SCs com necessidade de ajuste de valores para aquisição dos demais insumos para a infraestrutura definitiva.</t>
    </r>
    <r>
      <rPr>
        <b/>
        <sz val="11"/>
        <color theme="1"/>
        <rFont val="Calibri"/>
        <family val="2"/>
        <scheme val="minor"/>
      </rPr>
      <t xml:space="preserve">
15/03 - </t>
    </r>
    <r>
      <rPr>
        <sz val="11"/>
        <color theme="1"/>
        <rFont val="Calibri"/>
        <family val="2"/>
        <scheme val="minor"/>
      </rPr>
      <t>Mesmo status. Handover Finalizado com o Edson Siqueira 
07/03 - Todo o Site Comércio (Célula 4P) e Site Boa Viagem (Célula 3P) estão com as operações com o Carbon instalado.
Hoje estamos na Fase de Teste do tGuidance com Carbon ou usando um skill da operação ou VDN DDR.
Em paralelo, temos uma Fase que envolve o TControl no qual foi alinhado uma EF no dia 03/03, com ambas as frentes. 
Conforme retorno de TI, dentro do planejamento o período de desenvolvimento é no dia  09/03/2016 Quarta  à  21/03/2016 Segunda.
01/03 - PTI - Terminando a validação da resolução dos monitores em relação ao Carbon; Início de testes em relação a Integração Tguidance x Carbon;
Interação sobre o Novo Escopo tControl x Carbon x TGuidance</t>
    </r>
    <r>
      <rPr>
        <b/>
        <sz val="11"/>
        <color theme="1"/>
        <rFont val="Calibri"/>
        <family val="2"/>
        <scheme val="minor"/>
      </rPr>
      <t xml:space="preserve">
</t>
    </r>
    <r>
      <rPr>
        <sz val="11"/>
        <color theme="1"/>
        <rFont val="Calibri"/>
        <family val="2"/>
        <scheme val="minor"/>
      </rPr>
      <t>23/02 - Sites Boa Viagem e Comercio estão preparados com o Carbon, no momento a operação está testando o mesmo junto ao fornecedor perante regras de negócios operacionais.
15/02 - Fornecedor não conseguiu  completar a carga da base de clientes, mas já consegui subir parcialmente. Sobre os scripts, foi alterado a abordagem que realizamos o cadastro dos textos . 
Em paralelo , estamos atuando on site perante a preparação do ambiente (Boa Viagem e Comércio).
Em última conferência , a fornecedora PT propôs que a integração do tControl seja com o Carbon e, após abertura do Carbon, o Carbon chame o tGuidance. Foi sinalizado esta necessidade a Equipe de Aplicações TI, aguardando retorno.</t>
    </r>
    <r>
      <rPr>
        <b/>
        <sz val="11"/>
        <color theme="1"/>
        <rFont val="Calibri"/>
        <family val="2"/>
        <scheme val="minor"/>
      </rPr>
      <t xml:space="preserve">
</t>
    </r>
    <r>
      <rPr>
        <sz val="11"/>
        <color theme="1"/>
        <rFont val="Calibri"/>
        <family val="2"/>
        <scheme val="minor"/>
      </rPr>
      <t xml:space="preserve">10/02 - Fornecedor realizando algumas correções, no processo de upload da Base de clientes para os testes.
02/02 </t>
    </r>
    <r>
      <rPr>
        <b/>
        <sz val="11"/>
        <color theme="1"/>
        <rFont val="Calibri"/>
        <family val="2"/>
        <scheme val="minor"/>
      </rPr>
      <t>-</t>
    </r>
    <r>
      <rPr>
        <sz val="11"/>
        <color theme="1"/>
        <rFont val="Calibri"/>
        <family val="2"/>
        <scheme val="minor"/>
      </rPr>
      <t xml:space="preserve"> O fornecedor  PTI  verificou a  necessidade de alterações nas telas da campanha 3P Receptivo para adequar aos tamanhos dos monitores da Contax. Aguardando retorno da homologação.
26/01 -</t>
    </r>
    <r>
      <rPr>
        <b/>
        <sz val="11"/>
        <color theme="1"/>
        <rFont val="Calibri"/>
        <family val="2"/>
        <scheme val="minor"/>
      </rPr>
      <t xml:space="preserve"> </t>
    </r>
    <r>
      <rPr>
        <sz val="11"/>
        <color theme="1"/>
        <rFont val="Calibri"/>
        <family val="2"/>
        <scheme val="minor"/>
      </rPr>
      <t xml:space="preserve">Dentro da Demanda do Carbon temos 3 fases:
No momento estamos em  homologaçao:
FASE 1 - Sem Integração
Validação do Carbon (Operação inbound) 
18/12 - Cronograma enviado no dia 02/12, sendo aceito pela solicitante.
Fase: Instalação do Carbon pelo Fornecedor PTI e Início dos testes.
Em paralelo está sendo Desenvolvimento a frente de Mailing pela Equipe de Aplicações.
Foi avaliado que o Site Comercio não tem infraestrutura para o aceite de 32 pas, sendo avaliado possibilidade de colocar tudo no Site Boa Viagem ou em outro Site.
Hoje temos o layout assertivo de 68 pas no Site Boa Viagem, já foi avaliado a premissa de desktops 
dos agentes. 
08/12 - ENG - Desenho da Solução enviado ao solicitante, retorno de aceite do mesmo.Cronograma sendo seguido
Site - Solicitação de layout para o solicitante para avaliação da infra dos desktops do agente, aguardando retorno do solicitante.Em paralelo, houve questionamento do Site pois o site comercio não tem link mpls direto com o DC, e migramos 300 pas para o mesmo nesta semana. 
Questionamentos feitos a ENG (Villa) "Houve avaliação do link? Suporta? Qual será a rota de saída?”
01/12 - Cronograma sendo alinhado com as áreas.
Ações de CSE em andamento.
Doc do Desenho da Solução sendo finalizado por ENG, em paralelo a Dell estará enviando as cotações dos servidores para a infra definitiva seguindo o processo de Suprimentos.
24/11 - Na frente de infra foi acionado o Klaus que somente vai poder nos atender entre 01 e 08/12. 
Foi acionado o LW para fechar a implementação do ambiente após entrega do desenho do Klaus.
O Alexandre Morais entrou em detalhe com Tiago da PT.
A operação informa que a solução tem que entrar até 24/11, pois estava com Rivaldo e  etc. Já sinalizado que possivelmente só ano que vem estará apto para fornecedor poder atuar. Assunto já escalado.
17/11 - Na frente de infra foi acionado o Klaus que somente vai poder nos atender entre 01 e 08/12. 
Foi acionado o LW para fechar a implementação do ambiente após entrega do desenho do Klaus.
O Alexandre Morais entrou em detalhe com Tiago da PT.
A operação informa que a solução tem que entrar até 24/11, pois estava com Rivaldo e  etc. Já sinalizado que possivelmente só ano que vem estará apto para fornecedor poder atuar. Assunto já escalado.
-------------------------
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
30/10 - Reunião de alinhamento sobre execução de integração do Carbon com tguidance realizada entre operação,  TI e OI.
27/10 -  Análise e Entendimento do Escopo do Projeto, em defesa de prioridades por Diretoria.
20/10 - Análise e Entendimento do Escopo do Projeto
13/10 - Análise e Entendimento do Escopo do Projeto
06/10 -Informado ao solicitante para preencher o formulário de detalhamento do projeto para podermos dar continuidade na Análise e estimativa do mesmo. 
</t>
    </r>
  </si>
  <si>
    <t>Edison Nei Siqueira added a comment - 31/Mai/16 17:52
Caros, 
Iniciamos o rollout do atendimento da TIVIT para a Contax, estamos seguindo o cronograma de rollout abaixo: 
Concluído - Domingo dia 29/05 às 10h: será aberta a URA de CEG/VR/RTR (em torno de 40 PA’s não precisa ser todos os operadores por questões de escala) 
Concluído - 2ª feira dia 30/05 às 7h: iniciaremos GNS + 3 PA’s do Back Office GNS (total 37 PA’s) e 1 PA de deficiente Auditivo 
A Iniciar - 4ª feira dia 1/06: 7h back office (10 PA’s) 
A Iniciar 5ª feira dia 2/06 às 0h CEG Rio e 7h entra SPS (11 PA’s) 
Edison Nei Siqueira added a comment - 18/Mai/16 11:35
Todas as posições no site Rio Comprido já foram montadas e serão homologadas pelo cliente GNF. 
Estamos com as seguintes necessidades ainda para o projeto: 
Prover um servidor SNTP para o acerto do fuso horário dos aparelhos telefônicos que estão pegando o horário da Espanha. 
Estamos com a situação critica relacionado aos links: 
Link de Contingência RC X GNF 
Link de Interligação RC X MCK - para atendimento da madrugada 
Link de contingência RC x MCK - para o atendimento da madrugada 
Edison Nei Siqueira added a comment - 10/Mai/16 18:50
Aguardando retorno da Hit Telecom com relação a ativação do link de contingência entre GNF e o site Rio Comprido. 
Refazendo todas as imagens da operação para atender a necessidade do cliente GNF. 
Aguardando validação da URA de contingência por parte do cliente GNF. 
Edison Nei Siqueira added a comment - 26/Abr/16 20:00
Estamos realizando a homologação junto ao cliente e identificando falhas nas configurações da parte voz do SBC do cliente. 
Pedente entrega de aparelhos telefônicos ainda pendente, suprimentos buscando a priorização junto ao fornecedor. 
Link ponto a ponto Rio Comprido x Mackenzie da Hit Telecom, essa solicitação chegou ontem para equipe de implantação da operadora. Já foi solicitado urgência no agendamento das atividades, mas ainda estamos sem visibilidade de cronograma. 
Link ponto a ponto Rio Comprido x Mackenzie da Unitelco, as vistorias nas pontas já foram executadas e o alinhamento com a Oi visando a liberação para instalação da antena no site Mackenzie, também estamos aguardando o projeto para que a Oi formalize o de acordo para instalação.
Edison Nei Siqueira added a comment - 20/Abr/16 08:40
Todos os insumos referente a topologia de redes já foram transportados. 
Vistoria realizada para instalação do link de contingência, recebemos ontem o de acordo do cliente GNF para seguir com o projeto apresentado pela operadora HIT. 
Homologação do ambiente junto ao cliente, acesso aos aplicativos que eram escopo do projeto validado junto ao cliente, demais aplicativos solicitados para serem instalados nas PAs que não eram escopo da demanda estão em analise junto ao site. 
Aparelhos telefônicos chegando chegando conforme esperado e a ultima remessa prevista para o dia 25/04. 
Ajustes nas configurações de voz sendo realizado em conjunto com o cliente na Espanha. 
Edison Nei Siqueira added a comment - 12/Abr/16 18:06
Estamos realizando o transporte dos insumos e realizando as configurações dos links de interligação entre a Contax e o Cliente GNF.
Edison Nei Siqueira added a comment - 05/Abr/16 17:16
Treinamento dos colaboradores inciado. 
Link de interligação em processo de instalação, foi identificado a necessidade de passagem de fibra no ambiente do cliente GNF pela operadora. 
SC000385 Transporte de Insumos - Continua aguardando a aprovação no comitê de caixa.
Edison Nei Siqueira added a comment - 23/Mar
Link de dados,  a Oi informou o prazo de 08/ 04 devido a investimento em um equipamento em uma das pontas.
Estamos tentando negociar esse prazo já escalado internamente.
Em paralelo vamos tentar um prazo menor com a hit, que seria a contigencia.
Edison Nei Siqueira added a comment - 15/Mar/16 12:19
Treinamento dos multiplicadores teve início no dia 14/03 no site MCK em uma sala, demais salas aguardando a liberação de T&amp;D prevista para o dia 21/03.</t>
  </si>
  <si>
    <t xml:space="preserve">
Edison Nei Siqueira added a comment - 31/Mai/16 17:54
Agendada para amanhã a reunião de batimento da especificação funcional junto a Accenture e equipe de projetos operações.
Edison Nei Siqueira added a comment - 18/Mai/16 11:48
cliente OI solicitou o replanejamento da entrada dessa demanda, pois eles precisam internamente discutir a EF com a Accenture, nova data solicitada para implantação é para a segunda quinzena de Julho.
Edison Nei Siqueira added a comment - 10/Mai/16 18:54
Cronograma em elaboração, aguardando retorno do cliente OI com relação aos questionamentos feitos na EF pelo time de aplicações, também estamos aguardando o de acordo para movimentar os links de voz do aspect para o APC.
Edison Nei Siqueira added a comment - 03/Mai/16 18:11
Demanda inserida na fila de CSE para levantamento de OG. Estamos aguardando a planilha de cadastro de operação na plataforma tGuidance para evoluir junto a equipe de aplicações.
Edison Nei Siqueira added a comment - 26/Abr/16 19:36
Estamos aguardando o retorno da área de projetos com a informação de qual campanha no Aspect é utilizada pela operação, com essa informação será possível verificar se os links utilizados são compartilhados ou não.
Edison Nei Siqueira added a comment - 12/Abr/16 18:00
Demanda na fila de engenharia com previsão de conclusão de analise para o dia 20/04.
Edison Nei Siqueira added a comment - 05/Abr/16 17:21
Demanda inserida no pipe de engenharia e aplicações, previsão de retorno com o recurso que vai realizar a analise para o dia 06/04.
30/03 - A iniciar</t>
  </si>
  <si>
    <t>Edison Nei Siqueira added a comment - 31/Mai/16 17:59
Agendada a reunião de trabalho junto ao cliente Oi, fornecedor Condera e equipe de aplicações Contax para analise detalhamento de ET. 
Data 01/06 - 10:30 as 11:30
Edison Nei Siqueira added a comment - 18/Mai/16 11:52
Realizada reunião junto ao fornecedor, estamos aguardando retorno das informações solicitadas por engenharia para que seja concluído o levantamento de requisitos internos, precisamos também que a EF seja revisada e adequada ao escopo do projeto, pois a mesma encontra-se com um nível de detalhe superficial levando em consideração as colocações feitas na reunião de kick off. 
Ficam pendentes algumas informações para iniciarmos a análise por parte de plataforma. 
Webserver 
 - Memória, Processadores, Disco 
Escalabilidade/HA 
 - Possibilidade de utilizar Docker 
 - Possibilidade de utilizar balanceamento de carga 
 - Possibilidade de utilizar Cache 
Banco 
 - Memória, Processadores, Disco, IOPS 
 - Estimativa de crescimento06/05 - A iniciar</t>
  </si>
  <si>
    <r>
      <rPr>
        <b/>
        <sz val="11"/>
        <color theme="1"/>
        <rFont val="Calibri"/>
        <family val="2"/>
        <scheme val="minor"/>
      </rPr>
      <t>31/05</t>
    </r>
    <r>
      <rPr>
        <sz val="11"/>
        <color theme="1"/>
        <rFont val="Calibri"/>
        <family val="2"/>
        <scheme val="minor"/>
      </rPr>
      <t xml:space="preserve">- faltando validar escopo com a operação e fechar contrato com a TQS.
Edison Nei Siqueira added a comment - 26/Abr/16 20:36
Demanda aguardando renovação do contrato junto ao fornecedor TQS.
Edison Nei Siqueira added a comment - 20/Abr/16 08:23
Demanda aguardando a aprovação no comitê de caixa, pois foi solicitado ajustes na quantidade de licenças para essa demanda.
Edison Nei Siqueira added a comment - 05/Abr/16 16:56
SC aprovada, aguardando geração de pedido para o fornecedor.
29/03 - Mesmo status
</t>
    </r>
    <r>
      <rPr>
        <sz val="11"/>
        <color rgb="FFFF0000"/>
        <rFont val="Calibri"/>
        <family val="2"/>
        <scheme val="minor"/>
      </rPr>
      <t>[16/02] -</t>
    </r>
    <r>
      <rPr>
        <sz val="11"/>
        <rFont val="Calibri"/>
        <family val="2"/>
        <scheme val="minor"/>
      </rPr>
      <t xml:space="preserve"> Aguardando aprovação SCs
[10/02] - </t>
    </r>
    <r>
      <rPr>
        <sz val="11"/>
        <color theme="1"/>
        <rFont val="Calibri"/>
        <family val="2"/>
        <scheme val="minor"/>
      </rPr>
      <t>Aguardando Aprovação SC e criação pedidos: Resp: ( Marcos Barbosa e Koreeda)
SC 37750
SC 37751
Edison Nei Siqueira added a comment - 26/Jan/16 12:10
Aguardando aprovação da SC e geração do pedido para acionar o fornecedor.
Edison Nei Siqueira added a comment - 21/Jan/16 14:27
Aguardando aprovação da SC e geração do pedido para acionar o fornecedor.
Edison Nei Siqueira added a comment - 03/Nov/15 15:26
Aguardando posicionamento com relação ao comitê de gastos para prosseguir com o lançamento da SC.
Edison Nei Siqueira added a comment - 20/Out/15 19:51
Aguardando posicionamento com relação ao comitê de gastos para prosseguir com o lançamento da SC.
Edison Nei Siqueira added a comment - 06/Out/15 16:29
Aguardando posicionamento com relação ao comitê de gastos para prosseguir com o lançamento da SC.
Edison Nei Siqueira added a comment - 29/Set/15 16:04
aguardando posicionamento com relação ao comitê de gastos para prosseguir com o lançamento da SC.
Edison Nei Siqueira added a comment - 16/Set/15 11:19
Aguardando aprovação da diretoria para providenciar o lançamento da SC para o fornecedor.</t>
    </r>
  </si>
  <si>
    <r>
      <rPr>
        <b/>
        <sz val="11"/>
        <color theme="1"/>
        <rFont val="Calibri"/>
        <family val="2"/>
        <scheme val="minor"/>
      </rPr>
      <t>31/05- faltando validar informaçãoes que serão passadas(Cliente/SI e Oi). SI pediu para analisar contrato.
24/05 
a</t>
    </r>
    <r>
      <rPr>
        <sz val="11"/>
        <color theme="1"/>
        <rFont val="Calibri"/>
        <family val="2"/>
        <scheme val="minor"/>
      </rPr>
      <t>- Parte de Controle de Ativos agora tratada em novo chamado. 
b-Parte do RTSocket já foi entregue em Desenho de Telecom, faltando validar informaçãoes que serão passadas(Cliente/SI e Oi).</t>
    </r>
    <r>
      <rPr>
        <b/>
        <sz val="11"/>
        <color theme="1"/>
        <rFont val="Calibri"/>
        <family val="2"/>
        <scheme val="minor"/>
      </rPr>
      <t xml:space="preserve">
17/05 
</t>
    </r>
    <r>
      <rPr>
        <sz val="11"/>
        <color theme="1"/>
        <rFont val="Calibri"/>
        <family val="2"/>
        <scheme val="minor"/>
      </rPr>
      <t xml:space="preserve">a- Pendente acionar Eng para desenho de Controle de Ativos. 
b-Parte do RTSocket já foi entregue em Desenho de Telecom.
</t>
    </r>
    <r>
      <rPr>
        <b/>
        <sz val="11"/>
        <color theme="1"/>
        <rFont val="Calibri"/>
        <family val="2"/>
        <scheme val="minor"/>
      </rPr>
      <t xml:space="preserve">
10/05 </t>
    </r>
    <r>
      <rPr>
        <sz val="11"/>
        <color theme="1"/>
        <rFont val="Calibri"/>
        <family val="2"/>
        <scheme val="minor"/>
      </rPr>
      <t xml:space="preserve">- Acionar Eng para desenho de Controle de Ativos. Parte do RTSocket está em Desenho de Telecom.
</t>
    </r>
    <r>
      <rPr>
        <b/>
        <sz val="11"/>
        <color theme="1"/>
        <rFont val="Calibri"/>
        <family val="2"/>
        <scheme val="minor"/>
      </rPr>
      <t xml:space="preserve">03/05- </t>
    </r>
    <r>
      <rPr>
        <sz val="11"/>
        <color theme="1"/>
        <rFont val="Calibri"/>
        <family val="2"/>
        <scheme val="minor"/>
      </rPr>
      <t>Em fase de entendimento com solcitante. Muitos pontos em aberto, com necessidade de colocar em estudo com Engenharia. Preciso fechar escopo antes.
26/04 - Alinhamento feito comn FAbiana C arla de que projeto estaria entregue. Acionada a Avaya para dar posicionamento.
12/04: Projeto está na fase de entendimento entre  Lustosa e Marcel/Fabio, pois as infomações solicitadas na EF já são disponobilizadas para a Oi através do RTI.
05/04: Projeto alocado na fila dos executores em 01/04.
30/03 - A iniciar</t>
    </r>
  </si>
  <si>
    <t>Desenho Solução</t>
  </si>
  <si>
    <r>
      <rPr>
        <b/>
        <sz val="11"/>
        <color theme="1"/>
        <rFont val="Calibri"/>
        <family val="2"/>
        <scheme val="minor"/>
      </rPr>
      <t xml:space="preserve">31/05-Proposta recebida pela TQS. Duvida sobre aquisição de licenças ou não. Aguardanndo fechamento de contrato com a TQS.
24/05 - </t>
    </r>
    <r>
      <rPr>
        <sz val="11"/>
        <color theme="1"/>
        <rFont val="Calibri"/>
        <family val="2"/>
        <scheme val="minor"/>
      </rPr>
      <t>Em orçamento pela TQS, apos tempo do tGuidence não atender. Problemas com pagamnento do fornecedor colocam em risco o andamento imediato do projeto.</t>
    </r>
    <r>
      <rPr>
        <b/>
        <sz val="11"/>
        <color theme="1"/>
        <rFont val="Calibri"/>
        <family val="2"/>
        <scheme val="minor"/>
      </rPr>
      <t xml:space="preserve">
17/05 - </t>
    </r>
    <r>
      <rPr>
        <sz val="11"/>
        <color theme="1"/>
        <rFont val="Calibri"/>
        <family val="2"/>
        <scheme val="minor"/>
      </rPr>
      <t>Em OG. Sendo avaliado inserir o tGuidance dentro do escopo solicitado.
10/05 -</t>
    </r>
    <r>
      <rPr>
        <b/>
        <sz val="11"/>
        <color theme="1"/>
        <rFont val="Calibri"/>
        <family val="2"/>
        <scheme val="minor"/>
      </rPr>
      <t xml:space="preserve"> </t>
    </r>
    <r>
      <rPr>
        <sz val="11"/>
        <color theme="1"/>
        <rFont val="Calibri"/>
        <family val="2"/>
        <scheme val="minor"/>
      </rPr>
      <t xml:space="preserve">Enviado a área de Aplicações TI.
03/05 </t>
    </r>
    <r>
      <rPr>
        <b/>
        <sz val="11"/>
        <color theme="1"/>
        <rFont val="Calibri"/>
        <family val="2"/>
        <scheme val="minor"/>
      </rPr>
      <t xml:space="preserve">- </t>
    </r>
    <r>
      <rPr>
        <sz val="11"/>
        <color theme="1"/>
        <rFont val="Calibri"/>
        <family val="2"/>
        <scheme val="minor"/>
      </rPr>
      <t>Call com o solicitante, porém foi cancelada a pedido do mesmo. Remarcando kick off.
28/04 - A iniciar</t>
    </r>
  </si>
  <si>
    <r>
      <rPr>
        <b/>
        <sz val="11"/>
        <color theme="1"/>
        <rFont val="Calibri"/>
        <family val="2"/>
        <scheme val="minor"/>
      </rPr>
      <t xml:space="preserve">31/05- faltando validar informaçãoes que serão passadas(Cliente/SI e Oi). SI pediu para analisar contrato.
24/05 
</t>
    </r>
    <r>
      <rPr>
        <sz val="11"/>
        <color theme="1"/>
        <rFont val="Calibri"/>
        <family val="2"/>
        <scheme val="minor"/>
      </rPr>
      <t xml:space="preserve">Parte de Controle de Ativos agora tratada neste novo chamado. 
</t>
    </r>
    <r>
      <rPr>
        <b/>
        <sz val="11"/>
        <color theme="1"/>
        <rFont val="Calibri"/>
        <family val="2"/>
        <scheme val="minor"/>
      </rPr>
      <t xml:space="preserve">
Passado:
</t>
    </r>
    <r>
      <rPr>
        <sz val="11"/>
        <color theme="1"/>
        <rFont val="Calibri"/>
        <family val="2"/>
        <scheme val="minor"/>
      </rPr>
      <t>17/05 
a- Pendente acionar Eng para desenho de Controle de Ativos. 
b-Parte do RTSocket já foi entregue em Desenho de Telecom.
10/05 - Acionar Eng para desenho de Controle de Ativos. Parte do RTSocket está em Desenho de Telecom.
03/05- Em fase de entendimento com solcitante. Muitos pontos em aberto, com necessidade de colocar em estudo com Engenharia. Preciso fechar escopo antes.
26/04 - Alinhamento feito comn FAbiana C arla de que projeto estaria entregue. Acionada a Avaya para dar posicionamento.
12/04: Projeto está na fase de entendimento entre  Lustosa e Marcel/Fabio, pois as infomações solicitadas na EF já são disponobilizadas para a Oi através do RTI.
05/04: Projeto alocado na fila dos executores em 01/04.
30/03 - A iniciar</t>
    </r>
  </si>
  <si>
    <t>31/05: Mesmo Status
24/05: Mesmo Status
17/05: Mesmo Status
10/05: Mesmo Status
03/05: Mesmo Status
26/04: Mesmo Status
19/04: Mesmo Status
12/04: Aguardando o número do pedido a ser enviado para o fornecedor. Solicitado em 12/02 à auditoria interna abrir SC. Portanto projeto estará em hold até recebermos o número do pedido.
05/04: Controle de Ativos está cotando o valor das licenças Windows 8.1. 
29/03: Verificar com o Toscani a possibilidade de alterar o escopo do projeto, pois de acordo com ele a aplicação deve ficar em um Servidor, porém o ACL não é homologado para o Windows 2008 R2, sendo assim criaríamos uma VM com Windows 8.1 ou 7 para atender está demanda.
22/03: Será necessário adquirir licenças de windows professional 8.1.
08/03/16: Chamado continua em aberto, aguardando autorização de SI.
01/03/16: Aguardando o autorização de acesso ao ftp por SI. Chamado aberto em 01/03/16.
22/02/16: Engenheria terminou a construção do desenho e o projeto foi incluído na fila de CSE em 19/02 para criar um ambiente de infra.</t>
  </si>
  <si>
    <t>31/05: Mesmo Status
24/05: Mesmo Status
17/05: Mesmo Status
10/05: Mesmo Status
03/05: Mesmo Status
26/04: Mesmo Status
19/04: Mesmo Status, por isso o status do projeto será alterado para em hold.
12/04: Aguardando DA do cliente para seguir com a alteração da URA. 
05/04: Cotação do valor para a alteração da freseologia da URA R$1250,00. Aguarda proposta formal da Avaya.
30/03 - A iniciar</t>
  </si>
  <si>
    <t>31/05: Mesmo Status
24/05: Mesmo Status
17/05: Mesmo Status
10/05: Mesmo Status
03/05: Mesmo Status
26/04: Mesmo Status
19/04: Mesmo status. Solicitado em paralelo o preenchimento da planilha Cadastro da Operação e até o momento não houve retorno.
12/04: Mesmo status. 
04/04: Projeto em hold, pois a compra de licenças da Nice e a troca do Windows XP para a versão 8 são premissas para implantar o t-supervisor.
30/03 - A iniciar</t>
  </si>
  <si>
    <t>31/05: Recebido o ok para seguir com o rollout hoje 31/05. Cronograma será replanejado.
24/05: Mesmo Status
17/05: Aguardando OK da operação para seguir com o rollout.
10/05: Mesmo Status
03/05: Mesmo Status
26/04: Mesmo Status
19/04: Cronograma definido. Piloto está previsto de 12/05 à 18/05 e o roll out de 19/05 à 09/06.
12/04: Em definição de cronograma. Sugestão de TI enviado a operação e o mesmo não foi aceito.
05/04: Aguardando a atualização da EF e planilha de insumos pela operação.
29/03: Realizada uma call com o solicitante para entendimento da demanda. Pendente o envio de VDN e atualização da EF.
22/03 - A iniciar</t>
  </si>
  <si>
    <t>31/05: Recebido o ok para seguir com o rollout hoje 31/05 do projeto CTXPOARB-104174 que é premissa para este. Cronograma será replanejado.
24/05: Cronograma precisará ser revisto, pois o projeto anterior (CTXPOARB-104174) que é premissa para este está atrasado.
17/05: Cronograma entregue, a virada está planejada para ocorrer de 13 à 14/06 com 20 PA´s por dia.
10/05: Aguardando um alinhamento com Juliano Molina para definir o cronograma de rollout.
03/05: Alinharei as atividades de execução em relação ao G4 com Juliano para veririficar se é possível incluir esta virada em conjunto com o projeto CTXPOARB-104174.
26/04: Em estimativa de OG.
19/04: Alocado na fila dos executores hoje.
14/04 - A iniciar</t>
  </si>
  <si>
    <t xml:space="preserve">31/05: Mesmo status
24/05: Aguardando retonor com a homologação novamente.
17/05: Aguardando retorno Sterlaine desde 13/05 com a homologação para encerramento do projeto
10/05: Mesmo Status.
03/05: Foram apontadas novas falhas e o time de APP está atuando para solucionar. 
26/04: Aguardando retorno da operação quanto as pendências solucionadas.
19/04: Permanece pendente a liberação de rede e algumas dúvidas que são enviadas diariamente pela operação.
12/04: Rollout concluído em 08/04, porém a operação sinalizou em 11/04 algumas pendências a serem tratadas, como por exemplo dúvida sobre o processo de tratamento de tickets e liberação de rede.
05/04: Em 01/04 foi alterado o escopo do projeto para implantar o SISGO na operação toda. Foram feitas reuniões para validação do escopo e recebido o ok da homologação. Esta em validação o cronograma do Rollout.
28/03: Mesmo status
21/03: Aguardando negócio enviar o hostname das PA´s para iniciar o piloto.
17/03 - Os testes hoje ou amanhã serão acompanhados pela equipe de APP com a operação, pois não estavam conseguindo gerar tickets.
08/03: Aguardando conclusão dos testes de 2º nível 
01/03/16 Aguardando os testes da área de negócio com as PA´s do Nascente e definição do hostnamento para o Borges de Melo. Data do piloto indefinida.
22/02/16: Liberação de rede realizada em 22/02, pendete testes e instalação da aplicação no site.
01/02: Previsto para 03/02 apresentação sobre a ferramenta.
26/01 - Mesmo status 
14/01 - Em setembro: EF aprovada e aprovação enviada para Dalton e Fornecedor. Aguardando aprovação de proposta comercial pelo cliente. </t>
  </si>
  <si>
    <t>31/05: Recebido o retorno da homologação com a negativa. Link não funcionou. Em verificação o motivo. 
24/05: Aguardando retorno da homologação.
17/05: NDA assinado e Matris RACCI preenchida. Em fase de verificação co capacity do site para implantar o projeto. 
10/05: Mesmo Status, cronograma elaborado porém aguardamos o NDA e a Matriz RACCIX serem concluídos.
03/05: Mesmo Status, em paralelo o projeto foi alocado na fila de CSE em 29/04. Aguardo retorno, para construir um cronograma.
26/04: Mesmo Status
19/04: Mesmo Status
12/04: Mesmo Status,por isso este projeto ficará em hold até termos o NDA assinado
05/04: Mesmo Status
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
21/03: Após avaliação de SI será necessário: • Utilização do Protocolo HTTPS entre o sistema e a PA;
• Alteração de contrato com inclusão da Whisbi ou NDA entre as empresas TICKET x WHISBI X CONTAX, onde o escopo é o vazamento de informação e indisponibilidade da aplicação (somente para esta célula);
• Criação de uma matriz RACCIX de papéis e responsabilidades para o cenário desta célula;
Além disso será necessário realizar a contratação de link de acordo com Eduardo Ávila (Comercial) , pois a proposta não considera link de internet. 
08/03: Aguardando o recebimento do contrato para SI analisar a aplicabilidade e os  requisitos técnicos ds ferramenta Whisbi.
01/03/16: Foi alterada a prioridade do projeto na reunião do Giulio em 26/02 pelo Giuseppe. Nova data será definida.
22/02/16: Projeto está previsto para terminar a parte de rede (Villa) em 11/03.</t>
  </si>
  <si>
    <t>31/05: Mesmo Status
24/05: Mesmo Status
17/05: Mesmo Status
11/05: Alinhar necessidade do projeto de acordo com o retorno do projeto CTXSPOBF-138261, pois é uma premissa para este projeto.
[03/05] Assunto escalado  no dia de hoje. Eng fez analise inicial sobre real necessidade de se migrar versão da NIce, como desnecessaria. Projeto passado para Debora.
[26/04] MESMO STATUS ANTERIOR.
[12/04] - Aguardando conclusão da avaliação tecnica no Projeto CTXSPOBF-138261
Em paralelo, foi realizado mapeamento de modelo de máquinas no site Antartica e Mck, e encaminhado para analise de Gestão de ativos , para avaliar se será necessário aquisição de licenças W8, para esse Upgrade. 
[04/04] - Aguardando analise técnica do projeto CTXSPOBF-138261 - Atualização da Versão do Nice compatível com Windows 8.1,para darmos prosseguimento com essa solicitação. 
Em paralelo, realizar consulta Gestão Ativos. (disponibilidade Licenças ). 
 30/03 - A iniciar</t>
  </si>
  <si>
    <t>31/05: A contax é responsável pelo custo. Projeto será alocada na fila de CSE na sexta-feira.
24/05: Solução paliativa R$1.400,00, está em levantamento quem é o responsável por esse custo (Contax ou CLiente).
17/05: Mesmo Status
10/05: Mesmo Status
03/05: ENG enviou desenho e o esforço para implantar o projeto. Estamos aguardando o levantamento dos custos para repassar ao cliente.
26/04: Aguarda retorno da operação quanto a dúvida sobre a quantidade de PA´s.
19/04: Alocado na fila dos executores hoje.
14/04 - A iniciar</t>
  </si>
  <si>
    <t>31/05: Mesmo Status
24/05: Mesmo Status
17/05: Mesmo Status
10/05: Mesmo Status.
03/05: Rogério Luiz enviou as informações dos links de voz e dados ontem, 02/05. Aguardo o retorno de ENG para verificar os próximos passos.
26/04: Mesmo Status
19/04: Mesmo status, por isso o status do projeto altera-se para em hold.
12/04: Aguardando o cliente enviar as informações sobre o link. 
05/04: Aguardando o site retornar com as dúvidas gerada pelo Rogério Veloso
29/03: Acionada a equipe responsável para analisar a migração desta operação.
09/03 - A iniciar</t>
  </si>
  <si>
    <t>31/05: Mesmo Status
24/05: Mesmo Status
17/05: Mesmo Status
10/05: Mesmo Status.
03/05: Aguardando retorono da Zenailde para iniciar o processo de contratação de cabeamento.
26/04: Operação e planejamento autorizaram a contratação da empresa de cabeamento, pois a rede no site Alegria é do santander. 
19/04: Foi realizado um levantamento pelo TI Site, sendo necessário contratar o cabeamento, pois a rede disponível é do Santander.
12/04: Mesmo status 
05/04: Mesmo status
29/03: Aguarda uma data para agendar o kick-off
21/03: A iniciar
09/03 - A iniciar</t>
  </si>
  <si>
    <t>31/05: Projeto está em análise pelo jurídico para verificar a responsabilidade do pagamento do valor. Orçamento estimado em 1MM.
24/05: Mesmo Status
17/05: Mesmo Status
10/05: Aguarda negociação com fornecedor para aquisição das licenças Windows Server CAL 2012, e posterior alinhamento com o cliente Oi comprovando a compra e aderência aos requisitos Microsoft.
03/05: Levantamento usuários do Siebel, Exchange e Click, a Validação de usuários ativos da lista Oi e o Levantamento de máquinas que acessam Siebel e Click foi realizado. Aguardando o retorno de negócio para os próximos passos.
26/04: Aguardando a validação dos usuários que acessam o sistema click.
19/04: Mesmo status.
12/04: Mesmo status. 
05/04: Aguardando a validação dos usuários ativos no Ecadop para fazer a cotação de licenças.
29/03: Enviado e-mail para controle de ativos verificar a aquisição de licenças.
22/03 - A iniciar</t>
  </si>
  <si>
    <t>Jurídico</t>
  </si>
  <si>
    <t>Camila</t>
  </si>
  <si>
    <t>31/05: Mesmo Status
24/05: Aguarda retono financeiro. 
17/05: Mesmo Status
10/05: Mesmo Status
03/05: Aguardando retorno da operação quanto ao cancelamento do projeto.
26/04: Viabilidade não foi aprovada por ENG devido a outro projeto em paralelo já contemplar essa alteração. E-mail enviado a operação com este posicionamento. 
19/04: Aguardando análise de ENG para verificar a viabilidade deste projeto.
04/04: Realizado entendimento do projeto junto ao solicitante e alocado na fila dos executores em 01/04.
30/03 - A iniciar</t>
  </si>
  <si>
    <t>31/05: Foi aberto chamado para Segurança da Informação homologar a ferramenta.
24/05: Em avaliaçã a EF do projeto.
17/05: Mesmo Status
10/05: Aguarda requisitos funcionais/básicos da ferramenta
03/05: Após a realização da call foram levantadas algumas dúvidas e aguardamos o preenchimento da EF e os requisitos técnicos da ferramenta para seguirmos com o projeto. Solicitação enviada ontem, 02/05.
26/04: Ferramenta é gerenciada pelo fornecedor Oi. Call agendada com ENG para esta tratativa.
19/04: Aguardando retorno sobre o questinamento da ferramenta SENDMAKER. 
12/04 - A iniciar
04/04 - A iniciar</t>
  </si>
  <si>
    <t>31/05: Mesmo Status
24/05: Está em andamento o levantamento de custo junto a TQS.
17/05: Aguardando aprovação da diretoria para seguir com TQS.
10/05: Está pendente o OK da Diretora Ana Coelho para seguir com a compra das licenças do TLV, além disso as súvidas geradas por aplicações foram esclarecidas hoje, 10/05. Aguarda uma definição da diretoria para seguir com o TLV ou seguir com o tGuidance.
03/05: Está pendente o OK da Diretora Ana Coelho para seguir com a compra das licenças do TLV.
26/04: Retorno da confirmação no número de PA´s recebido em 25/04. Em verificação dos próximos passos para iniciar a compra.
19/04: Para implantar o TLV nesses dois projetos, será necessário iniciar o processo de solicitação de compra junto ao fornecedor, portanto solicitado ao Rodrigo a confirmação do número de PA´s por operação.
08/04 - A iniciar</t>
  </si>
  <si>
    <t>31/05: Mesmo Status
24/05: Está em andamento o levantamento de custo junto a TQS.
17/05: kick-off agendado para amanhã, 18/05. 
05 - A iniciar</t>
  </si>
  <si>
    <t>31/05: Mesmo Status
24/05: Está em andamento o levantamento de custo junto a TQS.
17/05: kick-off agendado para amanhã, 18/05. 
06/05 - A iniciar</t>
  </si>
  <si>
    <t>31/05: Mesmo Status
24/05: Em levantamento qual a base de dados que a Oi poderá utilizar. 
17/05: EF está incompleta. Foi realizado um call e sugerida uma POC, portant está em análise a estratégia de atuação do projeto.
10/05: EF recebida em 06/05 e esta em análise para verificar se atende as necessidades dos executores. EF enviada para ENG em 09/05.
03/05: Após a realização da call foram levantadas algumas dúvidas e aguardamos o preenchimento da EF e os requisitos técnicos da ferramenta para seguirmos com o projeto. Solicitação enviada ontem, 02/05.
26/04: Mesmo status
19/04: O projeto não contem EF e o solicitante exigiu uma call com a área de ENG para esclarecimento de dúvidas. 
08/04 - A iniciar</t>
  </si>
  <si>
    <t>31/05: Mesmo Status
24/05: Em definição o layout do projeto. 
17/05: Recebemos a confirmação para utilizar os equipamentos da desmobilização Vivo a partir de 01/06. Amanhã, 18/05 esta agendada uma reunião com a equipe de TI para alinhar as atividades.
10/05: ENG informou que podemos seguir com esse projeto. Esta pendente a análise dos insumos físicos, se poderemos utilizar as máquinas da desmobilização da Vivo, decisão que depende de negócio. 
03/05: Aguardando o retorno de ENG para verificar a se a infra de Santo Amaro suporta esta migração. Área de negócio informou que tem inclusive 2 aparelhos para deficiente auditivo para serem configurados no site. 
26/04: Projeto em hold, aguardando documentação EF e layout para alocar o projeto na fila dos executores.
20/04 - A iniciar</t>
  </si>
  <si>
    <t xml:space="preserve">31/05: Não temos as 5 máquinas que foram solictadas. Aguardando cliente transportar as 10 máquinas do escopo inicial.
24/05: Em avaliação a solicitação de ampliação de mais 5 PA´s, total 15.
17/05: Mesmo Status.
10/05: Aguarda uma solução para o transporte dos equipamentos. </t>
  </si>
  <si>
    <t>31/05: Aguardando a lista de ramais até 03/06 para configurar a senha de telecom em 06/06. 
24/05: Em avaliação a antecipação de entrega do projeto.
17/05: Recebemos a confirmação para utilizar os equipamentos da desmobilização Vivo a partir de 01/06. Amanhã, 18/05 esta agendada uma reunião com a equipe de TI para alinhar as atividades.
10/05: Aguarda confirmação de insumos físicos</t>
  </si>
  <si>
    <t>CTXFORBM-356388</t>
  </si>
  <si>
    <t>Status
(log de comentários - Atualizado)</t>
  </si>
  <si>
    <t>Último Status</t>
  </si>
  <si>
    <r>
      <t xml:space="preserve">Status 
</t>
    </r>
    <r>
      <rPr>
        <b/>
        <sz val="16"/>
        <color rgb="FFFF0000"/>
        <rFont val="Calibri"/>
        <family val="2"/>
        <scheme val="minor"/>
      </rPr>
      <t>(Preencher somente a coluna "Último Status")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</si>
</sst>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45" x14ac:knownFonts="1">
    <font>
      <sz val="11"/>
      <color theme="1"/>
      <name val="Calibri"/>
      <family val="2"/>
      <scheme val="minor"/>
    </font>
    <font>
      <b/>
      <sz val="11"/>
      <color indexed="8"/>
      <name val="Calibri"/>
      <family val="2"/>
    </font>
    <font>
      <sz val="9"/>
      <color indexed="81"/>
      <name val="Tahoma"/>
      <family val="2"/>
    </font>
    <font>
      <b/>
      <sz val="9"/>
      <color indexed="81"/>
      <name val="Tahoma"/>
      <family val="2"/>
    </font>
    <font>
      <b/>
      <sz val="8"/>
      <color indexed="8"/>
      <name val="Calibri"/>
      <family val="2"/>
    </font>
    <font>
      <sz val="8"/>
      <color indexed="8"/>
      <name val="Calibri"/>
      <family val="2"/>
    </font>
    <font>
      <b/>
      <sz val="8"/>
      <name val="Calibri"/>
      <family val="2"/>
    </font>
    <font>
      <sz val="8"/>
      <name val="Calibri"/>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8"/>
      <color theme="0"/>
      <name val="Calibri"/>
      <family val="2"/>
      <scheme val="minor"/>
    </font>
    <font>
      <b/>
      <sz val="8"/>
      <color rgb="FF000000"/>
      <name val="Calibri"/>
      <family val="2"/>
      <scheme val="minor"/>
    </font>
    <font>
      <sz val="8"/>
      <color rgb="FF000000"/>
      <name val="Calibri"/>
      <family val="2"/>
      <scheme val="minor"/>
    </font>
    <font>
      <sz val="8"/>
      <name val="Calibri"/>
      <family val="2"/>
      <scheme val="minor"/>
    </font>
    <font>
      <sz val="11"/>
      <color rgb="FF000000"/>
      <name val="Calibri"/>
      <family val="2"/>
      <scheme val="minor"/>
    </font>
    <font>
      <sz val="11"/>
      <name val="Calibri"/>
      <family val="2"/>
      <scheme val="minor"/>
    </font>
    <font>
      <u/>
      <sz val="11"/>
      <color theme="1"/>
      <name val="Calibri"/>
      <family val="2"/>
      <scheme val="minor"/>
    </font>
    <font>
      <u/>
      <sz val="11"/>
      <color theme="10"/>
      <name val="Calibri"/>
      <family val="2"/>
      <scheme val="minor"/>
    </font>
    <font>
      <sz val="10"/>
      <color rgb="FF000000"/>
      <name val="Calibri"/>
      <family val="2"/>
      <scheme val="minor"/>
    </font>
    <font>
      <b/>
      <sz val="11"/>
      <color rgb="FFFF0000"/>
      <name val="Calibri"/>
      <family val="2"/>
      <scheme val="minor"/>
    </font>
    <font>
      <b/>
      <sz val="11"/>
      <name val="Calibri"/>
      <family val="2"/>
      <scheme val="minor"/>
    </font>
    <font>
      <b/>
      <sz val="14"/>
      <color theme="1"/>
      <name val="Calibri"/>
      <family val="2"/>
      <scheme val="minor"/>
    </font>
    <font>
      <b/>
      <u/>
      <sz val="11"/>
      <color theme="1"/>
      <name val="Calibri"/>
      <family val="2"/>
      <scheme val="minor"/>
    </font>
    <font>
      <u/>
      <sz val="11"/>
      <name val="Calibri"/>
      <family val="2"/>
      <scheme val="minor"/>
    </font>
    <font>
      <i/>
      <sz val="11"/>
      <name val="Calibri"/>
      <family val="2"/>
      <scheme val="minor"/>
    </font>
    <font>
      <sz val="10"/>
      <name val="Arial"/>
      <family val="2"/>
    </font>
    <font>
      <strike/>
      <sz val="11"/>
      <color rgb="FFFF0000"/>
      <name val="Calibri"/>
      <family val="2"/>
      <scheme val="minor"/>
    </font>
    <font>
      <strike/>
      <sz val="11"/>
      <color theme="1"/>
      <name val="Calibri"/>
      <family val="2"/>
      <scheme val="minor"/>
    </font>
    <font>
      <b/>
      <sz val="16"/>
      <color theme="1"/>
      <name val="Calibri"/>
      <family val="2"/>
      <scheme val="minor"/>
    </font>
    <font>
      <b/>
      <sz val="16"/>
      <color rgb="FFFF0000"/>
      <name val="Calibri"/>
      <family val="2"/>
      <scheme val="minor"/>
    </font>
  </fonts>
  <fills count="50">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3" tint="-0.499984740745262"/>
        <bgColor indexed="64"/>
      </patternFill>
    </fill>
    <fill>
      <patternFill patternType="solid">
        <fgColor rgb="FFFF0000"/>
        <bgColor indexed="64"/>
      </patternFill>
    </fill>
    <fill>
      <patternFill patternType="solid">
        <fgColor theme="9" tint="-0.249977111117893"/>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FFFF"/>
        <bgColor indexed="64"/>
      </patternFill>
    </fill>
    <fill>
      <patternFill patternType="solid">
        <fgColor rgb="FF0070C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2060"/>
        <bgColor indexed="64"/>
      </patternFill>
    </fill>
    <fill>
      <patternFill patternType="solid">
        <fgColor rgb="FF7030A0"/>
        <bgColor indexed="64"/>
      </patternFill>
    </fill>
    <fill>
      <patternFill patternType="solid">
        <fgColor rgb="FFFFC000"/>
        <bgColor indexed="64"/>
      </patternFill>
    </fill>
    <fill>
      <patternFill patternType="solid">
        <fgColor theme="4"/>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0" tint="-0.34998626667073579"/>
      </left>
      <right style="thin">
        <color theme="0" tint="-0.34998626667073579"/>
      </right>
      <top style="thin">
        <color theme="0" tint="-0.34998626667073579"/>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5">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10" fillId="20" borderId="0" applyNumberFormat="0" applyBorder="0" applyAlignment="0" applyProtection="0"/>
    <xf numFmtId="0" fontId="11" fillId="21" borderId="2" applyNumberFormat="0" applyAlignment="0" applyProtection="0"/>
    <xf numFmtId="0" fontId="12" fillId="22" borderId="3" applyNumberFormat="0" applyAlignment="0" applyProtection="0"/>
    <xf numFmtId="0" fontId="13" fillId="0" borderId="4" applyNumberFormat="0" applyFill="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4" fillId="29" borderId="2" applyNumberFormat="0" applyAlignment="0" applyProtection="0"/>
    <xf numFmtId="0" fontId="15" fillId="30" borderId="0" applyNumberFormat="0" applyBorder="0" applyAlignment="0" applyProtection="0"/>
    <xf numFmtId="0" fontId="16" fillId="31" borderId="0" applyNumberFormat="0" applyBorder="0" applyAlignment="0" applyProtection="0"/>
    <xf numFmtId="0" fontId="8" fillId="32" borderId="5" applyNumberFormat="0" applyFont="0" applyAlignment="0" applyProtection="0"/>
    <xf numFmtId="0" fontId="17" fillId="21" borderId="6"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4" fillId="0" borderId="10" applyNumberFormat="0" applyFill="0" applyAlignment="0" applyProtection="0"/>
    <xf numFmtId="0" fontId="32" fillId="0" borderId="0" applyNumberFormat="0" applyFill="0" applyBorder="0" applyAlignment="0" applyProtection="0"/>
    <xf numFmtId="0" fontId="40" fillId="0" borderId="0"/>
    <xf numFmtId="0" fontId="8" fillId="0" borderId="0"/>
  </cellStyleXfs>
  <cellXfs count="171">
    <xf numFmtId="0" fontId="0" fillId="0" borderId="0" xfId="0"/>
    <xf numFmtId="0" fontId="0" fillId="0" borderId="0" xfId="0"/>
    <xf numFmtId="0" fontId="12" fillId="33" borderId="0" xfId="0" applyFont="1" applyFill="1" applyAlignment="1">
      <alignment horizontal="center" vertical="center" wrapText="1"/>
    </xf>
    <xf numFmtId="0" fontId="0" fillId="0" borderId="0" xfId="0" applyFill="1" applyAlignment="1">
      <alignment horizontal="left" vertical="top" wrapText="1"/>
    </xf>
    <xf numFmtId="0" fontId="0" fillId="0" borderId="0" xfId="0" applyFill="1" applyAlignment="1"/>
    <xf numFmtId="0" fontId="0" fillId="0" borderId="0" xfId="0" applyFont="1" applyFill="1" applyAlignment="1">
      <alignment horizontal="left" vertical="center"/>
    </xf>
    <xf numFmtId="0" fontId="0" fillId="0" borderId="0" xfId="0" applyFill="1" applyAlignment="1">
      <alignment horizontal="left" vertical="center" wrapText="1"/>
    </xf>
    <xf numFmtId="0" fontId="0" fillId="0" borderId="0" xfId="0" applyFill="1" applyAlignment="1">
      <alignment horizontal="left" vertical="center"/>
    </xf>
    <xf numFmtId="22" fontId="0" fillId="0" borderId="0" xfId="0" applyNumberFormat="1" applyFill="1" applyAlignment="1">
      <alignment horizontal="left" vertical="center"/>
    </xf>
    <xf numFmtId="14" fontId="0" fillId="0" borderId="0" xfId="0" applyNumberFormat="1" applyFill="1" applyAlignment="1">
      <alignment horizontal="left" vertical="center" wrapText="1"/>
    </xf>
    <xf numFmtId="22" fontId="0" fillId="0" borderId="0" xfId="0" applyNumberFormat="1" applyFont="1" applyFill="1" applyAlignment="1">
      <alignment horizontal="left" vertical="center"/>
    </xf>
    <xf numFmtId="1" fontId="0" fillId="0" borderId="0" xfId="0" applyNumberFormat="1" applyFont="1" applyFill="1" applyAlignment="1">
      <alignment horizontal="left" vertical="center"/>
    </xf>
    <xf numFmtId="0" fontId="0" fillId="0" borderId="0" xfId="0" applyFont="1" applyFill="1" applyAlignment="1"/>
    <xf numFmtId="164" fontId="0" fillId="0" borderId="0" xfId="0" applyNumberFormat="1" applyFont="1" applyFill="1" applyAlignment="1">
      <alignment horizontal="left" vertical="center"/>
    </xf>
    <xf numFmtId="14" fontId="0" fillId="0" borderId="0" xfId="0" applyNumberFormat="1" applyFont="1" applyFill="1" applyAlignment="1">
      <alignment horizontal="left" vertical="center"/>
    </xf>
    <xf numFmtId="0" fontId="0" fillId="0" borderId="0" xfId="0" applyFill="1" applyBorder="1" applyAlignment="1"/>
    <xf numFmtId="0" fontId="0" fillId="0" borderId="0" xfId="0" applyAlignment="1">
      <alignment horizontal="center"/>
    </xf>
    <xf numFmtId="0" fontId="0" fillId="37" borderId="0" xfId="0" applyFont="1" applyFill="1" applyAlignment="1">
      <alignment horizontal="left" vertical="center"/>
    </xf>
    <xf numFmtId="0" fontId="12" fillId="33" borderId="11" xfId="0" applyFont="1" applyFill="1" applyBorder="1" applyAlignment="1">
      <alignment horizontal="center" vertical="center" wrapText="1"/>
    </xf>
    <xf numFmtId="0" fontId="25" fillId="33" borderId="11" xfId="0" applyFont="1" applyFill="1" applyBorder="1" applyAlignment="1">
      <alignment horizontal="center" vertical="center" wrapText="1"/>
    </xf>
    <xf numFmtId="0" fontId="12" fillId="33" borderId="1" xfId="0" applyFont="1" applyFill="1" applyBorder="1" applyAlignment="1">
      <alignment horizontal="center" vertical="center" wrapText="1"/>
    </xf>
    <xf numFmtId="0" fontId="12" fillId="35" borderId="11" xfId="0" applyFont="1" applyFill="1" applyBorder="1" applyAlignment="1">
      <alignment horizontal="center" vertical="center" wrapText="1"/>
    </xf>
    <xf numFmtId="0" fontId="26" fillId="38" borderId="1" xfId="0" applyFont="1" applyFill="1" applyBorder="1" applyAlignment="1">
      <alignment vertical="top" wrapText="1"/>
    </xf>
    <xf numFmtId="0" fontId="26" fillId="39" borderId="1" xfId="0" applyFont="1" applyFill="1" applyBorder="1" applyAlignment="1">
      <alignment vertical="top" wrapText="1"/>
    </xf>
    <xf numFmtId="0" fontId="27" fillId="39" borderId="1" xfId="0" applyFont="1" applyFill="1" applyBorder="1" applyAlignment="1">
      <alignment horizontal="center" vertical="top" wrapText="1"/>
    </xf>
    <xf numFmtId="164" fontId="27" fillId="39" borderId="1" xfId="0" applyNumberFormat="1" applyFont="1" applyFill="1" applyBorder="1" applyAlignment="1">
      <alignment horizontal="center" vertical="top" wrapText="1"/>
    </xf>
    <xf numFmtId="16" fontId="4" fillId="39" borderId="1" xfId="0" applyNumberFormat="1" applyFont="1" applyFill="1" applyBorder="1" applyAlignment="1">
      <alignment vertical="top" wrapText="1"/>
    </xf>
    <xf numFmtId="16" fontId="27" fillId="39" borderId="1" xfId="0" applyNumberFormat="1" applyFont="1" applyFill="1" applyBorder="1" applyAlignment="1">
      <alignment vertical="top" wrapText="1"/>
    </xf>
    <xf numFmtId="0" fontId="26" fillId="36" borderId="1" xfId="0" applyFont="1" applyFill="1" applyBorder="1" applyAlignment="1">
      <alignment vertical="top" wrapText="1"/>
    </xf>
    <xf numFmtId="0" fontId="27" fillId="39" borderId="1" xfId="0" applyFont="1" applyFill="1" applyBorder="1" applyAlignment="1">
      <alignment vertical="top" wrapText="1"/>
    </xf>
    <xf numFmtId="0" fontId="28" fillId="0" borderId="1" xfId="0" applyNumberFormat="1" applyFont="1" applyFill="1" applyBorder="1" applyAlignment="1">
      <alignment horizontal="center" vertical="center"/>
    </xf>
    <xf numFmtId="0" fontId="28" fillId="38" borderId="1" xfId="0" applyFont="1" applyFill="1" applyBorder="1" applyAlignment="1">
      <alignment horizontal="center" vertical="center" wrapText="1"/>
    </xf>
    <xf numFmtId="0" fontId="28" fillId="0" borderId="1" xfId="0" applyNumberFormat="1" applyFont="1" applyFill="1" applyBorder="1" applyAlignment="1">
      <alignment horizontal="left" vertical="center" wrapText="1"/>
    </xf>
    <xf numFmtId="16" fontId="27" fillId="39" borderId="1" xfId="0" applyNumberFormat="1" applyFont="1" applyFill="1" applyBorder="1" applyAlignment="1">
      <alignment horizontal="center" vertical="top" wrapText="1"/>
    </xf>
    <xf numFmtId="164" fontId="29" fillId="39" borderId="1" xfId="0" applyNumberFormat="1" applyFont="1" applyFill="1" applyBorder="1" applyAlignment="1">
      <alignment horizontal="center" vertical="top" wrapText="1"/>
    </xf>
    <xf numFmtId="0" fontId="0" fillId="0" borderId="0" xfId="0" applyFont="1" applyFill="1" applyAlignment="1">
      <alignment vertical="center"/>
    </xf>
    <xf numFmtId="0" fontId="0" fillId="36" borderId="0" xfId="0" applyFont="1" applyFill="1" applyAlignment="1">
      <alignment horizontal="left" vertical="center"/>
    </xf>
    <xf numFmtId="0" fontId="0" fillId="40" borderId="0" xfId="0" applyFont="1" applyFill="1" applyAlignment="1">
      <alignment horizontal="left" vertical="center"/>
    </xf>
    <xf numFmtId="0" fontId="0" fillId="35" borderId="0" xfId="0" applyFont="1" applyFill="1" applyAlignment="1">
      <alignment horizontal="left" vertical="center"/>
    </xf>
    <xf numFmtId="22" fontId="0" fillId="0" borderId="0" xfId="0" applyNumberFormat="1" applyFont="1" applyFill="1" applyAlignment="1">
      <alignment horizontal="center" vertical="center"/>
    </xf>
    <xf numFmtId="0" fontId="0" fillId="0" borderId="0" xfId="0" applyFont="1" applyFill="1" applyAlignment="1">
      <alignment horizontal="center" vertical="center"/>
    </xf>
    <xf numFmtId="0" fontId="0" fillId="37" borderId="0" xfId="0" applyFont="1" applyFill="1" applyAlignment="1">
      <alignment vertical="center"/>
    </xf>
    <xf numFmtId="0" fontId="30" fillId="0" borderId="0" xfId="0" applyFont="1" applyFill="1" applyAlignment="1">
      <alignment horizontal="left" vertical="center"/>
    </xf>
    <xf numFmtId="0" fontId="0" fillId="0" borderId="0" xfId="0" applyFont="1" applyAlignment="1">
      <alignment horizontal="left" vertical="center"/>
    </xf>
    <xf numFmtId="0" fontId="0" fillId="37" borderId="0" xfId="0" applyFill="1" applyAlignment="1">
      <alignment horizontal="left" vertical="center"/>
    </xf>
    <xf numFmtId="0" fontId="0" fillId="36" borderId="0" xfId="0" applyFill="1" applyAlignment="1">
      <alignment horizontal="left" vertical="center"/>
    </xf>
    <xf numFmtId="0" fontId="0" fillId="40" borderId="0" xfId="0" applyFill="1" applyAlignment="1">
      <alignment horizontal="left" vertical="center"/>
    </xf>
    <xf numFmtId="0" fontId="30" fillId="34" borderId="0" xfId="0" applyFont="1" applyFill="1" applyAlignment="1">
      <alignment horizontal="left" vertical="center"/>
    </xf>
    <xf numFmtId="0" fontId="0" fillId="0" borderId="0" xfId="0" applyFont="1" applyAlignment="1">
      <alignment horizontal="center" vertical="center"/>
    </xf>
    <xf numFmtId="22" fontId="0" fillId="0" borderId="0" xfId="0" applyNumberFormat="1" applyFont="1" applyAlignment="1">
      <alignment horizontal="left" vertical="center"/>
    </xf>
    <xf numFmtId="0" fontId="18" fillId="37" borderId="0" xfId="0" applyFont="1" applyFill="1" applyAlignment="1">
      <alignment horizontal="left" vertical="center"/>
    </xf>
    <xf numFmtId="0" fontId="12" fillId="33" borderId="0" xfId="0" applyFont="1" applyFill="1" applyBorder="1" applyAlignment="1">
      <alignment horizontal="center" vertical="center" wrapText="1"/>
    </xf>
    <xf numFmtId="0" fontId="32" fillId="39" borderId="1" xfId="42" applyFill="1" applyBorder="1" applyAlignment="1">
      <alignment horizontal="center" vertical="top" wrapText="1"/>
    </xf>
    <xf numFmtId="0" fontId="27" fillId="36" borderId="1" xfId="0" applyFont="1" applyFill="1" applyBorder="1" applyAlignment="1">
      <alignment horizontal="center" vertical="top" wrapText="1"/>
    </xf>
    <xf numFmtId="164" fontId="27" fillId="36" borderId="1" xfId="0" applyNumberFormat="1" applyFont="1" applyFill="1" applyBorder="1" applyAlignment="1">
      <alignment horizontal="center" vertical="top" wrapText="1"/>
    </xf>
    <xf numFmtId="0" fontId="27" fillId="36" borderId="1" xfId="0" applyFont="1" applyFill="1" applyBorder="1" applyAlignment="1">
      <alignment vertical="top" wrapText="1"/>
    </xf>
    <xf numFmtId="16" fontId="32" fillId="39" borderId="1" xfId="42" applyNumberFormat="1" applyFill="1" applyBorder="1" applyAlignment="1">
      <alignment horizontal="center" vertical="top" wrapText="1"/>
    </xf>
    <xf numFmtId="0" fontId="32" fillId="39" borderId="12" xfId="42" applyFill="1" applyBorder="1" applyAlignment="1">
      <alignment vertical="top" wrapText="1"/>
    </xf>
    <xf numFmtId="0" fontId="33" fillId="39" borderId="12" xfId="0" applyFont="1" applyFill="1" applyBorder="1" applyAlignment="1">
      <alignment vertical="top" wrapText="1"/>
    </xf>
    <xf numFmtId="0" fontId="32" fillId="37" borderId="12" xfId="42" applyFill="1" applyBorder="1" applyAlignment="1">
      <alignment vertical="top" wrapText="1"/>
    </xf>
    <xf numFmtId="0" fontId="33" fillId="37" borderId="12" xfId="0" applyFont="1" applyFill="1" applyBorder="1" applyAlignment="1">
      <alignment vertical="top" wrapText="1"/>
    </xf>
    <xf numFmtId="0" fontId="0" fillId="37" borderId="0" xfId="0" applyFill="1" applyAlignment="1">
      <alignment horizontal="center"/>
    </xf>
    <xf numFmtId="0" fontId="27" fillId="34" borderId="1" xfId="0" applyFont="1" applyFill="1" applyBorder="1" applyAlignment="1">
      <alignment horizontal="center" vertical="top" wrapText="1"/>
    </xf>
    <xf numFmtId="0" fontId="32" fillId="34" borderId="12" xfId="42" applyFill="1" applyBorder="1" applyAlignment="1">
      <alignment vertical="top" wrapText="1"/>
    </xf>
    <xf numFmtId="0" fontId="33" fillId="34" borderId="12" xfId="0" applyFont="1" applyFill="1" applyBorder="1" applyAlignment="1">
      <alignment vertical="top" wrapText="1"/>
    </xf>
    <xf numFmtId="0" fontId="0" fillId="34" borderId="0" xfId="0" applyFill="1" applyAlignment="1">
      <alignment horizontal="center"/>
    </xf>
    <xf numFmtId="0" fontId="32" fillId="0" borderId="12" xfId="42" applyFill="1" applyBorder="1" applyAlignment="1">
      <alignment vertical="top" wrapText="1"/>
    </xf>
    <xf numFmtId="0" fontId="33" fillId="0" borderId="12" xfId="0" applyFont="1" applyFill="1" applyBorder="1" applyAlignment="1">
      <alignment vertical="top" wrapText="1"/>
    </xf>
    <xf numFmtId="0" fontId="0" fillId="0" borderId="0" xfId="0" applyFill="1" applyAlignment="1">
      <alignment horizontal="center"/>
    </xf>
    <xf numFmtId="0" fontId="0" fillId="41" borderId="0" xfId="0" applyFont="1" applyFill="1" applyAlignment="1">
      <alignment horizontal="left" vertical="center"/>
    </xf>
    <xf numFmtId="0" fontId="0" fillId="0" borderId="1" xfId="0" applyBorder="1"/>
    <xf numFmtId="0" fontId="24" fillId="42" borderId="1" xfId="0" applyFont="1" applyFill="1" applyBorder="1" applyAlignment="1">
      <alignment horizontal="left" vertical="top" wrapText="1"/>
    </xf>
    <xf numFmtId="0" fontId="24" fillId="0" borderId="0" xfId="0" applyFont="1" applyAlignment="1">
      <alignment horizontal="left" vertical="top" wrapText="1"/>
    </xf>
    <xf numFmtId="0" fontId="24" fillId="0" borderId="0" xfId="0" applyFont="1" applyAlignment="1">
      <alignment horizontal="left" vertical="top"/>
    </xf>
    <xf numFmtId="0" fontId="24" fillId="0" borderId="0" xfId="0" applyFont="1"/>
    <xf numFmtId="0" fontId="18" fillId="0" borderId="1" xfId="0" applyFont="1" applyBorder="1"/>
    <xf numFmtId="0" fontId="24" fillId="42" borderId="1" xfId="0" applyFont="1" applyFill="1" applyBorder="1" applyAlignment="1">
      <alignment horizontal="center" vertical="top" wrapText="1"/>
    </xf>
    <xf numFmtId="0" fontId="34" fillId="42" borderId="1" xfId="0" applyFont="1" applyFill="1" applyBorder="1" applyAlignment="1">
      <alignment horizontal="center" vertical="top"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Font="1" applyAlignment="1">
      <alignment vertical="center"/>
    </xf>
    <xf numFmtId="4" fontId="0" fillId="0" borderId="0" xfId="0" applyNumberFormat="1" applyFont="1" applyAlignment="1">
      <alignment horizontal="left" vertical="center"/>
    </xf>
    <xf numFmtId="0" fontId="0" fillId="0" borderId="0" xfId="0" applyNumberFormat="1" applyFont="1" applyAlignment="1">
      <alignment horizontal="left" vertical="center"/>
    </xf>
    <xf numFmtId="0" fontId="30" fillId="0" borderId="0" xfId="0" applyFont="1" applyAlignment="1">
      <alignment horizontal="left" vertical="center"/>
    </xf>
    <xf numFmtId="0" fontId="0" fillId="43" borderId="0" xfId="0" applyFont="1" applyFill="1" applyAlignment="1">
      <alignment horizontal="left" vertical="center"/>
    </xf>
    <xf numFmtId="14" fontId="0" fillId="0" borderId="0" xfId="0" applyNumberFormat="1" applyFont="1" applyAlignment="1">
      <alignment horizontal="left" vertical="center"/>
    </xf>
    <xf numFmtId="16" fontId="0" fillId="0" borderId="0" xfId="0" applyNumberFormat="1" applyFont="1" applyAlignment="1">
      <alignment horizontal="left" vertical="center"/>
    </xf>
    <xf numFmtId="16" fontId="0" fillId="0" borderId="0" xfId="0" applyNumberFormat="1" applyFont="1" applyAlignment="1">
      <alignment vertical="center"/>
    </xf>
    <xf numFmtId="0" fontId="0" fillId="0" borderId="0" xfId="0" applyFill="1" applyAlignment="1">
      <alignment horizontal="left" vertical="top"/>
    </xf>
    <xf numFmtId="0" fontId="0" fillId="0" borderId="0" xfId="0" applyNumberFormat="1" applyFont="1" applyFill="1" applyAlignment="1">
      <alignment horizontal="left" vertical="center"/>
    </xf>
    <xf numFmtId="16" fontId="0" fillId="0" borderId="0" xfId="0" applyNumberFormat="1" applyFont="1" applyFill="1" applyAlignment="1">
      <alignment vertical="center"/>
    </xf>
    <xf numFmtId="0" fontId="0" fillId="0" borderId="0" xfId="0" applyFont="1" applyFill="1" applyAlignment="1">
      <alignment horizontal="left" vertical="top"/>
    </xf>
    <xf numFmtId="0" fontId="0" fillId="0" borderId="0" xfId="0" applyFont="1" applyAlignment="1">
      <alignment horizontal="left" vertical="top"/>
    </xf>
    <xf numFmtId="0" fontId="29" fillId="0" borderId="0" xfId="0" applyFont="1" applyFill="1" applyAlignment="1">
      <alignment vertical="center"/>
    </xf>
    <xf numFmtId="0" fontId="29" fillId="0" borderId="0" xfId="0" applyFont="1" applyFill="1" applyAlignment="1">
      <alignment horizontal="left" vertical="center"/>
    </xf>
    <xf numFmtId="0" fontId="18" fillId="0" borderId="0" xfId="0" applyFont="1" applyFill="1" applyAlignment="1">
      <alignment horizontal="justify" vertical="center"/>
    </xf>
    <xf numFmtId="0" fontId="0" fillId="0" borderId="0" xfId="0" applyAlignment="1">
      <alignment horizontal="left"/>
    </xf>
    <xf numFmtId="14" fontId="12" fillId="33" borderId="0" xfId="0" applyNumberFormat="1" applyFont="1" applyFill="1" applyAlignment="1">
      <alignment horizontal="center" vertical="center" wrapText="1"/>
    </xf>
    <xf numFmtId="0" fontId="35" fillId="34" borderId="0" xfId="0" applyFont="1" applyFill="1" applyAlignment="1">
      <alignment horizontal="center" vertical="center"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horizontal="center" vertical="center"/>
    </xf>
    <xf numFmtId="0" fontId="0" fillId="44" borderId="0" xfId="0" applyFill="1" applyAlignment="1">
      <alignment horizontal="center" vertical="center"/>
    </xf>
    <xf numFmtId="0" fontId="0" fillId="0" borderId="0" xfId="0" applyAlignment="1">
      <alignment horizontal="left" vertical="center"/>
    </xf>
    <xf numFmtId="0" fontId="0" fillId="0" borderId="0" xfId="0" applyNumberFormat="1"/>
    <xf numFmtId="0" fontId="0" fillId="0" borderId="0" xfId="0" pivotButton="1" applyAlignment="1">
      <alignment horizontal="center" vertical="center"/>
    </xf>
    <xf numFmtId="0" fontId="0" fillId="0" borderId="1" xfId="0" applyBorder="1" applyAlignment="1">
      <alignment horizontal="center" vertical="center"/>
    </xf>
    <xf numFmtId="0" fontId="0" fillId="0" borderId="1" xfId="0" applyNumberFormat="1" applyBorder="1" applyAlignment="1">
      <alignment horizontal="center" vertical="center"/>
    </xf>
    <xf numFmtId="14" fontId="0" fillId="0" borderId="0" xfId="0" applyNumberFormat="1"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vertical="center" wrapText="1"/>
    </xf>
    <xf numFmtId="0" fontId="0" fillId="44" borderId="0" xfId="0" applyFill="1" applyAlignment="1">
      <alignment horizontal="left" vertical="center"/>
    </xf>
    <xf numFmtId="0" fontId="0" fillId="34" borderId="0" xfId="0" applyFill="1" applyAlignment="1">
      <alignment horizontal="center" vertical="center"/>
    </xf>
    <xf numFmtId="0" fontId="0" fillId="34" borderId="0" xfId="0" applyFill="1"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0" fillId="0" borderId="13" xfId="0" pivotButton="1"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15" xfId="0" pivotButton="1" applyBorder="1" applyAlignment="1">
      <alignment horizontal="center" vertical="center"/>
    </xf>
    <xf numFmtId="0" fontId="0" fillId="0" borderId="15" xfId="0" applyBorder="1" applyAlignment="1">
      <alignment horizontal="center" vertical="center"/>
    </xf>
    <xf numFmtId="0" fontId="30" fillId="0" borderId="0" xfId="0" applyFont="1" applyAlignment="1"/>
    <xf numFmtId="0" fontId="30" fillId="44" borderId="0" xfId="0" applyFont="1" applyFill="1" applyAlignment="1">
      <alignment horizontal="left" vertical="center"/>
    </xf>
    <xf numFmtId="14" fontId="30" fillId="0" borderId="0" xfId="0" applyNumberFormat="1" applyFont="1" applyAlignment="1">
      <alignment horizontal="left" vertical="center"/>
    </xf>
    <xf numFmtId="1" fontId="30" fillId="0" borderId="0" xfId="0" applyNumberFormat="1" applyFont="1" applyFill="1" applyAlignment="1">
      <alignment horizontal="left" vertical="center"/>
    </xf>
    <xf numFmtId="0" fontId="0" fillId="45" borderId="0" xfId="0" applyFill="1" applyAlignment="1">
      <alignment horizontal="left" vertical="center"/>
    </xf>
    <xf numFmtId="0" fontId="0" fillId="46" borderId="0" xfId="0" applyFill="1" applyAlignment="1">
      <alignment horizontal="left" vertical="center"/>
    </xf>
    <xf numFmtId="14" fontId="12" fillId="47" borderId="0" xfId="0" applyNumberFormat="1" applyFont="1" applyFill="1" applyAlignment="1">
      <alignment horizontal="center" vertical="center" wrapText="1"/>
    </xf>
    <xf numFmtId="0" fontId="18" fillId="0" borderId="0" xfId="0" applyFont="1" applyAlignment="1">
      <alignment horizontal="left" vertical="center"/>
    </xf>
    <xf numFmtId="14" fontId="18" fillId="0" borderId="0" xfId="0" applyNumberFormat="1" applyFont="1" applyAlignment="1">
      <alignment horizontal="left" vertical="center"/>
    </xf>
    <xf numFmtId="0" fontId="12" fillId="48" borderId="0" xfId="0" applyFont="1" applyFill="1" applyAlignment="1">
      <alignment horizontal="center" vertical="center" wrapText="1"/>
    </xf>
    <xf numFmtId="16" fontId="0" fillId="0" borderId="0" xfId="0" applyNumberFormat="1" applyAlignment="1">
      <alignment horizontal="left" vertical="center" wrapText="1"/>
    </xf>
    <xf numFmtId="0" fontId="0" fillId="38" borderId="0" xfId="0" applyFill="1" applyAlignment="1">
      <alignment horizontal="left" vertical="top" wrapText="1"/>
    </xf>
    <xf numFmtId="16" fontId="0" fillId="0" borderId="0" xfId="0" applyNumberFormat="1" applyAlignment="1">
      <alignment horizontal="left" vertical="center"/>
    </xf>
    <xf numFmtId="0" fontId="18" fillId="0" borderId="0" xfId="0" applyFont="1" applyAlignment="1">
      <alignment horizontal="center" vertical="center"/>
    </xf>
    <xf numFmtId="0" fontId="0" fillId="38" borderId="0" xfId="0" applyFill="1" applyAlignment="1">
      <alignment horizontal="left" vertical="top"/>
    </xf>
    <xf numFmtId="0" fontId="0" fillId="0" borderId="0" xfId="0" applyFont="1" applyAlignment="1">
      <alignment horizontal="left" vertical="center" wrapText="1"/>
    </xf>
    <xf numFmtId="0" fontId="30" fillId="0" borderId="0" xfId="0" applyFont="1" applyAlignment="1">
      <alignment horizontal="center" vertical="center"/>
    </xf>
    <xf numFmtId="0" fontId="30" fillId="0" borderId="1" xfId="0" applyFont="1" applyFill="1" applyBorder="1" applyAlignment="1">
      <alignment vertical="center"/>
    </xf>
    <xf numFmtId="0" fontId="0" fillId="38" borderId="0" xfId="0" applyFill="1" applyAlignment="1">
      <alignment horizontal="left" vertical="center"/>
    </xf>
    <xf numFmtId="0" fontId="0" fillId="36" borderId="0" xfId="0" applyFill="1" applyAlignment="1">
      <alignment horizontal="center" vertical="center"/>
    </xf>
    <xf numFmtId="14" fontId="0" fillId="36" borderId="0" xfId="0" applyNumberFormat="1" applyFill="1" applyAlignment="1">
      <alignment horizontal="left" vertical="center"/>
    </xf>
    <xf numFmtId="1" fontId="0" fillId="36" borderId="0" xfId="0" applyNumberFormat="1" applyFont="1" applyFill="1" applyAlignment="1">
      <alignment horizontal="left" vertical="center"/>
    </xf>
    <xf numFmtId="0" fontId="34" fillId="0" borderId="0" xfId="0" applyFont="1" applyAlignment="1">
      <alignment horizontal="center" vertical="center"/>
    </xf>
    <xf numFmtId="0" fontId="18" fillId="0" borderId="0" xfId="0" applyFont="1" applyAlignment="1">
      <alignment horizontal="left" vertical="top"/>
    </xf>
    <xf numFmtId="0" fontId="18" fillId="49" borderId="0" xfId="0" applyFont="1" applyFill="1" applyAlignment="1">
      <alignment horizontal="left" vertical="center"/>
    </xf>
    <xf numFmtId="0" fontId="0" fillId="49" borderId="0" xfId="0" applyFill="1" applyAlignment="1">
      <alignment horizontal="left" vertical="center"/>
    </xf>
    <xf numFmtId="3" fontId="0" fillId="0" borderId="0" xfId="0" applyNumberFormat="1" applyAlignment="1">
      <alignment horizontal="center" vertical="center"/>
    </xf>
    <xf numFmtId="0" fontId="0" fillId="0" borderId="0" xfId="0" applyFill="1" applyAlignment="1">
      <alignment horizontal="center" vertical="center"/>
    </xf>
    <xf numFmtId="0" fontId="18" fillId="36" borderId="0" xfId="0" applyFont="1" applyFill="1" applyAlignment="1">
      <alignment horizontal="left" vertical="center"/>
    </xf>
    <xf numFmtId="0" fontId="0" fillId="0" borderId="0" xfId="0" pivotButton="1"/>
    <xf numFmtId="0" fontId="24" fillId="0" borderId="0" xfId="0" applyFont="1" applyAlignment="1">
      <alignment horizontal="left" vertical="center" wrapText="1"/>
    </xf>
    <xf numFmtId="0" fontId="30" fillId="0" borderId="0" xfId="0" applyFont="1" applyAlignment="1">
      <alignment horizontal="left" vertical="top" wrapText="1"/>
    </xf>
    <xf numFmtId="0" fontId="30" fillId="36" borderId="0" xfId="0" applyFont="1" applyFill="1" applyAlignment="1">
      <alignment horizontal="left" vertical="center"/>
    </xf>
    <xf numFmtId="14" fontId="41" fillId="0" borderId="0" xfId="0" applyNumberFormat="1" applyFont="1" applyAlignment="1">
      <alignment horizontal="left" vertical="center" wrapText="1"/>
    </xf>
    <xf numFmtId="0" fontId="30" fillId="0" borderId="0" xfId="0" applyFont="1" applyAlignment="1">
      <alignment horizontal="left" vertical="top"/>
    </xf>
    <xf numFmtId="0" fontId="12" fillId="33" borderId="0" xfId="0" applyFont="1" applyFill="1" applyAlignment="1">
      <alignment horizontal="center" vertical="center"/>
    </xf>
    <xf numFmtId="0" fontId="35" fillId="34" borderId="0" xfId="0" applyFont="1" applyFill="1" applyAlignment="1">
      <alignment horizontal="center" vertical="center"/>
    </xf>
    <xf numFmtId="14" fontId="12" fillId="33" borderId="0" xfId="0" applyNumberFormat="1" applyFont="1" applyFill="1" applyAlignment="1">
      <alignment horizontal="center" vertical="center"/>
    </xf>
    <xf numFmtId="0" fontId="12" fillId="48" borderId="0" xfId="0" applyFont="1" applyFill="1" applyAlignment="1">
      <alignment horizontal="center" vertical="center"/>
    </xf>
    <xf numFmtId="0" fontId="24" fillId="36" borderId="0" xfId="0" applyFont="1" applyFill="1" applyAlignment="1">
      <alignment horizontal="left" vertical="center"/>
    </xf>
    <xf numFmtId="0" fontId="18" fillId="40" borderId="0" xfId="0" applyFont="1" applyFill="1" applyAlignment="1">
      <alignment horizontal="left" vertical="center"/>
    </xf>
    <xf numFmtId="0" fontId="24" fillId="0" borderId="0" xfId="0" applyFont="1" applyAlignment="1">
      <alignment horizontal="left" vertical="center"/>
    </xf>
    <xf numFmtId="0" fontId="0" fillId="0" borderId="0" xfId="0" quotePrefix="1" applyFont="1" applyAlignment="1">
      <alignment horizontal="left" vertical="center"/>
    </xf>
    <xf numFmtId="0" fontId="0" fillId="0" borderId="0" xfId="0" applyAlignment="1">
      <alignment horizontal="left" indent="1"/>
    </xf>
    <xf numFmtId="0" fontId="0" fillId="0" borderId="1" xfId="0" applyBorder="1" applyAlignment="1">
      <alignment horizontal="center"/>
    </xf>
    <xf numFmtId="0" fontId="24" fillId="36" borderId="1" xfId="0" applyFont="1" applyFill="1" applyBorder="1" applyAlignment="1">
      <alignment horizontal="center"/>
    </xf>
    <xf numFmtId="0" fontId="36" fillId="44" borderId="0" xfId="0" applyFont="1" applyFill="1" applyAlignment="1">
      <alignment horizontal="left" vertical="center" wrapText="1"/>
    </xf>
    <xf numFmtId="0" fontId="18" fillId="34" borderId="0" xfId="0" applyFont="1" applyFill="1" applyAlignment="1">
      <alignment horizontal="left" vertical="center"/>
    </xf>
    <xf numFmtId="0" fontId="0" fillId="0" borderId="0" xfId="0" quotePrefix="1" applyAlignment="1">
      <alignment horizontal="left" vertical="center"/>
    </xf>
    <xf numFmtId="0" fontId="43" fillId="36" borderId="0" xfId="0" applyFont="1" applyFill="1" applyAlignment="1">
      <alignment horizontal="left" vertical="center" wrapText="1"/>
    </xf>
  </cellXfs>
  <cellStyles count="45">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2" builtinId="8"/>
    <cellStyle name="Incorreto" xfId="30" builtinId="27" customBuiltin="1"/>
    <cellStyle name="Neutra" xfId="31" builtinId="28" customBuiltin="1"/>
    <cellStyle name="Normal" xfId="0" builtinId="0"/>
    <cellStyle name="Normal 47" xfId="44"/>
    <cellStyle name="Normal 5" xfId="43"/>
    <cellStyle name="Nota" xfId="32" builtinId="10" customBuiltin="1"/>
    <cellStyle name="Saída" xfId="33" builtinId="21" customBuiltin="1"/>
    <cellStyle name="Texto de Aviso" xfId="34" builtinId="11" customBuiltin="1"/>
    <cellStyle name="Texto Explicativo" xfId="35" builtinId="53" customBuiltin="1"/>
    <cellStyle name="Título" xfId="36" builtinId="15" customBuiltin="1"/>
    <cellStyle name="Título 1" xfId="37" builtinId="16" customBuiltin="1"/>
    <cellStyle name="Título 2" xfId="38" builtinId="17" customBuiltin="1"/>
    <cellStyle name="Título 3" xfId="39" builtinId="18" customBuiltin="1"/>
    <cellStyle name="Título 4" xfId="40" builtinId="19" customBuiltin="1"/>
    <cellStyle name="Total" xfId="41" builtinId="25" customBuiltin="1"/>
  </cellStyles>
  <dxfs count="135">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ont>
        <color rgb="FF9C0006"/>
      </font>
      <fill>
        <patternFill>
          <bgColor rgb="FFFFC7CE"/>
        </patternFill>
      </fill>
    </dxf>
    <dxf>
      <fill>
        <patternFill>
          <bgColor rgb="FFFF0000"/>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C0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vertical="center" readingOrder="0"/>
    </dxf>
    <dxf>
      <alignment vertical="center" readingOrder="0"/>
    </dxf>
    <dxf>
      <alignment horizontal="center" readingOrder="0"/>
    </dxf>
    <dxf>
      <alignment horizontal="center" readingOrder="0"/>
    </dxf>
    <dxf>
      <alignment wrapText="1"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606470/AppData/Local/Microsoft/Windows/Temporary%20Internet%20Files/Content.Outlook/UN5OZH3K/Projetos%20TI%20%20-%20CONSOLIDADO%2020150930%20-%20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Fases Proj"/>
      <sheetName val="Resumo 1"/>
      <sheetName val="Classificacoes"/>
      <sheetName val="Chamados expurgados"/>
      <sheetName val="Plan6"/>
      <sheetName val="Plan2"/>
      <sheetName val="Incidentes"/>
      <sheetName val="Recursos"/>
      <sheetName val="Plan3"/>
      <sheetName val="Priorizados"/>
      <sheetName val="Dominios de valores"/>
      <sheetName val="Plan1"/>
      <sheetName val="Dalton"/>
    </sheetNames>
    <sheetDataSet>
      <sheetData sheetId="0"/>
      <sheetData sheetId="1"/>
      <sheetData sheetId="2"/>
      <sheetData sheetId="3"/>
      <sheetData sheetId="4"/>
      <sheetData sheetId="5"/>
      <sheetData sheetId="6"/>
      <sheetData sheetId="7"/>
      <sheetData sheetId="8"/>
      <sheetData sheetId="9"/>
      <sheetData sheetId="10">
        <row r="2">
          <cell r="B2" t="str">
            <v>América Móvil</v>
          </cell>
        </row>
        <row r="3">
          <cell r="B3" t="str">
            <v>Clientes Especiais</v>
          </cell>
        </row>
        <row r="4">
          <cell r="B4" t="str">
            <v>Comercial</v>
          </cell>
        </row>
        <row r="5">
          <cell r="B5" t="str">
            <v>Corporativo</v>
          </cell>
        </row>
        <row r="6">
          <cell r="B6" t="str">
            <v>Itaú</v>
          </cell>
        </row>
        <row r="7">
          <cell r="B7" t="str">
            <v>Oi - Retenção</v>
          </cell>
        </row>
        <row r="8">
          <cell r="B8" t="str">
            <v>Oi - Televendas e Cobrança</v>
          </cell>
        </row>
        <row r="9">
          <cell r="B9" t="str">
            <v>Oi SAC</v>
          </cell>
        </row>
        <row r="10">
          <cell r="B10" t="str">
            <v>Operações Especializadas</v>
          </cell>
        </row>
        <row r="11">
          <cell r="B11" t="str">
            <v>Santander</v>
          </cell>
        </row>
        <row r="12">
          <cell r="B12" t="str">
            <v xml:space="preserve">Vivo   </v>
          </cell>
        </row>
      </sheetData>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Bruno Guerra Ferreira" refreshedDate="42473.478421874999" createdVersion="4" refreshedVersion="4" minRefreshableVersion="3" recordCount="158">
  <cacheSource type="worksheet">
    <worksheetSource ref="A359:AD359" sheet="Priorizados"/>
  </cacheSource>
  <cacheFields count="26">
    <cacheField name="Número do tProcess" numFmtId="0">
      <sharedItems/>
    </cacheField>
    <cacheField name="Projeto" numFmtId="0">
      <sharedItems/>
    </cacheField>
    <cacheField name="Sites" numFmtId="0">
      <sharedItems containsBlank="1"/>
    </cacheField>
    <cacheField name="Origem da Demanda_x000a_(plano de recuperação / S&amp;OP / POP / Operações / Pré Venda / Corporativo)" numFmtId="0">
      <sharedItems/>
    </cacheField>
    <cacheField name="Diretoria " numFmtId="0">
      <sharedItems/>
    </cacheField>
    <cacheField name="Filtro" numFmtId="0">
      <sharedItems containsBlank="1" count="11">
        <s v="Discador / Gravação / DAC Único"/>
        <s v="Desenvolvimento"/>
        <s v="Infraestrutura"/>
        <s v="Implantação Geral"/>
        <s v="RTI"/>
        <s v="Crescimento c/ discador"/>
        <s v="URA"/>
        <s v="Crescimento s/ discador"/>
        <s v="Telecom/Redes/Infra"/>
        <s v="Infra / Desenvolvimento"/>
        <m/>
      </sharedItems>
    </cacheField>
    <cacheField name="Líder de projetos" numFmtId="0">
      <sharedItems count="9">
        <s v="Bruno Ribeiro"/>
        <s v="Paulo Cavalcante"/>
        <s v="Juliana Moraes"/>
        <s v="Edison Siqueira"/>
        <s v="Erica Cotrim"/>
        <s v="Bruno Guerra"/>
        <s v="Leonardo Marques"/>
        <s v="Julio Silva"/>
        <s v="Debora Gercke Dominas"/>
      </sharedItems>
    </cacheField>
    <cacheField name="Líder de Projetos_x000a_Negócios" numFmtId="0">
      <sharedItems containsBlank="1"/>
    </cacheField>
    <cacheField name="Tipo Demanda" numFmtId="0">
      <sharedItems containsBlank="1"/>
    </cacheField>
    <cacheField name="Data Criação tProcess" numFmtId="14">
      <sharedItems containsSemiMixedTypes="0" containsNonDate="0" containsDate="1" containsString="0" minDate="2014-07-24T00:00:00" maxDate="2016-10-01T00:00:00"/>
    </cacheField>
    <cacheField name="Dias corridos até hoje" numFmtId="0">
      <sharedItems containsMixedTypes="1" containsNumber="1" minValue="3" maxValue="630"/>
    </cacheField>
    <cacheField name="Definida a prioridade" numFmtId="0">
      <sharedItems containsDate="1" containsMixedTypes="1" minDate="2015-03-24T00:00:00" maxDate="2016-12-02T00:00:00"/>
    </cacheField>
    <cacheField name="Data Entrega _x000a_Planejada" numFmtId="14">
      <sharedItems containsDate="1" containsBlank="1" containsMixedTypes="1" minDate="2015-03-11T00:00:00" maxDate="2016-05-03T00:00:00"/>
    </cacheField>
    <cacheField name="Data Planejada será cumprida?_x000a_(Sim / Não / Risco)" numFmtId="0">
      <sharedItems containsBlank="1"/>
    </cacheField>
    <cacheField name="Data Entrega Planejada_x000a_Final " numFmtId="14">
      <sharedItems containsDate="1" containsBlank="1" containsMixedTypes="1" minDate="2015-10-07T00:00:00" maxDate="2016-07-23T00:00:00"/>
    </cacheField>
    <cacheField name="Farol Geral" numFmtId="0">
      <sharedItems containsNonDate="0" containsString="0" containsBlank="1"/>
    </cacheField>
    <cacheField name="Status_x000a_(log de comentários)" numFmtId="0">
      <sharedItems longText="1"/>
    </cacheField>
    <cacheField name="Qual área está no momento?" numFmtId="0">
      <sharedItems containsBlank="1"/>
    </cacheField>
    <cacheField name="Responsável que está atuando no momento" numFmtId="0">
      <sharedItems containsBlank="1"/>
    </cacheField>
    <cacheField name="Previsão de conclusão da análise da área" numFmtId="0">
      <sharedItems containsDate="1" containsBlank="1" containsMixedTypes="1" minDate="2016-02-29T00:00:00" maxDate="2016-07-05T00:00:00"/>
    </cacheField>
    <cacheField name="Etapa" numFmtId="0">
      <sharedItems/>
    </cacheField>
    <cacheField name="Data Conclusão" numFmtId="14">
      <sharedItems containsDate="1" containsBlank="1" containsMixedTypes="1" minDate="2015-08-01T00:00:00" maxDate="2016-12-01T00:00:00"/>
    </cacheField>
    <cacheField name="Quantidade de PAs" numFmtId="0">
      <sharedItems containsBlank="1" containsMixedTypes="1" containsNumber="1" containsInteger="1" minValue="4" maxValue="3076"/>
    </cacheField>
    <cacheField name="Evasão ou Recuperação" numFmtId="0">
      <sharedItems containsBlank="1"/>
    </cacheField>
    <cacheField name="Retorno Financeiro estimado" numFmtId="0">
      <sharedItems containsDate="1" containsBlank="1" containsMixedTypes="1" minDate="2016-01-07T00:00:00" maxDate="5417-10-02T01:36:04"/>
    </cacheField>
    <cacheField name="Acompanhado pela NAR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Bruno Guerra Ferreira" refreshedDate="42494.790860995374" createdVersion="4" refreshedVersion="4" minRefreshableVersion="3" recordCount="153">
  <cacheSource type="worksheet">
    <worksheetSource ref="A505:AA505" sheet="Priorizados"/>
  </cacheSource>
  <cacheFields count="25">
    <cacheField name="Número do tProcess" numFmtId="0">
      <sharedItems/>
    </cacheField>
    <cacheField name="Projeto" numFmtId="0">
      <sharedItems/>
    </cacheField>
    <cacheField name="Sites" numFmtId="0">
      <sharedItems containsBlank="1"/>
    </cacheField>
    <cacheField name="Origem da Demanda_x000a_(plano de recuperação / S&amp;OP / POP / Operações / Pré Venda / Corporativo)" numFmtId="0">
      <sharedItems/>
    </cacheField>
    <cacheField name="Diretoria Solicitante" numFmtId="0">
      <sharedItems count="10">
        <s v="Clientes Especiais"/>
        <s v="Vivo   "/>
        <s v="Corporativo"/>
        <s v="Itaú"/>
        <s v="Oi"/>
        <s v="América Móvil"/>
        <s v="Santander"/>
        <s v="Gás Natural Fenosa"/>
        <s v="Claro"/>
        <s v="BB Maphre"/>
      </sharedItems>
    </cacheField>
    <cacheField name="Diretor Solicitante" numFmtId="0">
      <sharedItems/>
    </cacheField>
    <cacheField name="Gerente Solicitante" numFmtId="0">
      <sharedItems containsBlank="1"/>
    </cacheField>
    <cacheField name="Líder de projetos" numFmtId="0">
      <sharedItems count="10">
        <s v="Bruno Ribeiro"/>
        <s v="Paulo Cavalcante"/>
        <s v="Juliana Moraes"/>
        <s v="Edison Siqueira"/>
        <s v="Erica Cotrim"/>
        <s v="Bruno Guerra"/>
        <s v="Leonardo Marques"/>
        <s v="Julio Silva"/>
        <s v="Debora Gercke Dominas"/>
        <s v="Alexandre Batista"/>
      </sharedItems>
    </cacheField>
    <cacheField name="Líder de Projetos_x000a_Negócios" numFmtId="0">
      <sharedItems containsBlank="1"/>
    </cacheField>
    <cacheField name="Tipo Demanda" numFmtId="0">
      <sharedItems containsBlank="1"/>
    </cacheField>
    <cacheField name="Data Criação tProcess" numFmtId="14">
      <sharedItems containsSemiMixedTypes="0" containsNonDate="0" containsDate="1" containsString="0" minDate="2014-07-24T00:00:00" maxDate="2016-10-01T00:00:00"/>
    </cacheField>
    <cacheField name="Dias corridos até hoje" numFmtId="0">
      <sharedItems containsMixedTypes="1" containsNumber="1" minValue="6" maxValue="651"/>
    </cacheField>
    <cacheField name="Definida a prioridade" numFmtId="14">
      <sharedItems containsSemiMixedTypes="0" containsNonDate="0" containsDate="1" containsString="0" minDate="2015-03-24T00:00:00" maxDate="2016-05-05T00:00:00"/>
    </cacheField>
    <cacheField name="Tem cronograma?" numFmtId="14">
      <sharedItems count="3">
        <s v="Não"/>
        <s v="Sim"/>
        <s v="TBD"/>
      </sharedItems>
    </cacheField>
    <cacheField name="Data da entrega do cronograma" numFmtId="14">
      <sharedItems containsDate="1" containsBlank="1" containsMixedTypes="1" minDate="2016-01-19T00:00:00" maxDate="2016-06-01T00:00:00"/>
    </cacheField>
    <cacheField name="Data Entrega _x000a_Planejada" numFmtId="14">
      <sharedItems containsDate="1" containsMixedTypes="1" minDate="2016-01-05T00:00:00" maxDate="2016-12-01T00:00:00"/>
    </cacheField>
    <cacheField name="Data de Entrega Planejada será cumprida?_x000a_(Sim / Não / Risco)" numFmtId="0">
      <sharedItems containsBlank="1"/>
    </cacheField>
    <cacheField name="Farol Geral" numFmtId="0">
      <sharedItems containsNonDate="0" containsString="0" containsBlank="1"/>
    </cacheField>
    <cacheField name="Status_x000a_(log de comentários)" numFmtId="0">
      <sharedItems longText="1"/>
    </cacheField>
    <cacheField name="Qual área está no momento?" numFmtId="0">
      <sharedItems count="16">
        <s v="Aplicações"/>
        <s v="Solicitante"/>
        <s v="ENG"/>
        <s v="Fornecedor"/>
        <s v="SI / Consultoria"/>
        <s v="Aplicações / Operação/ Oi"/>
        <s v="CSE"/>
        <s v="Aplicações/CSE"/>
        <s v="CSE / Site"/>
        <s v="PMO TI"/>
        <s v="URA"/>
        <s v="CC Brasil"/>
        <s v="CC Brasil_x000a_Site Campo"/>
        <s v="Aplicações/ENG"/>
        <s v="ENG/CSE"/>
        <s v="Gestão de Ativos"/>
      </sharedItems>
    </cacheField>
    <cacheField name="Responsável que está atuando no momento" numFmtId="0">
      <sharedItems containsBlank="1"/>
    </cacheField>
    <cacheField name="Previsão de conclusão da análise da área" numFmtId="0">
      <sharedItems containsDate="1" containsBlank="1" containsMixedTypes="1" minDate="2016-02-29T00:00:00" maxDate="2016-06-01T00:00:00"/>
    </cacheField>
    <cacheField name="Etapa" numFmtId="0">
      <sharedItems/>
    </cacheField>
    <cacheField name="Data Conclusão" numFmtId="14">
      <sharedItems containsDate="1" containsBlank="1" containsMixedTypes="1" minDate="2015-08-01T00:00:00" maxDate="2016-12-01T00:00:00"/>
    </cacheField>
    <cacheField name="Quantidade de PAs" numFmtId="0">
      <sharedItems containsBlank="1" containsMixedTypes="1" containsNumber="1" containsInteger="1" minValue="9" maxValue="14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Bruno Guerra Ferreira" refreshedDate="42510.611515277778" createdVersion="4" refreshedVersion="4" minRefreshableVersion="3" recordCount="174">
  <cacheSource type="worksheet">
    <worksheetSource ref="A531:AA531" sheet="Priorizados"/>
  </cacheSource>
  <cacheFields count="25">
    <cacheField name="Número do tProcess" numFmtId="0">
      <sharedItems/>
    </cacheField>
    <cacheField name="Projeto" numFmtId="0">
      <sharedItems/>
    </cacheField>
    <cacheField name="Sites" numFmtId="0">
      <sharedItems containsBlank="1"/>
    </cacheField>
    <cacheField name="Origem da Demanda_x000a_(plano de recuperação / S&amp;OP / POP / Operações / Pré Venda / Corporativo)" numFmtId="0">
      <sharedItems containsBlank="1"/>
    </cacheField>
    <cacheField name="Diretoria Solicitante" numFmtId="0">
      <sharedItems containsBlank="1" count="11">
        <s v="Clientes Especiais"/>
        <s v="Vivo   "/>
        <s v="Corporativo"/>
        <s v="Itaú"/>
        <s v="Oi"/>
        <s v="América Móvil"/>
        <s v="Santander"/>
        <s v="Gás Natural Fenosa"/>
        <s v="BI"/>
        <s v="BB Maphre"/>
        <m/>
      </sharedItems>
    </cacheField>
    <cacheField name="Diretor Solicitante" numFmtId="0">
      <sharedItems containsBlank="1"/>
    </cacheField>
    <cacheField name="Gerente Solicitante" numFmtId="0">
      <sharedItems containsBlank="1"/>
    </cacheField>
    <cacheField name="Líder de projetos" numFmtId="0">
      <sharedItems count="11">
        <s v="Bruno Ribeiro"/>
        <s v="Paulo Cavalcante"/>
        <s v="Juliana Moraes"/>
        <s v="Edison Siqueira"/>
        <s v="Erica Cotrim"/>
        <s v="Bruno Guerra"/>
        <s v="Leonardo Marques"/>
        <s v="Julio Silva"/>
        <s v="Debora Gercke Dominas"/>
        <s v="Alexandre Batista"/>
        <s v="Marcelo Siqueira"/>
      </sharedItems>
    </cacheField>
    <cacheField name="Líder de Projetos_x000a_Negócios" numFmtId="0">
      <sharedItems containsBlank="1"/>
    </cacheField>
    <cacheField name="Tipo Demanda" numFmtId="0">
      <sharedItems containsBlank="1"/>
    </cacheField>
    <cacheField name="Data Criação tProcess" numFmtId="14">
      <sharedItems containsNonDate="0" containsDate="1" containsString="0" containsBlank="1" minDate="2014-07-24T00:00:00" maxDate="2016-10-01T00:00:00"/>
    </cacheField>
    <cacheField name="Dias corridos até hoje" numFmtId="0">
      <sharedItems containsBlank="1" containsMixedTypes="1" containsNumber="1" minValue="2" maxValue="667"/>
    </cacheField>
    <cacheField name="Definida a prioridade" numFmtId="14">
      <sharedItems containsNonDate="0" containsDate="1" containsString="0" containsBlank="1" minDate="2015-03-24T00:00:00" maxDate="2016-05-21T00:00:00"/>
    </cacheField>
    <cacheField name="Tem cronograma?" numFmtId="14">
      <sharedItems containsBlank="1"/>
    </cacheField>
    <cacheField name="Data da entrega do cronograma" numFmtId="14">
      <sharedItems containsDate="1" containsBlank="1" containsMixedTypes="1" minDate="2016-01-19T00:00:00" maxDate="2016-06-01T00:00:00"/>
    </cacheField>
    <cacheField name="Data Entrega _x000a_Planejada" numFmtId="14">
      <sharedItems containsDate="1" containsBlank="1" containsMixedTypes="1" minDate="2016-01-05T00:00:00" maxDate="2016-12-01T00:00:00"/>
    </cacheField>
    <cacheField name="Data de Entrega Planejada será cumprida?_x000a_(Sim / Não / Risco)" numFmtId="0">
      <sharedItems containsBlank="1"/>
    </cacheField>
    <cacheField name="Farol Geral" numFmtId="0">
      <sharedItems containsNonDate="0" containsString="0" containsBlank="1"/>
    </cacheField>
    <cacheField name="Status_x000a_(log de comentários)" numFmtId="0">
      <sharedItems longText="1"/>
    </cacheField>
    <cacheField name="Qual área está no momento?" numFmtId="0">
      <sharedItems containsBlank="1"/>
    </cacheField>
    <cacheField name="Responsável que está atuando no momento" numFmtId="0">
      <sharedItems containsBlank="1"/>
    </cacheField>
    <cacheField name="Previsão de conclusão da análise da área" numFmtId="0">
      <sharedItems containsDate="1" containsBlank="1" containsMixedTypes="1" minDate="2016-02-29T00:00:00" maxDate="2016-06-15T00:00:00"/>
    </cacheField>
    <cacheField name="Etapa" numFmtId="0">
      <sharedItems/>
    </cacheField>
    <cacheField name="Data Conclusão" numFmtId="14">
      <sharedItems containsDate="1" containsBlank="1" containsMixedTypes="1" minDate="2015-08-01T00:00:00" maxDate="2016-12-01T00:00:00"/>
    </cacheField>
    <cacheField name="Quantidade de PAs" numFmtId="0">
      <sharedItems containsBlank="1" containsMixedTypes="1" containsNumber="1" containsInteger="1" minValue="3" maxValue="354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Bruno Guerra Ferreira" refreshedDate="42510.77062974537" createdVersion="4" refreshedVersion="4" minRefreshableVersion="3" recordCount="179">
  <cacheSource type="worksheet">
    <worksheetSource ref="A531:AA531" sheet="Priorizados"/>
  </cacheSource>
  <cacheFields count="25">
    <cacheField name="Número do tProcess" numFmtId="0">
      <sharedItems/>
    </cacheField>
    <cacheField name="Projeto" numFmtId="0">
      <sharedItems/>
    </cacheField>
    <cacheField name="Sites" numFmtId="0">
      <sharedItems containsBlank="1"/>
    </cacheField>
    <cacheField name="Origem da Demanda_x000a_(plano de recuperação / S&amp;OP / POP / Operações / Pré Venda / Corporativo)" numFmtId="0">
      <sharedItems containsBlank="1"/>
    </cacheField>
    <cacheField name="Diretoria Solicitante" numFmtId="0">
      <sharedItems containsBlank="1" count="11">
        <s v="Clientes Especiais"/>
        <s v="Vivo   "/>
        <s v="Corporativo"/>
        <s v="Itaú"/>
        <s v="Oi"/>
        <s v="América Móvil"/>
        <s v="Santander"/>
        <m/>
        <s v="Gás Natural Fenosa" u="1"/>
        <s v="BB Maphre" u="1"/>
        <s v="BI" u="1"/>
      </sharedItems>
    </cacheField>
    <cacheField name="Diretor Solicitante" numFmtId="0">
      <sharedItems containsBlank="1"/>
    </cacheField>
    <cacheField name="Gerente Solicitante" numFmtId="0">
      <sharedItems containsBlank="1"/>
    </cacheField>
    <cacheField name="Líder de projetos" numFmtId="0">
      <sharedItems/>
    </cacheField>
    <cacheField name="Líder de Projetos_x000a_Negócios" numFmtId="0">
      <sharedItems containsBlank="1"/>
    </cacheField>
    <cacheField name="Tipo Demanda" numFmtId="0">
      <sharedItems containsBlank="1" count="11">
        <s v="Desenvolvimento"/>
        <s v="Implantação de PA (crescimento, migração ou nova operação)"/>
        <s v="RTI"/>
        <s v="Infraestrutura"/>
        <s v="Upgrade de Tecnologia"/>
        <s v="URA"/>
        <m/>
        <s v="Implantação de PA (crescimento" u="1"/>
        <s v="Crescimento" u="1"/>
        <s v="Migração" u="1"/>
        <s v="migração ou nova operação)" u="1"/>
      </sharedItems>
    </cacheField>
    <cacheField name="Data Criação tProcess" numFmtId="14">
      <sharedItems containsNonDate="0" containsDate="1" containsString="0" containsBlank="1" minDate="2014-07-24T00:00:00" maxDate="2016-10-01T00:00:00"/>
    </cacheField>
    <cacheField name="Dias corridos até hoje" numFmtId="0">
      <sharedItems containsBlank="1" containsMixedTypes="1" containsNumber="1" minValue="2" maxValue="42511"/>
    </cacheField>
    <cacheField name="Definida a prioridade" numFmtId="14">
      <sharedItems containsNonDate="0" containsDate="1" containsString="0" containsBlank="1" minDate="2015-03-24T00:00:00" maxDate="2016-05-21T00:00:00"/>
    </cacheField>
    <cacheField name="Tem cronograma?" numFmtId="14">
      <sharedItems containsBlank="1"/>
    </cacheField>
    <cacheField name="Data da entrega do cronograma" numFmtId="14">
      <sharedItems containsDate="1" containsBlank="1" containsMixedTypes="1" minDate="2016-01-19T00:00:00" maxDate="2016-06-01T00:00:00"/>
    </cacheField>
    <cacheField name="Data Entrega _x000a_Planejada" numFmtId="14">
      <sharedItems containsDate="1" containsBlank="1" containsMixedTypes="1" minDate="2016-01-05T00:00:00" maxDate="2016-12-01T00:00:00"/>
    </cacheField>
    <cacheField name="Data de Entrega Planejada será cumprida?_x000a_(Sim / Não / Risco)" numFmtId="0">
      <sharedItems containsBlank="1"/>
    </cacheField>
    <cacheField name="Farol Geral" numFmtId="0">
      <sharedItems containsNonDate="0" containsString="0" containsBlank="1"/>
    </cacheField>
    <cacheField name="Status_x000a_(log de comentários)" numFmtId="0">
      <sharedItems longText="1"/>
    </cacheField>
    <cacheField name="Qual área está no momento?" numFmtId="0">
      <sharedItems containsBlank="1"/>
    </cacheField>
    <cacheField name="Responsável que está atuando no momento" numFmtId="0">
      <sharedItems containsBlank="1"/>
    </cacheField>
    <cacheField name="Previsão de conclusão da análise da área" numFmtId="0">
      <sharedItems containsDate="1" containsBlank="1" containsMixedTypes="1" minDate="2016-02-29T00:00:00" maxDate="2016-06-15T00:00:00"/>
    </cacheField>
    <cacheField name="Etapa" numFmtId="0">
      <sharedItems/>
    </cacheField>
    <cacheField name="Data Conclusão" numFmtId="14">
      <sharedItems containsDate="1" containsBlank="1" containsMixedTypes="1" minDate="2015-08-01T00:00:00" maxDate="2016-12-01T00:00:00"/>
    </cacheField>
    <cacheField name="Quantidade de PAs" numFmtId="0">
      <sharedItems containsBlank="1" containsMixedTypes="1" containsNumber="1" containsInteger="1" minValue="3" maxValue="354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8">
  <r>
    <s v="CTXFORNA-25436"/>
    <s v="Implantar Front End e discador"/>
    <m/>
    <s v="Plano Recuperação"/>
    <s v="Clientes Especiais"/>
    <x v="0"/>
    <x v="0"/>
    <s v="José Pedro"/>
    <s v="Upgrade de Tecnologia"/>
    <d v="2015-08-18T00:00:00"/>
    <n v="240"/>
    <d v="2015-09-25T00:00:00"/>
    <d v="2015-05-13T00:00:00"/>
    <s v="Risco"/>
    <m/>
    <m/>
    <s v="12/04 - Aguardando Definição de qual polo aspect utilizar. Definição Corporativa. sem prazo. Rico alto de atraso._x000a_22/03 - Em Desenvolvimento...previsão de conclusão do desenvolvimento em Maio/2016;_x000a_15/03 - Recebemos o layout do arquivo raw, equipe de desenvolvimento irá analisar ate amanhã. Desenvolvimento continua...._x000a_01/03 - Foram disponibilizados os Servidores em 26/02. Estamos em fase de desenvolvimento. Evoluindo..._x000a_23/02 - Disponibilizanod os servidores de BD, APP e D-1, até dia 26/02. Em paralelo as confirgurações da aplicação;_x000a_16/02 - Fase 1 de Desenvolvimento concluida. fase 2 em andamento. Em paralelo estamos analisando o espaço de Oracle (servidor) para a aplicação, com data limite até dia 22/02;_x000a_10/02 - Realisando ajustes na topologia para iniciar atividades com CSE. Em Paralelo estamos iniciando as atividades com equipe de desenvolvimento;_x000a_02/02 - Avaliações entre as equipes de Telecom, Discadores e Plataforma;_x000a_26/01 - Equipe de Plataforma esta revendo espaço do Storage pata liberar À equipe de Desenvolvimento. Desenvolvimento em andamento;_x000a_20/01 - devido a necessidade de investimento para upo grade do storage, e os debitos junto a não renovação de contrato com a DELL., estamos buscando 'limpar' o storage atual para tentar assim disponibilizar espaço. Sem Previsão, sendo tratado por Nelsom Klaus._x000a_04/01 - Inicio de ENG em 04/01 e previsão de término em 15/01_x000a_25/11 - Cobrando disponibilização de Servidores para disponibilizar para desenvolvimentos. ainda sem data;_x000a_17/11 - Levantando insumos necessarios para desenvolvimento (servidor de desenvolvimento e Aplicação e BD);_x000a_03/11 - Aguardando avaliação da euiqpe do Rivaldo; sem previsão._x000a_27/10 - Conforme alinhado no ultima reunião de Up Data de Projetos, será avaliado pela equipe do Rivaldo a real necessidade dessa solicitação, se farão correções no By Contax ou outro FF. Ainda sem data;_x000a_Enviado posteriormente/ encaminhar para priorização"/>
    <s v="Desenvolvimento"/>
    <s v="Camila Fermiano"/>
    <s v="N/A"/>
    <s v="Desenvolvimento/Execução"/>
    <m/>
    <n v="40"/>
    <s v="Recuperação"/>
    <n v="78.469200000000001"/>
    <s v="Sim"/>
  </r>
  <r>
    <s v="CTXSPOAP407-13150"/>
    <s v="2a.fase do TTV "/>
    <m/>
    <s v="Plano Recuperação"/>
    <s v="Vivo   "/>
    <x v="1"/>
    <x v="0"/>
    <s v="Wagner Mattos"/>
    <s v="Desenvolvimento"/>
    <d v="2015-10-15T15:34:00"/>
    <n v="181.35138888889196"/>
    <d v="2015-08-01T00:00:00"/>
    <d v="2015-09-30T00:00:00"/>
    <s v="Risco"/>
    <m/>
    <m/>
    <s v="12/04 - Aguardando proposta do Fornecedor que fará a intregraçãentre o TTV e posições da VIVO Fixa; sem previsão;_x000a_18/12 - Aguardando proposta do Fornecedor que fará a intregraçãentre o TTV e posições da VIVO Fixa; sem previsão;_x000a_25/11 - Aguardando proposta de terceiros para desenvolvimento de solução para capturar informações dos 8% de posições restantes (que utilizam InterGrall e Genesys do segmento da FIXA);_x000a_17/11 - TTV implantado em 92% das posiçoes da VIVO (Movel em 100%, fixa 82%, restando vizualizar 258 PAs que são Intergrall e 'Genesys' a definir estratégia);_x000a_03/11 - Realizando algumas configurações de SKILL junto as equipe de Planejamento, Avaya e NICE;_x000a_27/10 - Configurações finalizadas. em fase de homologação. No momento estamos aguardando as correções a serem realizadas pela equipe do Antonio Carlos - Planejamento VIVO, sem prazo informado;_x000a_20/10 - Periodo de configurações entre Contax e NICE. Previsão de conclusão das confgurações de TI, é 28/10;_x000a_06/10 - Aguardando emissão do PC para acionar a NICE, prazo para emissão até 08/10;_x000a_29/09 - Processo de Aprovação de SC e após, gerar pedidos;_x000a_29/09 - ja realizada aprovação do valor (U$34.794,54) em Comitê, sem data;_x000a_22/09 - Já temos a proposta da NICE, e estamos em processo de SC / Aprovações / PC. Após termos os pedido aguardaremos a disponibilização das licenças (em processo normal, o tempo é de até 60 dias, mas vamos trabalhar para ser disponibilizado o mais breve possivel;_x000a_16/09 - Estamos aguardando definição do Rivaldo Barbosa sobre a configuração e licenças da NICE para realizarmos testes (conf. Avaya já Ok desde 04/09). Milene ciente da necessidade de cobrar o Rivaldo._x000a_"/>
    <s v="Desenvolvimento"/>
    <s v="Cristiane Sasaki"/>
    <s v="N/A"/>
    <s v="Desenvolvimento/Execução"/>
    <m/>
    <n v="2950"/>
    <m/>
    <m/>
    <s v="Sim"/>
  </r>
  <r>
    <s v="CTXMTZPB-300"/>
    <s v="Migração de 02 servidores para o Azure (Nuvem)"/>
    <s v="DataCenter"/>
    <s v="BI Corporativo"/>
    <s v="Corporativo"/>
    <x v="2"/>
    <x v="1"/>
    <s v="Pedro Bazzarella"/>
    <s v="Crescimento/Expansão/Migração"/>
    <d v="2015-09-03T00:00:00"/>
    <n v="224"/>
    <d v="2015-10-07T00:00:00"/>
    <d v="2015-10-28T00:00:00"/>
    <s v="Não"/>
    <s v="TBD"/>
    <m/>
    <s v="[12/04] - Aguardando retorno do solicitante , se prosseguiremos como projeto, a partir das cotações apresentadas apara Upgrade._x000a__x000a_[05/04] - Mesmo status _x000a_[29/03] - Mesmo status.[22/03] mesmo status._x000a_Aguardando agenda do solicitante para call tecnico (redução cistos x risco ambiente ) _x000a__x000a_[15/03] - Aguardand o agenda do solicitante para call tecnico (redução cistos x risco ambiente ) ._x000a__x000a_[08/03] - Solicitante pediu revisão de solução ( possibilidade redução custos)._x000a__x000a_[29/02] - Custos encaminhados para analise do Solicitante._x000a__x000a_[23/02] - Aguardando retorno Engenharia._x000a__x000a_[16/02] -  Em  Processo de cotação de insumo de TI para upgrage servidores (em andamento por Engenharia)_x000a__x000a_[10/02] - Processo de cotação de insumo de TI para upgrage servidores está em andamento por Engenharia._x000a__x000a_03/02 -Projeto já Inserido na Fila Klaus. Estava sendo tratado diretamente entre Lustosa e Klaus_x000a__x000a_Status  atual: Equipe de Engenharia está fazendo a cotação de Insumos para Upgrade servidores._x000a__x000a_02/02 - Esclarecendo com Solicitante, pois nessa demanda solicita migração de 2 servidores sem contrato de suporte e alto risco falha, rodando faturamento, relatórios contratuais e informações de trafego do Itau, além sandbox. Projeto aberto Set/15;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08/Set/15 18:56 _x000a_Projeto encaminhado para a Fila de TI-ENG para Análise e estimativa. "/>
    <s v="Solicitante"/>
    <s v="Eder"/>
    <s v="ND"/>
    <s v="Desenho Solução"/>
    <s v="ND"/>
    <s v="N/A"/>
    <s v="Sim"/>
    <m/>
    <s v="Não"/>
  </r>
  <r>
    <s v="CTXMTZPB-510"/>
    <s v="Criação de ambiente de produção - MS Azure ( DATAZEN )"/>
    <s v="DataCenter"/>
    <s v="BI Corporativo"/>
    <s v="Corporativo"/>
    <x v="1"/>
    <x v="1"/>
    <s v="Pedro Bazzarella"/>
    <s v="Crescimento/Expansão/Migração"/>
    <d v="2015-09-22T00:00:00"/>
    <n v="205"/>
    <d v="2015-10-07T00:00:00"/>
    <d v="2015-11-12T00:00:00"/>
    <m/>
    <s v="ND"/>
    <m/>
    <s v="[12/04] - Ações tecnicas em andamento, sendo alinhadas diretamente com solicitante x TI ._x000a__x000a_[05/04] - Ações tecnicas sendo alinhadas diretamente com solicitante ._x000a__x000a_[29/03] - Em andamento . Alinhamento direto entre Engenharia e equipe BI_x000a__x000a_[22/03] - BP aprovado. Fase de desenho solução com Engenharia e BI._x000a__x000a_[15/03] - Aguradando retorno do solicitante (Lustosa) com a aprovação do BP no Comitê._x000a__x000a_[08/03 ] - devido ao parecer tecnico no projeto CTXRJOMA-78762   Projeto - DATAZEN &quot;On Premises&quot;, Mauricio Lustosa seguirá  com a apresentação do BP no comitê._x000a__x000a_[29/02] - BP avaliadopor Engenharia. EM Hold, aguardando avaliação de uma nova proposta de solução utilizando servidores fisicos na Contax. Sendo desenhada em outro projeto._x000a__x000a_[23/02] - Aguardando retorno Engenharia._x000a__x000a_[16/02] -  BP avaliado por  TI e  uma segunda proposta para solução  ( on premises) enviada pelo Solicitante, sendo avaliada por Engenharia TI._x000a__x000a_[10/02] - Solução tecnica sendo avaliada pela Diretoria e Engenharia._x000a__x000a_03/02 - Escopo desse projeto já estava sendo tratado pela equipe do Klaus, direto com equipe Lustosa._x000a__x000a_Klaus havia sinalizado a necessidade do Lustosa apresentar BP para comitê. A discussão desse tema está no email anexo._x000a__x000a_Ação:  esclarecer com Koreeda, se seguiremos sem apresentação BP (email anexo) ._x000a_Trata-se de utilização de Créditos “ já pagos “ pela Contax, para implementação deste Projeto na Nuvem._x000a__x000a_02/02 - Esclarecendo com solicitante. Necessário aprovação de BP (resp. Lustosa), para continuidade do porjeto, por Engenharia.  (+/- US$ 6.682,92)_x000a_Necessário retomar a prioridade deste projeto com Engenharia._x000a_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24/Set/15 15:44 _x000a_Projeto encaminhado para a Fila de TI-ENG para iniciar a Análise e estimativa. "/>
    <s v="ENG"/>
    <s v="M. Lustosa/Eder "/>
    <s v="ND"/>
    <s v="Desenvolvimento/Execução"/>
    <s v="ND"/>
    <s v="N/A"/>
    <s v="Sim"/>
    <m/>
    <s v="Não"/>
  </r>
  <r>
    <s v="CTXRECSA-419337"/>
    <s v="Projetos bolha - TROCA DO WIN7 - a criação da estrutura do tsupervisor, o SMPA não funciona com Win 7."/>
    <s v="Cabula/Santo Amaro"/>
    <s v="Plano Recuperação"/>
    <s v="Itaú"/>
    <x v="1"/>
    <x v="2"/>
    <s v="Marco Brandão"/>
    <m/>
    <d v="2015-09-03T00:00:00"/>
    <n v="224"/>
    <d v="2015-09-25T00:00:00"/>
    <d v="2016-04-28T00:00:00"/>
    <s v="Risco - O Banco ainda não aprovou a utilização do tSupervisor"/>
    <d v="2016-04-28T00:00:00"/>
    <m/>
    <s v="[12/4] - Aguardando aprovação do banco para a utilização do tSupervisor._x000a_[04/04] - Encaminhado ao banco as evidências de segurnaça do tSupervisor._x000a_[29/03] - Mesmo status_x000a_[22/03] - Mesmo status_x000a_[15/03] - Aguardando envio das evidências pela equipe de aplicações, Engenharia e site. _x000a_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_x000a_Aguardando apenas o de acordo para seguir com o projeto. Juliana 20/01_x000a_O banco informou que o De acordo leva em média 10 dias úteis e com este prazo não conseguiremos implantar o t-Supervisor. Ainda permancemos aguardando o De acordo do banco. Débora 23/11_x000a_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_x000a_Projeto previsto para ser concluído em 16/11. Estou aguardando um de acordo do banco para seguir com a execução do projeto. Débora 03/11_x000a_Projeto previsto para ser concluído em 16/11. Estou aguardando um de acordo do banco para seguir com a execução do projeto. Débora 27/10_x000a_Em levantamento com os executores a duração para configuração do t-Supervisor, pois é um pré-requisito para implantar o Win7 e ainda não foi definido um resposável por apresentar a solução ao banco. Débora 20/10._x000a_Ainda não foi definido um resposável por apresentar a solução ao banco. Débora 13/10._x000a_Demanda está em análise. O sistema tSupervisor será apresentado ao banco como uma solução alternativa ao SMPA que não é compatível com o win7. A equipe do Alexandre Morais está responsável por elaborar o material que será apresentado ao banco. Data TBD._x000a_[Fabiana 18/09] - BASE LINE ITAÚ (Windows 7) - Trata-se da análise do sistema T-Supervisor visto que nos testes realizados pelo Rosim há problemas de compatibilidade com o windows 7._x000a_"/>
    <s v="Cliente"/>
    <m/>
    <s v="TDB"/>
    <s v="Análise "/>
    <d v="2016-04-28T00:00:00"/>
    <n v="3076"/>
    <s v="Não"/>
    <s v="-"/>
    <s v="Não"/>
  </r>
  <r>
    <s v="CTXRECSA-422212"/>
    <s v="Projetos bolha - CONTROLE DE ACESSO COM O PROTOCOLO 802.1x "/>
    <s v="Cabula/Santo Amaro"/>
    <s v="Plano Recuperação"/>
    <s v="Itaú"/>
    <x v="3"/>
    <x v="2"/>
    <s v="Marco Brandão"/>
    <m/>
    <d v="2015-09-14T00:00:00"/>
    <n v="213"/>
    <d v="2015-09-25T00:00:00"/>
    <d v="2016-01-26T00:00:00"/>
    <s v="Sim"/>
    <d v="2016-01-26T00:00:00"/>
    <m/>
    <s v="[12/4] - Mesmo status_x000a_[4/4] - Mesmo Status_x000a_[29/03] Cotação com os fornecedores e aguardando geração de Pedido. _x000a_[22/03] - Mesmo status_x000a_[15/03] - Mesmo status_x000a_[08/03] - Aguardando geração de pedido                                                                                                                                                                                                                                                                            [29/02] - Aguardando aprovação da SC. _x000a_[22/02] - Aguardando abertura de SC                                                                                                                                                                                                                                                                                 [16/02] - Solicitado abertura de SC para contratação do fornecedor                                                                [10/02] Mesmo Status                                                                                                                                                                                                                                                                                                                [02/02] - No dia 28/01 foi solicitado a revisão da proposta do fornecedor, estamos aguardando para a criação de SC.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a migração do t-Supervisor, pois é um pré-requisito para a migração do win7. Débora 01/12_x000a_A solução sem custos não funcionou e será necessário a contratação de um fornecedor para executar este projeto. Proposta comercial em análise pelo Banco. Débora 23/11_x000a_A solução sem custos não funcionou e será necessário a contratação de um fornecedor para executar este projeto. Proposta comercial em análise pelo Banco. Débora 17/11_x000a_A solução sem custos não funcionou e será necessário a contratação de um fornecedor para executar este projeto. Proposta comercial em análise pelo Banco. Débora 10/11_x000a_A solução sem custos não funcionou e será necessário a contratação de um fornecedor para executar este projeto. Proposta comercial em análise pelo Banco. Débora 03/11_x000a_A solução sem custos não funcionou e será necessário a contratação de um fornecedor para executar este projeto. Proposta comercial em análise pelo Banco. Débora 27/10_x000a_O piloto está previsto para iniciar em 19/10 à 21/10 no site Mackenzie. Débora 13/10/15._x000a_O piloto está previsto para iniciar em 19/10 à 21/10 no site Mackenzie._x000a_Esse chamado se aplica ao site Santo Amaro. Débora 05/10/15_x000a_[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_x000a_Esse chamado se aplica ao site Santo Amaro."/>
    <s v="Suprimentos"/>
    <m/>
    <d v="2016-04-14T00:00:00"/>
    <s v="Análise"/>
    <d v="2016-11-30T00:00:00"/>
    <n v="3076"/>
    <s v="Não"/>
    <s v="-"/>
    <s v="Não"/>
  </r>
  <r>
    <s v="CTXRECSA-430668"/>
    <s v="Projetos bolha - AUDITORIA REMOTA: (Coleta de Dados Automatizada) - PE-Santo Amaro"/>
    <s v="Cabula/Santo Amaro"/>
    <s v="Plano Recuperação"/>
    <s v="Itaú"/>
    <x v="3"/>
    <x v="2"/>
    <s v="Marco Brandão"/>
    <s v="Outro"/>
    <d v="2015-10-14T00:00:00"/>
    <n v="183"/>
    <d v="2015-10-22T00:00:00"/>
    <s v="Entregue"/>
    <s v="Risco - A equipe técnica está com várias ações concorrentes "/>
    <d v="2016-07-22T00:00:00"/>
    <m/>
    <s v="[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s v="Controle de Ativos"/>
    <s v="Veloso"/>
    <s v="N/A"/>
    <s v="Análise/Desenho"/>
    <d v="2016-07-22T00:00:00"/>
    <n v="3076"/>
    <s v="Não"/>
    <s v="-"/>
    <s v="Não"/>
  </r>
  <r>
    <s v="CTXRECSA-430770"/>
    <s v="Projetos bolha - Aplicações de Hardenings : (Baseline Itaú) - PE-Santo Amaro"/>
    <s v="Cabula/Santo Amaro"/>
    <s v="Plano Recuperação"/>
    <s v="Itaú"/>
    <x v="3"/>
    <x v="2"/>
    <s v="Marco Brandão"/>
    <s v="Outro"/>
    <d v="2015-10-14T00:00:00"/>
    <n v="183"/>
    <d v="2015-10-22T00:00:00"/>
    <s v="TDB"/>
    <s v="Risco - A equipe técnica está com várias ações concorrentes "/>
    <s v="TDB"/>
    <m/>
    <s v="[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s v="SI / Consultoria"/>
    <s v="Rodrigo Marangoni"/>
    <d v="2016-04-08T00:00:00"/>
    <s v="Levantamento de informações"/>
    <s v="TDB"/>
    <n v="3076"/>
    <s v="Não"/>
    <s v="-"/>
    <s v="Não"/>
  </r>
  <r>
    <s v="CTXSALSM-74754"/>
    <s v="Projetos bolha - Troca do sistema WinXP para Win7 em todas as operações do Itaú BA"/>
    <s v="Cabula/Santo Amaro"/>
    <s v="Plano Recuperação"/>
    <s v="Itaú"/>
    <x v="1"/>
    <x v="2"/>
    <s v="Marco Brandão"/>
    <s v="Upgrade de Tecnologia"/>
    <d v="2015-03-18T00:00:00"/>
    <n v="393"/>
    <d v="2015-08-01T00:00:00"/>
    <d v="2016-04-28T00:00:00"/>
    <s v="Risco - O Banco ainda não aprovou a utilização do tSupervisor"/>
    <d v="2016-04-28T00:00:00"/>
    <m/>
    <s v="[12/4] - Mesmo status_x000a_[4/4] - Aguardando aprovação do banco para utilização do tSupervior_x000a_[29/03] - Mesmo Status_x000a_[22/3] - Mesmo status_x000a_[15/03] - Aguardando envio das evidências pela equipe de aplicações, Engenharia e site._x000a_[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Mariana alinhará com o banco itaú como prosseguir neste projeto. Sugestão forneceida por TI, a Contax assinar um termo de confiabilidade para evitar o vazamento de informações, pois para atender ao pedido do banco é necessário bloquear a função  para salvar arquivos e isso impede o surpevisor de executar suas funções administrativas no computador como por exemplo salvar arquivos de word, ppt, excel, e-mails e entre outros. Débora 01/12 _x000a_Em desenvolvimento a nova versão do material solicitado pelo Banco. A nova funcionalidade questionada pelo Itaú a principio é inviável. Débora 23/11_x000a_O pedido foi negado pelo banco e solicitou para TI desenvoler uma nova versão do documento sobre o t-Suervisor. Débora 17/11_x000a_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O t-Supervisor é um pré-requisito para migrar o sistema winxp para win7. Débora 10/11 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s v="Cliente"/>
    <m/>
    <s v="TDB"/>
    <s v="Desenvolvimento/Execução"/>
    <d v="2016-04-28T00:00:00"/>
    <n v="3076"/>
    <s v="Não"/>
    <s v="-"/>
    <s v="Não"/>
  </r>
  <r>
    <s v="CTXSALSM-83016"/>
    <s v="Projetos bolha - AUDITORIA REMOTA: (Coleta de Dados Automatizada) - BA-Cabula"/>
    <s v="Cabula/Santo Amaro"/>
    <s v="Plano Recuperação"/>
    <s v="Itaú"/>
    <x v="3"/>
    <x v="2"/>
    <s v="Marco Brandão"/>
    <s v="Outro"/>
    <d v="2015-10-14T00:00:00"/>
    <n v="183"/>
    <d v="2015-10-22T00:00:00"/>
    <s v="TDB"/>
    <s v="Sim"/>
    <d v="2016-01-28T00:00:00"/>
    <m/>
    <s v="[12/4] - Solicitado apoio da equipe do Veloso para iniciar as atividades do projeto. _x000a_[4/4] - Aguardando data do cronograma para inicio das atividades_x000a_[29/03] - Mesmo status_x000a_[22/0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10/02] - Mesmo status                                                                                                                        [02/02] Levantamento dos insumos para compra. _x000a_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 Débora 18/12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s v="Controle de Ativos"/>
    <s v="Veloso"/>
    <s v="N/A"/>
    <s v="Análise/Desenho"/>
    <d v="2016-07-22T00:00:00"/>
    <n v="3076"/>
    <s v="Não"/>
    <s v="-"/>
    <s v="Não"/>
  </r>
  <r>
    <s v="CTXSALSM-83029"/>
    <s v="Projetos bolha - Aplicações de Hardenings : (Baseline Itaú) - BA-Cabula"/>
    <s v="Cabula/Santo Amaro"/>
    <s v="Plano Recuperação"/>
    <s v="Itaú"/>
    <x v="3"/>
    <x v="2"/>
    <s v="Marco Brandão"/>
    <s v="Outro"/>
    <d v="2015-10-14T00:00:00"/>
    <n v="183"/>
    <d v="2015-10-22T00:00:00"/>
    <s v="TDB"/>
    <s v="Risco - A equipe técnica está com várias ações concorrentes "/>
    <s v="TDB"/>
    <m/>
    <s v="[12/4] - Aguardando envio de proposta comercial das consultorias. O prazo era até dia 8/4. _x000a_[4/4] - Veloso entregou a lista de equipamentos e SI esta avaliando as informações. Prazo de avaliação 4/4_x000a_29/03 - Mesmo status_x000a_[22/03] - Aguardando informações do Veloso_x000a_[15/03] - Mesmo status_x000a_ [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03/11_x000a_Levantamento de custo e cronograma previsto para 13/11. Débora 27/10_x000a_22/10 - Baseline Itaú – Hardenings: Levantamento de custo e cronograma previsto para 13/11. "/>
    <s v="SI / Consultoria"/>
    <s v="Rodrigo Marangoni"/>
    <d v="2016-04-08T00:00:00"/>
    <s v="Levantamento de informações"/>
    <s v="TDB"/>
    <n v="3076"/>
    <s v="Não"/>
    <s v="-"/>
    <s v="Não"/>
  </r>
  <r>
    <s v="CTXSPOAP407-10410"/>
    <s v="Projeto RTI Vivo - Integração TClock x Logon no vivo 360"/>
    <s v="Antártica/SP"/>
    <s v="Plano Recuperação"/>
    <s v="Vivo   "/>
    <x v="4"/>
    <x v="2"/>
    <s v="Wagner Mattos"/>
    <s v="RTI"/>
    <d v="2015-05-27T12:40:00"/>
    <n v="322.47222222221899"/>
    <d v="2015-08-01T00:00:00"/>
    <s v="Desenvolvimento ate 15/09/15"/>
    <m/>
    <m/>
    <m/>
    <s v="[11/04] - Piloto programado para o dia 18/04/16, conforme solicitação da operação. _x000a_[4/4] - Aguardando validação do site para iniciarmos o piloto no dia 18/4_x000a_[29/03] - Operação aprovou iniciar o piloto e sugeriu data do dia 18/4._x000a_ [22/03] - Acompanhamento in loco feito entre os dias 15 e 18 de Março. Posicionamento será feito até o dia 23/03/16. _x000a_[15/03] -  Equipe de automações fará acompanhamento in loco na semana de 15 a 18/03. _x000a_[08/03] - Operação realizou novos testes e foram identificados que os erros não são relacionados ao RTI. Aguardando melhor data para o piloto e informações das 20 PAs para o piloto.                                                                                                                                                                                                                                                                                                                                          01/03/16: Pendente a verificação de erro apontado pela operação._x000a_22/02/16: Piloto será iniciado em 24/02. Data de rollout a ser validada com a operação._x000a_15/02/16 - nova versão corrigida será entregue em 16/02/16 - Data de Piloto e Rollout a ser validada com operação._x000a_10/02 - Mesmo status_x000a_05/02 - Encontrado problemas técnicos na aplicação durante período de testes. Em análise pela equipe de RTI. Nova data para início do piloto a ser informada no dia 12/02_x000a_01/02: Início do piloto alterado para 02/02 a pedido de negócio._x000a_26/01 - Mesmo status _x000a_18/01/16 - Aguardando formalização de quais os sites e operações deverão receber a solução. Pendência PMO Negócios. Mariana APP "/>
    <s v="Site"/>
    <s v="Cleverson"/>
    <s v="TDB"/>
    <s v="Homologação"/>
    <m/>
    <m/>
    <s v="Recuperação"/>
    <n v="125.886"/>
    <s v="Sim"/>
  </r>
  <r>
    <s v="CTXSPOAP407-10425"/>
    <s v="Automação do Saldo de Recarga e Bônus"/>
    <s v="Antártica/SP"/>
    <s v="Plano Recuperação"/>
    <s v="Vivo   "/>
    <x v="4"/>
    <x v="2"/>
    <s v="Wagner Mattos"/>
    <s v="RTI"/>
    <d v="2015-05-27T15:43:00"/>
    <n v="322.34513888888614"/>
    <d v="2015-08-01T00:00:00"/>
    <s v="Desenvolvimento ate 01/12/15"/>
    <m/>
    <m/>
    <m/>
    <s v="[11/04] - Análise realizada pela NICE. Feita alteração na solução. Testes internos até 15/04. _x000a_[4/4] - A avliação do erro esta sendo conduzida pela equipe de desnvolevimento e NICE. Análise com a NICE será feita no dia 04/04/16. _x000a_[29/03] - Aguardando recurso para elaboração de laudo. Previsto para 04/05/16 a 17/05/16 01/03/16: Pendente envio de OG._x000a_ [15/03] - Mesmo status_x000a_[08/03] - Aguardando recurso para elaboração de laudo. Previsto para 04/05/16 a 17/05/16 01/03/16: Pendente envio de OG._x000a_22/02/16: Pendente o envio do diagnóstico com análise dos problemas previsto para 04/03._x000a_15/02/16 - data da data para diagnóstico em 17/02/16 - Dificuldades de acesso aos sistemas da operação._x000a__x000a_10/02 - Em análise dos problemas com diagnoticos previstos para dia 12/02. Ainda sem previsão quanto ao rollout_x000a_01/02: Parecer dos testes será enviado em 02/02._x000a_26/01 – Agendado novos testes com a presença de TI e Negócios na operação para 27 e 28 /01._x000a_18/01/16 - Operação enviará até a data de 18/01 o resultado de novos testes de performance. Aguardando ok para seguir com rollout. _x000a_"/>
    <s v="RTI"/>
    <s v="Bruno"/>
    <d v="2016-05-17T00:00:00"/>
    <s v="Análise"/>
    <m/>
    <m/>
    <s v="Recuperação"/>
    <n v="27.93"/>
    <s v="Sim"/>
  </r>
  <r>
    <s v="CTXMTZRP-39707"/>
    <s v="DAC Único Fixa"/>
    <s v="Borges de Melo/CE"/>
    <s v="Plano Recuperação"/>
    <s v="Oi"/>
    <x v="0"/>
    <x v="3"/>
    <m/>
    <s v="Requisição de Serviços"/>
    <d v="2015-03-23T13:54:00"/>
    <n v="387.42083333332994"/>
    <d v="2015-08-01T00:00:00"/>
    <m/>
    <m/>
    <m/>
    <m/>
    <s v="Edison Nei Siqueira added a comment - 12/Abr/16 17:41_x000a_Além da necessidade de insumos sinalizada por engenharia, hoje recebi o retorno de que a demanda estará Freezing até que seja definida a situação da regional BH com relação a desmobilização ou não do CPD._x000a__x000a_Edison Nei Siqueira added a comment - 05/Abr/16 16:47_x000a_Continuamos na busca de insumos junto a controle de ativos, conseguimos os gabinetes e agora estamos buscando 20 placas DS1._x000a__x000a_Edison Nei Siqueira added a comment - 29/Mar/16 15:12_x000a_Estamos buscando internamente junto a controle de ativos os insumos solicitados pela área de engenharia Telecom. _x000a_20 Placas DS1 e 02 Gabinetes Avaya._x000a__x000a_Edison Nei Siqueira added a comment - 08/Mar/16 17:01_x000a_Demanda reinserida na fila de engenharia para analise e desenho de solução, previsão de entrega entre 07/03/16 e 18/03/16. Após o retorno vamos agendar o kick off do projeto._x000a__x000a_[29/02] - Projeto na fila de execução. Aguardando priorização, para alocação de recurso Telecom _x000a_[16/02] - A equipe Telecom reavaliou o cenário e fez as respectivas considerações e ajustes na topologia. Seguiremos com a centralização dessa ultima onda de ramais para DAC MG A. Ramais sendo mapeados par a oanalise de esforço e criar plano de ação._x000a__x000a_Edison Nei Siqueira added a comment - 02/Fev/16 10:57_x000a_Recebemos ontem dia 01/02/2016 o retorno da quantidade de PAs envolvidas na demanda, agora vamos aguardar a conclusão da analise de Engenharia._x000a__x000a_Edison Nei Siqueira added a comment - 26/Jan/16 08:13_x000a_Demanda em analise junto a engenharia com previsão de entrega da analise para o dia 29/01/2016._x000a__x000a_Edison Nei Siqueira added a comment - 21/Jan/16 10:18_x000a_Demanda na fila de Engenharia para analise._x000a__x000a_Edison Nei Siqueira added a comment - 01/Dez/15 11:34_x000a_Fabrício, por gentileza verificar se a demanda seguirá, visto que a mesma requer investimento._x000a__x000a_Edison Nei Siqueira added a comment - 03/Nov/15 12:11_x000a_Aguardando aprovação interna de investimentos para solicitar a abertura de contratação dos links junto a OI._x000a__x000a_Edison Nei Siqueira added a comment - 20/Out/15 17:58_x000a_Aguardando aprovação interna de investimentos para solicitar a abertura de contratação dos links junto a OI._x000a__x000a_Edison Nei Siqueira added a comment - 05/Out/15 08:39_x000a_Aguardando aprovação interna de investimentos para solicitar a abertura de contratação dos links junto a OI._x000a__x000a_Edison Nei Siqueira added a comment - 22/Set/15 18:44_x000a_Aguardando aprovação interna de investimentos para solicitar a abertura de contratação dos links junto a OI."/>
    <s v="Engenharia - Telecom"/>
    <s v="Gutenberg Bastos"/>
    <d v="2016-03-18T00:00:00"/>
    <s v="Analise de Engenharia"/>
    <m/>
    <n v="1174"/>
    <s v="Sim"/>
    <s v="A definir"/>
    <s v="Não"/>
  </r>
  <r>
    <s v="CTXMTZRP-43360"/>
    <s v="Integração do discador Aspect com a ferramenta Evalyze "/>
    <s v="Rio Comprido"/>
    <s v="Plano Recuperação"/>
    <s v="Oi"/>
    <x v="0"/>
    <x v="3"/>
    <s v="Fabrício Peixoto"/>
    <s v="Desenvolvimento"/>
    <d v="2015-08-03T18:09:00"/>
    <n v="254.24375000000146"/>
    <d v="2015-08-01T00:00:00"/>
    <s v="TBD"/>
    <s v="-"/>
    <s v="-"/>
    <m/>
    <s v="Edison Nei Siqueira added a comment - 12/Abr/16 17:44_x000a_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_x000a__x000a_Edison Nei Siqueira added a comment - 05/Abr/16 16:51_x000a_Reunião de kick off planejada para a próxima semana junto a Closer, áreas especialistas e operações.._x000a__x000a_Edison Nei Siqueira added a comment - 29/Mar/16 15:32_x000a_SC aprovada e pedido gerado para o fornecedor, o Oi deu previsão de instalação dos links E1s para 18/05. _x000a__x000a_Aguardando reunião de kick off junto as áreas especialistas e o fornecedor Closer._x000a__x000a_Demanda será inserida no pipe das áreas especialistas para que seja agendada a reunião de kick off._x000a_Edison Nei Siqueira added a comment - 08/Mar/16 17:33_x000a_Aprovada a EF pela OI em 29/02 _x000a_Aguardando retorno da OI para a disponibilização dos 25 links.Prazo: TBD _x000a__x000a_Em levantamento das informações para preparação do material de defesa no comitê de caixa. Foi solicitado apoio para o Fábio Koreeda e Milene, pois não conseguimos identificar o valor da licença mensal do Aspect - Prazo: TBD_x000a__x000a_[16/02] - Custos do desenvolvimento aguardando aprovação do Comitê de Caixa._x000a__x000a_[10/02] - - EF encaminhada para fornecedor e custos de desenvolvimento estão aguardando aprovação comitê caixa_x000a__x000a_Edison Nei Siqueira added a comment - 02/Fev/16 11:36_x000a_aguardando retorno do fornecedor com relação a analise da EF._x000a__x000a_Edison Nei Siqueira added a comment - 26/Jan/16 11:52_x000a_EF anexada ao chamado de projeto, estamos aguardando o posicionamento com relação a plataforma a ser utilizada e a solicitação dos E1s junto a Oi._x000a__x000a_Edison Nei Siqueira added a comment - 21/Jan/16 13:0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18/Dez/15 11:5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01/Dez/15 14:44_x000a_Previsão de receber até o dia de amanhã 02/12 o desenho da solução por parte de ENG com a solução proposta para a implementação do discador._x000a__x000a_Edison Nei Siqueira added a comment - 24/Nov/15 17:02_x000a_Começamos a receber hoje as EFs com ajustes solicitados pela equipe de App, assim que for concluída a Análise estaremos dividindo com os envolvidos._x000a_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_x000a__x000a_Edison Nei Siqueira added a comment - 27/Out/15 18:09 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 _x000a__x000a_Edison Nei Siqueira added a comment - 20/Out/15 19:24_x000a_Aguardando retorno da área de negócios com relação ao levantamos de insumos para prover a aprovação da demanda no comitê de gastos._x000a__x000a_Edison Nei Siqueira added a comment - 06/Out/15 15:16_x000a_Aguardando retorno da área de negócios com relação ao levantamos de insumos para prover a aprovação da demanda no comitê de gastos_x000a__x000a_Edison Nei Siqueira added a comment - 09/Set/15 15:10 _x000a_Recebido e encaminhado para Análise de aplicações NGR, aguardando retorno da priorização. _x000a_+P22"/>
    <s v="Negócios"/>
    <s v="Livia Henriques"/>
    <s v="TBD"/>
    <s v="Análise"/>
    <s v="TBD"/>
    <n v="250"/>
    <s v="Sim"/>
    <s v="A definir"/>
    <s v="Sim"/>
  </r>
  <r>
    <s v="CTXMTZRP-43574"/>
    <s v="1- Plano de Recuperação - Projeto Rentabilização BO Anatel Automações (RTIs) - Direcionamento Automático para Área Sem SLOT_x000a_"/>
    <m/>
    <s v="Plano Recuperação"/>
    <s v="Oi"/>
    <x v="4"/>
    <x v="2"/>
    <s v="Fernanda Nazário"/>
    <s v="RTI"/>
    <d v="2015-08-11T17:53:00"/>
    <n v="246.2548611111124"/>
    <d v="2015-08-01T00:00:00"/>
    <s v="TBD _x000a_Depende  Análise / Desenho"/>
    <s v="-"/>
    <s v="-"/>
    <m/>
    <s v="[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 [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_x000a_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22/01 – Pendente revisão da EF que foi entregue._x000a_18/01 - Em análise de EF. Até 26/01 para retorno OG/ pendências._x000a_Edison Nei Siqueira added a comment - 18/Dez/15 12:03_x000a_EF em analise pela área de desenvolvimento, aguardando retorno da operação.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31_x000a_Entrega das EFs atualizadas pela area de PMO Negócios prevista para o dia 19/11._x000a__x000a_dison Nei Siqueira added a comment - 03/Nov/15 14:49_x000a_Foi solicitada a revalidação das EFs, levando em consideração que não teremos mais o JIRA e nem identificamos a validação da rotina de carga do mailing e afins._x000a__x000a_Edison Nei Siqueira added a comment - 06/Out/15 15:18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s v="RTI"/>
    <s v="Bruno"/>
    <s v="TDB"/>
    <s v="Análise"/>
    <m/>
    <m/>
    <s v="Recuperação"/>
    <m/>
    <s v="Sim"/>
  </r>
  <r>
    <s v="CTXMTZRP-43575"/>
    <s v="2- Plano de Recuperação - Projeto Rentabilização BO Anatel Automações (RTIs) - Direcionamento Automático para Área Potes Não Agendáveis "/>
    <m/>
    <s v="Plano Recuperação"/>
    <s v="Oi"/>
    <x v="4"/>
    <x v="2"/>
    <s v="Fernanda Nazário"/>
    <s v="RTI"/>
    <d v="2015-08-11T17:55:00"/>
    <n v="246.25347222221899"/>
    <d v="2015-08-01T00:00:00"/>
    <s v="TBD _x000a_Depende  Análise / Desenho"/>
    <s v="-"/>
    <s v="-"/>
    <m/>
    <s v="[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 Pendente revisão da EF que foi entregue._x000a_18/01 - Aguarda EF_x000a_Edison Nei Siqueira added a comment - 18/Dez/15 12:10_x000a_EF em analise pela área de desenvolvimento, aguardando retorno da operação. 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48_x000a_Entrega das EFs atualizadas pela area de PMO Negócios prevista para o dia 19/11. _x000a__x000a_Edison Nei Siqueira added a comment - 03/Nov/15 14:50_x000a_Foi solicitada a revalidação das EFs, levando em consideração que não teremos mais o JIRA e nem identificamos a validação da rotina de carga do mailing e afins. _x000a__x000a_Edison Nei Siqueira added a comment - 20/Out/15 19:25_x000a_Aguardando retorno da área de negócios com relação ao levantamos de insumos para prover a aprovação da demanda no comitê de gastos. _x000a__x000a_Edison Nei Siqueira added a comment - 06/Out/15 15:22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s v="RTI"/>
    <s v="Bruno"/>
    <s v="TDB"/>
    <s v="Análise"/>
    <m/>
    <m/>
    <s v="Recuperação"/>
    <m/>
    <s v="Sim"/>
  </r>
  <r>
    <s v="CTXMTZRP-43579"/>
    <s v="Plano de Recuperação - Projeto Rentabilização BO Anatel Automações (RTIs) - Não recebimento de gravações de atendimento."/>
    <m/>
    <s v="Plano Recuperação"/>
    <s v="Oi"/>
    <x v="4"/>
    <x v="2"/>
    <s v="Fernanda Nazário"/>
    <s v="RTI"/>
    <d v="2015-08-11T18:00:00"/>
    <n v="246.25"/>
    <d v="2015-08-01T00:00:00"/>
    <s v="TBD _x000a_Depende  Análise / Desenho"/>
    <s v="-"/>
    <s v="-"/>
    <m/>
    <s v="[12/4] - Infra entregue dia 11/4. Aguardando teste de liberação de rede. _x000a_[5/4] - A entrega da infra estava programada para dia 4/4, porém tivemos alguns problemas em produção e será reprogramado a entrega. Novo prazo de entrega da infra 11/4. _x000a_[29/03] - O ambiente de infra será entregue dia 4/4. Pendências: Equipe de desnvolvimento solicitou o usuário CHR especial pra executar macros. Prazo TDB /Necessário Planejamento para UAT, Piloto e Rollout. Prazo TDB_x000a_[22/03] Aguardando data para a entrega do ambiente de infra. Previsto 24/3_x000a_[14/03] - Nesta semana a solução de engenharia foi aprovada e vamos direcionar para a fila de CSE para a configuração do ambiente e replanejamento da data de UAT._x000a_[08/03] - Solução em desenvolvimento. Ponto de Atenção: está pendente a definição de fluxo para registro de transação no STC.                                                                                      01/03/16: Mesmo status_x000a_22/02/16: Em desenvolvimento, pendente criação do ambiente de testes_x000a_15/02/16 - OG aprovada em 10/02/16._x000a_15/02 - Início do piloto em 10/03_x000a_11/02 - Desenvolvimento até 04/03_x000a_10/02 - Mesmo status_x000a_05/02 - Enviada OG em 03/02. Aguardando aprovação de negócios_x000a_02/02 - Mesmo status_x000a_27/01: EF recebida. Em análise por TI para OG até 03/02._x000a_26/01 – Pendente revisão da EF que foi entregue._x000a_18/01 - Aguarda EF_x000a_Edison Nei Siqueira added a comment - 18/Dez/15 12:13_x000a_Aguardando a elaboração da EF por parte de operações para analise da equipe de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ntrega das EFs atualizadas pela area de PMO Negócios prevista para o dia 19/11. _x000a__x000a_Edison Nei Siqueira added a comment - 03/Nov/15 14:54_x000a_Foi solicitada a revalidação das EFs, levando em consideração que não teremos mais o JIRA e nem identificamos a validação da rotina de carga do mailing e afins._x000a__x000a_Edison Nei Siqueira added a comment - 20/Out/15 19:28_x000a_Recebido e encaminhado para Análise de aplicações NGR, aguardando retorno da priorização._x000a__x000a_Edison Nei Siqueira added a comment - 09/Set/15 15:15_x000a_Recebido e encaminhado para Análise de aplicações NGR, aguardando retorno da priorização."/>
    <s v="RTI"/>
    <s v="Bruno"/>
    <m/>
    <s v="Em Desenvolvimento"/>
    <m/>
    <m/>
    <s v="Recuperação"/>
    <m/>
    <s v="Sim"/>
  </r>
  <r>
    <s v="CTXMTZRP-43581"/>
    <s v="Plano de Recuperação - Projeto Rentabilização BO Anatel Automações (RTIs) - Serviço proteção ao crédito"/>
    <m/>
    <s v="Plano Recuperação"/>
    <s v="Oi"/>
    <x v="4"/>
    <x v="2"/>
    <s v="Fernanda Nazário"/>
    <s v="RTI"/>
    <d v="2015-08-11T18:03:00"/>
    <n v="246.24791666666715"/>
    <d v="2015-08-01T00:00:00"/>
    <s v="TBD _x000a_Depende  Análise / Desenho"/>
    <s v="-"/>
    <s v="-"/>
    <m/>
    <s v="[11/04] - Usuário do Serasa sem acesso as telas necessárias. Aguardando para dar continuidade nos testes de conectividade._x000a_ [04/04] Aguardando usuários SPC Serasa para iniciar a análise da EF. _x000a_[29/03] - Pendente usuário do SPC e Serasa para validar a EF. Após acesso, será analisado a EF. Prazo de 5 dias úteis._x000a_[22/03] Aguardando devolução da EF previsto para dia 21/03._x000a_[16/03] - Recebimento da EF dia 14/03. Prazo para devolução 21/03._x000a_08/03/16: Mesmo status  _x000a_ 01/03/16: Mesmo status_x000a_22/02/16: Pendente envio de EF_x000a_15/02 - Análise de EF_x000a_10/02 - Mesmo status_x000a_02/02 - Mesmo status_x000a_27/01: Aguarda o envio da EF._x000a_26/01 – Pendente revisão da EF que foi entregue._x000a_18/01 - Aguarda EF_x000a_Edison Nei Siqueira added a comment - 18/Dez/15 12:31_x000a_EF recebida em 08/12, foi concluída a analise pela equipe de aplicações e foi identificada a necessidade de ajustes, estamos aguardando o retorno da operação para prosseguir no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dison Nei Siqueira added a comment - 17/Nov/15 17:06_x000a_Entrega das EFs atualizadas pela area de PMO Negócios prevista para o dia 19/11._x000a__x000a_Edison Nei Siqueira added a comment - 03/Nov/15 15:01_x000a_Foi solicitada a revalidação das EFs, levando em consideração que não teremos mais o JIRA e nem identificamos a validação da rotina de carga do mailing e afins. _x000a__x000a_Edison Nei Siqueira added a comment - 20/Out/15 19:32_x000a_Aguardando retorno da área de negócios com relação ao levantamos de insumos para prover a aprovação da demanda no comitê de gastos._x000a__x000a_Edison Nei Siqueira added a comment - 06/Out/15 15:29_x000a_Aguardando retorno da área de negócios com relação ao levantamos de insumos para prover a aprovação da demanda no comitê de gastos._x000a__x000a_Edison Nei Siqueira added a comment - 09/Set/15 15:15_x000a_Recebido e encaminhado para Análise de aplicações NGR, aguardando retorno da priorização."/>
    <s v="Negócios"/>
    <s v="Fernanda Nazário"/>
    <s v="TDB"/>
    <s v="Análise"/>
    <m/>
    <m/>
    <s v="Recuperação"/>
    <m/>
    <s v="Sim"/>
  </r>
  <r>
    <s v="CTXRECSA-403870"/>
    <s v="Disponibilizar Gravação NICE na Operação SOC GFE PE/RJ e SOC OffLines"/>
    <s v="Engenho/Mauá/Sto Amaro"/>
    <s v="Plano Recuperação"/>
    <s v="Oi"/>
    <x v="0"/>
    <x v="3"/>
    <s v="José Pedro"/>
    <s v="Upgrade de Tecnologia"/>
    <d v="2015-07-14T18:32:00"/>
    <n v="274.2277777777781"/>
    <d v="2015-08-01T00:00:00"/>
    <d v="2015-10-02T00:00:00"/>
    <s v="Não"/>
    <d v="2015-10-07T00:00:00"/>
    <m/>
    <s v="Edison Nei Siqueira added a comment - 05/Abr/16 16:54_x000a_Pedido para aquisição dos HDs gerado e aguardando o prazo de entrega do fornecedor DELL._x000a__x000a_29/03 - Mesmo status_x000a_Edison Nei Siqueira added a comment - 08/Mar/16 17:36_x000a_SC aprovada aguardando a geração do pedido por parte de suprimentos._x000a__x000a_[29/02] -SCs aprovadas, aguardando  criação pedido._x000a__x000a_16/02] - SCs aprovadas, aguardando  criação pedido._x000a__x000a_[10/02] -  Aguardando Aprovação SC e criação pedidos: (Resp: Koreeda) _x000a_SC 38083_x000a_SC 38084_x000a__x000a_Edison Nei Siqueira added a comment - 26/Jan/16 12:06_x000a_SC para aquisição dos HDs lançada e aguardando aprovação._x000a__x000a_Edison Nei Siqueira added a comment - 21/Jan/16 13:03_x000a_Aguardando lançamento de SC para aquisição de discos e tratar GAPs da regional RJ._x000a__x000a_Edison Nei Siqueira added a comment - 18/Dez/15 12:39_x000a_Continuamos tratando GAPs pontuais com relação a alguns acessos e problemas de gravações em alguns ramais._x000a__x000a_Edison Nei Siqueira added a comment - 17/Nov/15 17:09_x000a_Continuamos tratando GAPs pontuais com relação a alguns acessos e problemas de gravações em alguns ramais._x000a__x000a_Edison Nei Siqueira added a comment - 20/Out/15 19:42_x000a_Em andamento a validação da instalação do NICE Perfomance nas posições de gestão da operação._x000a__x000a_Edison Nei Siqueira added a comment - 13/Out/15 14:57_x000a_Configuração de infraestrutura concluída e ambas as regionais sendo gravadas. _x000a_Regional CE - 100% configurada. Iniciamos a gravação das PAs da operação SOC PE no dia 02/10. _x000a_Regional RJ - 100% configurada, em andamento a instalação do NICE Perfomance nas posições de gestão da operação._x000a__x000a_Edison Nei Siqueira added a comment - 06/Out/15 16:16_x000a_Configuração de infraestrutura: _x000a_Regional CE - 100% configurada. Iniciamos a gravação das PAs da operação SOC PE no dia 02/10. _x000a_Regional RJ - 40% configurada, com dificuldade com relação ao Switch extreme, realizamos a instalação física, estamos em processo de configuração lógica._x000a__x000a_Edison Nei Siqueira added a comment - 29/Set/15 16:12_x000a_Configuração de infraestrutura: _x000a_Regional CE - 85% configurada. _x000a_Regional RJ - 40% configurada, com dificuldade com relação ao Switch extreme."/>
    <s v="Negócios"/>
    <s v="Elaine Fortunato"/>
    <s v="TBD"/>
    <s v="Roll Out"/>
    <m/>
    <n v="702"/>
    <s v="Sim"/>
    <s v="A definir"/>
    <s v="Sim"/>
  </r>
  <r>
    <s v="CTXRJOMA-72849"/>
    <s v="Evalyze Lista de Espera "/>
    <s v="Mauá"/>
    <s v="Operações que não estão no Plano de Recuperação"/>
    <s v="Oi"/>
    <x v="1"/>
    <x v="3"/>
    <s v="Livia Rodrigues"/>
    <s v="Desenvolvimento"/>
    <d v="2015-08-01T00:00:00"/>
    <n v="257"/>
    <d v="2015-09-25T00:00:00"/>
    <s v="TBD_x000a_Depende da analise do fornecedor"/>
    <s v="-"/>
    <s v="-"/>
    <m/>
    <s v="Edison Nei Siqueira added a comment - 12/Abr/16 17:46_x000a_Aguardando verificação junto ao fornecedor Closer se teremos proposta comercial para o desenvolvimento ou se será diluído no pool de horas junto a Contax._x000a__x000a_29/03 - Mesmo status_x000a_Edison Nei Siqueira added a comment - 15/Mar/16 09:51_x000a_Aguardando posicionamento da área de negócios._x000a__x000a_[16/02] - Aguardando retorno Fornecedor. Closer._x000a__x000a_02/02 - Mesmo status_x000a_Edison Nei Siqueira added a comment - 26/Jan/16 12:09_x000a_Aguardando retorno do fornecedor Closer com relação a analise da EF._x000a__x000a_Edison Nei Siqueira added a comment - 18/Dez/15 12:55_x000a_Aguardando retorno do fornecedor Closer com relação a analise da EF. _x000a__x000a_Edison Nei Siqueira added a comment - 17/Nov/15 17:12_x000a_Recebida a EF e encaminhada para o fornecedor Close, aguardando posicionamento da área de GSEG para seguir com a abertura dos chamados de liberação e inserção da caixa de e-mail do fornecedor na mailbox da operação._x000a__x000a_Edison Nei Siqueira added a comment - 10/Nov/15 17:26_x000a_Conforme audio realizada junto a GSEG e o Fornecedor Close, ficamos aguardando a EF atualizada com as informações alinhadas na audio._x000a__x000a_Edison Nei Siqueira added a comment - 03/Nov/15 15:25_x000a_Aguardando o de acordo da gerente da operação para abertura de chamados de liberações._x000a__x000a_Edison Nei Siqueira added a comment - 20/Out/15 19:49_x000a_Realizado reunião com o fornecedor Close para entendimento e definição de modos operantes da operação._x000a__x000a_Edison Nei Siqueira added a comment - 06/Out/15 16:27_x000a_Continuamos aguardando um posicionamento da equipe de melhoria continua e projetos da operação para seguir com a demanda_x000a__x000a_Edison Nei Siqueira added a comment - 29/Set/15 16:05_x000a_Continuamos aguardando um posicionamento da equipe de melhoria continua e projetos da operação para seguir com a demanda_x000a__x000a_Edison Nei Siqueira added a comment - 16/Set/15 11:17_x000a_Continuamos aguardando um posicionamento da equipe de melhoria continua e projetos da operação para seguir com a demanda."/>
    <s v="Fornecedor"/>
    <s v="Daniel Closer"/>
    <s v="TBD"/>
    <s v="Na Fila"/>
    <m/>
    <n v="42"/>
    <s v="Sim"/>
    <s v="A definir"/>
    <s v="Não"/>
  </r>
  <r>
    <s v="CTXRJOMA-73573"/>
    <s v="Front End do OFF Line - Melhoria TLV OFF Line"/>
    <s v="Mauá"/>
    <s v="Plano Recuperação"/>
    <s v="Oi"/>
    <x v="1"/>
    <x v="3"/>
    <m/>
    <s v="Desenvolvimento"/>
    <d v="2015-08-01T00:00:00"/>
    <n v="257"/>
    <d v="2015-08-01T00:00:00"/>
    <m/>
    <m/>
    <m/>
    <m/>
    <s v="Edison Nei Siqueira added a comment - 05/Abr/16 16:56_x000a_SC aprovada, aguardando geração de pedido para o fornecedor._x000a__x000a_29/03 - Mesmo status_x000a_[16/02] - Aguardando aprovação SCs_x000a__x000a_[10/02] - Aguardando Aprovação SC e criação pedidos: Resp: ( Marcos Barbosa e Koreeda)_x000a_SC 37750_x000a_SC 37751_x000a__x000a_Edison Nei Siqueira added a comment - 26/Jan/16 12:10_x000a_Aguardando aprovação da SC e geração do pedido para acionar o fornecedor._x000a__x000a_Edison Nei Siqueira added a comment - 21/Jan/16 14:27_x000a_Aguardando aprovação da SC e geração do pedido para acionar o fornecedor._x000a__x000a_Edison Nei Siqueira added a comment - 03/Nov/15 15:26_x000a_Aguardando posicionamento com relação ao comitê de gastos para prosseguir com o lançamento da SC._x000a__x000a_Edison Nei Siqueira added a comment - 20/Out/15 19:51_x000a_Aguardando posicionamento com relação ao comitê de gastos para prosseguir com o lançamento da SC._x000a__x000a_Edison Nei Siqueira added a comment - 06/Out/15 16:29_x000a_Aguardando posicionamento com relação ao comitê de gastos para prosseguir com o lançamento da SC._x000a__x000a_Edison Nei Siqueira added a comment - 29/Set/15 16:04_x000a_aguardando posicionamento com relação ao comitê de gastos para prosseguir com o lançamento da SC._x000a__x000a_Edison Nei Siqueira added a comment - 16/Set/15 11:19_x000a_Aguardando aprovação da diretoria para providenciar o lançamento da SC para o fornecedor."/>
    <m/>
    <m/>
    <m/>
    <s v="Na Fila"/>
    <m/>
    <m/>
    <s v="Sim"/>
    <s v="A definir"/>
    <s v="Sim"/>
  </r>
  <r>
    <s v="CTXSALAS-155279"/>
    <s v="Implantar 10 PV´s atendendo Televenas Outbound Empresarial em home office, utilizando o serviço pacote Smart Office fornecido pela OI."/>
    <s v="Boa Viagem/Niterói"/>
    <s v="Operações que não estão no Plano de Recuperação"/>
    <s v="Oi"/>
    <x v="3"/>
    <x v="3"/>
    <s v="Fábio Prazeres"/>
    <s v="Crescimento/Expansão/Migração"/>
    <d v="2015-07-02T16:18:00"/>
    <n v="286.32083333333139"/>
    <d v="2015-09-25T00:00:00"/>
    <s v="TBD_x000a_Depende de alinhamento iterno da OI e a Eleventhec"/>
    <s v="-"/>
    <m/>
    <m/>
    <s v="29/03 - Mesmo status_x000a_Edison Nei Siqueira added a comment - 08/Mar/16 17:45_x000a_Estamos aguardando ajustes solicitados na EF para que a demanda seja inserida na fila de engenharia._x000a__x000a_[16/02] - Aguardando retorno Cliente Oi._x000a__x000a_02/02 - Mesmo status_x000a_Edison Nei Siqueira added a comment - 26/Jan/16 12:12_x000a_Aguardando posicionamento da OI com relação a solução que serrá seguida após o alinhamento com a Eleventhec._x000a__x000a_Edison Nei Siqueira added a comment - 18/Dez/15 13:02_x000a_Aguardando posicionamento da OI com relação a solução que serrá seguida após o alinhamento com a Eleventhec._x000a_[16/02] Aguardando Retorno Oi._x000a__x000a_Edison Nei Siqueira added a comment - 01/Dez/15 11:09_x000a_Realizada reunião de alinhamento junto a área de projetos das operações de SAC e áreas especialistas, ficou alinhado que precisamos do retorno da OI com a definição de qual cenário vai ser seguido para a solução Smart Office._x000a__x000a_Edison Nei Siqueira added a comment - 24/Nov/15 16:28_x000a_Continuamos aguardando que seja agendada a reunião junto ao cliente para alinhamento com a equipe de ENG._x000a__x000a_Edison Nei Siqueira added a comment - 17/Nov/15 14:53_x000a_Continuamos aguardando que seja agendada a reunião junto ao cliente para alinhamento com a equipe de ENG._x000a__x000a_Edison Nei Siqueira added a comment - 10/Nov/15 16:47_x000a_Continuamos aguardando que seja agendada a reunião junto ao cliente para alinhamento com a equipe de ENG._x000a__x000a_Edison Nei Siqueira added a comment - 03/Nov/15 11:28_x000a_Continuamos aguardando que seja agendada a reunião junto ao cliente para alinhamento com a equipe de ENG._x000a__x000a_Edison Nei Siqueira added a comment - 20/Out/15 16:43_x000a_Em estudo com ENG de TI: Implementação, Manutenção e Suporte de TI._x000a__x000a_Edison Nei Siqueira added a comment - 13/Out/15 14:39_x000a_Em estudo com ENG de TI: Implementação, Manutenção e Suporte de TI."/>
    <s v="Negócios"/>
    <s v="Fábio Prazeres"/>
    <s v="TBD"/>
    <s v="Análise"/>
    <m/>
    <n v="10"/>
    <s v="Sim"/>
    <s v="A definir"/>
    <s v="Não"/>
  </r>
  <r>
    <s v="CTXSALPB-31209"/>
    <s v="Realizar implantação nas operações de Rentabilização do discador APC e Front End Front Fácil. "/>
    <s v="Boa Viagem "/>
    <s v="Operações que não estão no Plano de Recuperação"/>
    <s v="Oi"/>
    <x v="5"/>
    <x v="3"/>
    <s v="Alexandre Teixeira Pinho"/>
    <s v="Desenvolvimento"/>
    <d v="2015-04-28T10:41:00"/>
    <n v="351.55486111110804"/>
    <d v="2015-08-01T00:00:00"/>
    <s v="TBD"/>
    <s v="-"/>
    <m/>
    <m/>
    <s v="29/03 - Mesmo status_x000a_Edison Nei Siqueira added a comment - 07/Mar/16 15:01_x000a_Aguardando retorno do teste dos 20 agendamentos para analise de CSE Discadores._x000a__x000a_[16/02] - Aguardando retorno cliente Oi._x000a__x000a_02/02 - Mesmo status_x000a_Edison Nei Siqueira added a comment - 26/Jan/16 13:29_x000a_Aguardando retorno com relação aos testes de agendamento solicitado pela equipe de discadores._x000a__x000a_Edison Nei Siqueira added a comment - 18/Dez/15 13:52_x000a_Continuamos em homologação , pois o agendamento fidelizado continua apresentando inconsistência. _x000a__x000a_Edison Nei Siqueira added a comment - 10/Nov/15 17:30_x000a_Em Análise a questão de agendamento x horário de verão._x000a__x000a_Edison Nei Siqueira added a comment - 03/Nov/15 15:28_x000a_Evoluímos, porém ainda precisamos da Análise com relação ao tratamento do horário de verão nos agendamentos. _x000a__x000a_Edison Nei Siqueira added a comment - 20/Out/15 19:54_x000a_Realizado audio hoje onde foi tratado o tom de ocupado após as chamadas para telefone fixo, amanhã será dado sequência no agendamento._x000a__x000a_Edison Nei Siqueira added a comment - 06/Out/15 17:00_x000a_Continuamos em homologação com relação a inconsistência no agendamento de contato no Aspect + FF, vamos retornar os testes essa semana ainda._x000a__x000a_Edison Nei Siqueira added a comment - 16/Set/15 11:22_x000a_Continuamos em homologação com relação a inconsistência no agendamento de contato no Aspect + FF."/>
    <s v="Operações"/>
    <s v="Alexandre Pinho"/>
    <s v="TBD"/>
    <s v="Piloto/Homologação"/>
    <m/>
    <n v="585"/>
    <s v="Sim"/>
    <s v="A definir"/>
    <s v="Não"/>
  </r>
  <r>
    <s v="CTXSPOAP407-10493"/>
    <s v="tSupervisor - Atualização da ferramenta tSupervisor para todas as operações da OI"/>
    <s v="Sto Amaro"/>
    <s v="Operações que não estão no Plano de Recuperação"/>
    <s v="Oi"/>
    <x v="1"/>
    <x v="3"/>
    <m/>
    <s v="Upgrade de Tecnologia"/>
    <d v="2015-06-01T10:35:00"/>
    <n v="317.55902777778101"/>
    <d v="2015-09-25T00:00:00"/>
    <m/>
    <m/>
    <m/>
    <m/>
    <s v="29/03 - Mesmo status_x000a_Edison Nei Siqueira added a comment - 08/Mar/16 17:50_x000a_Em execução na regional PE, enviado hoje 08/03 o comunicado da implantação para as operações da regional._x000a__x000a_[29/02] - Roll out postergado para  2° Quinzena de Março. devido ao período de DMM._x000a_Previsão de Conclusão  até 20/03._x000a__x000a_[16/02] - Piloto em andamento PE  (M.Guedes -Aplicações )_x000a__x000a_02/02 - Mesmo status_x000a_26/01 - Mesmo status _x000a_Edison Nei Siqueira added a comment - 24/Nov/15 16:35_x000a_O site Mackenzie parou por uma funcionalidade que a operação não autorizava colocar sem a mesma. Iniciaremos piloto hoje dia 24/11. _x000a_  _x000a_STO Amaro estamos acompanhando o cronograma da Erika Miguel. _x000a__x000a_Edison Nei Siqueira added a comment - 17/Nov/15 14:56_x000a_Demanda sendo tratada pelo Marcelo Guedes e Erica Miguel na demanda de atualização do FF + tControl._x000a__x000a_Edison Nei Siqueira added a comment - 10/Nov/15 16:49_x000a_Demanda sendo tratada pelo Marcelo Guedes e Erica Miguel na demanda de atualização do FF + tControl._x000a__x000a_Edison Nei Siqueira added a comment - 03/Nov/15 11:39_x000a_Sasaki, por gentileza verificar com o Guedes se essa demanda está sendo tratada junto com a demanda da Erica Miguel que trata a atualização do FF + Tcontrol._x000a__x000a_Edison Nei Siqueira added a comment - 20/Out/15 16:56_x000a_Aguardando retorno com relação as operações do site Niterói para iniciar o piloto._x000a__x000a_Edison Nei Siqueira added a comment - 13/Out/15 14:45_x000a_Regionais da Bahia, CE e PE já atualizadas 100% com a nova versão do tsupervisor. _x000a__x000a_Em processo de homologação a regional RJ._x000a_Projeto está em hold devido a quantidade de atividades que as equipes de TI dos sites estão realizando para os projetos PR."/>
    <s v="Operações"/>
    <m/>
    <m/>
    <s v="Desenvolvimento/Execução"/>
    <m/>
    <s v="N/A"/>
    <m/>
    <m/>
    <s v="Não"/>
  </r>
  <r>
    <s v="CTXBHZRI-82119"/>
    <s v="TLV Blended_Implantar na operação SAV (CRV) TLV da TQS com todas as funcionalidades do TLV 5.0 Ativo que está sendo implantando com as funcionalidades do Receptivo. "/>
    <s v="RJ - Site Niterói"/>
    <s v="Plano Recuperação"/>
    <s v="Oi"/>
    <x v="1"/>
    <x v="4"/>
    <s v="Jose Pedro"/>
    <s v="Desenvolvimento"/>
    <d v="2015-01-26T17:39:00"/>
    <n v="443.26458333332994"/>
    <d v="2015-08-01T00:00:00"/>
    <m/>
    <m/>
    <m/>
    <m/>
    <s v="12/04 - Comitê, conforme interação com a analista de Projetos Contax - Sem previsão._x000a__x000a_04/04 - Comitê_x000a__x000a_28/03 - Comitê_x000a__x000a_15/03- Comitê_x000a__x000a_23/02 - Mesmo status em relação a TI pela análise de Engenharia, porém demanda está no momento em Comitê._x000a__x000a_15/02 - Solicitante Rodrigo não conseguiu participar da Conferência, aguardando o retorno da  operação perante esta definição desde o dia 21/01._x000a__x000a_10/02 - Mesmo Status_x000a__x000a_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s v="Comitê"/>
    <s v="Rodrigo Ribeiro"/>
    <s v="TBD"/>
    <s v="Na Fila"/>
    <m/>
    <n v="185"/>
    <s v="Não"/>
    <s v="-"/>
    <s v="Sim"/>
  </r>
  <r>
    <s v="CTXNITSP-160928"/>
    <s v="Projeto - Projeto Implantar Discador Aspect + TLV 5.0 no CRV Oi TV"/>
    <s v="RJ - Site Niterói"/>
    <s v="Plano Recuperação"/>
    <s v="Oi"/>
    <x v="0"/>
    <x v="4"/>
    <s v="José Pedro"/>
    <s v="Desenvolvimento"/>
    <d v="2015-06-09T10:48:00"/>
    <n v="309.55000000000291"/>
    <d v="2015-08-01T00:00:00"/>
    <d v="2015-04-01T00:00:00"/>
    <m/>
    <s v="Sem Data"/>
    <m/>
    <s v="12/04 - Mesmo Status, aguardando definição do analista de projetos contax._x000a__x000a_04/04 - Aguardando a validação do escopo pelos stakeholders_x000a__x000a_28/03 - Foi solicitado ajuda a negócios para que o cliente defina o escopo desta demanda._x000a__x000a_21/03 - Foi solicitado ajuda a negócios para que o cliente defina o escopo desta demanda._x000a__x000a_15/03 - Mesmo Status_x000a__x000a_07/03 - Aguardando retorno da operação referente a alteração de Escopo_x000a__x000a_01/03 - Em discussão de alteração de escopo_x000a__x000a_23/02 - Mesmo status em relação a TI pela análise de Engenharia, porém em paralelo está sendo realizada a  interação com o Fornecedor referente a regras de negocio operacionais._x000a__x000a_15/02 - Solicitante Rodrigo não conseguiu participar da Conferência, aguardando o retorno da  operação perante esta definição desde o dia 21/01._x000a__x000a_10/02 - Mesmo Status_x000a__x000a_02/02 - A solução encontrada é migrar as 02 operações para o Polo Pernambuco onde poderemos efetuar tanto o crescimento do Velox e Fixo, além da implantação da OI TV, foram informadas as premissas para a operação, aguardando o retorno._x000a__x000a_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08/12 - Em Comitê_x000a__x000a_24/11 - Em Comitê_x000a__x000a_17/11 - Interação com o fornecedor referente as regras operacionais,_x000a__x000a_30/10 - Em processo de handover com analista de Projetos. Em paralelo interação com o fornecedor referente a proposta enviada._x000a_20/10 - Validação de algumas inf na operação em relação a proposta anterior que foram inclusos o Oi Tv._x000a_13/10 - Aguardando retorno do Fornecedor perante as documentações de regra de negócio operacional._x000a_06/10 - Em análise da árvore enviada pelo cliente._x000a_29/09 - Aguardando a árvore do Oi Tv_x000a_------------------------------------------------_x000a_22/09 - Já foi diagnosticado pelo fornecedor que temos uma demanda que tem o Oi Tv, com o recebendo do mailing e exibindo na tela os dados do contato, sem integração com o Sinn._x000a_Aguardando a operação enviar um arquivo do produto OiTV nesse layout, podendo ser um arquivo teste e também a árvore de marcação para esse produto, pois nesse projeto as marcações são liberadas conforme a campanha que se está trabalhando_x000a_16/09 - Verificando questões de quantidade de licença do Discador."/>
    <s v="Operação / CC Brasil"/>
    <s v="Rodrigo Ribeiro / José Pedro"/>
    <s v="TBD"/>
    <s v="Desenvolvimento/Execução"/>
    <m/>
    <n v="50"/>
    <s v="Não"/>
    <s v="-"/>
    <s v="Sim"/>
  </r>
  <r>
    <s v="CTXRECSA-358319"/>
    <s v="Projetos CO - TLV e Discador Triagem Velox / Suporte Avançado velox  "/>
    <s v="PE - Site Santo Amaro"/>
    <s v="Plano Recuperação"/>
    <s v="Oi"/>
    <x v="0"/>
    <x v="4"/>
    <s v="José Pedro"/>
    <s v="Desenvolvimento"/>
    <d v="2015-02-02T15:00:00"/>
    <n v="436.375"/>
    <d v="2015-08-01T00:00:00"/>
    <d v="2015-11-05T00:00:00"/>
    <m/>
    <m/>
    <m/>
    <s v="12/04 - Dentro do tópico crítico que é o tempo de carga de mailing,  foi analisado pelo NID quanto a possibilidade de diminuirmos esse tempo de carga, contudo de acordo com o laudo da AVAYA não é recomendado a carga menor que 30min para operação com mailing pequeno._x000a_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_x000a_*Sendo estudado esta possibilidade pela operação. Hoje faremos uma conferência com o cliente para detalhar esta solução. O piloto no momento está parado._x000a__x000a_04/04 - Stressando ao maximo um dos Itens em &quot;Pendência&quot; que é o Time da Carga de Mailing.Ti analisando o cenário atual, ainda esta semana faremos uma conferência interna Contax para alinhamento._x000a__x000a_28/03 - Piloto parado devido a solicitação do cliente. _x000a_Aguardando definições da área de NID, MIS e TI._x000a__x000a_21/03 - Foi enviado laudo detalhado aguardando definição da Oi, do retorno do Piloto. _x000a__x000a_15/03 - Piloto está parado devido aos 8 Itens, porém 5 estão ok, aguardando retorno do Piloto para homologação._x000a__x000a_07/03 -Ocorrências Piloto- 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_x000a_Em paralelo se faz necessário uma atualização na EF pela operação perante os processos de View da Oi e Processos de Expurgo._x000a__x000a_01/03 - Em  piloto_x000a__x000a_23/02 - Em piloto com 9 pas, segue abaixo  os detalhes: _x000a__x000a_1.View Com Problemas: _x000a_As 14h:00  - View da OI voltou a trazer dados da regional RNE (PE), porém a view trouxe a data de abertura com o formato errado, não está trazendo o horário._x000a_O processo de carga foi parado. _x000a_View voltou a funcionar por volta das 15:50h com formato correto._x000a_Os protocolos  enviados estão muito abaixo do padrão, o dia todo só foram carregados em torno de 354 registros._x000a__x000a_2.Carregamento do Raw no Discador no APC_x000a_Para resolver problema do Discador, além do Edson que tem nos apoiado, envolveremos o Bruno Cordeiro de Curitiba que acompanhou todo o processo junto a programação de atualização de tempo das cargas para verificar o tempo de cargas._x000a_Integração tGuidance com UNIFIC: já reportado pela Erica. Todos os casos estão com agendamento na base do UNIFIC, sendo assim a ferramenta só devolve no horário do agendamento._x000a__x000a_Estamos envolvendo os respectivos departamentos, pois somente com todos os processos em 100% é que TI poderá pilotar o processo final com apoio da operação._x000a__x000a_Estamos recebendo o arquivo da Oi, com dados tratados, para darmos sequência no piloto hoje._x000a_-------_x000a_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_x000a_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_x000a_Conforme conferência hoje 15/02 foi acordado, o início do Piloto 16/02._x000a_-----------_x000a_10/02 -  iniciaremos o Piloto no dia 11/02._x000a_-----------_x000a_26/01 - Conforme aprovação das áreas envolvidas (NID, CSE e Aplicações), foi enviado novo cronograma, no qual iniciaremos o Piloto no dia 11/02._x000a_----------_x000a_19/01 - O escopo do projeto foi alterado no dia 06/01 e por isso o Piloto não aumentou para 10 PAs e já nem está com 2 PAs (o Piloto parou)._x000a_Assim, o projeto necessita de ser replanejado, pois são necessárias atividades da equipe de desenvolvimento e CSE novamente. Como sabem os recursos estão 100% alocados e as filas das equipes vão se organizando com outros projetos prioritários._x000a__x000a_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_x000a__x000a__x000a_08/12 - Aumentamos o Piloto em 5 pas, estamos monitorando o comportamento para darmos sequencia._x000a__x000a_01/12 - Estamos em definição de aumento do Piloto, devido a alguns cenários ainda impeditivos._x000a_1. Número excessivo de motivos Telefonia: chamado aberto junto a Oi para solução do problema nos circuitos (Resp.: Wenderson);_x000a_2. Discagem Horizontal apenas até o 2° Telefone: análise junto ao especialista Avaya para que possamos, após atuação, monitorar a solução aplicada (Resp.: Adalton  - Início Monitoramento: 01/12);_x000a_3. Atualização do Mailing: solução já aplicada e em processo de monitoramento (Resp.: Adalton – Parecer sobre a solução: 30/12);_x000a_4. Eficiência das Macros: análise a respeito da informação foi realizada e está sendo afetada pelo Item 2. Após solução do mesmo, informações estarão consistentes (Resp.: Adalton);_x000a_5. Análise de Protocolo Telefone Único: este caso também está na dependência da solução do Item 2 (Responsável: Adalton)._x000a_24/11 - Conforme conferência realizada no dia 19/11 foram discutidos alguns cenários impeditivos para o aumento do Piloto, estes cenários _x000a_estão sendo verificados entre NID e Equipe de Desenvolvimento TI. Hoje 24/11, será realizado uma conferência para a análise da estratégia de discagem. Foram diagnosticadas ações na eficiência das macros quando não se utiliza o discador, sendo acompanhado os protocolos _x000a_para identificação no que se refere a distribuição._x000a_Foi criada uma nova campanha com novas configurações e iniciada dia 19/11 nas PA’s. Estamos acompanhando o comportamento _x000a_do discador nos momentos de atualização do mailing. _x000a_ Foi identificado na análise de Protocolo Telefone Único que alguns protocolos apresentam apenas um telefone, pela regra isso não deveria acontecer devido a análise do histórico, este assunto será discutido em detalhes hoje na reunião com o Wenderson NID._x000a__x000a_17/11 - Fase 1 - a UF de Pernambuco está sendo disponibilizada.  Ainda está sendo visto a questão da Telefonia, por esse motivo ainda não temos previsão de aumento do Piloto._x000a_Fase 2 - Foi informado o valor das licenças, prazo do fornecedor (2 meses). Foi solicitado:_x000a__x000a__Ok formalizado para iniciarmos a contratação do serviço (Lançamento de SC, Aprovações e geração de pedido)._x000a__Entrega de pedido gerado para contagem do prazo._x000a__Entrega do detalhamento do escopo do UNIFIC (Processo, telas e informações) ou a árvore de workflow que a Oi gostaria de desenvolver no Evalyze antes da data de início do desenvolvimento._x000a__x000a_Aguardando o retorno do solicitante com as devidas informações._x000a_-------------_x000a_10/11 - Constatados  casos de problemas que afetam a integração entre discador e UNIFIC e classificação erronea de status de chamadas, refletidas nos relatórios de produtividade. Ti contax e fornecedor atuando em conjunto. Piloto seguem com 2 PAs._x000a_03/11 -  Iniciaremos o piloto no dia de hoje com a UF PE, o discador fará processo em afim sem a geração da macro gerando do mailing, fechamento de AG e abertura de BD antes do vencimento do SLA._x000a_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_x000a__x000a_27/10- o Front-Fácil acaba de ser configurado para aguardar pelo perfilamento &quot;sem tempo limite&quot;._x000a__x000a_Desta forma, o operador poderá finalizar o perfilamento do UNIFIC com a garantia de que nenhuma outra chamada será entregue na PA enquanto o operador não preencher o “Motivo de Desligamento” no Front-Fácil._x000a__x000a_Com esta configuração, não será necessária qualquer alteração/melhoria em nenhuma das ferramentas para que o piloto seja iniciado. Porém, há alguns pontos de atenção que não podemos deixar de alertar:_x000a__x000a_• Os operadores terão a oportunidade de retardar o atendimento depois desta nova configuração. No nosso entendimento, trata-se de uma ação contraditória à implantação do discador automático de chamadas, que visa a máxima produtividade dos colaboradores;_x000a_•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_x000a_• A solução também ainda estará sujeita ao problema original (chegada de chamada sem o screen-pop no UNIFIC), se o operador enviar o “Motivo de Desligamento” pelo Front-Fácil e permanecer com o protocolo em tratamento no UNIFIC, o que impossibilitaria o pop-up do novo protocolo._x000a__x000a_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_x000a_Estamos verificando com a Wenderson para criar uma nova coluna no mailing, exclusivamente para o UNIFIC._x000a_---------------------_x000a_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_x000a_------------------------------_x000a_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_x000a_-----------------------------------------------_x000a_29/09 - Eventos de atraso na entrega dos links da Oi e Criação de login de STC impactaram no início do Piloto hoje 29/09, conforme cronograma. _x000a_ - Foi diagnosticado ontem pela área de Desenvolvimento a necessidade de liberação de IP por parte da Oi;_x000a_- Os logins STC foram encaminhado na sexta passada 25/09, mas estavam com problemas na senha de acesso. Prazo de retorno da operação Hoje 29/09._x000a_*Caso não tenhamos retorno das duas ações acima irá impactar novamente no início do Piloto, previsto para  o dia 05/10_x000a_-----------------------------------------------_x000a_22/09 - Validação de Mailing da Oi =  tivemos alterações de escopo sendo que a Oi já validou, estando em processo de desenvolvimento com risco de atraso, porém ainda não confirmado pelo Marquinhos._x000a__Atraso na entrega dos links da Oi =  a Entrega foi feita hoje dia 22/09, tendo impacto no cronograma das ações posteriores inserindo._x000a_"/>
    <s v="Aplicações TI / Operação/ Oi"/>
    <s v="Viviane Rodriguez e Adalton / Milane / Jaqueline"/>
    <s v="TBD"/>
    <s v="Piloto/Homologação"/>
    <m/>
    <n v="150"/>
    <s v="Sim"/>
    <s v="Sem Data"/>
    <s v="Sim"/>
  </r>
  <r>
    <s v="CTXRECSA-407337"/>
    <s v="Front Facil no CRV"/>
    <s v="PE - Site Santo Amaro"/>
    <s v="Plano Recuperação"/>
    <s v="Oi"/>
    <x v="1"/>
    <x v="4"/>
    <s v="Luciana Andrade"/>
    <s v="Desenvolvimento"/>
    <d v="2015-07-29T15:48:00"/>
    <n v="259.34166666666715"/>
    <d v="2015-08-01T00:00:00"/>
    <m/>
    <m/>
    <m/>
    <m/>
    <s v="12/04 - Piloto parado, aguardando Desenvolvimento do Item Conferência (CTXRECSA-475951)._x000a__x000a_04/04 - Mesmo status_x000a__x000a_28/03 - 1. Cenário de ação de Conferência na operação, no qual não foi solicitado na EF._x000a_      Ação: Operação abriu o chamado CTXRECSA-475951, com a EF atualizada. Em análise._x000a_ _x000a_2. Cenário da Base do Click, no qual, foi alinhado que seria aberto uma nova demanda devido a complexidade do Desenvolvimento._x000a_Ação: Solicitado a operação em conferência no dia 08/12 a abertura de um chamado no TProcess, no qual mencionasse esta necessidade que refere-se a Base do Click._x000a_          Demanda do CRV, hoje em Piloto, foi desenvolvida em cima do que foi exposto na última versão da EF em que não contemplava a Base do Click, somente no que refere-se a relatório._x000a_          Ressalto que em fórum paralelo foi solicitado ao Anthonny que abrisse um novo chamado para esta solicitação._x000a__x000a__x000a_21/03 - Piloto em andamento conforme cronograma (2 pas)._x000a__x000a_15/03 - Cronograma permanece o mesmo . Piloto Início: 17/03._x000a__x000a_07/03 - Conforme cronograma alinhado, o Piloto teria início no dia 17/03, porém tivemos atraso na homologação do Perficall._x000a_Aguardando retorno da operação._x000a__x000a_01/03 - O solicitante informou novamente sobre a alteração de Dac, _x000a_podendo assim retardar esta demanda. Aguardando definição  _x000a__x000a_23/02 - Ontem foi solicitado a Estimativa de esforço para o Site dentro das ações necessárias._x000a_Desenvolvimento Perficall -  OK_x000a_Desenvolvimento tGuidance - 15/02 à 29/02_x000a__x000a_15/02 - A operação informou hoje a questão do Dac e envio da planilha de Insumos. Devido ao atraso nas informações, temos um novo prazo para o Desenvolvimento do TGuidance fica do dia 15/02 à 29/02._x000a__x000a_10/02 - Mesmo Status_x000a__x000a_02/02 - Conforme conferência, devido ao problema do headset na operação iremos aguardar até o dia 12/02 (Início de Desenvolvimento) para confirmarmos esta migração de Dac._x000a__x000a_Sendo assim, seguimos com o Desenvolvimento em paralelo no período de 12/02 à 25/02._x000a__x000a_Abaixo algumas ações citadas:_x000a__x000a__Necessário o cadastro dos Insumos se houver migração até o dia 11/02;_x000a__Necessário a liberação de rede, instalação da aplicação do TGuidance com Suporte local, etc., se não houver migração;_x000a__o Item de relatório será priorizado com a outra área de TI._x000a__x000a__x000a_26/01 -  Enviado a EF no dia 13/01, Equipe de Aplicações está analisando a mesma. Em paralelo estamos vendo se há necessidade de liberações de rede, etc. na operação. Prazo de Cronograma de Desenv TI - 27/02_x000a__x000a_18/12 - Em definição de EF , aguardando retorno da operação_x000a__x000a_08/12 - Conforme conferência, estamos aguardando a EF com o escopo solicitado._x000a__x000a_01/12 - A Conferência hoje foi cancelada, reagendada para dia 03/12 Qui._x000a__x000a_24/11 - Aguardando o Doc solicitado no dia 27/11._x000a__x000a_17/11 - Foi solicitada o doc ao cliente com todo o processo detalhado do atendimento, com prints de tela do passo a passo do atendimento, prazo de recebimento anterior no dia 12/11, porém sem sucesso. Prazo atual no dia 27/11 Sext . _x000a__x000a_03/11 - Já foi solicitado  a EF  atualizada, e se possível uma conf com a operação só para entendimento de processo_x000a__x000a_27/10 - Aguardando a EF atualizada._x000a_20/10 - Conforme conferência estamos aguardando a EF. Em estimativa de OG._x000a__x000a_13/10 - Aguardando a árvore. Este Projeto esta em estimativa de OG_x000a_06/10 - Aguardando a árvore. Este Projeto esta em estimativa de OG _x000a_29/09 - Aguardando o envio da EF/ Em estimativa de OG_x000a_--------------------------------_x000a_22/09 - Aguardando o envio da EF."/>
    <s v="Operação /Aplicações TI "/>
    <s v="Anthonny Stallony/  Tatiana Barbosa"/>
    <s v="Em definição de Crono, devido a alteração de escopo que não estava contemplada na EF."/>
    <s v="Piloto"/>
    <m/>
    <n v="100"/>
    <s v="Não"/>
    <s v="-"/>
    <s v="Sim"/>
  </r>
  <r>
    <s v="CTXRECSA-475951"/>
    <s v="Item Conferência_CRV"/>
    <s v="PE - Site Santo Amaro"/>
    <s v="Plano Recuperação"/>
    <s v="Oi"/>
    <x v="1"/>
    <x v="4"/>
    <s v="Luciana Andrade"/>
    <s v="Desenvolvimento"/>
    <d v="2015-03-24T18:34:00"/>
    <n v="386.22638888889196"/>
    <d v="2015-03-24T00:00:00"/>
    <m/>
    <m/>
    <m/>
    <m/>
    <s v="12/04 - Necessidade de desenvolvimento do item conferência que não estava previsto na EF inicial, aberto chamado CTXRECSA-475951 para resolução._x000a_Necessária resolução do chamado CTXRECSA-475951 para continuidade do piloto  (Chamado CTXRECSA-407337)  - Resp: TI - Prazo: 31/05 "/>
    <s v="Aplicações TI "/>
    <s v="Tatiana Barbosa"/>
    <d v="2016-05-31T00:00:00"/>
    <s v="Desenvolvimento"/>
    <m/>
    <n v="100"/>
    <s v="Não"/>
    <s v="-"/>
    <s v="Sim"/>
  </r>
  <r>
    <s v="CTXRECSA-407387"/>
    <s v="Implantar um discador para a célula Quality Voicer_x000a_"/>
    <s v="PE - Site Santo Amaro"/>
    <s v="Plano Recuperação"/>
    <s v="Oi"/>
    <x v="0"/>
    <x v="4"/>
    <s v="Fabrício Peixoto"/>
    <s v="Desenvolvimento"/>
    <d v="2015-07-29T19:22:00"/>
    <n v="259.19305555555911"/>
    <d v="2015-08-01T00:00:00"/>
    <m/>
    <m/>
    <m/>
    <m/>
    <s v="12/04 - Conforme retorno da Equipe de Aplicações (Morais), esta demanda só será tratada a partir da entrega das solicitações CTXRECSA-358319 – ( fase 1 e fase2)._x000a__x000a_04/04 -  Conforme retorno da Equipe de Aplicações (Morais), esta demanda só será tratada a partir da entrega das solicitações CTXRECSA-358319 – ( fase 1 e fase2)._x000a__x000a_28/03 - Mesmo Status_x000a__x000a_21/03 - Mesmo Status_x000a__x000a_15/03 - Mesmo Status_x000a__x000a_07/03 -  Conforme retorno da Equipe de Aplicações (Morais), esta demanda só será tratada a partir da entrega das solicitações CTXRECSA-358319 – ( fase 1 e fase2):_x000a__x000a_01/03- Conforme retorno da Equipe de Aplicações (Morais), esta demanda só será tratada a partir da entrega das solicitações CTXRECSA-358319 – ( fase 1 e fase2):_x000a__x000a_23/02 - Mesmo Status_x000a__x000a_15/02 - Conforme retorno da Equipe de Aplicações (Morais), esta demanda só será tratada a partir da entrega das solicitações CTXRECSA-358319 – ( fase 1 e fase2):_x000a__x000a_10/02 -Solicitada a entrada na Fila da Equipe de Moraes devido a necessidade de Integração do sistema Perfiquality X TGuidance X Discador._x000a__x000a_02/02 - Conforme retorno hoje da operação o sistema Perfiquality é Oi , Infra na Oi e  é uma ferramenta para perfilamento e não tem vinculo com a telefonia. Sendo assim, iremos acionar a Equipe de Aplicações  para análise._x000a__x000a_26/01 - Desenho de Engenharia de Telecom já está feito. _x000a_Estamos aguardando retorno da operação verificar as informações da Infra do sistema com o José Nilton (Oi)._x000a__x000a_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s v="Aplicações TI "/>
    <s v="Alexandre  Morais"/>
    <s v="TBD"/>
    <s v="Na Fila"/>
    <m/>
    <n v="185"/>
    <s v="Não"/>
    <s v="-"/>
    <s v="Sim"/>
  </r>
  <r>
    <s v="CTXRECSA-413131"/>
    <s v="Reestruturação da URA do CO Recife"/>
    <s v="PE - Site Santo Amaro"/>
    <s v="Operações que não estão no Plano de Recuperação"/>
    <s v="Oi"/>
    <x v="6"/>
    <x v="4"/>
    <m/>
    <s v="Desenvolvimento"/>
    <d v="2015-08-14T00:00:00"/>
    <n v="244"/>
    <d v="2015-09-25T00:00:00"/>
    <m/>
    <m/>
    <m/>
    <m/>
    <s v="12/04 - Em fase de Aprovação com o cliente, foi solicitado o prazo do mesmo._x000a__x000a_04/04 - Interação com a Equipe de Ura sobre esta demanda. _x000a_Ressaltando que essa restruturação não contempla a inclusão de novas consultas não relacionadas ao STC, apenas a melhorias dos menus e processos da aplicação de URA._x000a__x000a_28/03 - Mesmo status, cliente Oi analisando a última proposta enviada_x000a__x000a_21/03 - Mesmo status, cliente analisando a última proposta enviada._x000a__x000a_15/03 - Mesmo Status._x000a_ _x000a_07/03 - Mesmo Status._x000a__x000a_01/03 - Proposta renovada e enviada ao cliente. Aguardando definição._x000a__x000a_23/02 - Aguardando cronograma de Engenharia e em paralelo a Equipe de Ura está renovando a proposta._x000a__x000a_15/02 - Mesmo Status, acrescentando a solicitação da Equipe de Ura Contax, renovar a proposta interna devido a validade da mesma._x000a__x000a_10/02 - Solicitado o Estudo de Engenharia para o desenho desta solução, pois o valor  anterior da proposta da Equipe de Ura Contax  não contemplava infraestrutura e  sistema de monitoração._x000a__x000a_02/02 - Mesmo status._x000a__x000a_26/01 - Mesmo status, sem retorno da operação._x000a__x000a_18/12 - Proposta realizada pela Equipe Interna Contax de URA , enviada para o solicitante, aguardando retorno._x000a__x000a_08/12 - Proposta enviada para o solicitante, aguardando retorno._x000a__x000a_01/12 - Aguardando definição de valores da Proposta da Equipe de Ura Contax. Foi cobrado a área de Ura Contax sobre a Proposta._x000a__x000a_24/11 - Conforme alinhamento, a Equipe de Ura Contax enviará a proposta no dia 27/11 (Sext)_x000a__x000a_17/11 - Aguardando o aval do solicitante para que a Equipe de Ura Contax possa interagir e gerar uma nova proposta._x000a__x000a_09/11 - Equipe de URA Contax aceitou fazer estudo de custo e prazo como alternativa a Avaya. Fontes solicitados para a AVAYA, que ainda não retornou._x000a__x000a_30/10 - Acionado a área de Ura Produção para análise desta proposta._x000a_20/10 -  Sendo analisado a Proposta enviada pela Avaya._x000a_13/10 - Aguardando janela da operação para alinhamento sobre a proposta da avaya._x000a_06/10 - Aguardando aprovação_x000a_29/09-Encaminhado o orçamento em PDF para aprovação._x000a_16/09-Encaminhado orçamento para a area solicitante, estamos aguardando a proposta comercial em PDF, solicitada em 17/09."/>
    <s v="Operação "/>
    <s v="Anthonny "/>
    <s v="TBD"/>
    <s v="Análise"/>
    <m/>
    <n v="220"/>
    <s v="Não"/>
    <s v="-"/>
    <s v="Não"/>
  </r>
  <r>
    <s v="CTXSALAS-158599"/>
    <s v="Disponibilizar ferramenta do Carbon para as operações inbound e outbound do Televendas. Ti avaliar à integração com front/discador"/>
    <s v="Comércio / Boa Viagem"/>
    <s v="Operações que não estão no Plano de Recuperação"/>
    <s v="Oi"/>
    <x v="1"/>
    <x v="3"/>
    <m/>
    <s v="Upgrade de Tecnologia"/>
    <d v="2015-09-04T19:07:00"/>
    <n v="222.20347222222335"/>
    <d v="2015-09-25T00:00:00"/>
    <m/>
    <m/>
    <m/>
    <m/>
    <s v="_x000a_Edison Nei Siqueira added a comment - 12/Abr/16 18:22_x000a_Hoje foi concluído o rollout do Carbon para a operação Unificado. _x000a_Aguardando o versão da Telecom-PT para homologar as operações de Outbound ._x000a__x000a_Edison Nei Siqueira added a comment - 05/Abr/16 17:08_x000a_Iniciamos o rollout da integração tGuidance x Carbon nas operações Ountbound. _x000a_4P - rollout realizado em 04/04 para 100% da operação. _x000a_3P - rollout em andamento. _x000a__x000a_Edison Nei Siqueira added a comment - 29/Mar/16 15:40_x000a_Desenvolvimento tControl, tGuidance e Carbon, homologação concluída e validada junto a operação. _x000a_Instalação do Carbon nas posições de crescimento, 209 PAs site Comércio OCT e 164 no site Boa Viagem concluído e em homologação por parte de operações. _x000a_SCs com necessidade de ajuste de valores para aquisição dos demais insumos para a infraestrutura definitiva._x000a__x000a_15/03 - Mesmo status. Handover Finalizado com o Edson Siqueira _x000a__x000a_07/03 - Todo o Site Comércio (Célula 4P) e Site Boa Viagem (Célula 3P) estão com as operações com o Carbon instalado._x000a_Hoje estamos na Fase de Teste do tGuidance com Carbon ou usando um skill da operação ou VDN DDR._x000a_Em paralelo, temos uma Fase que envolve o TControl no qual foi alinhado uma EF no dia 03/03, com ambas as frentes. _x000a_Conforme retorno de TI, dentro do planejamento o período de desenvolvimento é no dia  09/03/2016 Quarta  à  21/03/2016 Segunda._x000a__x000a_01/03 - PTI - Terminando a validação da resolução dos monitores em relação ao Carbon; Início de testes em relação a Integração Tguidance x Carbon;_x000a_Interação sobre o Novo Escopo tControl x Carbon x TGuidance_x000a__x000a_23/02 - Sites Boa Viagem e Comercio estão preparados com o Carbon, no momento a operação está testando o mesmo junto ao fornecedor perante regras de negócios operacionais._x000a__x000a_15/02 - Fornecedor não conseguiu  completar a carga da base de clientes, mas já consegui subir parcialmente. Sobre os scripts, foi alterado a abordagem que realizamos o cadastro dos textos . _x000a_Em paralelo , estamos atuando on site perante a preparação do ambiente (Boa Viagem e Comércio)._x000a_Em última conferência , a fornecedora PT propôs que a integração do tControl seja com o Carbon e, após abertura do Carbon, o Carbon chame o tGuidance. Foi sinalizado esta necessidade a Equipe de Aplicações TI, aguardando retorno._x000a__x000a_10/02 - Fornecedor realizando algumas correções, no processo de upload da Base de clientes para os testes._x000a__x000a_02/02 - O fornecedor  PTI  verificou a  necessidade de alterações nas telas da campanha 3P Receptivo para adequar aos tamanhos dos monitores da Contax. Aguardando retorno da homologação._x000a__x000a_26/01 - Dentro da Demanda do Carbon temos 3 fases:_x000a_No momento estamos em  homologaçao:_x000a_FASE 1 - Sem Integração_x000a_Validação do Carbon (Operação inbound) _x000a__x000a_18/12 - Cronograma enviado no dia 02/12, sendo aceito pela solicitante._x000a_Fase: Instalação do Carbon pelo Fornecedor PTI e Início dos testes._x000a_Em paralelo está sendo Desenvolvimento a frente de Mailing pela Equipe de Aplicações._x000a_Foi avaliado que o Site Comercio não tem infraestrutura para o aceite de 32 pas, sendo avaliado possibilidade de colocar tudo no Site Boa Viagem ou em outro Site._x000a_Hoje temos o layout assertivo de 68 pas no Site Boa Viagem, já foi avaliado a premissa de desktops _x000a_dos agentes. _x000a__x000a_08/12 - ENG - Desenho da Solução enviado ao solicitante, retorno de aceite do mesmo.Cronograma sendo seguido_x000a_Site - Solicitação de layout para o solicitante para avaliação da infra dos desktops do agente, aguardando retorno do solicitante.Em paralelo, houve questionamento do Site pois o site comercio não tem link mpls direto com o DC, e migramos 300 pas para o mesmo nesta semana. _x000a_Questionamentos feitos a ENG (Villa) &quot;Houve avaliação do link? Suporta? Qual será a rota de saída?”_x000a__x000a_01/12 - Cronograma sendo alinhado com as áreas._x000a_Ações de CSE em andamento._x000a_Doc do Desenho da Solução sendo finalizado por ENG, em paralelo a Dell estará enviando as cotações dos servidores para a infra definitiva seguindo o processo de Suprimentos._x000a__x000a_24/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17/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_x000a_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_x000a__x000a_30/10 - Reunião de alinhamento sobre execução de integração do Carbon com tguidance realizada entre operação,  TI e OI._x000a__x000a_27/10 -  Análise e Entendimento do Escopo do Projeto, em defesa de prioridades por Diretoria._x000a_20/10 - Análise e Entendimento do Escopo do Projeto_x000a_13/10 - Análise e Entendimento do Escopo do Projeto_x000a_06/10 -Informado ao solicitante para preencher o formulário de detalhamento do projeto para podermos dar continuidade na Análise e estimativa do mesmo. _x000a_"/>
    <s v="Fornecedor/ Operação / Aplicações"/>
    <s v="Fornecedor/ Operação / Aplicações"/>
    <s v="TBD"/>
    <s v="Piloto/Homologação"/>
    <m/>
    <n v="15"/>
    <s v="Sim"/>
    <d v="2016-01-30T00:00:00"/>
    <s v="Não"/>
  </r>
  <r>
    <s v="CTXSALSM-78582"/>
    <s v="Projeto - Implantar Relatorio de Ura Oi Internet"/>
    <s v="BA- Site Fonte Nova"/>
    <s v="Operações que não estão no Plano de Recuperação"/>
    <s v="Oi"/>
    <x v="6"/>
    <x v="4"/>
    <m/>
    <s v="Desenvolvimento"/>
    <d v="2015-07-03T18:15:00"/>
    <n v="285.23958333333576"/>
    <d v="2015-09-25T00:00:00"/>
    <m/>
    <m/>
    <m/>
    <m/>
    <s v="12/04 -Noc já treinado. a Matriz de Acionamento enviada._x000a_Aguardando retorno sobre os acessos e finalizando questões de relatórios._x000a__x000a_04/04 - Treinamento do Noc sendo realizado.Liberação do cliente, sendo realizado. _x000a_Conforme interação com Dennys Noc, o treinamento será finalizado no dia 11/04, no qual posteriormente será enviado a Matriz de Acionamento para o solicitante._x000a__x000a_28/03 - Treinamento do Noc sendo realizado.Liberação do cliente, sendo realizado._x000a__x000a_21/03 - Mesmo status._x000a__x000a_15/03 - Analisando a possibilidade dos acesso do cliente Oi ( Via Link de Internet ou Acesso Via Nat);_x000a_ - Matriz de Acionamento, estamos em treinamento do Noc  para que possamos enviá-la._x000a__x000a_07/03 - Definição de treinamento com NOC._x000a__x000a_01/03 - Aplicação em Produção, feito treinamento direto com o cliente._x000a_Homologado com sucesso._x000a_No momento estamos, tentando interação com o NOC para definição _x000a_de processos de Monitoração._x000a__x000a_23/02- A ferramenta está em Produção porém, para a Ura conseguir passar as informações de Produção é necessário a GMUD (dia 24/02)._x000a_Fase de Piloto com término no dia 26/02._x000a_Quanto a parte de Monitoração, estamos alinhando com as partes de TI para que o NOC entre em contato com o Manuel Botelho (Site), informando a indisponibilidade, caso haja._x000a_Ontem a Equipe de URA fez um over view com o cliente._x000a_Hoje teremos uma conferência para fechar este fluxo. _x000a__x000a_15/02 - Cronograma seguindo conforme acordado. Equipe de Ura atuando, conforme previsto._x000a__x000a_10/02 - Cronograma refeito com o dealine 24/02, amanhã daremos continuidade as ações de Ura._x000a__x000a_02/02 - Refeito o cronograma, a parte do CSE já está concluída. Estamos trabalhando com a Equipe de Ura para que possamos reduzir as ações do mesmo. Por enquanto dead line está em 29/02._x000a__x000a_26/01 - Encontramos um problema no switch onde o servidor está conectado perante a este cenário o cronograma está atrasado, aguardando retorno do LW para atualização._x000a__x000a_15/12 - CTXSALSM-78582 - Projeto entregue em: 15/12/2015 _x000a_18/12 - Conforme retorno de Engenharia, foi consolidado o cronograma de ações do CSE e Ura, enviados hoje ao solicitante._x000a_Prazo Homologação Final: 19/02/2016_x000a__x000a_08/12 - Apesar do solicitante pedir a homologação dentro do prazo do dia 09/12, devido as prioridades, o Prazo ENG foi 08/12 às 15/12._x000a__x000a_01/12 - a Equipe de Ura está andando com o processo. Porém, a Equipe de  ENG estão reprogramando a fila devido as solicitações da diretoria e não podiam definir um prazo no momento._x000a__x000a_24/11 - Interação entre a Equipe de Ura e Linux a fim de criar um script de limpeza dos logs.  Assim que recebermos as inf de Ura, o Analista Linux irá criar a rotina de expurgo de dados._x000a_17/11 - Aguardando retorno do cliente perante estas informações de Infra, verificando necessidade de uma redução nos requisitos da infra solicitada pelo Klaus._x000a_Foi solicitado um valor mínimo aceitável para o número de processadores e espaço em disco._x000a__x000a_05/11 - Conforme análise de Infra pelo Klaus:_x000a_-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_x000a__x000a_"/>
    <s v="URA Contax / NOC"/>
    <s v="Daniel Farias / Dennys Araújo"/>
    <s v="TBD"/>
    <s v="Desenvolvimento/Execução"/>
    <m/>
    <m/>
    <s v="Sim"/>
    <d v="2016-01-30T00:00:00"/>
    <s v="Não"/>
  </r>
  <r>
    <s v="CTXSPOLP-106246"/>
    <s v="Projeto -Desenv de Front End &quot;Discafácil&quot; para a Célula Small_Infra do Discafácil"/>
    <s v="_x000a_SP - Site  Lapa"/>
    <s v="Plano Recuperação"/>
    <s v="Clientes Especiais"/>
    <x v="1"/>
    <x v="4"/>
    <s v="José Pedro"/>
    <s v="Desenvolvimento"/>
    <d v="2015-06-17T00:00:00"/>
    <n v="302"/>
    <d v="2015-09-25T00:00:00"/>
    <m/>
    <m/>
    <m/>
    <m/>
    <s v="12/04 - Em últimas definições de acesso do Discafácil ._x000a__x000a_04/04 - Necessidade do solicitante original foi cancelada. _x000a_O chamado ficará aberto devido a disponibilização da infra para o produto Discafácil._x000a_Interação com o CSE._x000a__x000a_28/03 - Necessidade foi cancelada. O chamado está aberto, devido a &quot;pendência&quot; do Discafácil. Aguardando retorno do CSE. Prazo Hoje 29/03_x000a__x000a_21/03 - Amanhã, prazo final para cancelamento desta demanda. Em paralelo, está sendo verificado a Infra do Discafácil com o LW._x000a__x000a_15/03 - A operação está aguardando os testes de homologação para outra demanda da Cielo da Ayty, para melhorias no Front End da ARV._x000a_Se esta solicitação estiver OK para a operação, poderemos cancelar este projeto._x000a__x000a__x000a_07/03 - Solicitado a George nova revisão da EF,  com o prazo de 48h de retorno._x000a__x000a_01/03 - Mesmo Status._x000a__x000a_23/02 - Refeito o custo de Engenharia junto ao desenho da solução, no momento está sendo avaliado pela Equipe de Aplicações. Em paralelo, estamos aguardando retorno da EF, pela operação._x000a__x000a_15/02 - Ainda estamos aguardando a atualização da EF e em paralelo estamos revisando o custo desta demanda e provavelmente na semana que vem terminaremos a monitoração do ambiente destino e avaliaremos se é possível usar a infra do tGuidance._x000a__x000a_10/02 - Mesmo Status. Em paralelo o custo desta demanda está sendo revisada. _x000a__x000a_02/02 - Aguardando o treinamento em SP para a operação poder finalizar _x000a_a EF desta demanda._x000a__x000a_26/01 - Desde a última conferência realizada com a operação no dia 05/01 estamos aguardando a EF atualizada pelos mesmos._x000a_Em paralelo estamos verificando com Engenharia pois tivemos retorno de que há necessidade de upgrade do Storage no qual estávamos aguardando o departamento comercial pois não tínhamos a cotação pois a renovação do serviço não foi realizada com a Dell._x000a_---------------------------------------_x000a_04/01 - Iniciado estudo de engenharia_x000a_18/12 - Prazo de Engenharia 28/12 à 30/12_x000a__x000a_08/12 - EF anexada ontem (07/12) ao chamado, sendo avaliada pela Equipe de Desenvolvimento._x000a__x000a_01/12 -Solicitado a EF desta demanda a operação. Foi sinalizado que foram feitos questionamentos de TI no chamado desde o dia 23/07 e não tivemos retorno. Aguardando._x000a__x000a_24/11 - Em Estimativa de OG_x000a_17/11 - Estimativa de OG_x000a_30/10 - Estimativa de OG_x000a_20/10 - Aguardando recurso para análise e definição de OG e/ou priorização pela diretoria. _x000a__x000a_13/10 - Aguardando recurso para Análise e definição de OG e/ou priorização pela diretoria. _x000a_06/10 - Não iniciado. Precisamos alinhar expectativa de cronograma."/>
    <s v="Aplicações "/>
    <s v="Tatiana Barbosa"/>
    <d v="2016-04-15T00:00:00"/>
    <s v="Liberação"/>
    <m/>
    <n v="50"/>
    <s v="Não"/>
    <s v="-"/>
    <s v="Sim"/>
  </r>
  <r>
    <s v="CTXSPOLP-115114"/>
    <s v="Projeto - Renovação de Servidores DNK - Ticket "/>
    <s v="SP - Operação Site Antártica_x000a_SP - Infra Site Lapa"/>
    <s v="Plano Recuperação"/>
    <s v="Clientes Especiais"/>
    <x v="2"/>
    <x v="4"/>
    <s v="Fabrício Peixoto"/>
    <s v="Crescimento/Expansão/Migração"/>
    <d v="2015-11-18T15:30:00"/>
    <n v="147.35416666666424"/>
    <d v="2015-12-02T00:00:00"/>
    <m/>
    <m/>
    <m/>
    <m/>
    <s v="12/04 - Conforme contato com o ponto focal de TI do Site Lapa, não tivemos retorno da DNK sobre os servidores._x000a_Contanto, o cronograma está defasado. Foi solicitado atualização._x000a__x000a_04/04 -  Mesmo Status. Cronograma sendo seguido._x000a__x000a_28/03 - Mesmo Status. Cronograma sendo seguido._x000a__x000a_21/03 - Mesmo status._x000a__x000a_15/03 - Cronograma da DNK recebido e alinhado com TI.  _x000a_Início 15/04_x000a__x000a_07/03 - Mesmo status, aguardando retorno da DNK._x000a__x000a_01/03 - DNK informou que irão enviar novo cronograma para sequencia da demanda. Foi solicitado por TI envio com 72 horas de antecendência, para organização de todas as frentes._x000a__x000a_23/02 - Carlos reportou que DNK e Cliente tiveram reunião na sexta 19/02 e fizeram um cronograma, aguardando o mesmo._x000a__x000a_15/02 - Mesmo Status. Cronograma realizado junto ao CSE e Suporte Site. Dead line 17/02_x000a__x000a_10/02 - Cronograma realizado junto ao CSE e Suporte Site. Dead line 17/02_x000a__x000a_02/02 - CSE já está atuando no sentido de preparar a Infra no ambiente, interação com Controle de Ativos para esta necessidade._x000a__x000a_26/01 - Aguardando cronograma do CSE  em relação a preparação de Infra para os servidores da DNK._x000a__x000a_21/01 - Definido as ações abaixo, ainda aguardando retorno do Item 1._x000a__x000a_1. O servidores serão disponibilizados pela própria DNK – Definição dos servidores nesta Seg 18/01._x000a_2. A instalação e configuração serão realizadas pela DNK_x000a_3. Precisamos informar para a  DNK os IPs dos servidores  10.51.0.83/23 e 10.51.84./23 (descritos na topologia)_x000a_4. Necessário a  passagem de cabeamento dos core ate os servidores_x000a_5. No firewall já existem uma regras,  para  validar o é necessário efetuar testes em conjunto com a DNK_x000a_-----------------------------------------------_x000a__x000a_18/12 - Prazo de Engenharia: _x000a_14/12 à 05/01/2016_x000a__x000a_08/12 - Conforme padrão, foi enviado para Fila de ENG com todo  o escopo detalhado da demanda. Aguardando Prazo para análise"/>
    <s v="Fornecedor"/>
    <s v="DNK"/>
    <d v="2016-07-04T00:00:00"/>
    <s v="Piloto/Homologação"/>
    <m/>
    <n v="150"/>
    <s v="Sim"/>
    <s v="A definir"/>
    <s v="Sim"/>
  </r>
  <r>
    <s v="CTXSPOLP-115117"/>
    <s v="Projeto - URA Bacen - Ticket"/>
    <s v="SP - Operação Site Antártica_x000a_SP - Infra Site Lapa"/>
    <s v="Plano Recuperação"/>
    <s v="Clientes Especiais"/>
    <x v="3"/>
    <x v="4"/>
    <s v="Fabrício Peixoto"/>
    <s v="Desenvolvimento"/>
    <d v="2015-11-18T15:51:00"/>
    <n v="147.3395833333343"/>
    <d v="2015-12-02T00:00:00"/>
    <m/>
    <m/>
    <m/>
    <m/>
    <s v="12/04 - Sem retorno do cliente, demanda em hold até 02/05._x000a__x000a_04/04 - Sem retorno do cliente, demanda em hold até 02/05._x000a__x000a_28/03 - Sem retorno do cliente, demanda em hold._x000a__x000a_21/03 - Sem retorno do cliente, demanda em hold._x000a__x000a_15/03 -  Mesmo Status, pendencia do solicitante._x000a__x000a_07/03 - Mesmo Status, pendencia do solicitante._x000a__x000a_01/03 - Mesmo Status, pendencia do solicitante._x000a__x000a_23/02 - Em fase de Desenv da Ura, estando sem previsão._x000a__x000a_15/02 -  Mesmo Status. Ainda não recebemos o retorno da operação, perante a homogação.Solicitada ajuda de interação de Negócios._x000a__x000a_10/02 - Mesmo Status_x000a__x000a_02/02 - Ainda não recebemos o retorno da operação, perante a homogação.Solicitada ajuda de interação de Negócios._x000a__x000a_26/01 - Em Homologação_x000a__x000a_18/12 - Prazo de Engenharia: _x000a_14/12 à 18/12_x000a__x000a_08/12 - Conforme padrão, foi enviado para Fila de ENG com todo  o escopo detalhado da demanda. Aguardando Prazo de ENG"/>
    <s v="Operação  Projetos / Negócios"/>
    <s v="Carlos / Fabrício"/>
    <d v="2016-05-02T00:00:00"/>
    <s v="Hold"/>
    <m/>
    <n v="6"/>
    <s v="Não"/>
    <s v="-"/>
    <s v="Sim"/>
  </r>
  <r>
    <s v="CTXSPOLP-115119"/>
    <s v="Projeto - URANET - Ticket "/>
    <s v="SP - Operação Site Antártica_x000a_SP - Infra Site Lapa"/>
    <s v="Plano Recuperação"/>
    <s v="Clientes Especiais"/>
    <x v="0"/>
    <x v="4"/>
    <s v="Fabrício Peixoto"/>
    <s v="Crescimento/Expansão/Migração"/>
    <d v="2015-11-18T16:03:00"/>
    <n v="147.33125000000291"/>
    <d v="2015-12-02T00:00:00"/>
    <m/>
    <m/>
    <m/>
    <m/>
    <s v="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_x000a_Aguardando retorno do solicitante para os testes na operação._x000a__x000a_04/04 - Durante a segunda parte da conferência entre as áreas de TI Contax e URANET, foi identificada a necessidade de realizar uma configuração extra nos links para garantir a automatização da solução em caso de queda de um destes links._x000a_Engenharia TI atuando no novo desenho da solução_x000a__x000a_28/03 - Cronograma alterado: Início: 23/03 Seg  -  Fim: 01/04 Qua_x000a__x000a_21/03 - Cronograma alterado: Início: 28/03 Seg  -  Fim: 08/04 Qua_x000a__x000a_15/03 - Prazo TI _x000a_Início: 15/03 Seg  -  Fim: 08/04 Qua_x000a__x000a__x000a_07/03 - Solicitado a atualização do cronograma porTI Site._x000a__x000a_01/03 - Tivemos uma ativação de circuito Oi no site Lapa. Cronograma seguindo conforme previsto._x000a__x000a_23/02 - Cronograma de TI sendo seguido . Início: 15/02 Seg  -  Fim: 11/03 Qua.  _x000a__x000a_10/02 - Cronograma realizado junto ao CSE e Suporte Site. Dead line 11/03_x000a__x000a_02/02 - CSE já está atuando no sentido de preparar a Infra no ambiente, interação com Controle de Ativos para esta necessidade._x000a__x000a_26/01 - Aguardando o cronograma de CSE perante as preparações de Infra. Em paralelo estamos interagindo com  a operação perante algumas pendências de informações para análise de Engenharia Telecom._x000a__x000a_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_x000a__x000a_• Instalar um novo switch extranet     (Modelo sugerido 3560G 24portas )._x000a_• Dois roteadores ( 3845, 2811, 1841, 2851) ._x000a_• Passagem de cabo do firewall até o novo extranet, passagem de cabo do extranet até os novo roteadores, passagem de cabo dos nossos roteadores até o equipamento das operadoras Algar e Oi ._x000a_• Na topologia contem as informações para configurar o extranet e os dois roteadores,  segue também um txt com as regras de firewall e roteamento, as liberações também envolvem a comunicação do nosso PABX com o PABX da Uranet as regras estão no txt.  _x000a_• Verificar com Microsoft para  cadastrar os endereços no DNS._x000a_Foi solicitado cronograma ao CSE perante as ações acima._x000a_-----------------------------------------------------------_x000a_18/12 - Prazo de Engenharia: _x000a_14/12 à 05/01/2016_x000a__x000a_08/12 - Conforme padrão, foi enviado para Fila de ENG com todo  o escopo detalhado da demanda. Aguardando Prazo de ENG."/>
    <s v="Operação / Fornecedor"/>
    <s v="Carlos / Uranet"/>
    <s v="TBD"/>
    <s v="Em andamento"/>
    <m/>
    <n v="100"/>
    <s v="Sim"/>
    <s v="Sem Data"/>
    <s v="Sim"/>
  </r>
  <r>
    <s v="CTXPOARB-85984"/>
    <s v="Projeto RTI - Registro da Ocorrência de Callback"/>
    <s v="POA e Santo Amaro"/>
    <s v="Plano Recuperação"/>
    <s v="América Móvil"/>
    <x v="4"/>
    <x v="2"/>
    <s v="Wagner Mattos"/>
    <s v="RTI"/>
    <d v="2015-03-27T00:00:00"/>
    <n v="384"/>
    <d v="2015-08-01T00:00:00"/>
    <s v="Definir com negócio_x000a_ (roll Out)"/>
    <s v="-"/>
    <s v="-"/>
    <m/>
    <s v="[11/04] - Aguardando desenvolvimento. _x000a_[04/04] Datas de desenvolvimento replanejada devido ao remanejamento de recursos para a execução das demandas de Claro. Datas de UAT precisam ser validadas com a operação._x000a_[29/03] - Terá impacto no desenvolvido, pois o recurso foi alocado no projeto da Claro. Prazo para novas datas de desnvolvimento  4/4_x000a_[22/03] Aguardando inicio dos desenvolvimentos, conforme cronograma publicado. _x000a_[15/03] Aguardando inicio do desenvolvimento. Data de UAT sugerida de 28/04 a 04/05/16. Aguardando confirmação de datas de piloto e rollout por PMO-Negócio. _x000a_Data fim de desenvolvimento agora está considerando testes internos. Não impacta as demais datas. _x000a_[08/03] - Desenvolvimento dos ajustes foram reagendados para 06/04/16 a 19/04/16. Sugestão de datas de Homologação de 29/04/16 a 07/06/16                                                   01/03/16: Pendente resposta do fornecedor. _x000a_22/02/16: Homologação do Callback não aprovada pela operação. Nos dias 24 e 25, TI fará análise técnica in loco para determinar as próximas ações e replanejamento. _x000a_10/02 - Piloto inconclusivo. Negócio deve confirmar o roll out... Aguardando_x000a_10/02 - Mesmo status_x000a_05/02 - Homologação &quot;Call Back&quot; não aprovada pela operação. Piloto estendido até 12/02. Demais OK_x000a_01/02: Aguarda a definição de negócio quanto a prioridade de projetos. Retrofit x RTI para definir a data do rollout.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Mariana APP_x000a_25/11 - • O projeto está previsto para ser tratado por ENG somente do dia 08/12 a 14/12 (quando a previsão inicial era para conclusão até o dia 27/11)_x000a_• Necessário rever atividades com CSE e site para novo cronograma de entrega_x000a_• Como a complexidade é alta, será realizado o projeto primeiramente no site de Navegantes para depois avançarmos para Santo Amaro e Aurora_x000a__x000a_24/11 – Encaminhamos ao PMO-TI um alerta de risco de atraso pois precisamos das atividades de ENG, CSE e Site prontos até dia 27/11_x000a_[17/11] Cronograma alinhado. Parte de desenvolvimento já concluída. Aguardando resposta de ENG com as datas de implantação._x000a_Como o projeto é de alta complexidade, ocorrerá o piloto no site de navegantes, onde já temos cronogramas.  Para os sites de Aurora-PE e Santo Amaro-PE serão realizados depois do Freezing e do piloto -&gt; Cronograma a ser realizado_x000a_[27/10 – Leandro] disponibilizado um login único provisório para continuidade da equipe de RTI em 27/10  / em paralelo suporte negócio continuará tentar viabilizanr com a NET um login definitivo para uso de RTI)_x000a__x000a_[20/10 – Leandro] Alteração dos logins que serão usados para os testes e desenvolvimentos. Suporte ao Negócio interagindo com com NET para habilitação dos logins.  (ainda aguardando)_x000a_[13/10 – Leandro] Alteração dos logins que serão usados para os testes e desenvolvimentos. Suporte ao Negócio interagindo com com NET para habilitação dos logins. _x000a__x000a_[5/10 – Leandro] Identificado a necessidade de abertura automática do registro.  Automação de processos aguardando passo a passo do processo de abertura de call-back pelo operador, para ajustar o desenho do TO BE e o desenho da solução. _x000a_[28/09 - Leandro] Automação de Processos está tocando o detalhamento do processo, os mesmos solicitaram o apoio de Juliano Molina para auxilia-los, o mesmo já retornou com documento._x000a_[17/09 – Cleonice] Aguardando recurso para realizar a análise da documentação e disponibilizar cronograma de desenvolvimento."/>
    <s v="RTI"/>
    <s v="Mariana"/>
    <d v="2016-04-27T00:00:00"/>
    <s v="Piloto"/>
    <d v="2015-08-01T00:00:00"/>
    <n v="1500"/>
    <s v="Recuperação"/>
    <n v="47.7"/>
    <s v="Sim"/>
  </r>
  <r>
    <s v="CTXPOARB-94401"/>
    <s v="RTI - Verificar e validar Lançamentos Futuros para Reembolso"/>
    <s v="POA e Santo Amaro"/>
    <s v="Plano Recuperação"/>
    <s v="América Móvil"/>
    <x v="4"/>
    <x v="2"/>
    <s v="Wagner Mattos"/>
    <s v="RTI"/>
    <d v="2015-09-30T00:00:00"/>
    <n v="197"/>
    <d v="2015-10-07T00:00:00"/>
    <m/>
    <m/>
    <m/>
    <m/>
    <s v="[11/04] Desenvolvimento finalizado em 05/04/16. UAT iniciada em 07/04/16, conforme cronograma. _x000a_[04/04]  Solicitado à operação para informar hostname e responsável pelo UAT.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rocesso de assessment concluído, com entrega da solução a ser desenvolvida prevista para dia 26/01._x000a_18/01 - Início do assessment reagendado para 18/01 a pedido da Operação. Afetando demais datas do projeto_x000a_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
    <s v="Negócios"/>
    <s v="Wagner"/>
    <m/>
    <s v="Em Desenvolvimento"/>
    <m/>
    <m/>
    <s v="Recuperação"/>
    <n v="3.15"/>
    <s v="Sim"/>
  </r>
  <r>
    <s v="CTXPOARB-94402"/>
    <s v="RTI - Aviso sobre abertura/geração de ocorrências duplicadas no N1"/>
    <s v="POA e Santo Amaro"/>
    <s v="Plano Recuperação"/>
    <s v="América Móvil"/>
    <x v="4"/>
    <x v="2"/>
    <s v="Wagner Mattos"/>
    <s v="RTI"/>
    <d v="2015-09-30T00:00:00"/>
    <n v="197"/>
    <d v="2015-10-07T00:00:00"/>
    <m/>
    <m/>
    <m/>
    <m/>
    <s v="[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 _x000a_[15/03] - Mesmo status_x000a_[08/03 - Em desenvolvimento   _x000a_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10/02 - Mesmo status_x000a_05/02 - Recebida revisão do documento em 05/02 e está em avaliação pelo time interno. Nova data de início do desenvolvimento será definida até dia 12/02_x000a_01/02: Assessment realizado por terceiro não atendeu aos requisitos mínimos para desenvolvimento. Reunião para envio de complementos agendada para 01/02/16 com impacto na data inicial do desenvolvimento. Nova da data a ser definida até 05/02/16._x000a_26/01: Devido à incremento de escopo, tempo de desenvolvimento replanejado._x000a_18/01 - Devido à incremento de escopo, tempo de desenvolvimento replanejado._x000a_Solicitante respondeu EF ontem (dia 23/11) e no mesmo dia, após avaliação de TI, encaminhamos ao fornecedor para obter a proposta comercial_x000a_[23/11] EF encaminhada. O próximo passo agora é enviar os documentos recebidos na sexta-feira para o fornecedor, que nos enviará a proposta comercial para ser aprovada. O fornecedor está levando em média de 5 a 7 dias úteis para nos retornar._x000a_[16/11] Aguardando retorno do solicitante."/>
    <s v="Negócios"/>
    <s v="Wagner"/>
    <m/>
    <s v="Em Desenvolvimento"/>
    <m/>
    <m/>
    <s v="Recuperação"/>
    <n v="3.83"/>
    <s v="Sim"/>
  </r>
  <r>
    <s v="CTXPOARB-94403"/>
    <s v="RTI - PopUP no momento da geração de Visita Técnica e abertura de IE"/>
    <s v="POA e Santo Amaro"/>
    <s v="Plano Recuperação"/>
    <s v="América Móvil"/>
    <x v="4"/>
    <x v="2"/>
    <s v="Wagner Mattos"/>
    <s v="RTI"/>
    <d v="2015-09-30T00:00:00"/>
    <n v="197"/>
    <d v="2015-10-07T00:00:00"/>
    <m/>
    <m/>
    <m/>
    <m/>
    <s v="[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Fornecedor BETTA respondeu a proposta em 17/11, porém a proposta do fornecedor veio incompleta – Aguardando nova proposta 24/11_x000a_[16/11] Enviamos solicitação para proposta comercial de fornecedro BETTA – Aguardando proposta"/>
    <s v="Negócios"/>
    <s v="Wagner"/>
    <m/>
    <s v="Em Desenvolvimento"/>
    <m/>
    <m/>
    <s v="Recuperação"/>
    <n v="14.9"/>
    <s v="Sim"/>
  </r>
  <r>
    <s v="CTXPOARB-95442"/>
    <s v="RTI - Preenchimento automático do Infomaker"/>
    <s v="POA e Santo Amaro"/>
    <s v="Plano Recuperação"/>
    <s v="América Móvil"/>
    <x v="4"/>
    <x v="2"/>
    <s v="Wagner Mattos"/>
    <s v="RTI"/>
    <d v="2015-10-21T00:00:00"/>
    <n v="176"/>
    <d v="2015-10-22T00:00:00"/>
    <m/>
    <m/>
    <m/>
    <m/>
    <s v="[11/04] - TO BE aprovado pela operação. Inicio do desenvolvimento em 11/04/16. _x000a_[04/04] TO BE enviado para aprovação da operação em 01/04/16; aguardando retorno da operação. Datas de desenvolvimento e UAT replanejadas devido ao remanejamento de recursos para a execução das demandas de Claro; datas de UAT precisam ser validadas._x000a_ [29/03] - To be iniciado. Previsto entrega dia 30/4. _x000a_[21/03] Aguardando inicio do desenho do TO BE, conforme cronograma publicado. _x000a_[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_x000a_ [08/03] - Operação retornou com EF complementar em 03/03/16. Novas datas de desenvolvimento e TO BE publicadas. Datas de Homologação 18/05/16 a 24/06/16 01/03/16: Mesmo status._x000a_22/02/16: Desenvolvimento da EF previamente enviada está concluído. Aguardando EF complementar ser enviada pela operação. _x000a_11/02 - Replanejado para dia 26/02_x000a_05/02 - Devido à incremento de escopo, tempo de desenvolvimento replanejado para 06/01 a 19/02_x000a_01/02: Piloto previsto para 25/02 à 07/03.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24/11 - Juliano respondeu dia 19/11. Após avaliação de TI encaminhamos proposta para o fornecedor 24/11/15_x000a_[16/11] Aguardando retorno do solicitante."/>
    <s v="RTI"/>
    <s v="Mariana"/>
    <d v="2016-04-01T00:00:00"/>
    <s v="Em Desenvolvimento"/>
    <m/>
    <m/>
    <s v="Recuperação"/>
    <n v="6.7674896618569997"/>
    <s v="Sim"/>
  </r>
  <r>
    <s v="CTXPOARB-95467"/>
    <s v="RTI - Preenchimento automático texto padrão"/>
    <s v="POA e Santo Amaro"/>
    <s v="Plano Recuperação"/>
    <s v="América Móvil"/>
    <x v="4"/>
    <x v="2"/>
    <s v="Wagner Mattos"/>
    <s v="RTI"/>
    <d v="2015-10-22T00:00:00"/>
    <n v="175"/>
    <d v="2015-10-22T00:00:00"/>
    <m/>
    <m/>
    <m/>
    <m/>
    <s v="[11/04] UAT aprovado pela operação. Aguardando inicio do Piloto, de acordo com as datas definidas pela operação._x000a_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_x000a_[22/03] Inicio de UAT programado para as 14h do dia 22/03/16. Data de piloto confirmada pela operação._x000a_[14/03] Validar com os sites as datas para piloto e rollout._x000a_[08/03] - Rollout em Recife planejado do dia 08/03 a 18/03, porém a operação não aprovou as datas devido ao DMM. Aguardando novas datas para programarmos o rollout. 01/03/16: Pendente envio de cronograma. _x000a_22/01/16: Em desenvolvimento, não há pendências. Piloto antecipado em função do DMM da operação._x000a_05/02 - Em desenvolvimento até 19/02, porém o piloto foi antecipado para 29/02 a 09/03 devido ao DMM da operação_x000a_01/02: Piloto previsto para 29/02 à 09/03. Piloto foi antecipado a pedido de negócio devido ao DMM._x000a_26/01 - Mesmo status _x000a_18/01 - Devido à alteração da solução tecnico/operacional , necessário redesenho da solução técnica impactando início do desenvolvimento. _x000a_[16/11] Aguardando retorno do solicitante. EF com dados insuficientes para solicitar a Proposta Comercial."/>
    <s v="Operção"/>
    <m/>
    <m/>
    <s v="Em Desenvolvimento"/>
    <m/>
    <m/>
    <s v="Recuperação"/>
    <n v="16.8"/>
    <s v="Sim"/>
  </r>
  <r>
    <s v="CTXSPOAL-95566"/>
    <s v="Providenciar o desenho de topologia para a liberação da rede Nextel (MIGRAÇÃO)"/>
    <s v="Navegantes"/>
    <s v="S&amp;OP"/>
    <s v="Clientes Especiais"/>
    <x v="7"/>
    <x v="0"/>
    <s v="Cristina Rey"/>
    <s v="Crescimento/Expansão/Migração"/>
    <d v="2015-10-07T00:00:00"/>
    <n v="190"/>
    <d v="2015-10-27T00:00:00"/>
    <s v="N/A"/>
    <s v="Risco"/>
    <m/>
    <m/>
    <s v="12/04 - Aguardando cliente executar liberações de rede conforme solicitação de 22/01, sem isso nao conseguimos avançar;_x000a_26/01 - solicitado ao cliente a liberação de acesso a rede 192.168.136.0/24;_x000a_20/01 - Analises para as liberações dos links do cliente para os sites PL407 e antártica, conforme v-Lans informadas; previsto para 22/01;"/>
    <s v="Cliente"/>
    <s v="Cliente"/>
    <s v="N/A"/>
    <s v="Desenvolvimento/Execução"/>
    <m/>
    <n v="4"/>
    <m/>
    <m/>
    <s v="Sim"/>
  </r>
  <r>
    <s v="CTXSPOAP407-12333"/>
    <s v="TAM - Virtualização URA-BR   - (antigo: Ura Rec Voz )"/>
    <s v="Alegria/SP"/>
    <s v="Plano Recuperação"/>
    <s v="América Móvil"/>
    <x v="6"/>
    <x v="1"/>
    <s v="Fabrício Peixoto"/>
    <s v="Upgrade de Tecnologia"/>
    <d v="2015-09-03T00:00:00"/>
    <n v="224"/>
    <d v="2015-08-01T00:00:00"/>
    <d v="2015-03-11T00:00:00"/>
    <s v="Risco"/>
    <s v="26/04/16_x000a_13/04/2016"/>
    <m/>
    <s v="[12/04] - Problemas de redes Contax,  inviabilizaram testes dia 06/04. _x000a_Nova data proposta para retomada dos testes com ISYS ( 13/04] ._x000a_Fase Atual - Homologação da Plataforma e da Nova Aplicação. [previsto até 25/04 ]_x000a_1) Plano de Ação para homologação Aplicação, será apresentado pela ISYS após homologação da nova plataforma._x000a__x000a_[05/04] - Agendado Teste de Homologação da Plataforma com Fornecedor ISYS ( 06/03 - 14HS ). _x000a_Proxima etapa - Plano de Açã opara testes de Homologação Aplicação na nova Plataforma._x000a__x000a_[29/03] -  Ambiente disponibilizado para testes . Solicitado esclarecimentos para fornecedor ISYS sobre Plano de ação para homologação (Login Agent) . Ag. retorno para dar inicio aos testes,_x000a__x000a_[22/03] -  Entrega ambnte para para testes tecnicos planejado para 23/03. O fornecedor enviará o plano de ação para a homologação da nova infra até 22/03._x000a_Fase de validação por Negócios, para as informações  solicitdas pelo Fornecedor YSYS, para configuração do novo ambinete URA  (Plano de rollout)  [Logins, vdns e skill, hostnames pa's ativas]_x000a__x000a_[15/03] - Desenvolvimento em andamento pela ISYS. Aguardando agendda do Cliente para alinharmos a criação do  plano de Ação para Rollout ambiente._x000a__x000a_ [11/03] - Problemas de redes e Infra CTX, resolvidos em 10/03. Solicitado testes e atualizaão do Cronograma, para fornecedor ISYS. Impacto estimado de 8 dias . Nova data entrega ambiente para homologação TAM - 23/03_x000a__x000a_[08/03] - Solucionados problemas de Infra (redes) no ambiente Contax._x000a_Fornecedor retomou a etapa de instalação componentes para prosseguir com desenvolvimento._x000a_Impacto no Cronograma  (Atraso) : +/-  15 dias_x000a__x000a_[29/02] - Ponto Atenção (Atraso) - Identificamos problemas Infra Contax e está sendo tratado pela equipe Tecnica. _x000a_Impacto direto no tempo de desenvolvimento do fornecedor URA ( 10 dias )_x000a_ até momento._x000a_Expectativa de Conclusão: até 04/03_x000a__x000a_[23/02] - Desenvolvimento URA sendo executado pelo fornecedor, conforme planejado. Data prevista para disponibilização da ferramenta para testes ( 15/03 )._x000a__x000a_[16/02] - Desenvolvimento URA sendo executado pelo fornecedor, conforme planejado. Data prevista para disponibilização da ferramenta para testes ( 15/03 )._x000a__x000a_[10/02] - Desenvolvimento URA sendo executado pelo fornecedor, conforme planejado. Data prevista para disponibilização da ferramenta para testes ( 15/03 )._x000a__x000a_02/02 - Desenvolvimento sendo realizado pelo fornecedor, conforme planejado. Data prevista para disponibilização da ferramenta é 15/03._x000a__x000a_[29/01] - Aguardando status atualizado do cronograma de desenvolvimento da URA (Fornecedor ISYS)_x000a__x000a_[26/01] - Em andamento Desenvolvimento._x000a__x000a_[21/01] - Em andamento. Fase de Desenvolvimento pelo Fornecedor ISYS até 15/03. Cronograma d eentrega replanejado, devido a imprevistos de Infra Contax. Nova data informada no status de 21/01._x000a_Proxima etapa será homologação TAM (30DIAS) _x000a__x000a_[18/12] - Aguardando conclusão de liberações de acesso para Fornecedor ISYS [ LW - CSE ], previsão conclusão 18/12._x000a_O fornecedor ISYS iniciará desenvolvimento dia 04/01. Previsão de disponibilização do ambiente para Homologação da TAM em 02/03/16._x000a__x000a_[01/12] Servidores OK. Previsão de liberação na rede em 2/12._x000a_Pendente informação dos logins dos analistas pela ISYS para liberação do acesso nos novos servidores._x000a_Pendente status da disponibilização do AES_x000a_Cronograma enviado para atualização pela ISYS._x000a__x000a_[25/11] Aguardando retorno do Marangoni (área de Segurança) quanto alguns questionamentos realizados_x000a_Cliente está cobrando posicionamento_x000a__x000a_[18/11] Projeto está com as filas executoras e cronograma já foi feito._x000a_Necessário cobrar atividades de CSE, as mesmas não estão sendo pontuadas por eles._x000a__x000a_[15/10 – Leandro] Cronograma enviado em 20/10_x000a__x000a_[5/10 – Leandro]  Novo call envolvendo áreas técnicas  e cliente realizado dia 5/10. Próximos passos: cada área enviar suas lista  de atividades para montagem do cronograma._x000a_[18/09 – Dalton] Cronograma disponibilizado pelo Thiago Ferreira em 16/Set, neste momento estamos aguardando a definição do range de IPs pela equipe do Felipe Villa. _x000a_[28/09 - Leandro] Retorno pendente de ENG. Faremos um follow-up e cobrança desse assunto para prosseguimento."/>
    <s v="Fornecedor ISYS"/>
    <s v="Marcel/Priscila"/>
    <s v="ND"/>
    <s v="Desenvolvimento/Execução"/>
    <d v="2016-03-30T00:00:00"/>
    <n v="600"/>
    <s v="Sim"/>
    <d v="2016-01-07T00:00:00"/>
    <s v="Sim"/>
  </r>
  <r>
    <s v="CTXSPOAP407-12458"/>
    <s v="Pesquisa de Satisfação Eletrônica URA"/>
    <s v="Antártica/SP"/>
    <s v="Operações que não estão no Plano de Recuperação"/>
    <s v="Santander"/>
    <x v="1"/>
    <x v="5"/>
    <m/>
    <s v="Upgrade de Tecnologia"/>
    <d v="2015-09-09T00:00:00"/>
    <n v="218"/>
    <d v="2015-08-01T00:00:00"/>
    <m/>
    <m/>
    <m/>
    <m/>
    <s v="13/04 - Mesmo status_x000a_06/04 - Mesmo status_x000a_01/04 - Questionamentos enviados pela Information no dia 21/03. _x000a__x000a_Aguardando resposta do Santander_x000a__x000a_29/03 - Mesmo status_x000a_15/03 - Mesmo status_x000a_08/03 - Mesmo status_x000a_29/02 - Aguardando geração de pedido_x000a_22/02 - Mesmo status_x000a_16/02 - Aguardando DE ACORDO do solicitante em relação a proposta enviada pelo fornecedor_x000a_10/02 - Mesmo status_x000a_02/02 - Mesmo status_x000a_[28/01] - Aguardando aceite por parte do solicitante_x000a_[26/01] Aguardando proposta da ISYS_x000a_[26/11] Solicitação de proposta técnica/comercial para a Information. Aguardando retorno_x000a_[18/11] Pendente informações por parte de negócios (George / Veronica / Noemia)_x000a_14/10]] Análise de orçamento junto a Information Systems_x000a_[19/09 - Dalton] – encaminhado para George questionamentos levantados pela information, aguardando retorno._x000a_[18/09 - Dalton] Aguardando análise e orçamento da Information."/>
    <s v="Solicitante"/>
    <s v="George Dimitrov"/>
    <s v="Sem previsão"/>
    <s v="Desenvolvimento/Execução"/>
    <m/>
    <m/>
    <m/>
    <m/>
    <s v="Não"/>
  </r>
  <r>
    <s v="CTXSPOBF-119863"/>
    <s v="Melhoria Relatório Screen Pop"/>
    <s v="Antártica/SP"/>
    <s v="Operações que não estão no Plano de Recuperação"/>
    <s v="Santander  "/>
    <x v="1"/>
    <x v="5"/>
    <m/>
    <s v="Desenvolvimento"/>
    <d v="2015-06-12T15:48:00"/>
    <n v="306.34166666666715"/>
    <d v="2015-08-01T00:00:00"/>
    <m/>
    <m/>
    <m/>
    <m/>
    <s v="01/04 - Cronograma em andamento. Previsão de entrega - 13/05_x000a_29/02 - Desenvolvimento pela ISYS previsto para terminar em 15/04. Após isso será disponibilizado para testes e homologação. Depois de homologado, entrará as atividades do site TI prevista para início em 02/05_x000a_22/02 - Mesmo status_x000a_16/02 - Information repassou o Cronograma de desenvolvimeto da aplicação. Devido a complexibilidade, recebemos a previsão de implantação em produção em 13/05. Já alinhado com a operação (Veronica)._x000a__x000a_10/02 - Cronograma elaborado e andando conforme_x000a_02/02 - Aguardando elaboração de cronograma pela ISYS_x000a_[26/01] Pedido gerado. Aguardando cronograma da ISYS para execução_x000a_[17/11] Solicitações de compras geradas -&gt; Aguardando aprovações no fluig -&gt; Falta Ibrahim_x000a_[27/10– Bruno/Leandro] Em tratativa com controladoria  referente a SC, Information aguardando esse trâmite interno para dar inicio ao cronograma por parte deles._x000a__x000a_[05/10 – Dalton/Leandro] Aguardando o “de acordo” do Cliente referente à Proposta da Information Systems para prosseguir com o Projeto._x000a_[18/09 – Leandro] Aguardando o “de acordo” do Cliente referente à Pr Assim que se tiver esses usuários, se dará inicio nas movimentações.oposta da Information Systems para prosseguir com o Projeto."/>
    <s v="Fornecedor"/>
    <s v="Information"/>
    <d v="2016-04-15T00:00:00"/>
    <s v="Desenvolvimento/Execução"/>
    <m/>
    <m/>
    <m/>
    <m/>
    <s v="Não"/>
  </r>
  <r>
    <s v="CTXSPOBF-124602"/>
    <s v="Discador para Ciclo de Vida e Finauto"/>
    <s v="Alegria/SP"/>
    <s v="Operações que não estão no Plano de Recuperação"/>
    <s v="Santander"/>
    <x v="0"/>
    <x v="1"/>
    <s v="George Dimitrov"/>
    <s v="Desenvolvimento"/>
    <d v="2015-08-31T00:00:00"/>
    <n v="227"/>
    <d v="2015-08-01T00:00:00"/>
    <s v="ND"/>
    <s v="Risco"/>
    <s v="ND"/>
    <m/>
    <s v="[12/04] - Infra Servidores definida por Arquitetura e EF fase final de validação por Aplicações. Encaminhando para fila de Execução (CSE). Proximo passo avaliação e definição de  esforço, insumo e Cronograma de execução ( Criação Maquinas)_x000a__x000a_[05/04] - Esclarecimentos da EF ( solicitante) recebidos em 05/04 e encaminhados  para equipe Tecnica Aplicações. . Em paralelo , equipe Engenharia avaliando premissas de Infra TI par aatender a nova Aplicação._x000a__x000a_[29/03] -  Pendencia Solicitante  - Aguardando  retorno do solicitante para os esclarecimentos a EF._x000a__x000a_[22/03] - Aguardando  retorno do solicitante para os esclarecimentos a EF._x000a_Projeto direcionado para fila de Engenharia para validação de primissas de Infra estrutura solicitadas por Aplicações ._x000a__x000a_[15/03] - EF recebida em  10/03. Projeto encaminhado para fila de Aplicações. (Aguardando analise EF e mapeamento de esforço e necessidade insumos TI._x000a__x000a_[11/03] - EF recebida em 10/03. Considerações e questionamentos esclarecidos com Solicitando. Aguardando validação da EF com Operação . Proximo passo - encaminhar EF para analise da equipe de Aplicações._x000a_Solicitante informado que o projeto será encerrado em 09/03, pois ainda não consta EF. _x000a__x000a_[29/02] - Aguardando EF com escopo atualizado._x000a__x000a_[23/02] - Mudança de Escopo. Entendimento Escopo do projeto realizado com equipe Projeto Negocios (George) e GerOperação (Veronica). Aguardando EF atualizada para _x000a_direcionar projeto para fila de Aplicações. Necesidade: Front End integrada com discador com possibilidade de discagem manual. Mantendo mesmas funcionalidades da aplicação atual em produção._x000a__x000a_[16/02] - Avaliando proposta Tecnica TQS com equipe Aplicações._x000a__x000a_[10/02] - Avaliando proposta tecnica do fornecedor ._x000a__x000a_[02/02] - Necessário levantar maiores esclarecimentos com C. Sasaki e Engenharia (Telecom), para esclarecer escopo e como foi elaborada a proposta Comercial do fornecedor TQS._x000a_Avaliar com fornecedor a possibilidade de execução piloto sem custos._x000a__x000a_[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_x000a__x000a_[26/01] - sEM ALTERAÇÃO._x000a__x000a_[21/01] - Proposta Comercial Contax encaminhada para aprovação do cliente Santander em 02/12 ( Solução TQS). Ainda não obtivemos retorno sobre a aprovação. O cliente solicitou a realização de um Piloto antes da aprovação da Proposta._x000a_Solução FF descartada, pois o escopo contempla Operação Blended e o FF não foi customizado para operações Bended. (C. Sasaki - 21/01)_x000a__x000a_[17/11 - George] Solicitada nova proposta comercial para a Ayty. Finalizando documentação da operação para orçamento._x000a__x000a__x000a_[14/10 – Dalton/Leandro] Pontos de atenção:_x000a_-Aprovação proposta TQS pelo solicitante  Esclarecido dúvidas sobre TQS / aguardando decisão da possibilidade de um benck mark em outro cliente)_x000a_-Desenho da topologia (Pendente com ENG)._x000a_-Preenchimento Quadro TODO´s (George complementou itens referentes a ele.)._x000a__x000a_[05/10 – Dalton/Leandro] Pontos de atenção:_x000a_-Aprovação proposta TQS pelo solicitante (Pendente conversa entre Suporte ao Negócio/Projetos/Aplicações) para esclarecer a necessidade de se contratar a TQS._x000a_-Desenho da topologia (Pendente com ENG)._x000a_-Preenchimento Quadro TODO´s (Necessário apoio George)._x000a_[23/09 - Leandro] Washington realizou a análise do discador e decidiu-se pelo Aspect 7.1._x000a_Próximos passos antes da execução:_x000a_Orçamento TQS; _x000a_Desenho da topologia;_x000a_Saber-se se o Link é do cliente ou não._x000a__x000a_[18/09 – Leandro] Ainda encontra-se em análise pela equipe de CSE e aplicações_x000a_[16/09 - Leandro] Realizando levantamento com área de CSE sobre a viabilidade do uso das ferramentas APC ou Aspect para atender a demanda_x000a_"/>
    <s v="APP/CSE"/>
    <s v="Fernanda/LW"/>
    <s v="ND"/>
    <s v="Desenvolvimento/Execução"/>
    <s v="ND"/>
    <m/>
    <s v="Não"/>
    <s v="A definir"/>
    <s v="Não"/>
  </r>
  <r>
    <s v="CTXSPOBF-98975"/>
    <s v="Topologia tGuindance"/>
    <s v="Alegria/SP"/>
    <s v="Operações que não estão no Plano de Recuperação"/>
    <s v="Santander"/>
    <x v="1"/>
    <x v="2"/>
    <s v="George Dimitrov"/>
    <s v="Desenvolvimento"/>
    <d v="2014-07-24T00:00:00"/>
    <n v="630"/>
    <d v="2015-08-01T00:00:00"/>
    <m/>
    <m/>
    <m/>
    <m/>
    <s v="[12/4] - Aguardando aprovação do cliente _x000a_[4/4] - Cliente solicita os logs em documento. Solicitado informações a equipe de MS. [29/03] - Mesmo status_x000a_[22/3] - Mesmo Status_x000a_[15/03] - Mesmo status_x000a_[08/03] - Encaminhado os logs dos servidores para George. Aguardando aprovação do cliente. _x000a_[29/02] - Solicitado o processo de log dos servidores para equipe de MS.    _x000a_[23/02] - Aguardando resposta da equipe de aplicações para o processo de log dos servidores do tGuidance.                                                                                                                                    [16/02] - Agendado reunião de alinhamento com George                                           [10/02] - Mesmo status                                                                                                                                                                                                                                                                                                               02/02 - Mesmo status_x000a_26/01 - Mesmo status _x000a_VERIFICAR COM O GEORGE_x000a_[05/10 – Dalton/Leandro] Aguardando Robson Costa com aceite do cliente para prosseguimento_x000a_[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_x000a_[18/09 – Leandro] faltando OK do cliente._x000a_[16/09 - Leandro] Realizado follow-up presencial com Robson Costa, os mesmos mencionaram não terem conseguido o de acordo do cliente ainda._x000a_"/>
    <s v="Cliente"/>
    <m/>
    <s v="TDB"/>
    <s v="Levantamento de informações"/>
    <s v="TDB"/>
    <m/>
    <s v="Não"/>
    <s v="-"/>
    <s v="Não"/>
  </r>
  <r>
    <s v="CTXSPOLP-111956"/>
    <s v="Projeto - Monitoria da Qualidade "/>
    <m/>
    <s v="Plano Recuperação"/>
    <s v="Corporativo"/>
    <x v="3"/>
    <x v="6"/>
    <s v="Brigida Gouveia"/>
    <m/>
    <d v="2015-09-23T00:00:00"/>
    <n v="204"/>
    <d v="2015-10-01T00:00:00"/>
    <m/>
    <m/>
    <m/>
    <m/>
    <s v="12/04 - Fase 1 (Alegria): Em implantação/ajustes_x000a_Fase 2 (liberação outros sites): Na fila de Engenharia com previsão para entrega da análise em 15/04_x000a_Fase 3 (MIS): Em planejamento_x000a_29/03 - Dois dias de atraso em Claro e Net e um dia na Vivo e Oi._x000a_Em homologação_x000a_22/03 - Mesmo status_x000a_17/03:_x000a_Etapa concluída:_x000a_Liberação de acessos ao ambiente Oi, Vivo, Valro e NETa partir do site Alegria;_x000a_Criação da VPN TSA x Genesys_x000a__x000a_Pontos de atenção:_x000a_Homlogação do acesso aos sistemas a partir do Alegria;_x000a_Instabilidade VPN TSA_x000a_Acesso ambiente TSA e Genesys_x000a__x000a_Próximos passos:_x000a_Preparação máquinas para homologaç~dos acessos_x000a_Homologação dos acessos pela equipe de qualidade, TSA e Genesys - 21/03_x000a_Transporte e preparação das PAs no Site Alegria - 21/03 (Claro) 24/03 (NET) 28/03 (Oi e Vivo)_x000a__x000a_08/03 - Etapas concluídas:_x000a_Liberações de acesso CTC Dom Pedro para Oi, VIVO, Claro e Net_x000a_Separação de 55 estações com controle de ativos_x000a_Desenho da solução acesso para a operação no Site Alegria_x000a_Criação de servidores TS para Claro e VIVO_x000a_Criação de usuário TS_x000a__x000a_Pontos de atenção:_x000a_Liberação de acessos pelos clientes (Oi principalmente)_x000a_Homologação do acesso aos sistemas a partir do Alegria_x000a__x000a_Próximos passos: _x000a_Liberações de acessos ao site Alegria_x000a_Preparação das estações para homologação - 11/03_x000a_Homologação dos acessos pela equipe de qualidade - 16/03_x000a_Homologação dos acessos pela equipe Genesys e TSA - 18/03_x000a_Transporte e preparação das PAs no site alegria - 18/03 (Claro) , 21/03 (NET), 24/3 (Oi e VIVO)_x000a_16/02 - Etapas concluídas:_x000a_Separação de 55 estações com controle de ativos;_x000a_Mapeamento de 95% dos 130 sistemas;_x000a_Análise de banda WEB para acesso via VPN/Web;_x000a__x000a_Pontos de atenção:_x000a_Liberação de acesso para treianemnto CTC D.Pedro_x000a_Liberação de acesso pelos clientes (Oi principalmente)_x000a_Licenças terminal services (acessos Vivo e Claro)_x000a__x000a_Próximos passos:_x000a_Análise e liberação de acessos Rede Contax - CTC D. Pedro_x000a_Análise e liberação de acessos Rede Contax - Site Alegria_x000a_Transporte de estações Lapa &gt; Alegria_x000a_Homologar estação Alegria_x000a__x000a_Previsão: 20/mar_x000a__x000a__x000a_02/02 - Mesmo status_x000a_26/01 - Mesmo status _x000a_15/1 - projeto retomado. Kick off agendado com Genesys e TSA_x000a_15/10-Leandro] Projeto encaminhado a fila do site para Análise e estimativa / Acionamento de sites para estudo de mapeamento de sistemas atrelados - na fila._x000a__x000a_Dalton Bondesan added a comment - 29/Set/15 14:50 _x000a_Projeto encaminhado a fila do site para Análise e estimativa. "/>
    <s v="CSE / Site"/>
    <s v="LW / Zenailde"/>
    <d v="2016-03-21T00:00:00"/>
    <s v="Homologação"/>
    <m/>
    <n v="54"/>
    <m/>
    <m/>
    <s v="Sim"/>
  </r>
  <r>
    <s v="CTXFORBM-323275"/>
    <s v="projeto para efetuarmos controle de pausas no tCollect! da Retenção Invol"/>
    <m/>
    <s v="Operações que não estão no Plano de Recuperação"/>
    <s v="Oi"/>
    <x v="1"/>
    <x v="2"/>
    <s v="Tatiane Rodrigues Dallecrode "/>
    <s v="Crescimento/Expansão/Migração"/>
    <d v="2015-09-29T00:00:00"/>
    <n v="198"/>
    <d v="2015-10-21T00:00:00"/>
    <s v="TDB"/>
    <s v="Risco - A equipe técnica está com várias ações concorrentes "/>
    <s v="TDB"/>
    <m/>
    <s v="[12/4] - Aguardando a conclusão do POP_x000a_[4/4] - Mesmo status_x000a_[29/03] Mesmo status_x000a_[22/03] Mesmo status_x000a_[15/03] - Mesmo status_x000a_08/03 - Em hold_x000a_[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
    <s v="Aplicações"/>
    <s v="Camilla Fermiano"/>
    <s v="TDB"/>
    <s v="Levantamento de informações"/>
    <s v="TDB"/>
    <n v="384"/>
    <s v="Não"/>
    <s v="-"/>
    <s v="Não"/>
  </r>
  <r>
    <s v="CTXSPOAP407-13236"/>
    <s v="Projeto - Solução infraestrutura (servidor e link) para relatórios de Televendas"/>
    <s v="Corporativo"/>
    <s v="Operações que não estão no Plano de Recuperação"/>
    <s v="Corporativo"/>
    <x v="2"/>
    <x v="5"/>
    <m/>
    <m/>
    <d v="2015-11-11T00:00:00"/>
    <n v="155"/>
    <d v="2015-11-17T00:00:00"/>
    <m/>
    <m/>
    <m/>
    <m/>
    <s v="12/04 - Mesmo status_x000a_06/04 - Aguardando retorno de CSE_x000a_29/03 - Não homologado. LW solicitado para identificar o problema. Aguardando_x000a_14/03 - Servidor piloto disponibilizado. Aguardando homologação_x000a_08/03 - Aguardando homologação_x000a_01/03 - Aguardando homologação por parte do solicitante, referente ao Servidor Piloto_x000a_10/02 - Servidor piloto já foi elaborado (CSE e ENG). Hoje a equipe de negócios passou a relação dos usuários que precisam ter acesso a esse servidor. LW irá cadastrar... Para o servidor definitivo, é necessário uma outra call e definição melhor do escopo_x000a_02/02 - No call houve a mudança de escopo, Engenharia está elaborando a documentação com previsão de término até amanhã (03/02)_x000a_[28/01] Proposta enviada por Engenharia e aguardando aprovação por parte do solicitante._x000a_[26/01] Tivemos uma call no início da semana com o José Maria, Eder e o Maurício Lustosa._x000a__x000a_Esse projeto tinha um escopo inicial e foi mudado totalmente o escopo:_x000a_• Requisitos funcionais com dimensões bem maiores;_x000a_• Dois servidores ao invés de um;_x000a_• Necessidade de piloto (o que não estava contemplado no escopo inicial)._x000a_"/>
    <s v="CSE"/>
    <s v="Luiz Washington"/>
    <s v="Sem previsão"/>
    <s v="Desenvolvimento/Execução"/>
    <m/>
    <m/>
    <m/>
    <m/>
    <s v="Não"/>
  </r>
  <r>
    <s v="CTXSPOAL-94230"/>
    <s v="Projeto - Desenvolvimento de tabulador Contax para substituição do DefyIT"/>
    <s v="Alegria/SP"/>
    <s v="Plano Recuperação"/>
    <s v="Clientes Especiais"/>
    <x v="1"/>
    <x v="5"/>
    <s v="Luciana Andrade"/>
    <s v="Desenvolvimento"/>
    <d v="2015-09-22T00:00:00"/>
    <n v="205"/>
    <d v="2015-11-18T00:00:00"/>
    <m/>
    <m/>
    <m/>
    <m/>
    <s v="13/04 - Testes do tGuidance realizados com sucesso no dia 11/04 e dia 12/04. Homologação do cliente realizada no dia 12/04. _x000a_Entrada em produçã do tGuidance será realizada faseadamente. Já temos dois operadores utilizando, dia 14/04 subirão mais 4 operadores para produção e dia 15/04 tod aoperação entrará em produção_x000a_tSupervisor OK._x000a_Começaremos o desenvolvimento do tReports para implantar. Cronograma passaremos até o dia 15/abr_x000a_06/04 - Tivemos atrasos em algumas atividades devido a problemas no banco de dados do Tguidance. Sendo assim, foi reprogramada a entrega do FF para dia 11/04. Aguardando de acordo do cliente para homologação.  A instalação do ambiente tReports (relatórios) será iniciada após a homologação do cliente._x000a_28/03 - Mesmo status_x000a_22/03 - Cronograma já enviado À equipe de negócios e operação. Data prevista para conclusão é dia 07/abr"/>
    <s v="APP"/>
    <s v="Viviane"/>
    <s v="TBD"/>
    <s v="Desenvolvimento/Execução"/>
    <m/>
    <m/>
    <m/>
    <m/>
    <s v="Sim"/>
  </r>
  <r>
    <s v="CTXMTZPB-1118"/>
    <s v="Restrição de Transferência"/>
    <s v="Borges de Melo/CE_x000a_João Pessoa/PB_x000a_Mackenzie/RJ_x000a_Niterói/RJ_x000a_Santo Amaro/PE"/>
    <s v="Plano Recuperação"/>
    <s v="Oi"/>
    <x v="1"/>
    <x v="7"/>
    <s v="José Pedro"/>
    <s v="Desenvolvimento"/>
    <d v="2015-12-03T00:00:00"/>
    <n v="133"/>
    <d v="2015-12-17T00:00:00"/>
    <s v="Não definida"/>
    <s v="NA"/>
    <s v="NA"/>
    <m/>
    <s v="12/04 - Piloto em andamento._x000a_05/04 - Iniciado Piloto no Site Niterói _x000a_29/03 - Cronograma em linha._x000a_22/03 - Cronograma fechado. _x000a_15/03 - Definindo cronograma. Entrega 16/03._x000a_10/03 - Finalizada a EF. Aguardando data APP._x000a_08/03 - Necessário conferência entre aplicações e buscando agenda para quarta._x000a_02/03 - Ana fez a definição da solução a ser adotada;_x000a_Enviado para a área de aplicações para fazer entendimento e reprogramar cronograma._x000a_22/02 - Ana informou que alinhará com PH no dia 23/02 para definir a solução a ser adotada. _x000a_16/02 - Alinhado novo desenho de solução proposto pela área de APP. _x000a_Aguardando definição do cliente._x000a_11/02 - Ana informou à equipe q a solução desenhada não atende. _x000a_- Rivaldo avaliando com a equipe._x000a_10/02 - Em linha. _x000a_03/02/2016 - Alinhamento das necessidades de definição de layout com a operação;_x000a_- Alexandre ainda não enviou a EF final, FUP realizado; _x000a_- Operação já definiu mesagem a ser apresentada para o operador e aguarda EF para incluir;_x000a_- Operação já definiu &quot;última transferência&quot;, após recebimento da EF será inserida na mesma._x000a_28/01 - Fechamento do cronograma._x000a_27/01 - Kickoff com os Sites. Envio do cronograma para validação (SItes e Aplicações)_x000a_26/01 - Mesmo status _x000a_09/01/2016 - Início do tratamento do projeto._x000a_Definição das etapas macro e avaliação da EF._x000a_14/01/2016 - Kickoff com a participação da área de desenvolviemnto e operações para apresentação da solução desenhada._x000a_Mudança de escopo, acordada entrega de nova EF dia 15/01/2016._x000a_Envio do draft da solução para aprovação de operações._x000a_18/01/2016 - Entrega da nova EF com o detalhamento da alteração de escopo._x000a_Início da avaliação pela área de desenvolvimento."/>
    <s v="Projetos TI"/>
    <s v="Julio Silva"/>
    <s v="N/A"/>
    <s v="Desenvolvimento/Execução"/>
    <m/>
    <n v="1200"/>
    <s v="Sim"/>
    <s v="A definir"/>
    <s v="Sim"/>
  </r>
  <r>
    <s v="CTXRECSA-371873"/>
    <s v="Projetos bolha - Troca do sistema WinXP para Win7 em todas as operações do Itaú nos estados de PE"/>
    <s v="Cabula/Santo Amaro"/>
    <s v="Plano Recuperação"/>
    <s v="Itaú"/>
    <x v="1"/>
    <x v="2"/>
    <s v="Marco Brandão"/>
    <m/>
    <d v="2015-09-17T00:00:00"/>
    <n v="210"/>
    <d v="2015-09-25T00:00:00"/>
    <d v="2016-04-28T00:00:00"/>
    <s v="Risco - O Banco ainda não aprovou a utilização do tSupervisor"/>
    <d v="2016-04-28T00:00:00"/>
    <m/>
    <s v="[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s v="Cliente"/>
    <m/>
    <s v="TDB"/>
    <s v="Desenvolvimento/Execução"/>
    <d v="2016-04-28T00:00:00"/>
    <n v="3076"/>
    <s v="Não"/>
    <s v="-"/>
    <s v="Não"/>
  </r>
  <r>
    <s v="CTXPOARB-95971"/>
    <s v="Projeto - Melhoria no Discador Disca Fácil - Priorizar Contatos por horário (Souza Cruz)"/>
    <s v="Porto Alegre/RS"/>
    <s v="Plano Recuperação"/>
    <s v="Clientes Especiais"/>
    <x v="1"/>
    <x v="7"/>
    <s v="Fabrício Peixoto"/>
    <s v="Desenvolvimento"/>
    <d v="2015-11-04T00:00:00"/>
    <n v="162"/>
    <d v="2015-12-23T00:00:00"/>
    <d v="2016-03-11T00:00:00"/>
    <s v="Sim"/>
    <d v="2016-03-11T00:00:00"/>
    <m/>
    <s v="22/01/2016 - Desevolvimento se iniciará após entrega do Projeto CTXPOARB- 95971."/>
    <m/>
    <m/>
    <m/>
    <s v="Na Fila"/>
    <m/>
    <n v="75"/>
    <s v="Não"/>
    <s v="-"/>
    <s v="Sim"/>
  </r>
  <r>
    <s v="CTXPOARB-91679"/>
    <s v="Projeto - Melhoria no discador da Operação Souza Cruz"/>
    <s v="Porto Alegre/RS"/>
    <s v="Plano Recuperação"/>
    <s v="Clientes Especiais"/>
    <x v="1"/>
    <x v="7"/>
    <s v="Fabrício Peixoto"/>
    <s v="Desenvolvimento"/>
    <d v="2015-07-29T00:00:00"/>
    <n v="260"/>
    <d v="2015-12-23T00:00:00"/>
    <d v="2016-05-02T00:00:00"/>
    <s v="Sim"/>
    <d v="2016-05-02T00:00:00"/>
    <m/>
    <s v="21/03 - Cronograma em linha._x000a_14/03 - Finalizada a adequação do cronograma e disponibilizado o mesmo._x000a_11/03 - Operação solicitou adiamento de duas semanas na execução da GMUD, para 15/04. Validando com as áreas executoras._x000a_08/03 - Cronograma em validação pela área de aplicações. Finalização 10/03._x000a_02/03 - Para remarcação da GMUD foi estabelecido o pré-requisito de realização de backup do ambiente;_x000a_Infra do Site para backup tem data estimada de disponibilização 23/03;_x000a_Será enviado para a diretoria para verificação._x000a_23/02 - GMUD cancelada a pedido do cliente. Aguardando nova data de disponibilidade da área para reprogramação._x000a_22/02 - GMUD 19226 aberta para a implantação da nova versão da solução. Buscando aprovação da diretoria._x000a_16/02 - Em linha._x000a_10/02 - Em linha._x000a_03/02/2016 - Aprovada pela operação a nova versão de software. _x000a_- Em programação do Piloto._x000a_29/01/2016 - Agendado o teste na posição de atendimento para dia 03/02/2016, estava agendado para dia 01/02, porém o Site não teria como realizar._x000a_26/01/2016 - Em desenvolvimento pela área de aplicações._x000a_Cronograma disponibilizado para operações e TI Site._x000a_26/01/2016 - Liberação do ambiente remoto para aplicações._x000a_26/01/2016 - Em desenvolvimento pela área de aplicações._x000a_Cronograma disponibilizado para operações e TI Site._x000a_22/01/2012 - Finalizado o desenvolvimento."/>
    <s v="Aplicações"/>
    <s v="Alexandre Morais"/>
    <d v="2016-04-16T00:00:00"/>
    <s v="Na Fila"/>
    <m/>
    <n v="75"/>
    <s v="Não"/>
    <s v="-"/>
    <s v="Não"/>
  </r>
  <r>
    <s v="CTXMTZPB-1091"/>
    <s v="Projeto - PASSWORK - PILOTO"/>
    <s v="Acre/Boa Viagem"/>
    <s v="Plano Recuperação"/>
    <s v="Corporativo"/>
    <x v="1"/>
    <x v="2"/>
    <s v="Fabrício Peixoto"/>
    <s v="Desenvolvimento"/>
    <d v="2015-11-27T00:00:00"/>
    <n v="139"/>
    <d v="2015-12-28T00:00:00"/>
    <s v="TDB"/>
    <s v="Risco - A equipe técnica está com várias ações concorrentes "/>
    <s v="TDB"/>
    <m/>
    <s v="[12/4] -Aguardando envio da EF. Prazo 11/4 _x000a_[5/4] - Realizado reunião hoje com a Nice para alinhamento das integrações e foi defindo que na sexta-feira Adalton irá encaminhar a EF e após o recebimento Nice encaminha o cronograma. [29/03] - Nice solicita reunião no dia 30/3 para tratar as integrações (tClock; Ecadop). _x000a_[22/03] Realizado reunião com Nice e alinhado as integrações que deveão ser realizadas. _x000a_[15/03] - Aguardando reunião do Rivaldo com a Nice dia 17/03._x000a_[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_x000a_[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
    <s v="Aplicações "/>
    <s v="Adalton"/>
    <d v="2016-04-11T00:00:00"/>
    <s v="Levantamento de informações"/>
    <s v="TDB"/>
    <n v="2000"/>
    <s v="Sim"/>
    <s v="A definir"/>
    <s v="Sim"/>
  </r>
  <r>
    <s v="CTXRECSA-440043"/>
    <s v="Discador SOC PE (GFE)"/>
    <s v="Santo Amaro/PE"/>
    <s v="Plano Recuperação"/>
    <s v="Oi"/>
    <x v="1"/>
    <x v="7"/>
    <s v="Luciana Cardoso"/>
    <s v="Desenvolvimento"/>
    <d v="2015-11-17T00:00:00"/>
    <n v="149"/>
    <d v="2016-01-11T00:00:00"/>
    <s v="Não definida"/>
    <s v="NA"/>
    <s v="NA"/>
    <m/>
    <s v="12/04 - Aguardando agenda TQS._x000a_05/04 - Em aprovação pelo demandante._x000a_29/03 - Mesmo status_x000a_21/03 - Aguardando proposta fornecedor._x000a_11/03 - Enviadas as informações. Aguardando retorno APP._x000a_10/03 - Em levantamento de informações do discador para fechamento do escopo e solicitação de proposta ao fornecedor._x000a_08/03 - Definida a utilização de disca fácil+tGuidance. _x000a_Em verificação com engenharia de pré-requisitos informados pela área. 03/03 - Aplicações enviará as informações de definições do projeto dia 03/03._x000a_25/02 - Solicitado mais informações com relação ao ambiente Aspect._x000a_Em levantamento informações do Discador Aspect para fechamento da avaliação pelo fornecedor. Novo contato com Engenharia 02/03. _x000a_22/02 - Solicitado orçamento ao fornecedor TQS, sem data de envio._x000a_16/02 - EF enviada para avaliação da área de desenvolvimento. Resposta 19/02._x000a_10/02 - Providenciando EF - Elaine_x000a_02/01/2016 - Envio de solicitação de EF novamente._x000a_26/01 - Mesmo status _x000a_20/01/2016 - Em validação de EF._x000a_21/01/2016 - EF sendo corrigida de acordo com a demanda."/>
    <s v="Aplicações"/>
    <s v="Fabiana Carla"/>
    <s v="Sem previsão"/>
    <s v="Análise"/>
    <m/>
    <m/>
    <s v="Não"/>
    <s v="-"/>
    <s v="Sim"/>
  </r>
  <r>
    <s v="CTXRJOMA-73888"/>
    <s v="Projeto - Projeto - Ferramenta de Automação OFF Line"/>
    <s v="Mackenzie/RJ"/>
    <s v="Operações que não estão no Plano de Recuperação"/>
    <s v="Oi"/>
    <x v="1"/>
    <x v="7"/>
    <m/>
    <s v="Desenvolvimento"/>
    <d v="2015-08-10T00:00:00"/>
    <n v="248"/>
    <d v="2016-01-11T00:00:00"/>
    <s v="Não definida"/>
    <s v="NA"/>
    <s v="NA"/>
    <m/>
    <s v="29/03 - Mesmo status_x000a_10/03 - Orçamento finalizado. Aguardando aprovação do cliente._x000a_08/03 - respondidos os questionamentos da Elaine e com base na resposta ela solicitou que fosse realizada uma alteração no orçamento. 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 _x000a_TQS informa que ainda não houve uma definição pela Contax com relação ao contrato de manutenção, só será possível fazer orçamento após essa definição._x000a_10/02 - Conferência com fornecedor dia 11/02 para definir solução._x000a_04/02/2016 - Conferência será reagendada para 11/04/2016._x000a_03/02/2016 - Não foi possível realizar conferência. Agendada para o dia 04/02.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s v="Negócios"/>
    <s v="Elaine Fortunato"/>
    <s v="Sem previsão"/>
    <s v="Análise"/>
    <m/>
    <m/>
    <s v="Não"/>
    <s v="-"/>
    <s v="Não"/>
  </r>
  <r>
    <s v="CTXRJOED-56989"/>
    <s v="Projeto - Instalar Ferramenta de Automações Célula GFE - Engenho de Dentro"/>
    <s v="Niterói/RJ"/>
    <s v="Operações que não estão no Plano de Recuperação"/>
    <s v="Oi"/>
    <x v="1"/>
    <x v="7"/>
    <m/>
    <s v="Desenvolvimento"/>
    <d v="2015-11-13T00:00:00"/>
    <n v="153"/>
    <d v="2016-01-11T00:00:00"/>
    <s v="Não definida"/>
    <s v="NA"/>
    <s v="NA"/>
    <m/>
    <s v="29/03 - Mesmo status_x000a_10/03 - Orçamento finalizado. Aguardando aprovação do cliente._x000a_08/03 - respondidos os questionamentos da Elaine e com base na resposta ela solicitou que fosse realizada uma alteração no orçamento.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_x000a_TQS informa que ainda não houve uma definição pela Contax com relação ao contrato de manutenção, só será possível fazer orçamento após essa definição._x000a_10/02 - Idem._x000a_04/02/2016 - Conferência será reagendada para 11/04/2016.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s v="Negócios"/>
    <s v="Elaine Fortunato"/>
    <s v="Sem previsão"/>
    <s v="Análise"/>
    <m/>
    <m/>
    <s v="Não"/>
    <s v="-"/>
    <s v="Não"/>
  </r>
  <r>
    <s v="CTXRECSA-452887"/>
    <s v="Projeto - Integração URA CO x Ferramenta Automação"/>
    <s v="Santo Amaro/PE"/>
    <s v="Operações que não estão no Plano de Recuperação"/>
    <s v="Oi"/>
    <x v="6"/>
    <x v="7"/>
    <m/>
    <s v="Desenvolvimento"/>
    <d v="2016-01-11T00:00:00"/>
    <n v="94"/>
    <d v="2016-01-14T00:00:00"/>
    <m/>
    <m/>
    <m/>
    <m/>
    <s v="12/04 - Cronograma em linha._x000a_04/04 - Realizado Kickoff do Projeto. Em andamento._x000a_29/03 - Mesmo status_x000a_21/03 - Cronograma em criação pela área desenvolvimento. Data: 31/03_x000a_15/03 - Recebida aprovação do cliente. Cronograma em confecção. Data 17/03._x000a_08/03 - Aguardando resposta do Cliente_x000a_26/02 - Aguardando resposta cliente._x000a_18/02 - Respostas enviadas. Aguardando aprovação do cliente._x000a_16/02 - Negócios solicitou a informação da validade da proposta e tempo estimado de implantação. Encaminhado à área de URA._x000a_04/10 - Operação avaliando custos. (Anthonny)_x000a_02/02/2016 - Envio dos custos para operação, aguardando avaliação._x000a_27/01/2016 - Kickoff agendado para 01/02/2016._x000a_19/01/2016 - Verificado que a URA CO não está sob a tutela de nosso contrato de desenvolvimento OI. Será necessário criar proposta ou incluir a mesma no contrato._x000a_20/01/2016 - Anthonny verificará a possibilidade de propormos a inclusão dessa URA no pool de desenvolvimento de URAs da OI._x000a_26/01/2016 - Envio do status da operação para desenvolvimento; &quot;decisão da operação pela não inclusão dessa URA no Pool&quot;._x000a_Devolutiva para verificação de caminho a seguir, desenvolver, solicitar código à Avaya ou orçar com Avaya."/>
    <s v="Aplicações URAs"/>
    <s v="Daniel Farias"/>
    <d v="2016-03-31T00:00:00"/>
    <s v="Na Fila"/>
    <m/>
    <m/>
    <s v="Não"/>
    <s v="-"/>
    <s v="Não"/>
  </r>
  <r>
    <s v="CTXBHZRI-94859"/>
    <s v="Projeto - Implantar TCollect / Aspect: Escob R2, CD R2 e CD Móvel"/>
    <s v="Prado/MG"/>
    <s v="Plano Recuperação"/>
    <s v="Oi"/>
    <x v="1"/>
    <x v="7"/>
    <s v="Fabrício Peixoto"/>
    <s v="Desenvolvimento"/>
    <d v="2015-11-10T00:00:00"/>
    <n v="156"/>
    <d v="2016-01-14T00:00:00"/>
    <m/>
    <m/>
    <m/>
    <m/>
    <s v="29/03 - Mesmo status_x000a_21/03 - Projeto aguardará a migração do Prado para Polo SP para a entrada das posições já no Polo Aspect 7.3_x000a_10/03 - Validado pela engenharia, operação será no Polo Prado. _x000a_08/03 - Em validação de possibilidade de colocar operação no Polo Aspect Prado._x000a_03/03 - EF será disponibilizada 18/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Estratégia_x000a_"/>
    <s v="Neilor Márcio"/>
    <s v="18/03_x000a_"/>
    <s v="Na Fila"/>
    <m/>
    <m/>
    <m/>
    <m/>
    <s v="Sim"/>
  </r>
  <r>
    <s v="CTXMTZRP-42203"/>
    <s v="Projeto - Integração Barra Atendimento ao OSvC (Novo CRM Oi)"/>
    <s v="Mackenzie/RJ_x000a_Niterói/RJ_x000a_Borges de Melo/CE_x000a_Santo Amaro/PE_x000a_Comércio/BA_x000a_Boa viagem/BA"/>
    <s v="Plano Recuperação"/>
    <s v="Oi"/>
    <x v="1"/>
    <x v="5"/>
    <s v="Brigida Gouveia"/>
    <s v="Desenvolvimento"/>
    <d v="2015-06-11T00:00:00"/>
    <n v="308"/>
    <d v="2016-01-14T00:00:00"/>
    <m/>
    <m/>
    <m/>
    <m/>
    <s v="13/04 - Máquinas de treinamento de PE configuradas e homologadas pela operação._x000a_Treinamento sendo realizado até dia15/04._x000a_Em paralelo estamos realizando a adequação das máquinas da operação em PE_x000a__x000a_06/04 - Cronograma alinhado com a equipe de negócio._x000a_Pendências: _x000a_Resultado dos testes no CTC em PE [Bruno Guerra, 06/abr]_x000a_Previsão de instalação do CRM nas máquinas do CTC em PE [Bruno Guerra, 08/abr]_x000a_Envio do layout de PE e BA [Brigida, 06/abr]_x000a_29/03 - PE:_x000a_Definições:_x000a_ Conseguimos 31PAs com os requisitos mínimos para a fase de estabilização do projeto;_x000a_ Treinamento será nos dias 12 e 13/abril no ECC (anexo do Santo Amaro)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Riscos_x000a_ Não é viável a utilização das mesmas PAs da operação para treinamento. Sendo assim, fica o ponto de atenção de não termos PAs adequadas para realização dos treinamentos_x000a__x000a_BA:_x000a_Definições:_x000a_ 169 PAs na BA  (cenário é mais confortável já que o parque de maquinas é novo e o nosso prazo de implantação é 25/05)_x000a_ 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_x000a_14/03 - Mesmo status._x000a_08/03 - Foi definida uma &quot;Fase de estabilização&quot; para abril em PE e em maio em BA.  Estamos realizando os alinhamentos das atividades necessárias para adequação das salas de treinamento e máquinas disponibilizadas_x000a_01/03 - Configuração já efetuadas para realização dos testes nos dias 01/03 e 02/03._x000a_23/02 - . A Oi esta se planejando para realizar novos testes nos dias 01 e 02/03, precisaremos deixar nossa parte preparada para novos testes._x000a_ _x000a_ _x000a_OBJETIVO PRINCIPAL:_x000a_ _x000a_Verificar se as novas informações disponibilizadas no servidor de contexto da Contax seriam enviadas corretamente ao OSvC, através da string do Front Fácil. Para a realização dos testes, foi necessário:_x000a_ _x000a_1. Viabilizar a transferência de chamadas de testes da URA Fixa_x000a_2. Adequar o FrontFácil para “popular” os campos da string com as novas informações_x000a__x000a_19/02 - Máquinas levantadas. Já com comercial para realizar proposta comercial._x000a_A Oi fez os testes nas máquinas hoje com sucesso._x000a_Próximos passos em definição_x000a_10/02 - Estamos levantando a quantidade de máquinas para Upgrade_x000a_02/02 - Foram levantados os custos de adequações das máquinas para suportar a aplicação nas regionais. Está com a equipe de comercial realizar a precificação. Em paralelo estamos realizando testes nas máquinas, performance e conectividade_x000a_28/01 - Call realizada. Está pendente a adequação das máquinas para aceitar a ferramente do OsVC... Plano de rollout já disponibilziado pela Oi, onde a primeira onda será em Recife (nosso pior cenário de máquinas)_x000a_26/01 - Mesmo status _x000a_14/01 - Preencher o formulário de abertura de projeto"/>
    <s v="PMO TI"/>
    <s v="Bruno Guerra"/>
    <s v="TBD"/>
    <s v="Desenvolvimento/Execução"/>
    <m/>
    <m/>
    <m/>
    <m/>
    <s v="Sim"/>
  </r>
  <r>
    <s v="CTXNITSP-164357"/>
    <s v="Projeto - Projeto: Migração da URA Dealer (*803) p/ NGR"/>
    <s v="Niterói/RJ"/>
    <s v="Operações que não estão no Plano de Recuperação"/>
    <s v="Oi"/>
    <x v="6"/>
    <x v="7"/>
    <m/>
    <s v="Desenvolvimento"/>
    <d v="2015-07-17T00:00:00"/>
    <n v="272"/>
    <d v="2016-01-14T00:00:00"/>
    <s v="Não definida"/>
    <s v="NA"/>
    <s v="NA"/>
    <m/>
    <s v="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_x000a_03/03 - Área de URA entrega informações de uso do banco de dados 03/03._x000a_26/02 - Recebida OG de Telecom. Aguardando avaliação BD do ambiente NGR. Buscando data de entrega da avaliação pela engenharia._x000a_18/02 - Definido que não será necessário utilizar ICR._x000a_- OG de CSE em montagem (26/02)_x000a_16/02 - Solicitado à área de URAS o encaminhamento das chamadas para avaliação com planejamento. (19/02)._x000a_11/02 - Enviado questionamento de utilização de ICR para área de roteamento.(Julio)_x000a_05/02 - Disponibilizada EF - Àrea de aplicações avaliando_x000a_26/01 - Mesmo status _x000a_14/01 - Agurando confecção da EF"/>
    <s v="Engenharia "/>
    <s v="Eder Herrero"/>
    <d v="2016-03-28T00:00:00"/>
    <s v="Na Fila"/>
    <m/>
    <m/>
    <s v="Sim"/>
    <s v="A definir"/>
    <s v="Não"/>
  </r>
  <r>
    <s v="CTXNITSP-172614"/>
    <s v="Projeto - Projeto: Migração da URA do PAP (0800 033 1140 e 0800 642 1431) p/ ambiente NGR"/>
    <s v="Niterói/RJ"/>
    <s v="Operações que não estão no Plano de Recuperação"/>
    <s v="Oi"/>
    <x v="6"/>
    <x v="7"/>
    <m/>
    <s v="Desenvolvimento"/>
    <d v="2015-11-09T00:00:00"/>
    <n v="157"/>
    <d v="2016-01-14T00:00:00"/>
    <s v="Não definida"/>
    <s v="NA"/>
    <s v="NA"/>
    <m/>
    <s v="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23/02 - Aguardando informações área de negócios._x000a_16/02 - Solicitado à área de URAS o encaminhamento das chamadas para avaliação com planejamento. (19/02)._x000a_11/02 - Enviado questionamento de utilização de ICR para área de roteamento._x000a_05/02 - Disponibilizada EF - Àrea de aplicações avaliando_x000a_26/01 - Mesmo status _x000a_14/01 - Agurando confecção da EF"/>
    <s v="Engenharia "/>
    <s v="Eder Herrero"/>
    <d v="2016-03-28T00:00:00"/>
    <s v="Na Fila"/>
    <m/>
    <m/>
    <s v="Sim"/>
    <s v="A definir"/>
    <s v="Não"/>
  </r>
  <r>
    <s v="CTXBHZRI-94837"/>
    <s v="Projeto - Projeto: Migração da URA do Hotline Empresarial (0800 280 3120) p/ ambiente NGR"/>
    <s v="Prado/MG"/>
    <s v="Operações que não estão no Plano de Recuperação"/>
    <s v="Oi"/>
    <x v="6"/>
    <x v="7"/>
    <m/>
    <s v="Desenvolvimento"/>
    <d v="2015-11-10T00:00:00"/>
    <n v="156"/>
    <d v="2016-01-14T00:00:00"/>
    <s v="Não definida"/>
    <s v="NA"/>
    <s v="NA"/>
    <m/>
    <s v="12/04 - Mesmo status_x000a_ 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03/03 - Área de URA entrega informações de uso do banco de dados 03/03._x000a_26/02 - Aguardando OG CSE e avaliação de BD do ambietne NGR._x000a_18/02 - Definido que não será necessário utilizar ICR._x000a_16/02 - Solicitado à área de URAS o encaminhamento das chamadas para avaliação com planejamento. (19/02)._x000a_11/02 - Enviado questionamento de utilização de ICR para área de roteamento.(Julio)_x000a_27/01 -Disponibilizada EF e inserida no chamado._x000a_26/01 - Mesmo status _x000a_14/01 - Agurando confecção da EF. _x000a_20/01/2016 - Insumos de Telecom já disponibilizados. Continuamos aguardando EF."/>
    <s v="Engenharia "/>
    <s v="Eder Herrero"/>
    <d v="2016-03-28T00:00:00"/>
    <s v="Na Fila"/>
    <m/>
    <m/>
    <s v="Sim"/>
    <s v="A definir"/>
    <s v="Não"/>
  </r>
  <r>
    <s v="CTXFORBM-332092"/>
    <s v="Projeto - &quot;Implantação de NBA na Retenção Mobilidade OCT e Pós&quot;"/>
    <s v="Borges de Melo/CE"/>
    <s v="Operações que não estão no Plano de Recuperação"/>
    <s v="Oi"/>
    <x v="1"/>
    <x v="7"/>
    <m/>
    <s v="Desenvolvimento"/>
    <d v="2015-11-06T00:00:00"/>
    <n v="160"/>
    <d v="2016-01-14T00:00:00"/>
    <m/>
    <m/>
    <m/>
    <m/>
    <s v="29/03 - Mesmo status_x000a_08/03 - Mesmo status_x000a_01/03 - Ambiente atualizado. Accenture está fazendo melhorias no ambiente NBA, a finalização pela operação será após o término da accenture. _x000a_26/02 - Piloto finalizado com sucesso. Buscando data APP para rollout._x000a_04/02 - Piltoto em andamento._x000a_26/01 - Mesmo status _x000a_14/01 - Favor enviar a EF. Segue modelo de EF, caso necessário. "/>
    <s v="Cliente"/>
    <s v="accenture"/>
    <s v="Sem data"/>
    <s v="Na Fila"/>
    <m/>
    <m/>
    <m/>
    <m/>
    <s v="Não"/>
  </r>
  <r>
    <s v="CTXFORBM-291757"/>
    <s v="Projeto - Projeto - SISGO"/>
    <s v="Borges de Melo/CE"/>
    <s v="Operações que não estão no Plano de Recuperação"/>
    <s v="Oi"/>
    <x v="1"/>
    <x v="8"/>
    <m/>
    <s v="Desenvolvimento"/>
    <d v="2015-05-18T00:00:00"/>
    <n v="332"/>
    <d v="2016-01-14T00:00:00"/>
    <m/>
    <m/>
    <m/>
    <m/>
    <s v="12/04: Rollout concluído em 08/04, porém a operação sinalizou em 11/04 algumas pendências a serem tratadas, como por exemplo dúvida sobre o processo de tratamento de tickets e liberação de rede._x000a_05/04: Em 01/04 foi alterado o escopo do projeto para implantar o SISGO na operação toda. Foram feitas reuniões para validação do escopo e recebido o ok da homologação. Esta em validação o cronograma do Rollout._x000a_28/03: Mesmo status_x000a_21/03: Aguardando negócio enviar o hostname das PA´s para iniciar o piloto._x000a_17/03 - Os testes hoje ou amanhã serão acompanhados pela equipe de APP com a operação, pois não estavam conseguindo gerar tickets._x000a_08/03: Aguardando conclusão dos testes de 2º nível _x000a_01/03/16 Aguardando os testes da área de negócio com as PA´s do Nascente e definição do hostnamento para o Borges de Melo. Data do piloto indefinida._x000a_22/02/16: Liberação de rede realizada em 22/02, pendete testes e instalação da aplicação no site._x000a_01/02: Previsto para 03/02 apresentação sobre a ferramenta._x000a_26/01 - Mesmo status _x000a_14/01 - Em setembro: EF aprovada e aprovação enviada para Dalton e Fornecedor. Aguardando aprovação de proposta comercial pelo cliente. "/>
    <s v="Pós-rollout"/>
    <s v="PMO TI"/>
    <d v="2016-04-14T00:00:00"/>
    <s v="Pós-rollout"/>
    <m/>
    <n v="1825"/>
    <m/>
    <m/>
    <s v="Não"/>
  </r>
  <r>
    <s v="CTXNITSP-172566"/>
    <s v="Implantação do BO Strategy - Retenção Empresarial "/>
    <s v="Niterói/RJ"/>
    <s v="Operações que não estão no Plano de Recuperação"/>
    <s v="Oi"/>
    <x v="1"/>
    <x v="7"/>
    <m/>
    <s v="Desenvolvimento"/>
    <d v="2015-11-09T00:00:00"/>
    <n v="157"/>
    <d v="2016-01-14T00:00:00"/>
    <m/>
    <m/>
    <m/>
    <m/>
    <s v="29/03 - Mesmo status_x000a_15/03 - Solicitado pela Tatiane que o Projeto seja colocado em hold pois o cliente não tem ainda o layout do mailing para a confecção da EF._x000a_08/03 - Aguardando EF_x000a_03/03 - Aguardando EF._x000a_22/02 - Faltam ainda informações que estão sendo levantadas pela Tatiane._x000a_16/02 - Anderson enviará os custos no dia 16/02._x000a_11/02 - Anderson enviará a EF com o entendimento da necessidade e após validação será gerado o custo._x000a_04/02 - Enviadas as informações faltantes solicitadas pelo fornecedor para a precificação. (Julio)_x000a_- em avaliação a possibilidade de utilizar o tBPM._x000a_02/02/2016 - Realização de conferência com o Fornecedor;_x000a_- Tatiane providenciará a criação das árvores de perfilamento;_x000a_29/01/2016 - Fornecedor enviou dúvidas com relação a EF, já respondidas pela Elaine._x000a_26/01/2016 - Verificado com Fabiana Carla e há a ncessidade de acionamento de fornecedor para verificação do desenvolvimento._x000a_Fabiana informou que o acionamento não é feito por ela._x000a_Enviada EF para o fornecedor avaliar, data estimada de devolução 28/01/2016._x000a_21/01/2016 - Verificado com o Luiz Washington o acionamento e ele verificará e retornará no dia 22/01/2016._x000a_22/01/2016 - Luiz retornou que não tem histórico nem recurso que conhece aplicação para dar andamento._x000a_26/01/2016 - envio da EF para o Fornecedor avaliar."/>
    <s v="Negócios"/>
    <s v="Tatiane Dallecrode"/>
    <s v="Sem data"/>
    <s v="Na Fila"/>
    <m/>
    <m/>
    <s v="Não"/>
    <s v="-"/>
    <s v="Não"/>
  </r>
  <r>
    <s v="CTXFORBM-344418"/>
    <s v="Projeto - Reestruturação BO Strategy"/>
    <s v="Borges de Melo/CE"/>
    <s v="Operações que não estão no Plano de Recuperação"/>
    <s v="Oi"/>
    <x v="1"/>
    <x v="7"/>
    <m/>
    <s v="Desenvolvimento"/>
    <d v="2015-12-30T00:00:00"/>
    <n v="106"/>
    <d v="2016-01-14T00:00:00"/>
    <m/>
    <m/>
    <m/>
    <m/>
    <s v="12/04 - Mesmo status_x000a_28/03 - Fornecedor realizaou as alterações. Em validação pelo Lucas Lourenço._x000a_22/03 - Lucas enviou as alterações a serem feitas. Aguardando atuação do fornecedor._x000a_10/03 - EF enviada pelo fornecedor. Aguardando validação Lucas Lourenço._x000a_08/03 - Fornecedor enviou alguns questionamentos que Lucas está buscando._x000a_01/03 - Lucas enviou as informações para fornecedor. Aguardando proposta. Sem data._x000a_16/02 - Mesmo Status_x000a_01/02/2016 - Em revisão das especificações pelo demandante. (Lucas Lorencato)_x000a_28/01/2016 - Verificando responsável pelo projeto por parte de operações._x000a_26/01/2016 - Verificado com Fabiana Carla e há a ncessidade de acionamento de fornecedor para verificação do desenvolvimento._x000a_Fabiana informou que o acionamento não é feito por ela._x000a_Enviada EF para o fornecedor avaliar, data estimada de devolução_x000a_21/01/2016 - Verificado com o Luiz Washington o acionamento e ele verificará e retornará no dia 22/01/2016."/>
    <s v="Negócios"/>
    <s v="Lucas Lorenco"/>
    <d v="2016-03-31T00:00:00"/>
    <s v="Na Fila"/>
    <m/>
    <m/>
    <s v="Não"/>
    <s v="-"/>
    <s v="Não"/>
  </r>
  <r>
    <s v="CTXFORBM-348261"/>
    <s v="Projeto - Implantação Retenção Involuntária R2"/>
    <s v="Borges de Melo/CE"/>
    <s v="S&amp;OP"/>
    <s v="Oi"/>
    <x v="5"/>
    <x v="0"/>
    <s v="Jonas Divino"/>
    <s v="Crescimento/Expansão/Migração"/>
    <d v="2016-01-13T00:00:00"/>
    <n v="92"/>
    <d v="2016-01-14T00:00:00"/>
    <d v="2016-02-15T00:00:00"/>
    <s v="Risco"/>
    <m/>
    <m/>
    <s v="12/04 - Aguardando Definição de qual polo aspect utilizar. Definição Corporativa. sem prazo. Rico alto de atraso._x000a_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_x000a_23/02 - Realizado em 19/02 uma reunião de alinhamento entre solicitante, desenvolvimento, PMOs. Estamos em processo de To Be;_x000a_16/02 - Aguardando, desde 20/01, a EF para analises de Desenvolvimentos  e Engenharia. Sem Previsão._x000a_26/02 - Aguardando agenda com a Accenture;_x000a_20/01 - Em analise de engenharia e plataforma de TI, já acionado Equipe de NGR - Desenvolvimento;_x000a_14/01 - Favor preencher o formulário de crescimento anexo. _x000a__x000a_Favor enviar o layout aprovado pela equipe de planejamento. "/>
    <s v="Desenvolvimento"/>
    <s v="Camila Fermiano"/>
    <s v="N/A"/>
    <s v="Desenvolvimento/Execução"/>
    <m/>
    <n v="15"/>
    <m/>
    <m/>
    <s v="Sim"/>
  </r>
  <r>
    <s v="CTXSALPB-46921"/>
    <s v="Integração NBA x Front Fácil"/>
    <s v="Boa Viagem/BA"/>
    <s v="Operações que não estão no Plano de Recuperação"/>
    <s v="Oi"/>
    <x v="1"/>
    <x v="7"/>
    <m/>
    <s v="Desenvolvimento"/>
    <d v="2015-11-12T00:00:00"/>
    <n v="154"/>
    <d v="2016-01-14T00:00:00"/>
    <s v="Não definida"/>
    <s v="NA"/>
    <s v="NA"/>
    <m/>
    <s v="08/03 - Mesmo status_x000a_01/02 - Piloto em andamento com atuação da accenture para resolver problemas de integração. _x000a_22/02 - Operação tem espectativa de fechar Piloto até 26/02_x000a_11/02 - Piloto em andamento._x000a_01/02/2016 - Houve problemas em formatos de campos esperados na integração. Testes a serem realizados hoje e início do Piloto agendado para amanhã, 02/03/2016._x000a_26/01/2016 - Realizando configurações para realização do Piloto."/>
    <s v="Cliente"/>
    <s v="accenture"/>
    <s v="Sem data"/>
    <s v="Na Fila"/>
    <m/>
    <n v="100"/>
    <s v="Não"/>
    <s v="-"/>
    <s v="Não"/>
  </r>
  <r>
    <s v="CTXNITSP-164460"/>
    <s v="URA Oi Total"/>
    <s v="Niterói/RJ"/>
    <s v="Operações que não estão no Plano de Recuperação"/>
    <s v="Oi"/>
    <x v="6"/>
    <x v="7"/>
    <m/>
    <s v="Desenvolvimento"/>
    <d v="2015-07-20T00:00:00"/>
    <n v="269"/>
    <d v="2016-01-14T00:00:00"/>
    <s v="Não definida"/>
    <m/>
    <m/>
    <m/>
    <s v="12/04 - Aprovada SC Avaya. Avaya criando cronograma._x000a_04/04 - Mesmo status_x000a_08/03 - Mesmo status_x000a_03/02 - Finalizada documentação Telecom para implantação._x000a_Em aprovação proposta Avaya para configuração da URA._x000a_26/02 - Nova data de validação por Engenharia e CSE - 26/02._x000a_22/02 - Em aprovação proposta Avaya,_x000a_Em valiação por CSE da parte Telecom (25/02)_x000a_16/02 - Mesmo status_x000a_11/02 - Rodrigo verificou demandas no mesmo ambiente e não há concomitância de especificações técnicas entre demandas._x000a_Solictei volume para estudo pela área de URA. (Rodrigo)_x000a_10/02 - Em avaliação._x000a_03/02 - Rodrigo avaliará a real necessidade da demanda em comparação com outras 2 demandas para a mesma URA (CO)._x000a_02/02/2016 - Dificuldade de contato com Rodrigo, demandante._x000a_01/02/2016 - Em conversa com o Gerson verifiquei a necessidade de levantar mais informações para darmos andamento. FAlar com Rodrigo._x000a_27/01/2016 - aguardando retorno Avaya._x000a_26/01/2016 - Início do tratamento da demanda._x000a_21/02/2016 - Solicitada à Avaya a atualização da proposta de desenvolvimento que é de 16/09/2015 e tinha validade de 60 dias."/>
    <s v="Suporte a negócio"/>
    <s v="Jill Ortiz"/>
    <s v="Pedido em criação. Sem previsão."/>
    <s v="Na Fila"/>
    <m/>
    <n v="9"/>
    <s v="Não"/>
    <s v="-"/>
    <s v="Não"/>
  </r>
  <r>
    <s v="CTXSPOAP407-14854"/>
    <s v="MIGRAÇÃO TAM SP PARA JP"/>
    <s v="João Pessoa"/>
    <s v="S&amp;OP"/>
    <s v="América Móvil"/>
    <x v="7"/>
    <x v="0"/>
    <s v="Luciana Cardoso"/>
    <s v="Crescimento/Expansão/Migração"/>
    <d v="2016-01-20T00:00:00"/>
    <n v="85"/>
    <d v="2016-01-26T00:00:00"/>
    <d v="2016-03-01T00:00:00"/>
    <s v="Risco"/>
    <m/>
    <m/>
    <s v="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_x000a_29/03 - Realizado o transporte dos computadores , avayas e heads. teremos que refazer as imagens, devido a solicitação do cliente de trocar de win XP para win7. Iniciaremos em 30/03 até dia 04/04. Homologação de 05 à 07/04. Roll out em 08/04;_x000a_22/03 - Agendando transporte dos insumos, os mesmos devem chegar ate a proxima semana;_x000a_15/03 - Aguardando numero de PC para transportes de maquinas FOR/JPA e avayas de FOR/JPA;_x000a_08/03 - Entregamos o ambiente de treinamento com 3 salas. estamos aguardando numero de PC para transporte de maquinas FOR/JPS e avayas de FOR/JPA;_x000a_01/03 - Em Homologação do ambiente de trainamento pelo cliente. GMUD realizada com sucesso no dia 24/02 com sucesso. Configuração das maquinas de treinamento configuradas no periodo de 25 à 29/02 ._x000a_23/02 - Realizando algumas configurações nas maquinas da sala de treinamento, realizando liberações de rota / rede. Previsão de configurações por parte do cliente é de 25/02 a partir da 23hs;_x000a_16/02 - roteadores entregues no sites JP (em 16/02 às 15h30min). iremos instalar no local e disponibilizar uma maquina remota para as configurações, que devem ir até dia 18/02 à 11h00min;_x000a_10/02 - Aguardando numero do PC para acionar a transportadora para poder realizar o trasnporte dos dois roteadores de Lapa p/ JPA. estamos dependendo desse trasnporte para poder acionar as equipes internas e do cliente para realizar as devidas liberações e configurações de redes;_x000a_02/02 - Há necessidade detransporte de roteadores de SP para JPA. Estamos buscando 25 Maquinas e heads para completar os insumos. Em paralelo estamos levantando informações para repassar ao cliente para liberação de acessos no site JPA;_x000a_26/01 - Realizando o entendimento do projeto;"/>
    <s v="Site Campo"/>
    <s v="Zenailde Santana / Alexandre Pardal"/>
    <s v="N/A"/>
    <s v="Roll Out"/>
    <m/>
    <n v="100"/>
    <m/>
    <m/>
    <s v="Sim"/>
  </r>
  <r>
    <s v="CTXSPOAP407-14745"/>
    <s v="IMPLANTAÇÃO TAM VIAGENS - INFRA - SITE AUGUSTA"/>
    <s v="Augusta"/>
    <s v="S&amp;OP"/>
    <s v="América Móvil"/>
    <x v="7"/>
    <x v="0"/>
    <s v="Luciana Cardoso"/>
    <s v="Crescimento/Expansão/Migração"/>
    <d v="2016-01-14T00:00:00"/>
    <n v="91"/>
    <d v="2016-01-26T00:00:00"/>
    <s v="N/A"/>
    <s v="Sim"/>
    <m/>
    <m/>
    <s v="12/04 - Analisando atividades para os proximos movimentos (8, 9 e 10);_x000a_29/03 - Migrado Mazanino para 4° andar. fazermos movimentações entre o 5°andar e o 3° andar do grupos Reserva e Cargo, e voltaremos o Planejamento para o Mezanino, no periodo de 01 à 04/04;_x000a_22/03 - Em execução de movimentações entre andares, e analisando as necessidades das salas de treinamentos no site AS;_x000a_15/03 -  Em execução das movimentações entre andares para execuções das obras. validando insumos para o crescimeto;_x000a_01/03 - Realizamos algumas reuniões na ultima semana, e foi definido o cronograma com base na data alvo a ser atingida em 10/05;_x000a_23/02 - realizado alguns alinhamentos, e no momento estamos aguardando definição de cronograma de obras e de ordem para as atividades nos andares;_x000a_16/02 - Aguardando cliente disponibilizar links e aplicações a serm utilizadas na operação (desde 28/01). Em paralelo estamos analisando o layout proposto, infra, insumos, etc. Precisamos tambem que seja definida a data de liberação do ambiente para TI trabalhar;_x000a_10/02 - Aguardando cliente disponibilizar links e aplicações a serm utilizadas na operação (desde 28/01). Em paralelo estamos analisando o layout proposto, infra, insumos, etc;_x000a_26/01 - Realizando o entendimento do projeto;"/>
    <s v="Site Campo"/>
    <s v="Zenailde Santana"/>
    <d v="2016-05-10T00:00:00"/>
    <s v="Roll Out"/>
    <m/>
    <n v="200"/>
    <m/>
    <m/>
    <s v="Sim"/>
  </r>
  <r>
    <s v="CTXSPOAL-104406"/>
    <s v="Crescimento Nova operação Intermédica (CAMO, CEMAC/SAS, CAMO SAC, SAC Ativo, PA Infra)"/>
    <s v="Alegria/SP"/>
    <s v="S&amp;OP"/>
    <s v="Clientes Especiais"/>
    <x v="5"/>
    <x v="0"/>
    <s v="Thiago Felippe"/>
    <s v="Crescimento/Expansão/Migração"/>
    <d v="2016-01-26T00:00:00"/>
    <n v="79"/>
    <d v="2016-01-28T00:00:00"/>
    <m/>
    <s v="Sim"/>
    <m/>
    <m/>
    <s v="12/04 - Projeto entregue a ja ajustados as pendecias da implantação. aguardando 'aceite do cliente';_x000a_29/03 - Homologação das posições da 2° onda no dia 30/03, roll out em 31/03 as 22h00min;_x000a_22/03 - Analisando e realisando as configrações do ambiente da 2° onda para 31/03, ambiente operacional + redes + telecom;_x000a_17/03 - Entrega da 1° fase com 70 PAs + Gestão + Cliente + estrutura de telecom e redes;_x000a_15/03 - Homologado em 15/03 as maquinas da operação, gestão e clientes da entrega do CAMO Serviços, foi homologado tambem a arvore de anuncio. Em 16/03 teremos a virada dos apontamentos pela oparadora do cliente e o inico da operação às 22hs00min;_x000a_08/03 - Recebemos nos site Alegria 188 maquinas na data de hoje, para essas estamos procurando adptadores ou cabos de energia no modelo padrão novo, isso é um risco para o projeto;aguardando transporte de avayas;_x000a_01/03 - Recebemso a alteração de escopo em em 01/03, realizamos audio e definimos alguns novos itens de NAT para novo sitema, definição de utilizar NICE e CMS para o cliente, utilização de e-mial externo. Estamos no aguardo do PC para poder transportar Maquinas (Lapa&gt;Alegria), e Hardphones (Engenho de Dentro &gt; Alegria), ainda sem data;_x000a_23/02 - Foram Mapeados as necessidades dos ambientes e repasado ao PMO de Negócios. Estamos realizando as liberações de rede e configuraç~eos nas salas de treinamentos;_x000a_16/02 - Definindo necesidades de insumos (saving ou aquisição). Linkis e aplicações ja recebemos e estamos validando para iniciar processo de criação de imagem;_x000a_10/02 - Levantamento de insumos, mapeamento da infra conforme layout planejado (desde 02/02). Em paralelo estamos aguardando links e aplicaçãoe as serem utilizadas na operações (desde 01/02);"/>
    <s v="PMO Negócios"/>
    <s v="Cristina Rey"/>
    <s v="N/A"/>
    <s v="Roll Out"/>
    <m/>
    <n v="215"/>
    <m/>
    <m/>
    <s v="Sim"/>
  </r>
  <r>
    <s v="CTXSALLM-119760"/>
    <s v="Configurar 20 PV´s para gravação Inbound"/>
    <s v="Comercio/BA"/>
    <s v="Operações que não estão no Plano de Recuperação"/>
    <s v="Oi"/>
    <x v="0"/>
    <x v="1"/>
    <s v="C. Kuzuhara"/>
    <s v="Desenvolvimento"/>
    <d v="2016-01-20T00:00:00"/>
    <n v="85"/>
    <d v="2016-01-28T00:00:00"/>
    <m/>
    <m/>
    <m/>
    <m/>
    <s v="[12/04] - Aguardando correção dessas 5 pendências  (ramais) pela equipe Gravadores)_x000a__x000a_[05/04] - Solicitante identificou 05 ramais com problemas na gravação. Direcionado para ação equipe tecnica._x000a__x000a_[04/04] - Fase de homologação e ajuste com Solicitante._x000a__x000a_[29/03] - Aguardando retorno da homologação (Cristiane Kuzuhara)._x000a__x000a_[22/03] - Ramais adequados em 16/03. Aguardando validação pelo Solicitante._x000a__x000a_[15/03] - Previsto para 16/03 receber o prazo estimado para execução._x000a__x000a_[08/03] - Previsto para 09/03 receber o prazo estimado para execução._x000a__x000a_[29/02] - Fila de execução CSE . Aguardando retorno com prazo de execução._x000a__x000a_[23/02] Fase de coleta de informações tecnicas para direcionamento  Projeto e briefing para fila do CSE._x000a__x000a_[16/02] - Entendimento escopo realizado com Solicitante e TI Site._x000a_Fase de coleta de informações tecnicas para direcionamento  Projeto e briefing para fila do CSE._x000a__x000a_[10/02] - Fase Inicial - Esclarecer entendimento escopo com Solicitante_x000a__x000a_03/02 - Alterar gravação de 26 PA's que hoje gravam Outbound para Inbound"/>
    <s v="CSE"/>
    <s v="Luiz Washington"/>
    <m/>
    <s v="Homologação"/>
    <m/>
    <m/>
    <s v="Não"/>
    <s v="A definir"/>
    <s v="Não"/>
  </r>
  <r>
    <s v="CTXFORBM-348606"/>
    <s v="Simulador OI Total"/>
    <s v="Borges de Melo/CE"/>
    <s v="Operações que não estão no Plano de Recuperação"/>
    <s v="Oi"/>
    <x v="1"/>
    <x v="5"/>
    <m/>
    <s v="Desenvolvimento"/>
    <d v="2016-01-14T00:00:00"/>
    <n v="91"/>
    <d v="2016-01-22T00:00:00"/>
    <m/>
    <m/>
    <m/>
    <m/>
    <s v="12/04 - Aguardando contato do solicitante_x000a_06/04 - Mesmo status_x000a_29/03 - Mesmo status_x000a_14/03 - Aguardando solicitação de compra por parte da operação_x000a_08/03 - Mesmo status_x000a_01/03 - EF não aprovada. Solicitado ao fornecedor novo desenho._x000a_23/02 - Aguardando aprovação do solicitante quanto a EF _x000a_10/02 - Em fase de definição de EF com a Lisandra_x000a_02/02 - Aguardando proposta comercial até amanhã (03/02)_x000a_29/01 - Enviado e-mail ao fornecedor solicitando proposta comercial_x000a_22/01 - Projeto novo em 22/01"/>
    <s v="Operação"/>
    <s v="Lisandra"/>
    <s v="Sem previsão"/>
    <s v="Desenvolvimento/Execução"/>
    <m/>
    <m/>
    <m/>
    <m/>
    <s v="Não"/>
  </r>
  <r>
    <s v="CTXSPOBF-135040"/>
    <s v="Implantar Ferramenta Whisbi - Ticket B2B Infra"/>
    <s v="Antártica/SP"/>
    <s v="Plano Recuperação"/>
    <s v="Clientes Especiais"/>
    <x v="1"/>
    <x v="8"/>
    <m/>
    <s v="Desenvolvimento"/>
    <d v="2016-01-27T00:00:00"/>
    <n v="78"/>
    <d v="2016-02-01T00:00:00"/>
    <m/>
    <m/>
    <m/>
    <m/>
    <s v="12/04: Mesmo Status,por isso este projeto ficará em hold até termos o NDA assinado_x000a_05/04: Mesmo Status_x000a_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_x000a_21/03: Após avaliação de SI será necessário: • Utilização do Protocolo HTTPS entre o sistema e a PA;_x000a_• Alteração de contrato com inclusão da Whisbi ou NDA entre as empresas TICKET x WHISBI X CONTAX, onde o escopo é o vazamento de informação e indisponibilidade da aplicação (somente para esta célula);_x000a_• Criação de uma matriz RACCIX de papéis e responsabilidades para o cenário desta célula;_x000a_Além disso será necessário realizar a contratação de link de acordo com Eduardo Ávila (Comercial) , pois a proposta não considera link de internet. _x000a_08/03: Aguardando o recebimento do contrato para SI analisar a aplicabilidade e os  requisitos técnicos ds ferramenta Whisbi._x000a_01/03/16: Foi alterada a prioridade do projeto na reunião do Giulio em 26/02 pelo Giuseppe. Nova data será definida._x000a_22/02/16: Projeto está previsto para terminar a parte de rede (Villa) em 11/03."/>
    <s v="Cliente"/>
    <s v="Carlos Batista"/>
    <s v="TBD"/>
    <s v="Em Hold"/>
    <m/>
    <n v="9"/>
    <m/>
    <m/>
    <s v="Sim"/>
  </r>
  <r>
    <s v="CTXSPOAP407-14651"/>
    <s v="Projeto - ACL Analytics – Workstation"/>
    <m/>
    <s v="Corporativo"/>
    <s v="Corporativo"/>
    <x v="1"/>
    <x v="8"/>
    <m/>
    <s v="Desenvolvimento"/>
    <d v="2016-01-07T00:00:00"/>
    <n v="98"/>
    <d v="2016-02-01T00:00:00"/>
    <m/>
    <m/>
    <m/>
    <m/>
    <s v="12/04: Aguardando o número do pedido a ser enviado para o fornecedor. Solicitado em 12/02 à auditoria interna abrir SC. Portanto projeto estará em hold até recebermos o número do pedido._x000a_05/04: Controle de Ativos está cotando o valor das licenças Windows 8.1. _x000a_29/03: Verificar com o Toscani a possibilidade de alterar o escopo do projeto, pois de acordo com ele a aplicação deve ficar em um Servidor, porém o ACL não é homologado para o Windows 2008 R2, sendo assim criaríamos uma VM com Windows 8.1 ou 7 para atender está demanda._x000a_22/03: Será necessário adquirir licenças de windows professional 8.1._x000a_08/03/16: Chamado continua em aberto, aguardando autorização de SI._x000a_01/03/16: Aguardando o autorização de acesso ao ftp por SI. Chamado aberto em 01/03/16._x000a_22/02/16: Engenheria terminou a construção do desenho e o projeto foi incluído na fila de CSE em 19/02 para criar um ambiente de infra."/>
    <s v="Auditoria Interna"/>
    <s v="Anselmo"/>
    <s v="TBD"/>
    <s v="Em Hold"/>
    <m/>
    <m/>
    <m/>
    <m/>
    <s v="Não"/>
  </r>
  <r>
    <s v="CTXRECSA-456620"/>
    <s v="Projeto - Implantar ferramenta Evalyze no BO Fixa"/>
    <s v="PE - Site Santo Amaro"/>
    <s v="Operações que não estão no Plano de Recuperação"/>
    <s v="Oi"/>
    <x v="1"/>
    <x v="4"/>
    <m/>
    <s v="Desenvolvimento"/>
    <d v="2016-01-26T00:00:00"/>
    <n v="79"/>
    <d v="2016-02-01T00:00:00"/>
    <m/>
    <m/>
    <m/>
    <m/>
    <s v="12/04 - Mesmo Status_x000a__x000a_04/04 - Conforme interação com a Fernanda Nazario, demanda em hold até 15/05. _x000a__x000a_28/03 - Mesmo status, aguardando retorno da operação._x000a__x000a_21/03 - Mesmo status, aguardando retorno da operação._x000a__x000a_15/03 - Mesmo status, aguardando retorno da operação._x000a__x000a_07/03 - Conforme a análise de Engenharia é necessário que a operação realize um alinhamento com a área de Segurança da informação OI e Contax, por que não podemos rotear este IP 10.81.8.7  dentro do nosso ambiente, a  OI precisa criar um NAT com o range 10.173 _x000a__x000a_01/03 - Interação com o solicitante pois conforme retorno de Engenharia, é necessário o alinhamento com área de segurança da informação OI e Contax, por que não podemos rotear este IP 10.81.8.7  dentro do nosso ambiente, a  OI precisa criar um NAT com o range 10.173_x000a__x000a_23/02 - Conforme históricos de “bloqueio” em ambos os lados Oi e CSE, esta demanda está com Análise e Estudo de Viabilidade da Equipe de Engenharia . Prazo : 23/02 à 29/02_x000a__x000a_15/02 - Mesmo Status._x000a__x000a_10/02 - Pendência de abertura de ARS com a Oi,. Em paralelo, colocamos na Fila do Morais para verificar a possibilidade de disponibilizar  a base de dados do Frevo, ao menos em uma única versão, para testes e validação pela Closer dentro do Evalyze._x000a__x000a_Verificarmos possibilidade de uma contingencia manual para que o mesmo acesso que o analista de TI de PE utiliza hoje seja utilizado para pegar o arquivo do Frevo e colocar no ftp da Closer._x000a_---------------------------------------------_x000a_Resumo do último status._x000a_Hoje existe pendência de liberação de acesso pela Oi para a Contax acessar o ambiente do BD do Frevo a partir de Alphaville(regra 2). E nesse momento já temos o contato de Ti da Oi que diz que só vai nos atender, após alguém da OI abrir uma ARS(chamado), com as devidas liberações de Seg Inf da OI, para criação do Nat de acesso. _x000a_A Contax ainda não conseguiu essa ajuda com produtos da Oi na abertura da ARS pois esse é um projeto da Contax, que na sua concepção não envolvia a Oi na sua execução. E está sendo necessário explicar e negociar a respeito._x000a_A equipe de aplicações está aguardando esse retorno da liberação de acesso para configurar a aplicação e realizar testes com o robô desenvolvido. _x000a_A fornecedoara da Closer já desenvolveu a parte deles  mas ainda não consegue fazer testes por não ter recebido dados através da interface de sistema desenhada_x000a__x000a__x000a_02/02 - Acionado a Cris Sasaki (Em estimativa de OG)"/>
    <s v="Operação "/>
    <s v="Fernanda Nazário"/>
    <d v="2016-05-15T00:00:00"/>
    <s v="Em Hold"/>
    <m/>
    <m/>
    <s v="Não"/>
    <s v="-"/>
    <s v="Não"/>
  </r>
  <r>
    <s v="CTXSPOAP407-12306"/>
    <s v="LATAMCC - Contax SIP Trunk -Integração TAM com rede SITA"/>
    <s v="Alegria/SP"/>
    <s v="Operações que não estão no Plano de Recuperação"/>
    <s v="América Móvil"/>
    <x v="8"/>
    <x v="1"/>
    <s v="Cleonice"/>
    <s v="Desenvolvimento"/>
    <d v="2015-09-02T00:00:00"/>
    <n v="225"/>
    <d v="2016-02-03T00:00:00"/>
    <s v="ND"/>
    <m/>
    <s v="ND"/>
    <m/>
    <s v="[12/04] - Aguardando definição da Diretoria TI. (Direcionamento Gestor Engenharia)_x000a__x000a_[05/04] -  Aguardando esclarecimentos tecnicos entre  Engenharia e  Comercial Contax, para prosseguimento do projeto._x000a__x000a_[2903] -  Aguardando esclarecimentos tecnicos entre  Engenharia e  Comercial._x000a__x000a_[22/03] -  Aguardando esclarecimentos Engenharia e direcionamento Comercial._x000a__x000a_[15/03] - Aguardando retorno de Engenharia  para os questionamento realizados pelo Comercial._x000a__x000a_[08/03] -  Em 08/03 recebemos alguns questionamento enviados  pelo Comercial, referente as respostas do cliente TAM , para itens contidos na RFP. Será necessário avaliação equipe tecnica._x000a__x000a_[29/02] - Aguardando Retorno Comercial. Custos encaminhados para equipe Projetos e Comercial . Aguardando direcionamento, para iniciar execução._x000a__x000a_[23/02] - Custos encaminhados para equipe Projetos e Comercial . Aguardando direcionamento, para iniciar execução._x000a__x000a_[16/02] - Necessário esclarecer qustão comercial Contax ._x000a_Equipe de Engenharia levantando os custos de TI para a Infra DAC (SM) que será utilizada neste projeto, para encaminhar para Comercial Contax. Passível de repasse custos para Cliente. Previsão : 17/02_x000a__x000a_[10/02] - Em analise e aprovação da solução tecnica, pela Diretoria TI._x000a__x000a_[02/02] - Desenho arquitetura e solução finalizado por Engenharia._x000a_Direcionado para Equipe Implantação CSE._x000a_Necessário a aprovação da diretoria, para utilização da Plataforma o Avaya Session Manager  no data center. Já encaminhado ."/>
    <s v="Comercial/ENG"/>
    <s v="Regina/Klaus"/>
    <s v="ND"/>
    <s v="Desenho Solução"/>
    <m/>
    <m/>
    <s v="Não"/>
    <m/>
    <s v="Não"/>
  </r>
  <r>
    <s v="CTXBHZRP-217559"/>
    <s v="RTI - ABERTURA E FECHAMENTO DE CONTESTAÇÃO (G1)"/>
    <m/>
    <s v="Plano Recuperação"/>
    <s v="Oi"/>
    <x v="4"/>
    <x v="2"/>
    <s v="Luiz Matheus"/>
    <s v="RTI"/>
    <d v="2016-02-03T00:00:00"/>
    <n v="71"/>
    <d v="2016-02-03T00:00:00"/>
    <m/>
    <m/>
    <m/>
    <m/>
    <s v="[12/4] - Em desenvolvimento_x000a_[04/04] Em desenvolvimento. Atraso devido à demora na liberação de usuário pela operação. _x000a_Risco de atraso também devido a montagem do ambiente de desenvolvimento. Novo prazo de entrega 29/04/16._x000a_[29/03] -  Usuários de sistemas envolvidos não foram enviados, portanto, haverá atraso. Aguardando previsão de envio para analisar impactos._x000a_[22/03] - To Be validado._x000a_[14/03] -  TO BE enviado para aprovação em 09/03/16. Em 11/03, negócios solicitou alteração no desenho. Previsão de envio para aprovação em 14/03/16. _x000a_Não há impacto nas outras datas. _x000a_[08/03] - Na execução do TO BE, identificamos falhas na EF. Aguardando envio de EF complementar para gerar cronograma.                                             01/03/16: Pendente desenho do TO BE._x000a_22/02/16: PMO Negócios solicitou alteração no cronograma enviado no documento de OG no dia 19/02. Nova OG será enviada até 23/02._x000a_12/02/16 - EF recebida , será enviada OG no dia 19/02/16_x000a_10/02 - Mesmo status_x000a_05/02 - EF em análise. Agendada sala de guerra para retirada de duvidas e fechamento da EF em 12/02_x000a_03/02 - A iniciar"/>
    <s v="RTI"/>
    <s v="Mariana"/>
    <d v="2016-04-29T00:00:00"/>
    <s v="Análise"/>
    <m/>
    <m/>
    <m/>
    <m/>
    <s v="Sim"/>
  </r>
  <r>
    <s v="CTXSALLM-120345"/>
    <s v="Crescimento de 30 PV´s de Televendas Out Pós"/>
    <s v="BA - Site Comércio"/>
    <s v="S&amp;OP"/>
    <s v="Oi"/>
    <x v="7"/>
    <x v="4"/>
    <m/>
    <s v="Crescimento/Expansão"/>
    <d v="2016-02-03T00:00:00"/>
    <n v="71"/>
    <d v="2016-02-03T00:00:00"/>
    <m/>
    <m/>
    <m/>
    <m/>
    <s v="12/04 - Aguardando status do CC Brasil quanto a cotação de transporte para remanejamento do Servidor para gravação. _x000a__x000a_04/04 - Mesmo status. _x000a__x000a_28/03 - Foi repassado a cotação de Transporte ao recurso de Negócios (Jonas), para seguimento de abertura de SC. Ressaltando que apenas 15 pas estão sem gravação._x000a__x000a_21/03 - Servidor de gravação encontrado. Em cotação de transporte para posterior abertura de SC._x000a__x000a_15/03 - Aguardando retorno de Controle de Ativos._x000a__x000a_07/03 - Mesmo Status._x000a__x000a_01/03 - Ainda temos apenas pendência de gravação em 15 pas. CSE está estudando um upgrade no Nice 2.0 para que possamos resolver este &quot;problema&quot; de gravação._x000a__x000a_23/02 - 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quot;problema&quot; de gravação._x000a__x000a_15/02 - Mesmo Status._x000a__x000a_10/02 - Acionamento Site para os pré-requisitos de Dac e Imagem das pas. Em paralelo aguardando retorno de Engenharia para as verificações do Discador. Única ação da Equipe do Morais é no final da demanda com o cadastro do novo range de Hostname._x000a__x000a_03/02 - A iniciar"/>
    <s v="CC Brasil_x000a_"/>
    <s v="Jonas Divino"/>
    <s v="TBD"/>
    <s v="Desenvolvimento"/>
    <m/>
    <m/>
    <m/>
    <m/>
    <s v="Sim"/>
  </r>
  <r>
    <s v="CTXRJOMA-77615"/>
    <s v="Cochicho Reajuste"/>
    <s v="Mackenzie/RJ"/>
    <s v="Operações que não estão no Plano de Recuperação"/>
    <s v="Oi"/>
    <x v="1"/>
    <x v="7"/>
    <m/>
    <s v="Desenvolvimento"/>
    <d v="2016-01-25T00:00:00"/>
    <n v="80"/>
    <d v="2016-02-04T00:00:00"/>
    <m/>
    <m/>
    <m/>
    <m/>
    <s v="12/04 - Em homologação._x000a_05/04 - Aguardando prazo desenvolvimento APP. Previsão 06/04._x000a_29/03 - Alinhada a solução com o solicitante. Aguardando informações área negócios para o prosseguimento do desenvolvimento._x000a_08/03 - Aguardando informações da área de negócios._x000a_02/02 - Passada OG (08/03) para área de negócios. Verificando possibilidade de priorização._x000a_26/02 - Faltando EF. Área de negócios dando andamento._x000a_23/02 - Mesmo status_x000a_11/02 - Aplicações informa que não faz esse tipo de desenvolvimento._x000a_Aguardando EF para verificação com áread e URA._x000a_ 04/02 - Projeto informado para a colocação na fila de APP._x000a_03/02 - A iniciar"/>
    <s v="Negócios"/>
    <s v="Fernanda Nazário"/>
    <d v="2016-03-09T00:00:00"/>
    <s v="Na Fila"/>
    <m/>
    <m/>
    <m/>
    <m/>
    <s v="Não"/>
  </r>
  <r>
    <s v="CTXBHZRI-97664"/>
    <s v="Novos Arquivos de Atualização R1 Fixa"/>
    <s v="Prado II"/>
    <s v="Operações que não estão no Plano de Recuperação"/>
    <s v="Oi"/>
    <x v="1"/>
    <x v="1"/>
    <s v="Tatiane Rodrigues Dallecrode "/>
    <s v="Desenvolvimento"/>
    <d v="2016-01-28T00:00:00"/>
    <n v="77"/>
    <d v="2016-02-04T00:00:00"/>
    <d v="2016-04-15T00:00:00"/>
    <s v="Risco"/>
    <m/>
    <m/>
    <s v="[12/04] - Pendência do Solicitante. [  arquivo de mailing exemplo ]_x000a_Informado ao solicitante o impacto direto no início do Desenvolvimento. Uma nova expectativa  esforço Deesenvolvimento será realizada, quando recebermos o arquivo de mailing exemplo. _x000a_Obs: Solicitante ainda sem data para entrega do arquivo_x000a__x000a_[05/04] - Pendência Solicitante. Informado ao solicitante o impacto direto no início do Desenvolvimento. Uma nova expectativa será realizada quando recebermos o arquivo de mailing exemplo. Obs: Solicitante ainda sem data para entrega do arquivo_x000a__x000a_[29/03] - Pendência Solicitante  - Aguardando retorno solicitante. _x000a_Obs: Impacto direto no inicio desenvolvimento e entrega._x000a__x000a_[22/03] - Pend~encia  do solicitante, na entrega do arquivo de exemplo do mailing até 23/03/2016._x000a_Essa entrega é premissa para garantir a o inicio do desenvolvimento e a data de entrega do projeto.(15/04)_x000a__x000a__x000a__x000a_[15/03] - Aguardando retorno solicitante. ( Modelo arquivo mailing). Limite 23/03_x000a__x000a_08/03] - Aguardando o envio arquivo exemplo mailing. ( Jeane (02/03)_x000a__x000a_[03/03] - Para priorizarmos este ultimo projeto para inicio de desenvolvimento no dia 29 Mar, precisamos de entrega do arquivo de exemplo do mailing até 23/03/2016 e alinhar convosco que afetaremos as demais solicitações prioritárias da fila  em mais ou menos 14 dias úteis._x000a__x000a_[02/03] - Aguardando &quot; de acordo &quot;  Admilson par areorganização da Fila de Projetos par apodermos Priorizar o projeto para atender  a data  esperada pelo Cliente._x000a__x000a_ [29/02] - Ponto de Atenção: O lay out do Arquivo mailing será alterado pela Oi em  05/05/16._x000a_Previsão de execução por Aplicações  - Desenvolvimento entre 06 e 27/12/12016_x000a__x000a_[23/02] - Projeto em analise por Aplicações . Data prevista retorno de esforço e prazo execução - 29/02._x000a__x000a_[16/02] - Fase inicial.  Entendimento do escopo com solicitante _x000a__x000a_[10/02] - Fase Inicial - Esclarecer entendimento escopo com Solicitante_x000a__x000a_04/02 - Aguardando Briefing do projeto"/>
    <s v="Solicitante"/>
    <s v="Tatiane Dallecrode"/>
    <d v="2016-02-29T00:00:00"/>
    <s v="Desenho Solução"/>
    <d v="2016-04-15T00:00:00"/>
    <m/>
    <s v="Não"/>
    <m/>
    <s v="Não"/>
  </r>
  <r>
    <s v="CTXSALSM-87479"/>
    <s v="Alteração URA OI Internet Conexão Sáude"/>
    <s v="Fonte Nova/BA"/>
    <s v="Operações que não estão no Plano de Recuperação"/>
    <s v="Oi"/>
    <x v="6"/>
    <x v="5"/>
    <m/>
    <s v="Upgrade de Tecnologia"/>
    <d v="2016-02-01T00:00:00"/>
    <n v="73"/>
    <d v="2016-02-04T00:00:00"/>
    <m/>
    <m/>
    <m/>
    <m/>
    <s v="12/04 - Mesmo status_x000a_06/04 - Estamos aguardando a liberação de proxy para iniciar os testes e retomar o cronograma. Ficamos parados grande parte do tempo aguardando a resposta do Cliente em relação a porta, proxy, envio de novo URL. _x000a_29/03 - Aguardando informação do Tiago com a Oi para liberação da porta para prosseguirmos com os testes e homologação. _x000a_&quot;Bruno,_x000a_ _x000a_Tive retorno a pouco do Rubens da OI onde os mesmo irão criar “um novo acesso com IP público e assim que estiver disponível vamos informá-lo para que você solicite a liberação no seu proxy e possa executar os testes”._x000a_&quot;_x000a_14/03 - Alinhamento realizado. Aguardando retorno da equipe de desenvolvimento de URA quanto aos prazos para Base Fixa e Base Móvel_x000a_08/03 - Foram realizados os alinhamentos com engenharia. Hoje será realizado o alinhamento total (URA + ENG + Planejamento)_x000a_01/03 - Projeto aprovado pelo cliente em questão do desenvolvimento. Porém existem alguns custos adicionais que estão sendo verificados com a equipe de URA se é possível a redução. Em paralelo, os links estão sendo analisados pela equipe de Telecom_x000a_24/02 - Infelizmente na fila de Engenharia só conseguiremos iniciar a análise no dia 01/03.  _x000a_As primeiras demandas da fila de Engenharia são crescimentos, expansões, migrações e desmobilizações._x000a__x000a_17/02 - Proposta da equipe de URA enviada à Cristiane Kuzuhara para aprovação. Com prazo em dias de 15 dias para implantação_x000a_10/02 - Aguardando resposta da equipe de URA_x000a_03/02 - A iniciar"/>
    <s v="PMO TI"/>
    <s v="Bruno Guerra"/>
    <m/>
    <s v="Desenvolvimento/Execução"/>
    <m/>
    <m/>
    <m/>
    <m/>
    <s v="Não"/>
  </r>
  <r>
    <s v="CTXRJOMA-78044"/>
    <s v="RTI - AUTOMAÇÃO CONSULTA HISTÓRICO TERMINAL"/>
    <m/>
    <s v="Plano Recuperação"/>
    <s v="Oi"/>
    <x v="4"/>
    <x v="2"/>
    <s v="Luiz Matheus"/>
    <s v="RTI"/>
    <d v="2016-02-11T00:00:00"/>
    <n v="63"/>
    <d v="2016-02-11T00:00:00"/>
    <m/>
    <m/>
    <m/>
    <m/>
    <s v="[12/4] - Em desenvolvimento. Prazo de conclusão 3/5_x000a_[04/04] Em desenvolvimento_x000a_[29/03] - Em desenvolvimento_x000a_[22/03] - To Be ajustado pela equipe de desenvolvimento._x000a_[14/03] TO BE em andamento _x000a_[08/03] - Mesmo status_x000a_01/03/16: Pendente aprovação de OG._x000a_22/02/16: Pendente revisão de EF._x000a_12/02/2016  Primeira analise da EF concluída no dia 12/02  solicitado sala de guerra para retirada de dúvidas da EF. _x000a_12/02 - A iniciar"/>
    <s v="RTI"/>
    <s v="Mariana"/>
    <s v="TDB"/>
    <s v="Análise"/>
    <m/>
    <m/>
    <m/>
    <m/>
    <s v="Sim"/>
  </r>
  <r>
    <s v="CTXRJOMA-78045"/>
    <s v="RTI - FLUXO LIMITAÇÃO DA CHAMADA MANUAL"/>
    <s v="Borges de Melo"/>
    <s v="Plano Recuperação"/>
    <s v="Oi"/>
    <x v="4"/>
    <x v="2"/>
    <s v="Luiz Matheus"/>
    <s v="RTI"/>
    <d v="2016-02-11T00:00:00"/>
    <n v="63"/>
    <d v="2016-02-11T00:00:00"/>
    <m/>
    <m/>
    <m/>
    <m/>
    <s v="[12/4] - Projeto em piloto _x000a_[4/4] - Houve atraso no piloto, devido a impossibilidade do site. Previsão 05/04_x000a_ [29/03] - Piloto previsto para dia 31/03._x000a_ [22/03] - Homologação iniciada hoje._x000a_[15/03] - Aguardando dados das PAs para planejamento da homologação/piloto. Validar com equipe de aplicações como faremos para diferenciar as PAs com a nova solução e sem a solução. Prazo 16/03 _x000a_[08/03] - Pendente conslusão da EF  _x000a_01/03/16: Pendente análise de EF._x000a_22/02/16: Pendente análise de datas. Projeto incluído na fila de aplicações sexta-feira, 19/02 conforme o processo._x000a_12/02 - A iniciar"/>
    <s v="Site"/>
    <s v="José Carlos"/>
    <d v="2016-04-05T00:00:00"/>
    <s v="Análise"/>
    <m/>
    <m/>
    <m/>
    <m/>
    <s v="Sim"/>
  </r>
  <r>
    <s v="CTXRJOMA-78043"/>
    <s v="Projeto - Playground - Otimização da distribuição de chamadas"/>
    <m/>
    <s v="Plano Recuperação"/>
    <s v="Oi"/>
    <x v="1"/>
    <x v="2"/>
    <s v="Fabrício Peixoto"/>
    <s v="Desenvolvimento"/>
    <d v="2016-02-11T00:00:00"/>
    <n v="63"/>
    <d v="2016-02-12T00:00:00"/>
    <m/>
    <m/>
    <m/>
    <m/>
    <s v="[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_x000a_[29/03] - Pendente envio do cronograma. Prazo 31/03._x000a_[22/3] - Aguardando aprovação da Ana Coelho para a regra de negócios _x000a_[15/03] - Solicitado cronograma para Information - Prazo de entrega 18/03. _x000a_[08/03] - Realizada a reunião com o fornecedor Information para explicação da topologia. Aguardando envio das documentões para fornecedor desenhar EF. _x000a_[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
    <s v="Fornecedor"/>
    <m/>
    <s v="TDB"/>
    <s v="Levantamento de informações"/>
    <s v="TDB"/>
    <m/>
    <s v="Sim"/>
    <m/>
    <s v="Sim"/>
  </r>
  <r>
    <s v="CTXBHZRI-98065"/>
    <s v="Migrar a operação Escob R2 para a plataforma de cobrança TCollect + discador Aspect. situado ao Site Prado2 (complemento ao chamado principal CTXBHZRI-94859)"/>
    <s v="Prado/MG"/>
    <s v="Plano Recuperação"/>
    <s v="Oi"/>
    <x v="1"/>
    <x v="7"/>
    <s v="Fabrício Peixoto"/>
    <s v="Desenvolvimento"/>
    <d v="2016-02-11T00:00:00"/>
    <n v="63"/>
    <d v="2016-02-17T00:00:00"/>
    <m/>
    <m/>
    <m/>
    <m/>
    <s v="29/03 - Mesmo status_x000a_21/03 - Projeto aguardará a migração do Prado para Polo SP para a entrada das posições já no Polo Aspect 7.3_x000a_03/03 - Data de entrega aplicações 29/06. Aguardando redefinição de filas de prioridade para montar cronograma.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Aplicações"/>
    <s v="Alexandre Morais"/>
    <s v="29/06 - data atual"/>
    <s v="Na Fila"/>
    <m/>
    <m/>
    <m/>
    <m/>
    <s v="Sim"/>
  </r>
  <r>
    <s v="CTXBHZRI-98066"/>
    <s v="Projeto - Implantar tCollect!+Aspect Operação - CD R2 (complemento ao chamado principal CTXBHZRI-94859)"/>
    <s v="Prado/MG"/>
    <s v="Plano Recuperação"/>
    <s v="Oi"/>
    <x v="1"/>
    <x v="7"/>
    <s v="Fabrício Peixoto"/>
    <s v="Desenvolvimento"/>
    <d v="2016-02-11T00:00:00"/>
    <n v="63"/>
    <d v="2016-02-17T00:00:00"/>
    <m/>
    <m/>
    <m/>
    <m/>
    <s v="29/03 - Mesmo status_x000a_21/03 - Projeto aguardará a migração do Prado para Polo SP para a entrada das posições já no Polo Aspect 7.3_x000a_01/03 - Ef será entregue dia 25/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Inovação e Inteligência CRM"/>
    <s v="Neilor Márcio"/>
    <d v="2016-03-25T00:00:00"/>
    <s v="Na Fila"/>
    <m/>
    <m/>
    <m/>
    <m/>
    <s v="Sim"/>
  </r>
  <r>
    <s v="CTXBHZRI-98067"/>
    <s v="Projeto - Implantar tCollect!+Aspect Operação - Escob OI TV (complemento ao chamado principal CTXBHZRI-94859)"/>
    <s v="Prado/MG"/>
    <s v="Plano Recuperação"/>
    <s v="Oi"/>
    <x v="1"/>
    <x v="7"/>
    <s v="Fabrício Peixoto"/>
    <s v="Desenvolvimento"/>
    <d v="2016-02-11T00:00:00"/>
    <n v="63"/>
    <d v="2016-02-17T00:00:00"/>
    <m/>
    <m/>
    <m/>
    <m/>
    <s v="29/03 - Mesmo status_x000a_21/03 - Projeto aguardará a migração do Prado para Polo SP para a entrada das posições já no Polo Aspect 7.3_x000a_01/03 EF será entegue dia 01/04.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Inovação e Inteligência CRM"/>
    <s v="Neilor Márcio"/>
    <d v="2016-04-01T00:00:00"/>
    <s v="Na Fila"/>
    <m/>
    <m/>
    <m/>
    <m/>
    <s v="Sim"/>
  </r>
  <r>
    <s v="CTXSALPB-55659"/>
    <s v="Crescimento de 20 pas do Outbound Velox"/>
    <s v="BA - Site Boa Viagem"/>
    <s v="S&amp;OP"/>
    <s v="Oi"/>
    <x v="7"/>
    <x v="4"/>
    <s v="Jonas Divino"/>
    <s v="Crescimento/Expansão/Migração"/>
    <d v="2016-02-03T00:00:00"/>
    <n v="71"/>
    <d v="2016-02-03T00:00:00"/>
    <m/>
    <m/>
    <m/>
    <m/>
    <s v="12/04 - Aguardando status do CC Brasil quanto a cotação de transporte para remanejamento do Servidor para gravação. _x000a__x000a_04/04 - Mesmo Status._x000a__x000a_28/03 - Foi repassado a cotação de Transporte ao recurso de Negócios, para seguimento de abertura de SC._x000a__x000a_21/03 - Servidor de gravação encontrado. Em cotação de transporte para posterior abertura de SC._x000a__x000a_15/03 -Aguardando retorno de Controle de Ativos._x000a__x000a_07/03 - Mesmo status._x000a__x000a_01/03 - Headsets ok. _x000a_Ainda temos  pendência de gravação  nas pas. CSE está estudando um upgrade no Nice 2.0 para que possamos resolver este &quot;problema&quot; de gravação._x000a__x000a_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_x000a_10/02 - Em análise._x000a_03/02 - A iniciar"/>
    <s v="CC Brasil"/>
    <s v="Jonas Divino"/>
    <s v="TBD"/>
    <s v="Desenvolvimento"/>
    <m/>
    <m/>
    <m/>
    <m/>
    <s v="Sim"/>
  </r>
  <r>
    <s v="CTXSPOBF-134042"/>
    <s v="RTI - Integração Vivo 360 x Tclock - Móvel"/>
    <s v="Antártica/SP"/>
    <s v="Plano Recuperação"/>
    <s v="Vivo   "/>
    <x v="4"/>
    <x v="2"/>
    <s v="Wagner Mattos"/>
    <s v="RTI"/>
    <d v="2016-02-17T00:00:00"/>
    <n v="57"/>
    <d v="2016-02-17T00:00:00"/>
    <m/>
    <m/>
    <m/>
    <m/>
    <s v="[11/04] - Teste de conectividade OK. Foi solicitado uma nova aprovação da OG por Negócios. Aguardando aprovação prevista para o dia 13/04/16 para replanejamento das atividades. _x000a_[4/4] - O estudo de viabilidade do projeto só será entregue dia 11/4, somente após essa data poderam aprovar a OG._x000a_   [29/03] - EF validada depois das modificações solicitadas. Entrega da OG até o dia 31/03/16. _x000a_[22/03] - Em analise de EF. Previsão de OG para o dia 23/03. _x000a_[08/03] - Mesmo status 22/02/16: Projeto será priorizado após implantação do T-clock na Fixa. _x000a_17/02 - A iniciar"/>
    <s v="Negócios"/>
    <s v="Wagner"/>
    <d v="2016-04-11T00:00:00"/>
    <s v="Na Fila"/>
    <m/>
    <m/>
    <m/>
    <m/>
    <s v="Sim"/>
  </r>
  <r>
    <s v="CTXSPOAS-4528"/>
    <s v="Migração Perfcall"/>
    <s v="Corporativo"/>
    <s v="BI Corporativo"/>
    <s v="Corporativo"/>
    <x v="2"/>
    <x v="5"/>
    <s v="-"/>
    <s v="Desenvolvimento"/>
    <d v="2015-09-14T00:00:00"/>
    <n v="213"/>
    <d v="2016-01-04T00:00:00"/>
    <m/>
    <m/>
    <m/>
    <m/>
    <s v="12/04 - Aguardando retorno do CSE_x000a_06/04 - Não estamos conseguindo a criação de NAT por parte da Oi_x000a_29/03 - Mesmo status_x000a_14/03 - Foi identificado uma pendência no projeto. E será necessário a criação de NAT por parte da Oi_x000a_09/03 - Projeto entregue. Aguardando homologação do cliente_x000a_01/03 - Entrega prevista para hoje: VMs e Banco de dados. Após isso será passado para o solicitante homologar._x000a_19/01 - Necessidade de Migração dos servidores do sistema Perficall para o Datacenter. "/>
    <s v="CSE"/>
    <s v="Thiago Ferreira"/>
    <s v="Sem previsão"/>
    <s v="Desenvolvimento/Execução"/>
    <m/>
    <m/>
    <m/>
    <m/>
    <s v="Não"/>
  </r>
  <r>
    <s v="CTXRECSA-439329"/>
    <s v="PROJETO TIVOLI REDECARD"/>
    <s v="Sto Amaro"/>
    <s v="Operações que não estão no Plano de Recuperação"/>
    <s v="Itaú"/>
    <x v="1"/>
    <x v="3"/>
    <s v="Marco Brandão"/>
    <s v="Desenvolvimento"/>
    <d v="2015-11-13T00:00:00"/>
    <n v="153"/>
    <d v="2016-03-04T00:00:00"/>
    <m/>
    <m/>
    <m/>
    <m/>
    <s v="Edison Nei Siqueira added a comment - 12/Abr/16 18:13_x000a_Realizamos uma áudio hoje com o Banco para entendimento da demanda, diante das informações a área de engenharia conseguira dar sequencia na analise da demanda._x000a__x000a_Edison Nei Siqueira added a comment - 15/Mar/16 12:06_x000a_Demanda em analise junto a engenharia com previsão de conclusão da analise para o dia 29/03/2016._x000a__x000a_01/03 - Aguardando EF"/>
    <s v="Engenharia de Plataforma"/>
    <s v="Benedito Silva (Villa)"/>
    <d v="2016-03-29T00:00:00"/>
    <s v="Em andamento"/>
    <m/>
    <m/>
    <m/>
    <m/>
    <s v="Não"/>
  </r>
  <r>
    <s v="CTXRECSA-455203"/>
    <s v="TLS: Protocolo de criptografia TLS 1.2"/>
    <s v="Sto Amaro"/>
    <s v="Plano Recuperação"/>
    <s v="Itaú"/>
    <x v="2"/>
    <x v="3"/>
    <s v="José Pedro"/>
    <s v="Outro"/>
    <d v="2016-01-20T00:00:00"/>
    <n v="85"/>
    <d v="2016-03-01T00:00:00"/>
    <m/>
    <m/>
    <m/>
    <m/>
    <s v="_x000a_Edison Nei Siqueira added a comment - 12/Abr/16 18:10_x000a_Agendada audio junto ao cliente para entendimento da demanda, pois precisamos de maiores detalhes para que engenharia consiga evoluir na analise._x000a__x000a_Edison Nei Siqueira added a comment - 15/Mar/16 12:10_x000a_Demanda em analise na área de engenharia com previsão de retorno para o dia 22/03/2016. _x000a__x000a_01/03 - A Iniciar"/>
    <s v="Engenhariia"/>
    <s v="Benedito Silva (Villa)"/>
    <m/>
    <s v="Na Fila"/>
    <m/>
    <m/>
    <m/>
    <m/>
    <s v="Sim"/>
  </r>
  <r>
    <s v="CTXRECSA-461808"/>
    <s v="Projeto - Projeto - Implantação de licenças COTI - Monitoramento do NET SMS"/>
    <s v="Sto Amaro"/>
    <s v="Operações que não estão no Plano de Recuperação"/>
    <s v="América Móvil"/>
    <x v="2"/>
    <x v="3"/>
    <s v="Cleonice"/>
    <s v="Desenvolvimento"/>
    <d v="2016-02-12T00:00:00"/>
    <n v="62"/>
    <d v="2016-03-01T00:00:00"/>
    <m/>
    <m/>
    <m/>
    <m/>
    <s v="Edison Nei Siqueira added a comment - 12/Abr/16 18:09_x000a_Realizamos a reinstalação da aplicação e estamos aguardando a validação por parte do cliente._x000a__x000a_Edison Nei Siqueira added a comment - 15/Mar/16 12:12_x000a_Demanda em analise junto a equipe de engenharia com previsão de retorno para o dia 22/03/2016._x000a__x000a_01/03 - A Iniciar"/>
    <s v="Engenharia "/>
    <s v="Benedito Silva (Villa)"/>
    <m/>
    <s v="Na Fila"/>
    <m/>
    <m/>
    <m/>
    <m/>
    <s v="Não"/>
  </r>
  <r>
    <s v="CTXRECSA-457626"/>
    <s v="Projeto - Substituição do front end Ayty pelo Tguidance - Operação Santander Cartões"/>
    <s v="Santo Amaro/PE"/>
    <s v="Plano Recuperação"/>
    <s v="Santander"/>
    <x v="1"/>
    <x v="1"/>
    <s v="Luciana Andrade"/>
    <s v="Desenvolvimento"/>
    <d v="2016-01-29T00:00:00"/>
    <n v="76"/>
    <d v="2016-03-04T00:00:00"/>
    <m/>
    <m/>
    <m/>
    <m/>
    <s v="[12/04] - Fase de esclarecimento de Pendências na EF com equipe Aplicações, Negócios e TI. Nova Verão de EF atualizada sendo anexada ao Tprocess._x000a_Pendente: Envio de informações e detalhamento dos  Relatórios que deverão ser contamplados no Projeto ( Projetos /Operações - George)_x000a__x000a_[05/04] - Avaliação tecnica da EF pela equipe de Aplicações. Estimativas previta : 07/04_x000a__x000a_[29/03] - Recebida EF. Fase de analise e entendimento escopo._x000a_Direcionado  para fila de analise tecnica /priorizações de Aplicações. _x000a__x000a_[22/03]  - Fase de entendimento do escopo e validação da documentação enviada pelo solicitante. Estruturação da EF (PMO Negócios)_x000a__x000a_[15/03] - Detalhamento Funcional anexado ao Tprocess em 15/03. _x000a_Em fase de avaliação da documentação e posterior direcionamento para Fila de Aplicações._x000a__x000a_[08/03] - Aguardando envio da EF preenchida e resposta ao questionamento disponibilizados no Tprocess._x000a__x000a_01/03 - Aguardando EF"/>
    <s v="APP/Solicitante"/>
    <s v="Cristiane Sasaki/Luciana"/>
    <m/>
    <s v="Desenho Solução"/>
    <s v="ND"/>
    <m/>
    <m/>
    <m/>
    <s v="Sim"/>
  </r>
  <r>
    <s v="CTXSALSM-85211"/>
    <s v="Aplicação - Desenvolvimento Tabulador de Proposta para a Operação CAC"/>
    <s v="Cabula/BA e Santo Amaro/PE"/>
    <s v="Plano Recuperação"/>
    <s v="Itaú"/>
    <x v="1"/>
    <x v="1"/>
    <s v="Luciana Andrade"/>
    <s v="Desenvolvimento"/>
    <d v="2015-12-10T00:00:00"/>
    <n v="126"/>
    <d v="2016-03-04T00:00:00"/>
    <m/>
    <m/>
    <m/>
    <m/>
    <s v="[12/04] - Projeto direcionado para avaliação tecnica da equipe Aplicações.._x000a_EF recebida em 07/04._x000a__x000a_[04/04] - Aguardando envio da EF preenchida e resposta ao questionamento disponibilizados no Tprocess._x000a__x000a_[29/03] - Aguardando envio da EF preenchida e resposta ao questionamento disponibilizados no Tprocess._x000a__x000a_[22/03]  - Aguardando envio da EF preenchida e resposta ao questionamento disponibilizados no Tprocess._x000a__x000a_[15/03] - Aguardando envio da EF preenchida e resposta ao questionamento disponibilizados no Tprocess._x000a__x000a_[08/03] - Aguardando envio da EF preenchida e resposta ao questionamento disponibilizados no Tprocess._x000a__x000a_01/03 - Aguardando EF"/>
    <s v="APP"/>
    <s v="Cristiane"/>
    <s v="ND"/>
    <s v="Construção EF"/>
    <s v="ND"/>
    <m/>
    <m/>
    <m/>
    <s v="Sim"/>
  </r>
  <r>
    <s v="CTXRJOSC-15278"/>
    <s v="Gestão de Demandas e Projetos - Eng.TI - Redes (dados)"/>
    <s v="São Cristovão/RJ"/>
    <s v="Plano Recuperação"/>
    <s v="Clientes Especiais"/>
    <x v="8"/>
    <x v="1"/>
    <s v="José Pedro"/>
    <s v="Outro"/>
    <d v="2016-01-26T00:00:00"/>
    <n v="79"/>
    <d v="2016-03-04T00:00:00"/>
    <m/>
    <m/>
    <m/>
    <m/>
    <s v="[12/04] -  Aguardando retorno do soliicitante  (Cheuin)  - (Esclarecer escopo com Cliente BBMapfre)._x000a__x000a_[04/04] -  Aguardando retorno do soliicitante  (Cheuin)  - (Esclarecer escopo com Cliente BBMapfre),. _x000a__x000a_[29/03] -  Aguardando retorno do soliicitante (Esclarecer escopo com Cliente BBMapfre),_x000a__x000a_[22/03] - Aguardando retorno do soliicitante (Esclarecer escopo com Cliente BBMapfre),. _x000a__x000a_[15/03] - Projeto sendo analisado por Engenharia TI . Recomendado agendamento de call tecnico com TI Cliente para esclarecimentos escopo.Contato (Fabio Pinheiro - BBMapfre)._x000a_ _x000a_[08/03] - Aguardando mapeamento TI Site._x000a_Direcionando projeto para fila de projetos de Engenharia (Redes) ._x000a__x000a_[04/03] - Detalhamento escopo projeto._x000a_Acionamento equipe TI Site para mapeamento das ações locais._x000a__x000a_[08/02)01/03 - Aguardando formulário de abertura de projeto "/>
    <s v="Solicitante"/>
    <s v="José Pedro"/>
    <m/>
    <s v="Desenho Solução"/>
    <s v="ND"/>
    <m/>
    <m/>
    <m/>
    <s v="Sim"/>
  </r>
  <r>
    <s v="CTXRBRSA-1349"/>
    <s v="Projeto - INSTALAÇÃO NOVA CÉLULA CLARO CONTROLE - ACRE"/>
    <s v="Acre e Salvador"/>
    <s v="Plano Recuperação"/>
    <s v="América Móvil"/>
    <x v="3"/>
    <x v="8"/>
    <s v="Cleonice"/>
    <s v="Desenvolvimento"/>
    <d v="2016-03-02T00:00:00"/>
    <n v="43"/>
    <d v="2016-03-03T00:00:00"/>
    <m/>
    <m/>
    <m/>
    <m/>
    <s v="12/04: Mesmo status, portanto este projeto ficará em hold até recebermos os IP´s da Claro_x000a_05/04: Foram realizados testes e sem sucesso. Estamos aguardando o cliente enviar os IP´s de origem e destino das URL´s para refazer os testes afim de identicar por qual motivo as URL´s não funcionam no Acre._x000a_28/03: Mesmo status_x000a_21/03: Aguardando CSE disponibilizar um recurso de redes. Liberação do recurso está prevista para 23/03._x000a_08/03: Previsão de iniciar a análise em 09/03_x000a_03/03 - A iniciar"/>
    <s v="Cliente"/>
    <s v="Cleonice"/>
    <s v="TBD"/>
    <s v="Em Hold"/>
    <m/>
    <m/>
    <m/>
    <m/>
    <s v="Não"/>
  </r>
  <r>
    <s v="CTXSPOAL-109109"/>
    <s v="Migração dos links da BV (Do Lapa para Alegria)"/>
    <s v="Alegria/SP"/>
    <s v="Plano Recuperação"/>
    <s v="Clientes Especiais"/>
    <x v="2"/>
    <x v="8"/>
    <s v="Luciana Cardoso"/>
    <s v="Upgrade de Tecnologia"/>
    <d v="2016-03-04T00:00:00"/>
    <n v="41"/>
    <d v="2016-03-09T00:00:00"/>
    <m/>
    <m/>
    <m/>
    <m/>
    <s v="12/04: Aguardando o cliente enviar as informações sobre o link. _x000a_05/04: Aguardando o site retornar com as dúvidas gerada pelo Rogério Veloso_x000a_29/03: Acionada a equipe responsável para analisar a migração desta operação._x000a_09/03 - A iniciar"/>
    <s v="Cliente"/>
    <s v="Wagner"/>
    <s v="TBD"/>
    <s v="Em andamento"/>
    <m/>
    <n v="106"/>
    <m/>
    <m/>
    <s v="Sim"/>
  </r>
  <r>
    <s v="CTXSPOAL-108115"/>
    <s v="Outros - N/A - Migração de equipe madrugada Ticket"/>
    <s v="Alegria/SP"/>
    <s v="S&amp;OP"/>
    <s v="Clientes Especiais"/>
    <x v="7"/>
    <x v="8"/>
    <s v="Jonas Divino"/>
    <s v="Crescimento/Expansão/Migração"/>
    <d v="2016-02-25T00:00:00"/>
    <n v="49"/>
    <d v="2016-03-09T00:00:00"/>
    <m/>
    <m/>
    <m/>
    <m/>
    <s v="12/04: Mesmo status _x000a_05/04: Mesmo status_x000a_29/03: Aguarda uma data para agendar o kick-off_x000a_21/03: A iniciar_x000a_09/03 - A iniciar"/>
    <s v="PMO TI"/>
    <s v="Débora Gercke"/>
    <s v="06/04_x000a_13/04"/>
    <s v="Análise"/>
    <m/>
    <m/>
    <m/>
    <m/>
    <s v="Sim"/>
  </r>
  <r>
    <s v="CTXNITSP-179559"/>
    <s v="Crescimento SAV Entrega ( CRV FIXO ATIVO, OI TOTAL. DEALER, PAP)"/>
    <s v="RJ - Site Niterói"/>
    <s v="S&amp;OP"/>
    <s v="Oi"/>
    <x v="7"/>
    <x v="4"/>
    <s v="Jonas Divino"/>
    <s v="Crescimento/Expansão/Migração"/>
    <d v="2016-02-03T00:00:00"/>
    <n v="71"/>
    <d v="2016-02-03T00:00:00"/>
    <m/>
    <m/>
    <m/>
    <m/>
    <s v="12/04 - 4 Onda homologada. Definindo de escopo na 5 Onda._x000a__x000a_Gravação - Ramais cadastrados hoje, solicitado a operação, a hpmologação.  _x000a_Tlv 5  -  Aberto SC para as alicenças do Tlv , em comitê com o Jonas (Negócios)_x000a__x000a_04/04 -Homologação da 4 Onda no Térreo, em andamento. _x000a_Gravação -   Portas ainda disponíveis, informado os IP´s dos ramais para o CSE cadastrar, aguardando retorno._x000a_Tlv 5  -  Aberto SC para as alicenças do Tlv , em comitê com o Jonas (Negócios)_x000a_*Aguardando  o final da homologação da 4 onda para fechamento de escopo da 5 Onda._x000a__x000a__x000a_28/03 - Layout do Térreo em homologação._x000a_21/03 - Layout do 9 andar e 11 andar entregues. Sendo revisado a lista de insumos necessárias para entrega do Térreo. Em paralelo, estamos analisando questões de licenças de Tlv 5, portas de gravação e afins._x000a__x000a_15/03 - Dentro das 5 Ondas, estamos entregando a 2 Onda. Aguardando DA de licenças do TLV 5 (+84)  e Desenho de Engenharia  referente a Migração do a migração de licenças do Polo Aspect de CE para PE ._x000a__x000a_07/03 - Crescimento sendo dividido em 5 Ondas. Estamos na 2 Fase em Homologação."/>
    <s v="Implantações Site / Negócios (Licença TLV 5) / CSE (Gravação)"/>
    <s v="Diego Pacatuba / Jonas Santos  / Luiz Washigton"/>
    <s v="TBD"/>
    <s v="Desenvolvimento"/>
    <m/>
    <m/>
    <m/>
    <m/>
    <s v="Sim"/>
  </r>
  <r>
    <s v="CTXRECAU-67194"/>
    <s v="Projeto - NET Madrugada 24hs - Migrar 49 PAs do Site Aurora para o Sto Amaro"/>
    <s v="Santo Amaro"/>
    <s v="S&amp;OP"/>
    <s v="Net"/>
    <x v="7"/>
    <x v="8"/>
    <s v="Cristina Rey"/>
    <s v="Crescimento/Expansão/Migração"/>
    <d v="2016-02-12T00:00:00"/>
    <n v="62"/>
    <d v="2016-03-09T00:00:00"/>
    <m/>
    <m/>
    <m/>
    <m/>
    <s v="12/04: 07 PA´s foram entregues hoje para homologação. Projeto está previsto para ser entregue em 13/04._x000a_05/04: Mesmo Status_x000a_28/03: Mesmo status_x000a_22/03: A data da data será informada em 08/04._x000a_08/03: Previsão de iniciar a análise em 09/03_x000a_03/03 - A iniciar"/>
    <s v="TI Site"/>
    <s v="Villela"/>
    <d v="2016-04-13T00:00:00"/>
    <s v="Homologação"/>
    <m/>
    <n v="49"/>
    <m/>
    <m/>
    <s v="Sim"/>
  </r>
  <r>
    <s v="CTXRECSA-446234"/>
    <s v="SERVIDOR - TABULADOR DE VENDAS"/>
    <s v="Santo Amaro"/>
    <s v="Plano Recuperação"/>
    <s v="Itaú"/>
    <x v="1"/>
    <x v="8"/>
    <s v="José Pedro"/>
    <s v="Desenvolvimento"/>
    <d v="2015-12-10T00:00:00"/>
    <n v="126"/>
    <d v="2016-03-11T00:00:00"/>
    <m/>
    <m/>
    <m/>
    <m/>
    <s v="12/04: Mesmo status. _x000a_05/04: Foi realizada uma alteração no log de backup, pois era o principal ofensor quanto ao travamento das &quot;máquinas&quot;. Estaremos monitorando até 12/04 a performance do servidor._x000a_29/03: O diagnóstico com análise de ocupação do servidor será enviado até sexta-feira. Este diagnóstico tem o objetivo de mostrar quais são os ofensores do disco (ex log que é feito de hora em hora e representa 67GB de 100GB) para alinhar junto à operação a alteração do horário de backup do log afim de &quot;limpar&quot; esta memória._x000a_22/03: Amanhã será iniciada a análise de ocupação do servidor. _x000a_11/03 - A iniciar"/>
    <s v="Negócio"/>
    <s v="Marco Brandão"/>
    <d v="2016-04-12T00:00:00"/>
    <s v="Homologação"/>
    <m/>
    <m/>
    <m/>
    <m/>
    <s v="Sim"/>
  </r>
  <r>
    <s v="CTXRJOED-57427"/>
    <s v="Implantação Gas Natural Fenosa"/>
    <s v="Rio Comprido"/>
    <s v="S&amp;OP"/>
    <s v="Gás Natural Fenosa"/>
    <x v="2"/>
    <x v="3"/>
    <s v="Flavio Reto"/>
    <s v="Implantação Nova operação"/>
    <d v="2015-11-30T00:00:00"/>
    <n v="136"/>
    <d v="2015-11-30T00:00:00"/>
    <m/>
    <m/>
    <m/>
    <m/>
    <s v="_x000a_Edison Nei Siqueira added a comment - 12/Abr/16 18:06_x000a_Estamos realizando o transporte dos insumos e realizando as configurações dos links de interligação entre a Contax e o Cliente GNF._x000a__x000a_Edison Nei Siqueira added a comment - 05/Abr/16 17:16_x000a_Treinamento dos colaboradores inciado. _x000a_Link de interligação em processo de instalação, foi identificado a necessidade de passagem de fibra no ambiente do cliente GNF pela operadora. _x000a_SC000385 Transporte de Insumos - Continua aguardando a aprovação no comitê de caixa._x000a__x000a_Edison Nei Siqueira added a comment - 23/Mar_x000a_Link de dados,  a Oi informou o prazo de 08/ 04 devido a investimento em um equipamento em uma das pontas._x000a_Estamos tentando negociar esse prazo já escalado internamente._x000a_Em paralelo vamos tentar um prazo menor com a hit, que seria a contigencia._x000a__x000a_Edison Nei Siqueira added a comment - 15/Mar/16 12:19_x000a_Treinamento dos multiplicadores teve início no dia 14/03 no site MCK em uma sala, demais salas aguardando a liberação de T&amp;D prevista para o dia 21/03."/>
    <s v="Negócios"/>
    <s v="Flavio Reto"/>
    <m/>
    <s v="Em andamento"/>
    <m/>
    <m/>
    <m/>
    <m/>
    <s v="Sim"/>
  </r>
  <r>
    <s v="CTXMTZPB-1283"/>
    <s v="Crescimento Contas Móvel Santo Amaro"/>
    <s v="Santo Amaro"/>
    <s v="S&amp;OP"/>
    <s v="Oi"/>
    <x v="7"/>
    <x v="0"/>
    <s v="Jonas Divino"/>
    <s v="Crescimento/Expansão/Migração"/>
    <d v="2016-03-15T00:00:00"/>
    <n v="30"/>
    <d v="2016-03-16T00:00:00"/>
    <m/>
    <m/>
    <m/>
    <m/>
    <s v="12/04 - Projeto entregue a ja ajustados as pendecias da implantação. aguardando 'aceite do cliente';_x000a_29/03 - Realizando levantamento de Insumos e necessidadestecnicas para a implantação;_x000a_22/03 - Aguardando Planejamento definir layout das posições ADMs e de operações, am analise de euiqpe de TI não estavam identificados;_x000a_16/03 - A iniciar"/>
    <s v="PMO Negócios"/>
    <s v="Jonas Divino"/>
    <d v="2016-04-07T00:00:00"/>
    <s v="Desenvolvimento/Execução"/>
    <m/>
    <n v="27"/>
    <m/>
    <m/>
    <s v="Sim"/>
  </r>
  <r>
    <s v="CTXMTZPB-1282"/>
    <s v="Crescimento SAC Pós + OCT - Santo A,maro PE"/>
    <s v="Santo Amaro"/>
    <s v="S&amp;OP"/>
    <s v="Oi"/>
    <x v="7"/>
    <x v="0"/>
    <s v="Jonas Divino"/>
    <s v="Crescimento/Expansão/Migração"/>
    <d v="2016-03-15T00:00:00"/>
    <n v="30"/>
    <d v="2016-03-16T00:00:00"/>
    <m/>
    <m/>
    <m/>
    <m/>
    <s v="12/04 - Projeto entregue a ja ajustados as pendecias da implantação. aguardando 'aceite do cliente';_x000a_29/03 - Realizando levantamento de Insumos e necessidadestecnicas para a implantação. Em paralalo, já disponibilizamos aas posições de 2 à 9 e de 36 à 46 do layout informado, para homologação. estamos no aguardo._x000a_22/03 - Aguardando Planejamento definir layout das posições ADMs e de operações, am analise de euiqpe de TI não estavam identificados;_x000a_16/03 - A iniciar"/>
    <s v="PMO Negócios"/>
    <s v="Jonas Divino"/>
    <d v="2016-04-07T00:00:00"/>
    <s v="Desenvolvimento/Execução"/>
    <m/>
    <n v="20"/>
    <m/>
    <m/>
    <s v="Sim"/>
  </r>
  <r>
    <s v="CTXFORBM-364479"/>
    <s v="Projeto - NBA Blindagem 2p"/>
    <s v="CE- Site Borges de Melo"/>
    <s v="Operações que não estão no Plano de Recuperação"/>
    <s v="Oi"/>
    <x v="1"/>
    <x v="4"/>
    <s v="Lisandra"/>
    <s v="Desenvolvimento"/>
    <d v="2016-03-07T00:00:00"/>
    <n v="38"/>
    <d v="2016-03-22T00:00:00"/>
    <m/>
    <m/>
    <m/>
    <m/>
    <s v="12/04 - Equipe Aplicações – Em OG  e com a EF anexada hoje, provável que precisem de um tempo para esta análise. Estou cobrando o prazo._x000a_ _x000a_Equipe Engenharia – Em interação com o recurso e Suporte Site._x000a__x000a__x000a_04/04 - Conforme interação com a solicitante, aguardando o anexo da EF de Integração do FF X NBA._x000a_Em OG._x000a__x000a_28/03 - Em análise de escopo inicial._x000a__x000a_21/03 - Em análise"/>
    <s v="PMO TI"/>
    <s v="Érica Cotrim"/>
    <s v="PMO TI"/>
    <s v="Desenvolvimento"/>
    <m/>
    <m/>
    <m/>
    <m/>
    <s v="Não"/>
  </r>
  <r>
    <s v="CTXPOARB-104174"/>
    <s v="Projeto - Implantar tGuidance na Retenção NET"/>
    <s v="Navegantes"/>
    <s v="Plano Recuperação"/>
    <s v="América Móvil"/>
    <x v="1"/>
    <x v="8"/>
    <s v="Luciana Andrade"/>
    <s v="Desenvolvimento"/>
    <d v="2016-03-16T00:00:00"/>
    <n v="29"/>
    <d v="2016-03-22T00:00:00"/>
    <m/>
    <m/>
    <m/>
    <m/>
    <s v="12/04: Em definição de cronograma. Sugestão de TI enviado a operação e o mesmo não foi aceito._x000a_05/04: Aguardando a atualização da EF e planilha de insumos pela operação._x000a_29/03: Realizada uma call com o solicitante para entendimento da demanda. Pendente o envio de VDN e atualização da EF._x000a_22/03 - A iniciar"/>
    <s v="PMO Negócio"/>
    <s v="Luciana Mattos"/>
    <d v="2016-04-13T00:00:00"/>
    <s v="Em andamento"/>
    <m/>
    <n v="245"/>
    <m/>
    <m/>
    <s v="Sim"/>
  </r>
  <r>
    <s v="CTXRJOMA-78346"/>
    <s v="Contratação das licenças atualizadas do Windows Server "/>
    <m/>
    <s v="Operações que não estão no Plano de Recuperação"/>
    <s v="Corporativo"/>
    <x v="3"/>
    <x v="8"/>
    <s v="Marcio José"/>
    <s v="Outro"/>
    <d v="2016-02-22T00:00:00"/>
    <n v="52"/>
    <d v="2016-03-22T00:00:00"/>
    <m/>
    <m/>
    <m/>
    <m/>
    <s v="12/04: Mesmo status. _x000a_05/04: Aguardando a validação dos usuários ativos no Ecadop para fazer a cotação de licenças._x000a_29/03: Enviado e-mail para controle de ativos verificar a aquisição de licenças._x000a_22/03 - A iniciar"/>
    <s v="Negócio"/>
    <s v="Marcio José"/>
    <s v="TBD"/>
    <s v="Em andamento"/>
    <m/>
    <m/>
    <m/>
    <m/>
    <s v="Não"/>
  </r>
  <r>
    <s v="CTXRJOMA-78585"/>
    <s v="Projeto BI -  Meu MIS  ( Operações Itau  ) - Santo Amaro"/>
    <s v="Santo Amaro/PE"/>
    <s v="BI Corporativo"/>
    <s v="BI"/>
    <x v="9"/>
    <x v="1"/>
    <s v="Pedro Bazzarella"/>
    <s v="Desenvolvimento"/>
    <d v="2016-03-21T00:00:00"/>
    <n v="24"/>
    <d v="2016-03-22T00:00:00"/>
    <m/>
    <m/>
    <m/>
    <m/>
    <s v="[12/04] - Fase de entendimento Tecnico e direcionamento para Equipe Especialista._x000a__x000a_[04/04] - Consulta de Saving com Gestão Ativos._x000a__x000a_[29/03] - Não identificado saving. Direcionar para Analise tecnica._x000a__x000a_[22/03] - Avaliando com equipe TI Recife se procede a disponibilidade de servidores, coforme informado pelo do saving de servidor, conforme sinalizado pelo Solicitante._x000a__x000a_"/>
    <s v="ENG/APP"/>
    <m/>
    <m/>
    <s v="Na Fila"/>
    <s v="ND"/>
    <m/>
    <m/>
    <m/>
    <s v="Não"/>
  </r>
  <r>
    <s v="CTXSPOAP407-15768"/>
    <s v="PROJETO MIGRAÇÃO TAM CARGO"/>
    <s v="João Pessoa"/>
    <s v="S&amp;OP"/>
    <s v="América Móvil"/>
    <x v="7"/>
    <x v="0"/>
    <s v="Luciana Cardoso"/>
    <s v="Crescimento/Expansão/Migração"/>
    <d v="2016-03-08T00:00:00"/>
    <n v="37"/>
    <d v="2016-03-08T00:00:00"/>
    <m/>
    <s v="Sim"/>
    <m/>
    <m/>
    <s v="12/04 - Posições pré homologadas entre os dias 04 e 07/04. realizando alguns ajustes ate dia 13/04. nova homologação em 13/04. Roll out da primeira onda com 27 posições programado para 14/04. Treinamento da segunda onda inicia em 14/04;_x000a_29/03 - Recebemos hoje a confirmação de utilização de imagem do Win7, e que estarão no site JPA para homologar no periodo de 05 à 07/04. com isso iremos correr para entregar no dia solicitado, pois anteciparam em uma semana a homologação;_x000a_22/02 - Definição por parte do cliente ate dia 29/03 sobre utilização de imagens com o Win 7 ou Win XP. Isso definirá a necessidade de saving ou necessidade de maquinas;_x000a_21/03 - Entregue a fase da sala de treinamento - Sala 4 em JPA com 25 computadores + rede + Telecom;"/>
    <s v="TI Site"/>
    <s v="Alexandre Pardal"/>
    <d v="2016-04-13T00:00:00"/>
    <s v="Desenvolvimento/Execução"/>
    <m/>
    <n v="50"/>
    <m/>
    <m/>
    <s v="Sim"/>
  </r>
  <r>
    <s v="CTXSPOAP407-16016"/>
    <s v="PROJETO ADEQUAÇÃO URA MULTIPLUS CONTAX P/ ORBITAL "/>
    <s v="Alegria/SP"/>
    <s v="Operações que não estão no Plano de Recuperação"/>
    <s v="América Móvil"/>
    <x v="2"/>
    <x v="1"/>
    <s v="Cleonice"/>
    <s v="Outro"/>
    <d v="2016-03-21T00:00:00"/>
    <n v="24"/>
    <d v="2016-03-28T00:00:00"/>
    <m/>
    <m/>
    <m/>
    <m/>
    <s v="[12/04] - Solução de Contingência para trasnbordo e transferencias das Ligações da  atual URA Multiplus para DAC Orbital em andamento. Em paralelo ações de configuração de DAC sendo realizadas pelo Fornecedor Orbital._x000a__x000a_[04/04] - Projeto direcionado para avaliação tecnica da equipe de Engenharia. Expectativa de retorno com  Alocação de Recurso tecnico para  avaliação e tratativa da solicitação - 06/04_x000a__x000a_28/03 - A iniciar"/>
    <s v="CSE"/>
    <s v="LW"/>
    <s v="ND"/>
    <s v="Desenvolvimento/Execução"/>
    <m/>
    <m/>
    <m/>
    <m/>
    <s v="Não"/>
  </r>
  <r>
    <s v="CTXSPOBF-126487"/>
    <s v="Projeto: Alteração do Arquivo RAW - Operação Serasa Cobrança"/>
    <s v="Antártica/SP"/>
    <s v="Operações que não estão no Plano de Recuperação"/>
    <s v="Santander"/>
    <x v="1"/>
    <x v="5"/>
    <s v="Priscila"/>
    <s v="Outro"/>
    <d v="2016-09-30T00:00:00"/>
    <s v="N/A"/>
    <s v="N/A"/>
    <m/>
    <m/>
    <m/>
    <m/>
    <s v="29/03 - Projeto será entregue pelo fornecedor em 14/04"/>
    <s v="Fornecedor"/>
    <s v="Rede Service"/>
    <d v="2016-04-14T00:00:00"/>
    <s v="Desenvolvimento/Execução"/>
    <m/>
    <m/>
    <m/>
    <m/>
    <s v="Não"/>
  </r>
  <r>
    <s v="CTXSPOAP407-15967"/>
    <s v="Navegação de Dados "/>
    <s v="Acre"/>
    <s v="Plano Recuperação"/>
    <s v="Claro"/>
    <x v="1"/>
    <x v="2"/>
    <s v="Fernanda Nazário"/>
    <s v="RTI"/>
    <d v="2016-03-11T00:00:00"/>
    <n v="34"/>
    <d v="2016-03-24T00:00:00"/>
    <m/>
    <s v="Sim"/>
    <m/>
    <m/>
    <s v="[11/04] Data de TO BE replanejada devido ao atraso na entrega e validação dos TO BEs das outras demandas de Claro. Novo prazo 9/5_x000a_ [04/04] Replanejamento de datas devido à disponibilidade de recursos. Aguardando recurso para iniciar. _x000a_[29/03] - Em fase de desenho de solução. _x000a_Previsão de datas será publicado em 04/04/16. Aguradando Recurso"/>
    <s v="RTI"/>
    <s v="Mariana"/>
    <m/>
    <s v="Desenvolvimento/Execução"/>
    <m/>
    <m/>
    <m/>
    <m/>
    <s v="Sim"/>
  </r>
  <r>
    <s v="CTXSPOAP407-15966 "/>
    <s v="Pacotes de Internet "/>
    <s v="Acre"/>
    <s v="Plano Recuperação"/>
    <s v="Claro"/>
    <x v="1"/>
    <x v="2"/>
    <s v="Fernanda Nazário"/>
    <s v="RTI"/>
    <d v="2016-03-11T00:00:00"/>
    <n v="34"/>
    <d v="2016-03-24T00:00:00"/>
    <m/>
    <s v="Sim"/>
    <m/>
    <m/>
    <s v="[12/04] - TO BE enviado para aprovação em 08/04/16; previsão de retorno em 12/04/16. Em desenvolvimento conforme datas reprogramadas._x000a_[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_x000a_[29/03] - Pendente de envio do desenho do processo por parte de Negócios. Foi solicitada a sala de guerra para esclarecimento de dúvidas, ainda a ser agendada. "/>
    <s v="Negócios"/>
    <s v="Fernanda Nazário"/>
    <s v="TDB"/>
    <s v="Desenvolvimento/Execução"/>
    <m/>
    <m/>
    <m/>
    <m/>
    <s v="Sim"/>
  </r>
  <r>
    <s v="CTXSPOAP407-15965"/>
    <s v="Agregadores e Serviços"/>
    <s v="Acre"/>
    <s v="Plano Recuperação"/>
    <s v="Claro"/>
    <x v="1"/>
    <x v="2"/>
    <s v="Fernanda Nazário"/>
    <s v="RTI"/>
    <d v="2016-03-11T00:00:00"/>
    <n v="34"/>
    <d v="2016-03-24T00:00:00"/>
    <m/>
    <s v="Sim"/>
    <m/>
    <m/>
    <s v="[11/04] TO BE ainda não validado pela operação; previsão 11/04/16. Em desenvolvimento conforme datas reprogramadas._x000a_[04/04] Aguardando validação do TO BE pela operação. Previsto para 04/04/16. Desenvolvimento em andamento e estendido devido à complexidade encontrada. Data de UAT precisa ser validada pela operação._x000a_[29/03] - Em desenvolvimento"/>
    <s v="Negócios"/>
    <s v="Fernanda Nazário"/>
    <s v="TDB"/>
    <s v="Desenvolvimento/Execução"/>
    <m/>
    <m/>
    <m/>
    <m/>
    <s v="Sim"/>
  </r>
  <r>
    <s v="CTXSPOAP407-15853"/>
    <s v=" Rede e Cobertura"/>
    <s v="Acre"/>
    <s v="Plano Recuperação"/>
    <s v="Claro"/>
    <x v="1"/>
    <x v="2"/>
    <s v="Fernanda Nazário"/>
    <s v="RTI"/>
    <d v="2016-03-11T00:00:00"/>
    <n v="34"/>
    <d v="2016-03-24T00:00:00"/>
    <m/>
    <s v="Sim"/>
    <m/>
    <m/>
    <s v="[11/04] Data de TO BE replanejada devido ao atraso na entrega e validação dos TO BEs das outras demandas de Claro. Novo prazo 27/4._x000a_[04/04] Replanejamento de datas devido à disponibilidade de recursos. Aguardando recurso para iniciar. _x000a_[29/03] - Em fase de desenho de solução. _x000a_Previsão de datas será publicado em 04/04/16. Aguradando Recurso"/>
    <s v="RTI"/>
    <s v="Mariana"/>
    <d v="2016-04-27T00:00:00"/>
    <s v="Desenvolvimento/Execução"/>
    <m/>
    <m/>
    <m/>
    <m/>
    <s v="Sim"/>
  </r>
  <r>
    <s v="CTXRJOMA-78594"/>
    <s v="Projeto Monitoria de Call Center Oi "/>
    <m/>
    <s v="Operações que não estão no Plano de Recuperação"/>
    <s v="Oi"/>
    <x v="1"/>
    <x v="8"/>
    <m/>
    <m/>
    <d v="2016-02-26T00:00:00"/>
    <n v="48"/>
    <d v="2016-03-30T00:00:00"/>
    <m/>
    <m/>
    <m/>
    <m/>
    <s v="12/04: Projeto está na fase de entendimento entre  Lustosa e Marcel/Fabio, pois as infomações solicitadas na EF já são disponobilizadas para a Oi através do RTI._x000a_05/04: Projeto alocado na fila dos executores em 01/04._x000a_30/03 - A iniciar"/>
    <s v="Negócio"/>
    <s v="Lustosa/Marcel e Fabio Prazeres"/>
    <s v="TBD"/>
    <s v="Análise"/>
    <m/>
    <m/>
    <m/>
    <m/>
    <s v="Não"/>
  </r>
  <r>
    <s v="CTXSPOBF-125921"/>
    <s v="Projeto - Instalação do Tsupervisor na Operação Santander nos Sites Antártica e Mackenzie"/>
    <s v="Antártica/SP_x000a_Mackenzie/RJ"/>
    <s v="Plano Recuperação"/>
    <s v="Santander"/>
    <x v="3"/>
    <x v="8"/>
    <s v="Luciana Andrade"/>
    <s v="Desenvolvimento"/>
    <d v="2015-09-22T00:00:00"/>
    <n v="205"/>
    <d v="2016-03-30T00:00:00"/>
    <m/>
    <m/>
    <m/>
    <m/>
    <s v="12/04: Mesmo status. _x000a_04/04: Projeto em hold, pois a compra de licenças da Nice e a troca do Windows XP para a versão 8 são premissas para implantar o t-supervisor._x000a_30/03 - A iniciar"/>
    <s v="PMO Negócio"/>
    <s v="Luciana Mattos"/>
    <s v="TBD"/>
    <s v="Em Hold"/>
    <m/>
    <m/>
    <m/>
    <m/>
    <s v="Sim"/>
  </r>
  <r>
    <s v="CTXRECSA-466020"/>
    <s v="Projeto - &quot;VDSL na Sinergia&quot;"/>
    <m/>
    <s v="Operações que não estão no Plano de Recuperação"/>
    <s v="Oi"/>
    <x v="6"/>
    <x v="8"/>
    <s v="Jill Ortiz"/>
    <s v="Outro"/>
    <d v="2016-02-25T00:00:00"/>
    <n v="49"/>
    <d v="2016-03-30T00:00:00"/>
    <m/>
    <m/>
    <m/>
    <m/>
    <s v="12/04: Aguardando DA do cliente para seguir com a alteração da URA. _x000a_05/04: Cotação do valor para a alteração da freseologia da URA R$1250,00. Aguarda proposta formal da Avaya._x000a_30/03 - A iniciar"/>
    <s v="Negócio"/>
    <s v="Jill Ortiz"/>
    <s v="TBD"/>
    <s v="Em andamento"/>
    <m/>
    <m/>
    <m/>
    <m/>
    <s v="Não"/>
  </r>
  <r>
    <s v="CTXFORBM-361881 "/>
    <s v="Projeto - Gravação de chamadas Oi Total - BTCC"/>
    <s v="Borges de Melo/CE"/>
    <s v="Operações que não estão no Plano de Recuperação"/>
    <s v="Oi"/>
    <x v="3"/>
    <x v="8"/>
    <s v="Lucas Ribeiro"/>
    <s v="Outro"/>
    <d v="2016-03-01T00:00:00"/>
    <n v="44"/>
    <d v="2016-03-30T00:00:00"/>
    <m/>
    <m/>
    <m/>
    <m/>
    <s v="04/04: Realizado entendimento do projeto junto ao solicitante e alocado na fila dos executores em 01/04._x000a_30/03 - A iniciar"/>
    <s v="PMO TI"/>
    <s v="Débora Gercke"/>
    <s v="TBD"/>
    <s v="Análise"/>
    <m/>
    <m/>
    <m/>
    <m/>
    <s v="Não"/>
  </r>
  <r>
    <s v="CTXSPOAL-110390"/>
    <s v="PROJETO - ARQUITETURA LINK TAM (ALMAVIVA)"/>
    <s v="Alegria/SP"/>
    <s v="Operações que não estão no Plano de Recuperação"/>
    <s v="América Móvil"/>
    <x v="2"/>
    <x v="1"/>
    <s v="Cleonice"/>
    <s v="Outro"/>
    <d v="2016-03-15T00:00:00"/>
    <n v="30"/>
    <d v="2016-03-30T00:00:00"/>
    <m/>
    <m/>
    <m/>
    <m/>
    <s v="[12/04] - Projeto direcionado para  fila de Engenharia TI, previsão de conclusão da analise tecnica em 04/05._x000a__x000a_[04/04] - Projeto direcionado para avaliação tecnica da equipe de Engenharia. Expectativa de retorno com  Alocação de Recurso tecnico para  avaliação e tratativa da solicitação - 06/04_x000a__x000a_30/03 - A iniciar"/>
    <s v="ENG"/>
    <s v="Antonio/Rafael"/>
    <m/>
    <s v="Desenho Solução"/>
    <m/>
    <m/>
    <m/>
    <m/>
    <s v="Não"/>
  </r>
  <r>
    <s v="CTXSPOAL-96495"/>
    <s v="Projeto - Precificação de novo hardware para servidor de banco de dados"/>
    <s v="São Cristóvão"/>
    <s v="Plano Recuperação"/>
    <s v="BB Maphre"/>
    <x v="3"/>
    <x v="1"/>
    <s v="José Pedro"/>
    <s v="Outro"/>
    <d v="2015-10-20T00:00:00"/>
    <n v="177"/>
    <d v="2016-03-30T00:00:00"/>
    <m/>
    <m/>
    <m/>
    <m/>
    <s v="[12/04] -  Avaliação tecnica realizada pela Equipe Engenharia. Foram recomendadas melhorias como Criação de indices para as tabelas, Alarmes criticos de Storage e Back up, e posteriormente avaliar a performance da máquina._x000a_Projeto direcionado para Avaliação equipe Execução._x000a__x000a_[04/04] - Projeto direcionado para avaliação tecnica da equipe de Arquitetura. Expectativa de retorno com  Alocação de Recurso tecnico para  avaliação e tratativa da solicitação - 06/04_x000a__x000a_30/03 - A iniciar"/>
    <s v="ENG/CSE"/>
    <s v="LW"/>
    <m/>
    <s v="Desenho Solução"/>
    <m/>
    <m/>
    <m/>
    <m/>
    <s v="Sim"/>
  </r>
  <r>
    <s v="CTXSPOBF-140238"/>
    <s v="Projeto - Substituição do Sistema Operacional das máquinas de Back Office e Supervisores"/>
    <m/>
    <s v="Operações que não estão no Plano de Recuperação"/>
    <s v="Santander"/>
    <x v="2"/>
    <x v="1"/>
    <s v="George Dimitrov"/>
    <s v="Upgrade de Tecnologia"/>
    <d v="2016-03-21T00:00:00"/>
    <n v="24"/>
    <d v="2016-03-30T00:00:00"/>
    <m/>
    <m/>
    <m/>
    <m/>
    <s v="[12/04] - Aguardando conclusão da avaliação tecnica no Projeto CTXSPOBF-138261_x000a_Em paralelo, foi realizado mapeamento de modelo de máquinas no site Antartica e Mck, e encaminhado para analise de Gestão de ativos , para avaliar se será necessário aquisição de licenças W8, para esse Upgrade. _x000a__x000a_[04/04] - Aguardando analise técnica do projeto CTXSPOBF-138261 - Atualização da Versão do Nice compatível com Windows 8.1,para darmos prosseguimento com essa solicitação. _x000a_Em paralelo, realizar consulta Gestão Ativos. (disponibilidade Licenças ). _x000a__x000a_ 30/03 - A iniciar"/>
    <s v="Gestão de Ativos"/>
    <s v="Marcelo Cardoso"/>
    <m/>
    <s v="Na Fila"/>
    <m/>
    <m/>
    <m/>
    <m/>
    <s v="Não"/>
  </r>
  <r>
    <s v="CTXSPOBF-138261"/>
    <s v="Projeto - Atualizar ferramenta Nice para Nova versão, compatível com Windows 8.1"/>
    <s v="Antártica/SP_x000a_Mackenzie/RJ"/>
    <s v="Operações que não estão no Plano de Recuperação"/>
    <s v="Santander"/>
    <x v="1"/>
    <x v="1"/>
    <s v="George Dimitrov"/>
    <s v="Upgrade de Tecnologia"/>
    <d v="2016-02-29T00:00:00"/>
    <n v="45"/>
    <d v="2016-03-30T00:00:00"/>
    <m/>
    <m/>
    <m/>
    <m/>
    <s v="[12/04] - Em fase de Analise tecnica pela equipe de Engenharia . Conclusão prevista para 31/05._x000a__x000a_[04/04] - Projeto direcionado para avaliação tecnica da equipe de Engenharia. Expectativa de retorno com  Alocação de Recurso tecnico para  avaliação e tratativa da solicitação - 06/04_x000a__x000a_30/03 - A iniciar"/>
    <s v="ENG"/>
    <s v="Rafael Speglis"/>
    <d v="2016-05-31T00:00:00"/>
    <s v="Desenho Solução"/>
    <m/>
    <m/>
    <m/>
    <m/>
    <s v="Não"/>
  </r>
  <r>
    <s v="CTXFORBM-362407"/>
    <s v="Projeto - Implantação do NBA + APC para os Propensos OCT e PÒS"/>
    <s v="Nascente"/>
    <s v="Operações que não estão no Plano de Recuperação"/>
    <s v="Oi"/>
    <x v="3"/>
    <x v="3"/>
    <s v="Lisandra"/>
    <s v="Desenvolvimento"/>
    <d v="2016-03-02T00:00:00"/>
    <n v="43"/>
    <d v="2016-03-30T00:00:00"/>
    <m/>
    <m/>
    <m/>
    <m/>
    <s v="Edison Nei Siqueira added a comment - 12/Abr/16 18:00_x000a_Demanda na fila de engenharia com previsão de conclusão de analise para o dia 20/04._x000a__x000a_Edison Nei Siqueira added a comment - 05/Abr/16 17:21_x000a_Demanda inserida no pipe de engenharia e aplicações, previsão de retorno com o recurso que vai realizar a analise para o dia 06/04._x000a__x000a_30/03 - A iniciar"/>
    <m/>
    <m/>
    <m/>
    <s v="Na Fila"/>
    <m/>
    <m/>
    <m/>
    <m/>
    <s v="Não"/>
  </r>
  <r>
    <s v="CTXFORBM-356683"/>
    <s v="Projeto - Novo Mailing TLV Ativo de Portabilidade Móvel"/>
    <s v="CE - Site Borges de Melo"/>
    <s v="Operações que não estão no Plano de Recuperação"/>
    <s v="Oi"/>
    <x v="1"/>
    <x v="4"/>
    <s v="Cristiano Melo"/>
    <s v="Desenvolvimento"/>
    <d v="2016-02-12T00:00:00"/>
    <n v="62"/>
    <d v="2016-03-30T00:00:00"/>
    <m/>
    <m/>
    <m/>
    <m/>
    <s v="12/04 - Delegado a Engenharia Telecom - Antonio, prazo amanhã 13/04_x000a__x000a_04/04 - Em análise_x000a__x000a_30/03 - A iniciar"/>
    <s v="Engenharia Telecom / CSE"/>
    <s v="Antonio / LW"/>
    <s v="TBD"/>
    <s v="Na Fila"/>
    <m/>
    <m/>
    <m/>
    <m/>
    <s v="Não"/>
  </r>
  <r>
    <s v="CTXNITSP-172611"/>
    <s v="Projeto - Alteração da regra de carga do Mailing no TLV (SAV ENTREGA)"/>
    <s v="RJ - Site Niterói"/>
    <s v="Operações que não estão no Plano de Recuperação"/>
    <s v="Oi"/>
    <x v="1"/>
    <x v="4"/>
    <s v="Leonardo Pellegrini"/>
    <s v="Desenvolvimento"/>
    <d v="2015-11-09T00:00:00"/>
    <n v="157"/>
    <d v="2016-03-30T00:00:00"/>
    <m/>
    <m/>
    <m/>
    <m/>
    <s v="12/04 - Delegado a Engenharia Telecom - Antonio, prazo amanhã 13/04_x000a__x000a_04/04 - Em análise_x000a__x000a_30/03 - A iniciar"/>
    <s v="Engenharia Telecom / CSE"/>
    <s v="Antonio / LW"/>
    <s v="TBD"/>
    <s v="Na Fila"/>
    <m/>
    <m/>
    <m/>
    <m/>
    <s v="Não"/>
  </r>
  <r>
    <s v="CTXRECSA-475954"/>
    <s v="Configuração PA´s Madrugada. "/>
    <s v="Santo Amaro/PE"/>
    <s v="S&amp;OP"/>
    <s v="Oi"/>
    <x v="7"/>
    <x v="5"/>
    <s v="Jonas Divino"/>
    <s v="Crescimento/Expansão/Migração"/>
    <d v="2016-03-25T00:00:00"/>
    <n v="20"/>
    <d v="2016-03-29T00:00:00"/>
    <m/>
    <m/>
    <m/>
    <m/>
    <s v="13/04 - Aguardando posicionamento da equipe de negócios. Realizamos as configurações, testamos e está tudo OK._x000a_06/04 - Aguardando envio de login Citrix para realizarmos testes e intervenção para adequação dos sistemas_x000a_30/03 - Projeto recebido por TI em 29/03 para implantação no dia 01/04.  Site já foi acionado para análise. Aguardando retorno até o dia de hoje"/>
    <s v="Negócios"/>
    <s v="Jonas Divino"/>
    <s v="N/A"/>
    <s v="Análise"/>
    <m/>
    <m/>
    <m/>
    <m/>
    <s v="Sim"/>
  </r>
  <r>
    <s v="CTXSPOAL-110826"/>
    <s v="Projeto - Substituir sistema de telefonia da operação Intermédica"/>
    <s v="Alegria/SP"/>
    <s v="Operações que não estão no Plano de Recuperação"/>
    <s v="Clientes Especiais"/>
    <x v="2"/>
    <x v="0"/>
    <s v="Rogério Luiz"/>
    <s v="Upgrade de Tecnologia"/>
    <d v="2016-03-18T00:00:00"/>
    <n v="27"/>
    <d v="2016-03-30T00:00:00"/>
    <m/>
    <m/>
    <m/>
    <m/>
    <s v="30/03 - A iniciar"/>
    <m/>
    <m/>
    <m/>
    <s v="Na Fila"/>
    <m/>
    <m/>
    <m/>
    <m/>
    <s v="Não"/>
  </r>
  <r>
    <s v="CTXRECSA-476612"/>
    <s v="Item Base do CLICK_CRV"/>
    <s v="PE - Site Santo Amaro"/>
    <s v="Operações que não estão no Plano de Recuperação"/>
    <s v="Oi"/>
    <x v="1"/>
    <x v="4"/>
    <s v="Luciana Andrade"/>
    <s v="Desenvolvimento"/>
    <d v="2016-03-28T00:00:00"/>
    <n v="17"/>
    <d v="2016-04-01T00:00:00"/>
    <m/>
    <m/>
    <m/>
    <m/>
    <s v="12/04 - Demanda já priorizada e sendo analisada a EF. _x000a__x000a_05/04: Projeto alocado na fila dos executores em 01/04._x000a_01/04 - A iniciar"/>
    <s v="PMO TI"/>
    <s v="Débora Gercke"/>
    <s v="TBD"/>
    <s v="Análise"/>
    <m/>
    <m/>
    <m/>
    <m/>
    <s v="Não"/>
  </r>
  <r>
    <s v="CTXRECSA-472258"/>
    <s v="Projeto - &quot;SMS no Masssivo&quot;"/>
    <m/>
    <s v="Operações que não estão no Plano de Recuperação"/>
    <s v="Oi"/>
    <x v="1"/>
    <x v="8"/>
    <s v="Jill Ortiz"/>
    <s v="Desenvolvimento"/>
    <d v="2016-03-11T00:00:00"/>
    <n v="34"/>
    <d v="2016-04-01T00:00:00"/>
    <m/>
    <m/>
    <m/>
    <m/>
    <s v="12/04 - A iniciar_x000a_04/04 - A iniciar"/>
    <s v="PMO TI"/>
    <s v="Débora Gercke"/>
    <s v="TBD"/>
    <s v="Análise"/>
    <m/>
    <m/>
    <m/>
    <m/>
    <s v="Não"/>
  </r>
  <r>
    <s v="CTXSPOAL-111810"/>
    <s v="Projeto Customer Care Volkswagen - Fase II"/>
    <s v="Alegria/SP"/>
    <s v="Operações que não estão no Plano de Recuperação"/>
    <s v="Santander"/>
    <x v="3"/>
    <x v="7"/>
    <s v="Priscila"/>
    <s v="Outro"/>
    <d v="2016-03-29T00:00:00"/>
    <n v="16"/>
    <d v="2016-04-01T00:00:00"/>
    <m/>
    <m/>
    <m/>
    <m/>
    <s v="12/04 - VW solicita reunião para 20/04. Buscando recursos._x000a_05/04 - Agendado kickoff para 06/04._x000a_01/04 - A iniciar"/>
    <m/>
    <m/>
    <m/>
    <s v="Na Fila"/>
    <m/>
    <m/>
    <m/>
    <m/>
    <s v="Não"/>
  </r>
  <r>
    <s v="CTXFORBM-371834"/>
    <s v="Crescimento Retenção Oi Controle 41 PA´s Borges de Melo "/>
    <s v="Borges de Melo/Ce"/>
    <s v="S&amp;OP"/>
    <s v="Oi"/>
    <x v="7"/>
    <x v="5"/>
    <s v="Jonas Divino"/>
    <s v="Crescimento/Expansão/Migração"/>
    <d v="2016-03-31T00:00:00"/>
    <n v="14"/>
    <d v="2016-03-31T00:00:00"/>
    <m/>
    <m/>
    <m/>
    <m/>
    <s v="13/04 - Projeto concluído. Aguardando de acordo da equipe de negócio_x000a_01/04 - Projeto incluído nas filas de Eng, CSE e APP para analise"/>
    <m/>
    <m/>
    <m/>
    <s v="Análise"/>
    <m/>
    <m/>
    <m/>
    <m/>
    <s v="Sim"/>
  </r>
  <r>
    <s v="CTXSPOBF-129499"/>
    <s v="Transbordo de Ligações de RCI para Paschoalotto (Bauru)"/>
    <m/>
    <s v="Operações que não estão no Plano de Recuperação"/>
    <s v="Santander"/>
    <x v="6"/>
    <x v="5"/>
    <s v="George Dimitrov"/>
    <s v="Outro"/>
    <d v="2015-11-13T00:00:00"/>
    <n v="153"/>
    <d v="2016-01-13T00:00:00"/>
    <m/>
    <m/>
    <m/>
    <m/>
    <s v="12/04 - Mesmo status_x000a_06/04 - Mesmo status_x000a_01/04 - Aguardando aceite da proposta pelo Santander"/>
    <s v="Cliente"/>
    <s v="Santander"/>
    <s v="N/A"/>
    <s v="Análise"/>
    <m/>
    <m/>
    <m/>
    <m/>
    <s v="Não"/>
  </r>
  <r>
    <s v="CTXSPOBF-139773"/>
    <s v="Projeto - Demanda Fraseologias - autocompara"/>
    <m/>
    <s v="Operações que não estão no Plano de Recuperação"/>
    <s v="Santander"/>
    <x v="6"/>
    <x v="5"/>
    <s v="George Dimitrov"/>
    <s v="Outro"/>
    <d v="2016-03-15T00:00:00"/>
    <n v="30"/>
    <d v="2016-03-15T00:00:00"/>
    <m/>
    <m/>
    <m/>
    <m/>
    <s v="12/04 - Mesmo status_x000a_06/04 - Mesmo status_x000a_01/04 - Proposta enviada. Aguardando aceite do solicitante"/>
    <s v="Cliente"/>
    <s v="Santander"/>
    <s v="N/A"/>
    <s v="Análise"/>
    <m/>
    <m/>
    <m/>
    <m/>
    <s v="Não"/>
  </r>
  <r>
    <s v="CTXSPOBF-130195"/>
    <s v="Parametro URA - STD Fin"/>
    <m/>
    <s v="Operações que não estão no Plano de Recuperação"/>
    <s v="Santander"/>
    <x v="6"/>
    <x v="5"/>
    <s v="George Dimitrov"/>
    <s v="Outro"/>
    <d v="2015-11-25T00:00:00"/>
    <n v="141"/>
    <d v="2016-12-01T00:00:00"/>
    <m/>
    <m/>
    <m/>
    <m/>
    <s v="12/04 - Mesmo status_x000a_06/04 - Mesmo status_x000a_01/04 - Aguardando aceite da proposta pelo Santander"/>
    <s v="Cliente"/>
    <s v="Santander"/>
    <s v="N/A"/>
    <s v="Análise"/>
    <m/>
    <m/>
    <m/>
    <m/>
    <s v="Não"/>
  </r>
  <r>
    <s v="CTXRECSA-480469"/>
    <s v="Projeto - &quot;Crescimento de 20 PAs Santander Cartões&quot;"/>
    <s v="Santo Amaro/PE"/>
    <s v="S&amp;OP"/>
    <s v="Santander"/>
    <x v="7"/>
    <x v="5"/>
    <s v="Cristina Rey"/>
    <s v="Crescimento/Expansão/Migração"/>
    <d v="2016-04-05T00:00:00"/>
    <n v="9"/>
    <d v="2016-04-05T00:00:00"/>
    <m/>
    <m/>
    <m/>
    <m/>
    <s v="13/04 - Projeto incluído na fila dos executores. Necessidade de heads, mouses e teclados já identificadas e em contato com controle de ativos para envio ao site._x000a_Verificando as licenças com a equipe de ENG e CSE para esse projeto._x000a_Equipe do site já ciente do projeto_x000a_06/04 - Em análise"/>
    <m/>
    <m/>
    <m/>
    <s v="Análise"/>
    <m/>
    <m/>
    <m/>
    <m/>
    <s v="Sim"/>
  </r>
  <r>
    <s v="CTXSPOBF-141219"/>
    <s v="Projeto - Aplicação/URA Transbordo Contax -&gt; URA Autocompara (4004-4495)"/>
    <s v="Antártica/SP"/>
    <s v="Operações que não estão no Plano de Recuperação"/>
    <s v="Santander"/>
    <x v="6"/>
    <x v="5"/>
    <s v="George Dimitrov"/>
    <s v="Outro"/>
    <d v="2016-04-01T00:00:00"/>
    <n v="13"/>
    <d v="2016-04-06T00:00:00"/>
    <m/>
    <m/>
    <m/>
    <m/>
    <s v="06/04 - Aguardando proposta comercial"/>
    <s v="Fornecedor"/>
    <s v="ISYS"/>
    <s v="N/A"/>
    <s v="Análise"/>
    <m/>
    <m/>
    <m/>
    <m/>
    <s v="Não"/>
  </r>
  <r>
    <s v="CTXSPOBF-141470"/>
    <s v="Projeto - Aplicação/URA - Opção Não ClienteNova Fraseologia"/>
    <s v="Antártica/SP"/>
    <s v="Operações que não estão no Plano de Recuperação"/>
    <s v="Santander"/>
    <x v="6"/>
    <x v="5"/>
    <s v="George Dimitrov"/>
    <s v="Outro"/>
    <d v="2016-04-06T00:00:00"/>
    <n v="8"/>
    <d v="2016-04-06T00:00:00"/>
    <m/>
    <m/>
    <m/>
    <m/>
    <s v="06/04 - Aguardando proposta comercial"/>
    <s v="Fornecedor"/>
    <s v="ISYS"/>
    <s v="N/A"/>
    <s v="Análise"/>
    <m/>
    <m/>
    <m/>
    <m/>
    <s v="Não"/>
  </r>
  <r>
    <s v="CTXSALSM-89880"/>
    <s v="Implantação Front Fácil  TLV Residencial "/>
    <m/>
    <s v="Plano Recuperação"/>
    <s v="Oi"/>
    <x v="1"/>
    <x v="8"/>
    <s v="Luciana Andrade"/>
    <s v="Desenvolvimento"/>
    <d v="2016-04-06T00:00:00"/>
    <n v="8"/>
    <d v="2016-04-08T00:00:00"/>
    <m/>
    <m/>
    <m/>
    <m/>
    <s v="08/04 - A iniciar"/>
    <s v="PMO TI"/>
    <s v="Débora Gercke"/>
    <s v="TBD"/>
    <s v="Na Fila"/>
    <m/>
    <m/>
    <m/>
    <m/>
    <s v="Sim"/>
  </r>
  <r>
    <s v="CTXNITSP-181582"/>
    <s v="Front SAC – TLV "/>
    <m/>
    <s v="Plano Recuperação"/>
    <s v="Oi"/>
    <x v="1"/>
    <x v="8"/>
    <s v="Luciana Andrade"/>
    <s v="Desenvolvimento"/>
    <d v="2016-04-06T00:00:00"/>
    <n v="8"/>
    <d v="2016-04-08T00:00:00"/>
    <m/>
    <m/>
    <m/>
    <m/>
    <s v="08/04 - A iniciar"/>
    <s v="PMO TI"/>
    <s v="Débora Gercke"/>
    <s v="TBD"/>
    <s v="Na Fila"/>
    <m/>
    <m/>
    <m/>
    <m/>
    <s v="Sim"/>
  </r>
  <r>
    <s v="CTXNITSP-181834"/>
    <s v="Front BO- TLV "/>
    <m/>
    <s v="Plano Recuperação"/>
    <s v="Oi"/>
    <x v="1"/>
    <x v="8"/>
    <s v="Luciana Andrade"/>
    <s v="Desenvolvimento"/>
    <d v="2016-04-06T00:00:00"/>
    <n v="8"/>
    <d v="2016-04-08T00:00:00"/>
    <m/>
    <m/>
    <m/>
    <m/>
    <s v="08/04 - A iniciar"/>
    <s v="PMO TI"/>
    <s v="Débora Gercke"/>
    <s v="TBD"/>
    <s v="Na Fila"/>
    <m/>
    <m/>
    <m/>
    <m/>
    <s v="Sim"/>
  </r>
  <r>
    <s v="CTXRECSA-472184"/>
    <s v="Instalação do Google Chrome (Site PV INOVA - CO e CRV)"/>
    <m/>
    <s v="Operações que não estão no Plano de Recuperação"/>
    <s v="Oi"/>
    <x v="3"/>
    <x v="5"/>
    <s v="Jill Ortiz"/>
    <s v="Outro"/>
    <d v="2016-04-06T00:00:00"/>
    <n v="8"/>
    <d v="2016-04-08T00:00:00"/>
    <m/>
    <m/>
    <m/>
    <m/>
    <s v="08/04 - A iniciar"/>
    <m/>
    <m/>
    <m/>
    <s v="Na Fila"/>
    <m/>
    <m/>
    <m/>
    <m/>
    <s v="Não"/>
  </r>
  <r>
    <s v="CTXNITSP-177717"/>
    <s v="Projeto - Gravação do BO DADOS e BO NBA - 24 pas"/>
    <s v="RJ - Site Niterói"/>
    <s v="Operações que não estão no Plano de Recuperação"/>
    <s v="Oi"/>
    <x v="3"/>
    <x v="4"/>
    <s v="Rodrigo Ribeiro"/>
    <s v="Desenvolvimento"/>
    <d v="2016-04-06T00:00:00"/>
    <n v="8"/>
    <d v="2016-04-08T00:00:00"/>
    <m/>
    <m/>
    <m/>
    <m/>
    <s v="12/04 - Enviado para Engenharia TI - E-mail de Inclusão de 15/04._x000a_Verificação de licenças Nice e Aquisição de SWIT POE 48 portas_x000a__x000a_08/04 - A iniciar"/>
    <s v="Engenharia Redes e Telecom / CSE"/>
    <s v="Equipe Vila "/>
    <s v="TBD"/>
    <s v="Na Fila"/>
    <m/>
    <m/>
    <m/>
    <m/>
    <s v="Não"/>
  </r>
  <r>
    <s v="CTXNITSP-178203"/>
    <s v="Projeto - Instalar uma ferramenta que seja capaz de gravar chamadas de voz e telas de atendimento. _x000a_"/>
    <s v="RJ - Site Niterói"/>
    <s v="Operações que não estão no Plano de Recuperação"/>
    <s v="Oi"/>
    <x v="1"/>
    <x v="4"/>
    <s v="Rodrigo Ribeiro"/>
    <s v="Desenvolvimento"/>
    <d v="2016-04-06T00:00:00"/>
    <n v="8"/>
    <d v="2016-04-08T00:00:00"/>
    <m/>
    <m/>
    <m/>
    <m/>
    <s v="12/04 - Enviado para Aplicações TI  -  E-mail de Inclusão de 15/04._x000a_Verificação de um sistema capaz de gravar chamadas de voz e telas de atendimento e se possível tenha integração com Tlv By Contax. _x000a_-----------------------------------------------------------------_x000a_Operações: CRV _x000a_Site: NIterói _x000a_Rede: Contax-br _x000a_DAC:Niterói _x000a_08/04 - A iniciar"/>
    <s v="Aplicações TI"/>
    <s v="Cris Sasaki"/>
    <s v="TBD"/>
    <s v="Na Fila"/>
    <m/>
    <m/>
    <m/>
    <m/>
    <s v="Não"/>
  </r>
  <r>
    <s v="CTXSALSM-89607"/>
    <s v="Integração direct Call x Avaya"/>
    <m/>
    <s v="Operações que não estão no Plano de Recuperação"/>
    <s v="Oi"/>
    <x v="10"/>
    <x v="8"/>
    <s v="Cristiane Kuzuhara"/>
    <m/>
    <d v="2016-04-06T00:00:00"/>
    <n v="8"/>
    <d v="2016-04-08T00:00:00"/>
    <m/>
    <m/>
    <m/>
    <m/>
    <s v="08/04 - A iniciar"/>
    <s v="PMO TI"/>
    <s v="Débora Gercke"/>
    <s v="TBD"/>
    <s v="Na Fila"/>
    <m/>
    <m/>
    <m/>
    <m/>
    <s v="Não"/>
  </r>
  <r>
    <s v="CTXSALSM-88005"/>
    <s v="Piloto Ferramenta CTC"/>
    <m/>
    <s v="Operações que não estão no Plano de Recuperação"/>
    <s v="Oi"/>
    <x v="10"/>
    <x v="8"/>
    <s v="Cristiane Kuzuhara"/>
    <m/>
    <d v="2016-04-06T00:00:00"/>
    <n v="8"/>
    <d v="2016-04-08T00:00:00"/>
    <m/>
    <m/>
    <m/>
    <m/>
    <s v="08/04 - A iniciar"/>
    <s v="PMO TI"/>
    <s v="Débora Gercke"/>
    <s v="TBD"/>
    <s v="Na Fila"/>
    <m/>
    <m/>
    <m/>
    <m/>
    <s v="Não"/>
  </r>
  <r>
    <s v="CTXMLTREG-6041"/>
    <s v="Projeto - Migração das URAs de Cadastro para o IPCC/NGR"/>
    <m/>
    <s v="Operações que não estão no Plano de Recuperação"/>
    <s v="Oi"/>
    <x v="6"/>
    <x v="7"/>
    <m/>
    <s v="Outro"/>
    <d v="2016-04-11T00:00:00"/>
    <n v="3"/>
    <d v="2016-04-11T00:00:00"/>
    <m/>
    <m/>
    <m/>
    <m/>
    <s v="11/04 - A iniciar"/>
    <m/>
    <m/>
    <m/>
    <s v="Na Fila"/>
    <m/>
    <m/>
    <m/>
    <m/>
    <s v="Não"/>
  </r>
  <r>
    <s v="CTXSPOBF-137613"/>
    <s v="Fraseologia Detalhamento da Divida - URA CONTAX"/>
    <m/>
    <s v="Operações que não estão no Plano de Recuperação"/>
    <s v="Santander"/>
    <x v="6"/>
    <x v="5"/>
    <m/>
    <m/>
    <d v="2016-04-06T00:00:00"/>
    <n v="8"/>
    <d v="2016-04-08T00:00:00"/>
    <m/>
    <m/>
    <m/>
    <m/>
    <s v="01/04 - Solicitada proposta ao fornecedor. Aguardando envio"/>
    <m/>
    <m/>
    <m/>
    <s v="Análise"/>
    <m/>
    <m/>
    <m/>
    <m/>
    <m/>
  </r>
  <r>
    <s v="CTXSALPB-47935"/>
    <s v="Projeto - Crescimento Rentabilização"/>
    <m/>
    <s v="S&amp;OP"/>
    <s v="Oi"/>
    <x v="7"/>
    <x v="3"/>
    <m/>
    <s v="Crescimento/Expansão/Migração"/>
    <d v="2015-11-25T00:00:00"/>
    <n v="141"/>
    <d v="2016-02-02T00:00:00"/>
    <m/>
    <m/>
    <m/>
    <m/>
    <s v="Edison Nei Siqueira added a comment - 02/Fev/16 10:12 _x000a_Aguardando validação do arquivo de retorno para concluir a demanda. "/>
    <m/>
    <m/>
    <m/>
    <s v="Homologação"/>
    <m/>
    <m/>
    <m/>
    <m/>
    <s v="Não"/>
  </r>
</pivotCacheRecords>
</file>

<file path=xl/pivotCache/pivotCacheRecords2.xml><?xml version="1.0" encoding="utf-8"?>
<pivotCacheRecords xmlns="http://schemas.openxmlformats.org/spreadsheetml/2006/main" xmlns:r="http://schemas.openxmlformats.org/officeDocument/2006/relationships" count="153">
  <r>
    <s v="CTXFORNA-25436"/>
    <s v="Implantar Front End e discador"/>
    <s v="Borges de Melo/Ce"/>
    <s v="Plano Recuperação"/>
    <x v="0"/>
    <s v="Noemia Ferro"/>
    <s v="Maurício Perez"/>
    <x v="0"/>
    <s v="José Pedro"/>
    <s v="Desenvolvimento"/>
    <d v="2015-08-18T00:00:00"/>
    <n v="261"/>
    <d v="2015-09-25T00:00:00"/>
    <x v="0"/>
    <d v="2016-05-06T00:00:00"/>
    <s v="TBD"/>
    <s v="Atrasado"/>
    <m/>
    <s v="04/05 - Tivemos algumas definições que impactaram o cronograma de desenvolvimento (Polo Aspect, outras demandas, etc). Novo cronograma em análise com previsão de elaboração até dia 06/05_x000a_26/04 - Aguardando Definição de qual polo aspect utilizar. Definição Corporativa. sem prazo. Rico alto de atraso. Desenvolvimento Parcial..._x000a_22/03 - Em Desenvolvimento...previsão de conclusão do desenvolvimento em Maio/2016;_x000a_15/03 - Recebemos o layout do arquivo raw, equipe de desenvolvimento irá analisar ate amanhã. Desenvolvimento continua...._x000a_01/03 - Foram disponibilizados os Servidores em 26/02. Estamos em fase de desenvolvimento. Evoluindo..._x000a_23/02 - Disponibilizanod os servidores de BD, APP e D-1, até dia 26/02. Em paralelo as confirgurações da aplicação;_x000a_16/02 - Fase 1 de Desenvolvimento concluida. fase 2 em andamento. Em paralelo estamos analisando o espaço de Oracle (servidor) para a aplicação, com data limite até dia 22/02;_x000a_10/02 - Realisando ajustes na topologia para iniciar atividades com CSE. Em Paralelo estamos iniciando as atividades com equipe de desenvolvimento;_x000a_02/02 - Avaliações entre as equipes de Telecom, Discadores e Plataforma;_x000a_26/01 - Equipe de Plataforma esta revendo espaço do Storage pata liberar À equipe de Desenvolvimento. Desenvolvimento em andamento;_x000a_20/01 - devido a necessidade de investimento para upo grade do storage, e os debitos junto a não renovação de contrato com a DELL., estamos buscando 'limpar' o storage atual para tentar assim disponibilizar espaço. Sem Previsão, sendo tratado por Nelsom Klaus._x000a_04/01 - Inicio de ENG em 04/01 e previsão de término em 15/01_x000a_25/11 - Cobrando disponibilização de Servidores para disponibilizar para desenvolvimentos. ainda sem data;_x000a_17/11 - Levantando insumos necessarios para desenvolvimento (servidor de desenvolvimento e Aplicação e BD);_x000a_03/11 - Aguardando avaliação da euiqpe do Rivaldo; sem previsão._x000a_27/10 - Conforme alinhado no ultima reunião de Up Data de Projetos, será avaliado pela equipe do Rivaldo a real necessidade dessa solicitação, se farão correções no By Contax ou outro FF. Ainda sem data;_x000a_Enviado posteriormente/ encaminhar para priorização"/>
    <x v="0"/>
    <s v="Camila Fermiano"/>
    <s v="N/A"/>
    <s v="Desenvolvimento/Execução"/>
    <m/>
    <n v="40"/>
  </r>
  <r>
    <s v="CTXSPOAP407-13150"/>
    <s v="2a.fase do TTV "/>
    <s v="Antártica"/>
    <s v="Plano Recuperação"/>
    <x v="1"/>
    <s v="Bruno Vasconcellos"/>
    <m/>
    <x v="0"/>
    <s v="Wagner Mattos"/>
    <s v="Desenvolvimento"/>
    <d v="2015-10-15T15:34:00"/>
    <n v="202.35138888889196"/>
    <d v="2015-08-01T00:00:00"/>
    <x v="0"/>
    <s v="TBD"/>
    <s v="TBD"/>
    <s v="Atrasado"/>
    <m/>
    <s v="04/05 - Mesmo status_x000a_26/04 - Aguardando proposta do Fornecedor que fará a intregraçãentre o TTV e posições da VIVO Fixa; sem previsão;_x000a_18/12 - Aguardando proposta do Fornecedor que fará a intregraçãentre o TTV e posições da VIVO Fixa; sem previsão;_x000a_25/11 - Aguardando proposta de terceiros para desenvolvimento de solução para capturar informações dos 8% de posições restantes (que utilizam InterGrall e Genesys do segmento da FIXA);_x000a_17/11 - TTV implantado em 92% das posiçoes da VIVO (Movel em 100%, fixa 82%, restando vizualizar 258 PAs que são Intergrall e 'Genesys' a definir estratégia);_x000a_03/11 - Realizando algumas configurações de SKILL junto as equipe de Planejamento, Avaya e NICE;_x000a_27/10 - Configurações finalizadas. em fase de homologação. No momento estamos aguardando as correções a serem realizadas pela equipe do Antonio Carlos - Planejamento VIVO, sem prazo informado;_x000a_20/10 - Periodo de configurações entre Contax e NICE. Previsão de conclusão das confgurações de TI, é 28/10;_x000a_06/10 - Aguardando emissão do PC para acionar a NICE, prazo para emissão até 08/10;_x000a_29/09 - Processo de Aprovação de SC e após, gerar pedidos;_x000a_29/09 - ja realizada aprovação do valor (U$34.794,54) em Comitê, sem data;_x000a_22/09 - Já temos a proposta da NICE, e estamos em processo de SC / Aprovações / PC. Após termos os pedido aguardaremos a disponibilização das licenças (em processo normal, o tempo é de até 60 dias, mas vamos trabalhar para ser disponibilizado o mais breve possivel;_x000a_16/09 - Estamos aguardando definição do Rivaldo Barbosa sobre a configuração e licenças da NICE para realizarmos testes (conf. Avaya já Ok desde 04/09). Milene ciente da necessidade de cobrar o Rivaldo._x000a_"/>
    <x v="0"/>
    <s v="Cristiane Sasaki"/>
    <s v="N/A"/>
    <s v="Desenvolvimento/Execução"/>
    <m/>
    <n v="258"/>
  </r>
  <r>
    <s v="CTXMTZPB-300"/>
    <s v="Migração de 02 servidores para o Azure (Nuvem)"/>
    <s v="DataCenter"/>
    <s v="BI Corporativo"/>
    <x v="2"/>
    <s v="Giuseppe"/>
    <s v="Mauricio Lustosa"/>
    <x v="1"/>
    <s v="Pedro Bazzarella"/>
    <s v="Implantação de PA (crescimento, migração ou nova operação)"/>
    <d v="2015-09-03T00:00:00"/>
    <n v="245"/>
    <d v="2015-10-07T00:00:00"/>
    <x v="0"/>
    <s v="TBD"/>
    <s v="TBD"/>
    <s v="Não existe data fechada"/>
    <m/>
    <s v="[03/05]Pendente entrega de Aplicações._x000a__x000a_[26/04]Respondido por time de aplicações que OG será entrege até 26/04._x000a__x000a_[19/04] - Projeto encaminhadopara analise tecnica equipe Adalto. (Recomendação (Koreeda e Rivaldo). Email Klaus._x000a_Retorno Aplicações previsto 26/04._x000a__x000a_[12/04] - Aguardando retorno do solicitante , se prosseguiremos como projeto, a partir das cotações apresentadas apara Upgrade._x000a__x000a_[05/04] - Mesmo status _x000a_[29/03] - Mesmo status.[22/03] mesmo status._x000a_Aguardando agenda do solicitante para call tecnico (redução cistos x risco ambiente ) _x000a__x000a_[15/03] - Aguardand o agenda do solicitante para call tecnico (redução cistos x risco ambiente ) ._x000a__x000a_[08/03] - Solicitante pediu revisão de solução ( possibilidade redução custos)._x000a__x000a_[29/02] - Custos encaminhados para analise do Solicitante._x000a__x000a_[23/02] - Aguardando retorno Engenharia._x000a__x000a_[16/02] -  Em  Processo de cotação de insumo de TI para upgrage servidores (em andamento por Engenharia)_x000a__x000a_[10/02] - Processo de cotação de insumo de TI para upgrage servidores está em andamento por Engenharia._x000a__x000a_03/02 -Projeto já Inserido na Fila Klaus. Estava sendo tratado diretamente entre Lustosa e Klaus_x000a__x000a_Status  atual: Equipe de Engenharia está fazendo a cotação de Insumos para Upgrade servidores._x000a__x000a_02/02 - Esclarecendo com Solicitante, pois nessa demanda solicita migração de 2 servidores sem contrato de suporte e alto risco falha, rodando faturamento, relatórios contratuais e informações de trafego do Itau, além sandbox. Projeto aberto Set/15;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08/Set/15 18:56 _x000a_Projeto encaminhado para a Fila de TI-ENG para Análise e estimativa. "/>
    <x v="1"/>
    <s v="Adalto"/>
    <s v="ND"/>
    <s v="Desenho Solução"/>
    <s v="ND"/>
    <s v="N/A"/>
  </r>
  <r>
    <s v="CTXMTZPB-510"/>
    <s v="Criação de ambiente de produção - MS Azure ( DATAZEN )"/>
    <s v="DataCenter"/>
    <s v="BI Corporativo"/>
    <x v="2"/>
    <s v="Giuseppe"/>
    <s v="Mauricio Lustosa"/>
    <x v="1"/>
    <s v="Pedro Bazzarella"/>
    <s v="Implantação de PA (crescimento, migração ou nova operação)"/>
    <d v="2015-09-22T00:00:00"/>
    <n v="226"/>
    <d v="2015-10-07T00:00:00"/>
    <x v="0"/>
    <s v="TBD"/>
    <s v="TBD"/>
    <s v="Não existe data fechada"/>
    <m/>
    <s v="[03/05] - Em andamento com Arquitetura TI (Eder) previsão de _x000a_05/05._x000a__x000a_[26/04] - Em andamento com Arquitetura TI (Eder) previsão de entrega em 29/04._x000a__x000a_[19/04] - Em andamento com Arquitetura TI (Eder) _x000a__x000a_[12/04] - Ações tecnicas em andamento, sendo alinhadas diretamente com solicitante x TI ._x000a__x000a_[05/04] - Ações tecnicas sendo alinhadas diretamente com solicitante ._x000a__x000a_[29/03] - Em andamento . Alinhamento direto entre Engenharia e equipe BI_x000a__x000a_[22/03] - BP aprovado. Fase de desenho solução com Engenharia e BI._x000a__x000a_[15/03] - Aguradando retorno do solicitante (Lustosa) com a aprovação do BP no Comitê._x000a__x000a_[08/03 ] - devido ao parecer tecnico no projeto CTXRJOMA-78762   Projeto - DATAZEN &quot;On Premises&quot;, Mauricio Lustosa seguirá  com a apresentação do BP no comitê._x000a__x000a_[29/02] - BP avaliadopor Engenharia. EM Hold, aguardando avaliação de uma nova proposta de solução utilizando servidores fisicos na Contax. Sendo desenhada em outro projeto._x000a__x000a_[23/02] - Aguardando retorno Engenharia._x000a__x000a_[16/02] -  BP avaliado por  TI e  uma segunda proposta para solução  ( on premises) enviada pelo Solicitante, sendo avaliada por Engenharia TI._x000a__x000a_[10/02] - Solução tecnica sendo avaliada pela Diretoria e Engenharia._x000a__x000a_03/02 - Escopo desse projeto já estava sendo tratado pela equipe do Klaus, direto com equipe Lustosa._x000a__x000a_Klaus havia sinalizado a necessidade do Lustosa apresentar BP para comitê. A discussão desse tema está no email anexo._x000a__x000a_Ação:  esclarecer com Koreeda, se seguiremos sem apresentação BP (email anexo) ._x000a_Trata-se de utilização de Créditos “ já pagos “ pela Contax, para implementação deste Projeto na Nuvem._x000a__x000a_02/02 - Esclarecendo com solicitante. Necessário aprovação de BP (resp. Lustosa), para continuidade do porjeto, por Engenharia.  (+/- US$ 6.682,92)_x000a_Necessário retomar a prioridade deste projeto com Engenharia._x000a_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24/Set/15 15:44 _x000a_Projeto encaminhado para a Fila de TI-ENG para iniciar a Análise e estimativa. "/>
    <x v="2"/>
    <s v="Pedro / Eder "/>
    <s v="ND"/>
    <s v="Desenvolvimento/Execução"/>
    <s v="ND"/>
    <s v="N/A"/>
  </r>
  <r>
    <s v="CTXRECSA-419337"/>
    <s v="Projetos bolha - TROCA DO WIN7 - a criação da estrutura do tsupervisor, o SMPA não funciona com Win 7."/>
    <s v="Cabula/Santo Amaro"/>
    <s v="Plano Recuperação"/>
    <x v="3"/>
    <s v="Ricardo Araújo"/>
    <s v="Celso Miranda"/>
    <x v="2"/>
    <s v="Marco Brandão"/>
    <s v="Desenvolvimento"/>
    <d v="2015-09-03T00:00:00"/>
    <n v="245"/>
    <d v="2015-09-25T00:00:00"/>
    <x v="1"/>
    <d v="2016-02-02T00:00:00"/>
    <s v="28/04/2016_x000a_TBD"/>
    <s v="Risco - O Banco ainda não aprovou a utilização do tSupervisor"/>
    <m/>
    <s v="[02/05] - Banco fez novamente questionamentos sobre a aplicação. Prazo de entrega 04/05_x000a_[25/04] - Mesmo status_x000a_[19/4] - Mesmo status_x000a_[12/4] - Aguardando aprovação do banco para a utilização do tSupervisor._x000a_[04/04] - Encaminhado ao banco as evidências de segurnaça do tSupervisor._x000a_[29/03] - Mesmo status_x000a_[22/03] - Mesmo status_x000a_[15/03] - Aguardando envio das evidências pela equipe de aplicações, Engenharia e site. _x000a_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_x000a_Aguardando apenas o de acordo para seguir com o projeto. Juliana 20/01_x000a_O banco informou que o De acordo leva em média 10 dias úteis e com este prazo não conseguiremos implantar o t-Supervisor. Ainda permancemos aguardando o De acordo do banco. Débora 23/11_x000a_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_x000a_Projeto previsto para ser concluído em 16/11. Estou aguardando um de acordo do banco para seguir com a execução do projeto. Débora 03/11_x000a_Projeto previsto para ser concluído em 16/11. Estou aguardando um de acordo do banco para seguir com a execução do projeto. Débora 27/10_x000a_Em levantamento com os executores a duração para configuração do t-Supervisor, pois é um pré-requisito para implantar o Win7 e ainda não foi definido um resposável por apresentar a solução ao banco. Débora 20/10._x000a_Ainda não foi definido um resposável por apresentar a solução ao banco. Débora 13/10._x000a_Demanda está em análise. O sistema tSupervisor será apresentado ao banco como uma solução alternativa ao SMPA que não é compatível com o win7. A equipe do Alexandre Morais está responsável por elaborar o material que será apresentado ao banco. Data TBD._x000a_[Fabiana 18/09] - BASE LINE ITAÚ (Windows 7) - Trata-se da análise do sistema T-Supervisor visto que nos testes realizados pelo Rosim há problemas de compatibilidade com o windows 7._x000a_"/>
    <x v="1"/>
    <s v="Marco Brandão"/>
    <s v="TDB"/>
    <s v="Análise "/>
    <d v="2016-04-28T00:00:00"/>
    <n v="3076"/>
  </r>
  <r>
    <s v="CTXRECSA-422212"/>
    <s v="Projetos bolha - CONTROLE DE ACESSO COM O PROTOCOLO 802.1x "/>
    <s v="Cabula/Santo Amaro"/>
    <s v="Plano Recuperação"/>
    <x v="3"/>
    <s v="Ricardo Araújo"/>
    <s v="Celso Miranda"/>
    <x v="2"/>
    <s v="Marco Brandão"/>
    <s v="Desenvolvimento"/>
    <d v="2015-09-14T00:00:00"/>
    <n v="234"/>
    <d v="2015-09-25T00:00:00"/>
    <x v="1"/>
    <d v="2016-02-02T00:00:00"/>
    <d v="2016-11-30T00:00:00"/>
    <s v="Sim"/>
    <m/>
    <s v="[02/05] - Gerado número do pedido. Aguardando o envio das licenças pelo fornecedor._x000a_[25/4] - Mesmo status_x000a_[19/4] - Mesmo status_x000a_[12/4] - Mesmo status_x000a_[4/4] - Mesmo Status_x000a_[29/03] Cotação com os fornecedores e aguardando geração de Pedido. _x000a_[22/03] - Mesmo status_x000a_[15/03] - Mesmo status_x000a_[08/03] - Aguardando geração de pedido                                                                                                                                                                                                                                                                            [29/02] - Aguardando aprovação da SC. _x000a_[22/02] - Aguardando abertura de SC                                                                                                                                                                                                                                                                                 [16/02] - Solicitado abertura de SC para contratação do fornecedor                                                                [10/02] Mesmo Status                                                                                                                                                                                                                                                                                                                [02/02] - No dia 28/01 foi solicitado a revisão da proposta do fornecedor, estamos aguardando para a criação de SC.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a migração do t-Supervisor, pois é um pré-requisito para a migração do win7. Débora 01/12_x000a_A solução sem custos não funcionou e será necessário a contratação de um fornecedor para executar este projeto. Proposta comercial em análise pelo Banco. Débora 23/11_x000a_A solução sem custos não funcionou e será necessário a contratação de um fornecedor para executar este projeto. Proposta comercial em análise pelo Banco. Débora 17/11_x000a_A solução sem custos não funcionou e será necessário a contratação de um fornecedor para executar este projeto. Proposta comercial em análise pelo Banco. Débora 10/11_x000a_A solução sem custos não funcionou e será necessário a contratação de um fornecedor para executar este projeto. Proposta comercial em análise pelo Banco. Débora 03/11_x000a_A solução sem custos não funcionou e será necessário a contratação de um fornecedor para executar este projeto. Proposta comercial em análise pelo Banco. Débora 27/10_x000a_O piloto está previsto para iniciar em 19/10 à 21/10 no site Mackenzie. Débora 13/10/15._x000a_O piloto está previsto para iniciar em 19/10 à 21/10 no site Mackenzie._x000a_Esse chamado se aplica ao site Santo Amaro. Débora 05/10/15_x000a_[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_x000a_Esse chamado se aplica ao site Santo Amaro."/>
    <x v="3"/>
    <m/>
    <s v="TDB"/>
    <s v="Em andamento"/>
    <d v="2016-11-30T00:00:00"/>
    <n v="3076"/>
  </r>
  <r>
    <s v="CTXRECSA-430668"/>
    <s v="Projetos bolha - AUDITORIA REMOTA: (Coleta de Dados Automatizada) - PE-Santo Amaro"/>
    <s v="Cabula/Santo Amaro"/>
    <s v="Plano Recuperação"/>
    <x v="3"/>
    <s v="Ricardo Araújo"/>
    <s v="Celso Miranda"/>
    <x v="2"/>
    <s v="Marco Brandão"/>
    <s v="Desenvolvimento"/>
    <d v="2015-10-14T00:00:00"/>
    <n v="204"/>
    <d v="2015-10-22T00:00:00"/>
    <x v="1"/>
    <d v="2016-02-02T00:00:00"/>
    <d v="2016-07-22T00:00:00"/>
    <s v="Risco - A equipe técnica está com várias ações concorrentes "/>
    <m/>
    <s v="[02/05] - Disponibilizado servidor. Aguardando o banco instalar a aplicação do Protheus. Prazo TDB_x000a_[25/4] - Mesmo status_x000a_[19/4] - Projeto em andamento_x000a_[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x v="1"/>
    <s v="Marco Brandão"/>
    <s v="TDB"/>
    <s v="Em andamento"/>
    <d v="2016-07-22T00:00:00"/>
    <n v="3076"/>
  </r>
  <r>
    <s v="CTXRECSA-430770"/>
    <s v="Projetos bolha - Aplicações de Hardenings : (Baseline Itaú) - PE-Santo Amaro"/>
    <s v="Cabula/Santo Amaro"/>
    <s v="Plano Recuperação"/>
    <x v="3"/>
    <s v="Ricardo Araújo"/>
    <s v="Celso Miranda"/>
    <x v="2"/>
    <s v="Marco Brandão"/>
    <s v="Desenvolvimento"/>
    <d v="2015-10-14T00:00:00"/>
    <n v="204"/>
    <d v="2015-10-22T00:00:00"/>
    <x v="0"/>
    <d v="2016-05-13T00:00:00"/>
    <s v="TBD"/>
    <s v="Risco - Aguardando entrega de proposta de fornecedor"/>
    <m/>
    <s v="[02/05] - As consultorias retornou com as propostas comerciais, mas a equipe da Operação realizou vários questionamentos e teremos que realizar uma conferencia para tirar as dúvidas._x000a_[25/04] - Aguardando retorno da consultoria_x000a_[19/04] Consultorias enviou as propostas, porém havia solicitado que a proposta teria que ser dividida entre os sub-projetos do Bolha. Solicitado revisão da proposta._x000a_[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x v="4"/>
    <s v="Rodrigo Marangoni"/>
    <s v="TDB"/>
    <s v="Levantamento de informações"/>
    <s v="TDB"/>
    <n v="3076"/>
  </r>
  <r>
    <s v="CTXSALSM-74754"/>
    <s v="Projetos bolha - Troca do sistema WinXP para Win7 em todas as operações do Itaú BA"/>
    <s v="Cabula/Santo Amaro"/>
    <s v="Plano Recuperação"/>
    <x v="3"/>
    <s v="Ricardo Araújo"/>
    <s v="Celso Miranda"/>
    <x v="2"/>
    <s v="Marco Brandão"/>
    <s v="Desenvolvimento"/>
    <d v="2015-09-03T00:00:00"/>
    <n v="245"/>
    <d v="2015-09-25T00:00:00"/>
    <x v="1"/>
    <d v="2016-02-02T00:00:00"/>
    <s v="28/04/2016_x000a_TBD"/>
    <s v="Risco - O Banco ainda não aprovou a utilização do tSupervisor"/>
    <m/>
    <s v="[02/05] - Banco fez novamente questionamentos sobre a aplicação. Prazo de entrega 04/05_x000a_[25/04] - Mesmo status_x000a_[19/4] - Mesmo status_x000a_[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x v="1"/>
    <s v="Marco Brandão"/>
    <s v="TDB"/>
    <s v="Análise "/>
    <d v="2016-04-28T00:00:00"/>
    <n v="3076"/>
  </r>
  <r>
    <s v="CTXSALSM-83016"/>
    <s v="Projetos bolha - AUDITORIA REMOTA: (Coleta de Dados Automatizada) - BA-Cabula"/>
    <s v="Cabula/Santo Amaro"/>
    <s v="Plano Recuperação"/>
    <x v="3"/>
    <s v="Ricardo Araújo"/>
    <s v="Celso Miranda"/>
    <x v="2"/>
    <s v="Marco Brandão"/>
    <s v="Desenvolvimento"/>
    <d v="2015-10-14T00:00:00"/>
    <n v="204"/>
    <d v="2015-10-22T00:00:00"/>
    <x v="1"/>
    <d v="2016-02-02T00:00:00"/>
    <d v="2016-07-22T00:00:00"/>
    <s v="Risco - A equipe técnica está com várias ações concorrentes "/>
    <m/>
    <s v="[02/05] - Disponibilizado servidor. Aguardando o banco instalar a aplicação do Protheus. Prazo TDB_x000a_[25/4] - Mesmo status_x000a_[19/4] - Projeto em andamento_x000a_[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x v="1"/>
    <s v="Marco Brandão"/>
    <s v="TDB"/>
    <s v="Em andamento"/>
    <d v="2016-07-22T00:00:00"/>
    <n v="3076"/>
  </r>
  <r>
    <s v="CTXSALSM-83029"/>
    <s v="Projetos bolha - Aplicações de Hardenings : (Baseline Itaú) - BA-Cabula"/>
    <s v="Cabula/Santo Amaro"/>
    <s v="Plano Recuperação"/>
    <x v="3"/>
    <s v="Ricardo Araújo"/>
    <s v="Celso Miranda"/>
    <x v="2"/>
    <s v="Marco Brandão"/>
    <s v="Desenvolvimento"/>
    <d v="2015-10-14T00:00:00"/>
    <n v="204"/>
    <d v="2015-10-22T00:00:00"/>
    <x v="0"/>
    <d v="2016-05-13T00:00:00"/>
    <s v="TBD"/>
    <s v="Risco - Aguardando entrega de proposta de fornecedor"/>
    <m/>
    <s v="[02/05] - As consultorias retornou com as propostas comerciais, mas a equipe da Operação realizou vários questionamentos e teremos que realizar uma conferencia para tirar as dúvidas._x000a_[25/04] - Aguardando retorno da consultoria_x000a_[19/04] Consultorias enviou as propostas, porém havia solicitado que a proposta teria que ser dividida entre os sub-projetos do Bolha. Solicitado revisão da proposta._x000a_[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x v="4"/>
    <s v="Rodrigo Marangoni"/>
    <s v="TDB"/>
    <s v="Levantamento de informações"/>
    <s v="TDB"/>
    <n v="3076"/>
  </r>
  <r>
    <s v="CTXSPOAP407-10410"/>
    <s v="Projeto RTI Vivo - Integração TClock x Logon no vivo 360"/>
    <s v="Antártica/SP"/>
    <s v="Plano Recuperação"/>
    <x v="1"/>
    <s v="Bruno Vasconcellos"/>
    <m/>
    <x v="2"/>
    <s v="Paloma Almeida"/>
    <s v="RTI"/>
    <d v="2015-05-27T12:40:00"/>
    <n v="343.47222222221899"/>
    <d v="2015-08-01T00:00:00"/>
    <x v="1"/>
    <d v="2016-04-04T00:00:00"/>
    <d v="2016-05-28T00:00:00"/>
    <s v="Sim"/>
    <m/>
    <s v="[03/05] - Mesmo status_x000a_[25/04] - Em piloto_x000a_[19/04] - Piloto iniciado em 18/4_x000a_[11/04] - Piloto programado para o dia 18/04/16, conforme solicitação da operação. _x000a_[4/4] - Aguardando validação do site para iniciarmos o piloto no dia 18/4_x000a_[29/03] - Operação aprovou iniciar o piloto e sugeriu data do dia 18/4._x000a_ [22/03] - Acompanhamento in loco feito entre os dias 15 e 18 de Março. Posicionamento será feito até o dia 23/03/16. _x000a_[15/03] -  Equipe de automações fará acompanhamento in loco na semana de 15 a 18/03. _x000a_[08/03] - Operação realizou novos testes e foram identificados que os erros não são relacionados ao RTI. Aguardando melhor data para o piloto e informações das 20 PAs para o piloto.                                                                                                                                                                                                                                                                                                                                          01/03/16: Pendente a verificação de erro apontado pela operação._x000a_22/02/16: Piloto será iniciado em 24/02. Data de rollout a ser validada com a operação._x000a_15/02/16 - nova versão corrigida será entregue em 16/02/16 - Data de Piloto e Rollout a ser validada com operação._x000a_10/02 - Mesmo status_x000a_05/02 - Encontrado problemas técnicos na aplicação durante período de testes. Em análise pela equipe de RTI. Nova data para início do piloto a ser informada no dia 12/02_x000a_01/02: Início do piloto alterado para 02/02 a pedido de negócio._x000a_26/01 - Mesmo status _x000a_18/01/16 - Aguardando formalização de quais os sites e operações deverão receber a solução. Pendência PMO Negócios. Mariana APP "/>
    <x v="1"/>
    <s v="Paloma Almeida"/>
    <d v="2016-05-18T00:00:00"/>
    <s v="Piloto"/>
    <d v="2016-05-28T00:00:00"/>
    <m/>
  </r>
  <r>
    <s v="CTXSPOAP407-10425"/>
    <s v="Automação do Saldo de Recarga e Bônus"/>
    <s v="Antártica/SP"/>
    <s v="Plano Recuperação"/>
    <x v="1"/>
    <s v="Bruno Vasconcellos"/>
    <m/>
    <x v="2"/>
    <s v="Paloma Almeida"/>
    <s v="RTI"/>
    <d v="2015-05-27T15:43:00"/>
    <n v="343.34513888888614"/>
    <d v="2015-08-01T00:00:00"/>
    <x v="0"/>
    <s v="TBD"/>
    <s v="TBD"/>
    <s v="Risco"/>
    <m/>
    <s v="[02/05] - Testes feitos e o resultado não foi satisfatório. Erros persistem. Aguardando nova agenda com a Nice. _x000a_[25/04] - Testes internos com solução ajustada previstos para finalizar em 29/04. Somente após resultado dos testes serão replanejados próximos passos._x000a_ [18/04] - Após testes realizados em conjunto com a NICE em 13/04, haverá necessidade de ajuste na solução. Testes internos com solução ajustada previstos para finalizar em 29/04. Somente após resultado dos testes serão replanejados próximos passos. _x000a_[11/04] - Análise realizada pela NICE. Feita alteração na solução. Testes internos até 15/04. _x000a_[4/4] - A avliação do erro esta sendo conduzida pela equipe de desnvolevimento e NICE. Análise com a NICE será feita no dia 04/04/16. _x000a_[29/03] - Aguardando recurso para elaboração de laudo. Previsto para 04/05/16 a 17/05/16 01/03/16: Pendente envio de OG._x000a_ [15/03] - Mesmo status_x000a_[08/03] - Aguardando recurso para elaboração de laudo. Previsto para 04/05/16 a 17/05/16 01/03/16: Pendente envio de OG._x000a_22/02/16: Pendente o envio do diagnóstico com análise dos problemas previsto para 04/03._x000a_15/02/16 - data da data para diagnóstico em 17/02/16 - Dificuldades de acesso aos sistemas da operação._x000a__x000a_10/02 - Em análise dos problemas com diagnoticos previstos para dia 12/02. Ainda sem previsão quanto ao rollout_x000a_01/02: Parecer dos testes será enviado em 02/02._x000a_26/01 – Agendado novos testes com a presença de TI e Negócios na operação para 27 e 28 /01._x000a_18/01/16 - Operação enviará até a data de 18/01 o resultado de novos testes de performance. Aguardando ok para seguir com rollout. _x000a_"/>
    <x v="0"/>
    <s v="Bruno"/>
    <d v="2016-05-17T00:00:00"/>
    <s v="Análise"/>
    <s v="TDB"/>
    <m/>
  </r>
  <r>
    <s v="CTXMTZRP-39707"/>
    <s v="DAC Único Fixa"/>
    <s v="Borges de Melo/Ce"/>
    <s v="Plano Recuperação"/>
    <x v="4"/>
    <s v="Ana Coelho"/>
    <s v="Ana Sosa"/>
    <x v="3"/>
    <m/>
    <s v="Infraestrutura"/>
    <d v="2015-03-23T13:54:00"/>
    <n v="408.42083333332994"/>
    <d v="2015-08-01T00:00:00"/>
    <x v="0"/>
    <s v="TBD"/>
    <s v="TBD"/>
    <s v="TBD"/>
    <m/>
    <s v="Edison Nei Siqueira added a comment - 03/Mai/16 10:53_x000a_Continua o mesmo status. _x000a__x000a_O projeto DAC Único está em freezing devido a possível indisponibilidade do DAC Minas A. As análises que está sendo realizadas pela diretoria TI são: _x000a__x000a_Fase 1: Migra todos os Insumos PRADO I para PRADO II (Aspect +Avaya) _x000a_Fase 2: Migra todos os Insumos PRADO I para PRADO II (Avaya) – Exceção Aspect (Migra para novo polo SPO) _x000a_Fase 3: Migra Aspect para nova plataforma SPO – Avaya Em analise_x000a__x000a_Edison Nei Siqueira added a comment - 26/Abr/16 11:42_x000a_O projeto DAC Único está em freezing devido a possível indisponibilidade do DAC Minas A. As análises que está sendo realizadas pela diretoria TI são: _x000a_Fase 1: Migra todos os Insumos PRADO I para PRADO II (Aspect +Avaya) _x000a_Fase 2: Migra todos os Insumos PRADO I para PRADO II (Avaya) – Exceção Aspect (Migra para novo polo SPO) _x000a_Fase 3: Migra Aspect para nova plataforma SPO – Avaya Em analise _x000a__x000a_Edison Nei Siqueira added a comment - 20/Abr/16 08:53_x000a_Aguardando retorno de engenharia Telecom, pois a demanda visa centralizar todo o DAC da Fixa utilizando o DAC Prado I, o site encontra-se em processo de desmobilização que está em analise por parte da diretoria._x000a__x000a_Edison Nei Siqueira added a comment - 12/Abr/16 17:41_x000a_Além da necessidade de insumos sinalizada por engenharia, hoje recebi o retorno de que a demanda estará Freezing até que seja definida a situação da regional BH com relação a desmobilização ou não do CPD._x000a__x000a_Edison Nei Siqueira added a comment - 05/Abr/16 16:47_x000a_Continuamos na busca de insumos junto a controle de ativos, conseguimos os gabinetes e agora estamos buscando 20 placas DS1._x000a__x000a_Edison Nei Siqueira added a comment - 29/Mar/16 15:12_x000a_Estamos buscando internamente junto a controle de ativos os insumos solicitados pela área de engenharia Telecom. _x000a_20 Placas DS1 e 02 Gabinetes Avaya._x000a__x000a_Edison Nei Siqueira added a comment - 08/Mar/16 17:01_x000a_Demanda reinserida na fila de engenharia para analise e desenho de solução, previsão de entrega entre 07/03/16 e 18/03/16. Após o retorno vamos agendar o kick off do projeto._x000a__x000a_[29/02] - Projeto na fila de execução. Aguardando priorização, para alocação de recurso Telecom _x000a_[16/02] - A equipe Telecom reavaliou o cenário e fez as respectivas considerações e ajustes na topologia. Seguiremos com a centralização dessa ultima onda de ramais para DAC MG A. Ramais sendo mapeados par a oanalise de esforço e criar plano de ação._x000a__x000a_Edison Nei Siqueira added a comment - 02/Fev/16 10:57_x000a_Recebemos ontem dia 01/02/2016 o retorno da quantidade de PAs envolvidas na demanda, agora vam+os aguardar a conclusão da analise de Engenharia._x000a__x000a_Edison Nei Siqueira added a comment - 26/Jan/16 08:13_x000a_Demanda em analise junto a engenharia com previsão de entrega da analise para o dia 29/01/2016._x000a__x000a_Edison Nei Siqueira added a comment - 21/Jan/16 10:18_x000a_Demanda na fila de Engenharia para analise._x000a__x000a_Edison Nei Siqueira added a comment - 01/Dez/15 11:34_x000a_Fabrício, por gentileza verificar se a demanda seguirá, visto que a mesma requer investimento._x000a__x000a_Edison Nei Siqueira added a comment - 03/Nov/15 12:11_x000a_Aguardando aprovação interna de investimentos para solicitar a abertura de contratação dos links junto a OI._x000a__x000a_Edison Nei Siqueira added a comment - 20/Out/15 17:58_x000a_Aguardando aprovação interna de investimentos para solicitar a abertura de contratação dos links junto a OI._x000a__x000a_Edison Nei Siqueira added a comment - 05/Out/15 08:39_x000a_Aguardando aprovação interna de investimentos para solicitar a abertura de contratação dos links junto a OI._x000a__x000a_Edison Nei Siqueira added a comment - 22/Set/15 18:44_x000a_Aguardando aprovação interna de investimentos para solicitar a abertura de contratação dos links junto a OI."/>
    <x v="2"/>
    <s v="Gutenberg Bastos"/>
    <d v="2016-03-18T00:00:00"/>
    <s v="Analise de Engenharia"/>
    <m/>
    <n v="1174"/>
  </r>
  <r>
    <s v="CTXMTZRP-43360"/>
    <s v="Integração do discador Aspect com a ferramenta Evalyze "/>
    <s v="Rio Comprido"/>
    <s v="Plano Recuperação"/>
    <x v="4"/>
    <s v="Ana Coelho"/>
    <s v="Ana Sosa"/>
    <x v="3"/>
    <s v="Fabrício Peixoto"/>
    <s v="Desenvolvimento"/>
    <d v="2015-08-03T18:09:00"/>
    <n v="275.24375000000146"/>
    <d v="2015-08-01T00:00:00"/>
    <x v="0"/>
    <s v="TBD"/>
    <s v="TBD"/>
    <s v="TBD"/>
    <m/>
    <s v="Edison Nei Siqueira added a comment - 03/Mai/16 10:58_x000a_Foi enviado para o cliente OI validar a possibilidade de utilizar o POP da OI para a entrega dos 25 E1s. Estamos aguardando engenharia Contax entregar o desenho definitivo com a nova topologia para avaliação e aprovação da OI, previsão de entrega do desenho prevista para hoje dia 03/05. _x000a__x000a_Em analise junto a equipe de aplicações o retorno de operações com as informações dos RF e RFNs que foram esclarecidos._x000a__x000a_Edison Nei Siqueira added a comment - 26/Abr/16 11:50_x000a_Reunião realizada junto ao fornecedor Aspect, estamos internalizando novamente a demanda em engenharia para novo estudo e desenho da solução._x000a__x000a_Edison Nei Siqueira added a comment - 20/Abr/16 08:18_x000a_A reunião junto a Aspect e CSE não ocorreu na data acordada, estamos aguardando retorno hoje sobre a evolução do dia de ontem, só podemos evoluir com relação a topologia após ocorrer essa reunião. _x000a_Reunião entre a equipe de aplicações NGR e Closer, foi identificado a necessidade de maior detalhamento de alguma RF e RFN descritos na EF, tal necessidade foi encaminhada para o solicitante da demanda e operações para esclarecimentos, ficamos aguardando esse retorno para informar as respectivas OGs._x000a__x000a_Edison Nei Siqueira added a comment - 12/Abr/16 17:44_x000a_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_x000a__x000a_Edison Nei Siqueira added a comment - 05/Abr/16 16:51_x000a_Reunião de kick off planejada para a próxima semana junto a Closer, áreas especialistas e operações.._x000a__x000a_Edison Nei Siqueira added a comment - 29/Mar/16 15:32_x000a_SC aprovada e pedido gerado para o fornecedor, o Oi deu previsão de instalação dos links E1s para 18/05. _x000a__x000a_Aguardando reunião de kick off junto as áreas especialistas e o fornecedor Closer._x000a__x000a_Demanda será inserida no pipe das áreas especialistas para que seja agendada a reunião de kick off._x000a_Edison Nei Siqueira added a comment - 08/Mar/16 17:33_x000a_Aprovada a EF pela OI em 29/02 _x000a_Aguardando retorno da OI para a disponibilização dos 25 links.Prazo: TBD _x000a__x000a_Em levantamento das informações para preparação do material de defesa no comitê de caixa. Foi solicitado apoio para o Fábio Koreeda e Milene, pois não conseguimos identificar o valor da licença mensal do Aspect - Prazo: TBD_x000a__x000a_[16/02] - Custos do desenvolvimento aguardando aprovação do Comitê de Caixa._x000a__x000a_[10/02] - - EF encaminhada para fornecedor e custos de desenvolvimento estão aguardando aprovação comitê caixa_x000a__x000a_Edison Nei Siqueira added a comment - 02/Fev/16 11:36_x000a_aguardando retorno do fornecedor com relação a analise da EF._x000a__x000a_Edison Nei Siqueira added a comment - 26/Jan/16 11:52_x000a_EF anexada ao chamado de projeto, estamos aguardando o posicionamento com relação a plataforma a ser utilizada e a solicitação dos E1s junto a Oi._x000a__x000a_Edison Nei Siqueira added a comment - 21/Jan/16 13:0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18/Dez/15 11:5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01/Dez/15 14:44_x000a_Previsão de receber até o dia de amanhã 02/12 o desenho da solução por parte de ENG com a solução proposta para a implementação do discador._x000a__x000a_Edison Nei Siqueira added a comment - 24/Nov/15 17:02_x000a_Começamos a receber hoje as EFs com ajustes solicitados pela equipe de App, assim que for concluída a Análise estaremos dividindo com os envolvidos._x000a_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_x000a__x000a_Edison Nei Siqueira added a comment - 27/Out/15 18:09 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 _x000a__x000a_Edison Nei Siqueira added a comment - 20/Out/15 19:24_x000a_Aguardando retorno da área de negócios com relação ao levantamos de insumos para prover a aprovação da demanda no comitê de gastos._x000a__x000a_Edison Nei Siqueira added a comment - 06/Out/15 15:16_x000a_Aguardando retorno da área de negócios com relação ao levantamos de insumos para prover a aprovação da demanda no comitê de gastos_x000a__x000a_Edison Nei Siqueira added a comment - 09/Set/15 15:10 _x000a_Recebido e encaminhado para Análise de aplicações NGR, aguardando retorno da priorização. _x000a_+P22"/>
    <x v="1"/>
    <s v="Livia Henriques"/>
    <s v="TBD"/>
    <s v="Análise"/>
    <s v="TBD"/>
    <n v="250"/>
  </r>
  <r>
    <s v="CTXMTZRP-43574"/>
    <s v="1- Plano de Recuperação - Projeto Rentabilização BO Anatel Automações (RTIs) - Direcionamento Automático para Área Sem SLOT_x000a_"/>
    <m/>
    <s v="Plano Recuperação"/>
    <x v="4"/>
    <s v="Ana Coelho"/>
    <s v="Ana Sosa"/>
    <x v="2"/>
    <s v="Livia Rodrigues"/>
    <s v="RTI"/>
    <d v="2015-08-11T17:53:00"/>
    <n v="267.2548611111124"/>
    <d v="2015-08-01T00:00:00"/>
    <x v="0"/>
    <s v="TBD"/>
    <s v="TBD"/>
    <s v="Risco"/>
    <m/>
    <s v="[02/05] - EF entregue. Analise até 04/05. _x000a_[25/04] - Mesmo status_x000a_[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_x000a_[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 [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_x000a_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22/01 – Pendente revisão da EF que foi entregue._x000a_18/01 - Em análise de EF. Até 26/01 para retorno OG/ pendências._x000a_Edison Nei Siqueira added a comment - 18/Dez/15 12:03_x000a_EF em analise pela área de desenvolvimento, aguardando retorno da operação.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31_x000a_Entrega das EFs atualizadas pela area de PMO Negócios prevista para o dia 19/11._x000a__x000a_dison Nei Siqueira added a comment - 03/Nov/15 14:49_x000a_Foi solicitada a revalidação das EFs, levando em consideração que não teremos mais o JIRA e nem identificamos a validação da rotina de carga do mailing e afins._x000a__x000a_Edison Nei Siqueira added a comment - 06/Out/15 15:18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x v="0"/>
    <s v="Bruno"/>
    <d v="2016-05-04T00:00:00"/>
    <s v="Em Desenvolvimento"/>
    <s v="TDB"/>
    <m/>
  </r>
  <r>
    <s v="CTXMTZRP-43575"/>
    <s v="2- Plano de Recuperação - Projeto Rentabilização BO Anatel Automações (RTIs) - Direcionamento Automático para Área Potes Não Agendáveis "/>
    <m/>
    <s v="Plano Recuperação"/>
    <x v="4"/>
    <s v="Ana Coelho"/>
    <s v="Ana Sosa"/>
    <x v="2"/>
    <s v="Livia Rodrigues"/>
    <s v="RTI"/>
    <d v="2015-08-11T17:55:00"/>
    <n v="267.25347222221899"/>
    <d v="2015-08-01T00:00:00"/>
    <x v="0"/>
    <s v="TBD"/>
    <s v="TBD"/>
    <s v="-"/>
    <m/>
    <s v="[02/05] - EF entregue. Analise até 04/05. _x000a_[25/04] - Mesmo status_x000a_[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_x000a_ [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 Pendente revisão da EF que foi entregue._x000a_18/01 - Aguarda EF_x000a_Edison Nei Siqueira added a comment - 18/Dez/15 12:10_x000a_EF em analise pela área de desenvolvimento, aguardando retorno da operação. 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48_x000a_Entrega das EFs atualizadas pela area de PMO Negócios prevista para o dia 19/11. _x000a__x000a_Edison Nei Siqueira added a comment - 03/Nov/15 14:50_x000a_Foi solicitada a revalidação das EFs, levando em consideração que não teremos mais o JIRA e nem identificamos a validação da rotina de carga do mailing e afins. _x000a__x000a_Edison Nei Siqueira added a comment - 20/Out/15 19:25_x000a_Aguardando retorno da área de negócios com relação ao levantamos de insumos para prover a aprovação da demanda no comitê de gastos. _x000a__x000a_Edison Nei Siqueira added a comment - 06/Out/15 15:22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x v="0"/>
    <s v="Bruno"/>
    <d v="2016-05-04T00:00:00"/>
    <s v="Análise"/>
    <s v="TDB"/>
    <m/>
  </r>
  <r>
    <s v="CTXMTZRP-43579"/>
    <s v="Plano de Recuperação - Projeto Rentabilização BO Anatel Automações (RTIs) - Não recebimento de gravações de atendimento."/>
    <m/>
    <s v="Plano Recuperação"/>
    <x v="4"/>
    <s v="Ana Coelho"/>
    <s v="Ana Sosa"/>
    <x v="2"/>
    <s v="Livia Rodrigues"/>
    <s v="RTI"/>
    <d v="2015-08-11T18:00:00"/>
    <n v="267.25"/>
    <d v="2015-08-01T00:00:00"/>
    <x v="0"/>
    <s v="TBD"/>
    <s v="TBD"/>
    <s v="Risco "/>
    <m/>
    <s v="[02/05] - Ambiente não foi entregue no dia 29/04, conforme previsão. Aguardando nova data. Pendente usuário CHR previsto para 28/04; e alinhamento com a Closer para testes integrados._x000a_[25/04] - Infra entregue, porém as liberações de redes não estão ok e precisamos aacionar a Closer para que a liberação seja realizada por eles. _x000a_[18/04] - Em validação de ambiente. PONTO DE ATENÇÃO: Aguardando liberação de acesso ao Banco de Dados por PMO TI. Previsão de entrega das aplicações configuradas até 29/04/16. _x000a_[12/4] - Infra entregue dia 11/4. Aguardando teste de liberação de rede. _x000a_[5/4] - A entrega da infra estava programada para dia 4/4, porém tivemos alguns problemas em produção e será reprogramado a entrega. Novo prazo de entrega da infra 11/4. _x000a_[29/03] - O ambiente de infra será entregue dia 4/4. Pendências: Equipe de desnvolvimento solicitou o usuário CHR especial pra executar macros. Prazo TDB /Necessário Planejamento para UAT, Piloto e Rollout. Prazo TDB_x000a_[22/03] Aguardando data para a entrega do ambiente de infra. Previsto 24/3_x000a_[14/03] - Nesta semana a solução de engenharia foi aprovada e vamos direcionar para a fila de CSE para a configuração do ambiente e replanejamento da data de UAT._x000a_[08/03] - Solução em desenvolvimento. Ponto de Atenção: está pendente a definição de fluxo para registro de transação no STC.                                                                                      01/03/16: Mesmo status_x000a_22/02/16: Em desenvolvimento, pendente criação do ambiente de testes_x000a_15/02/16 - OG aprovada em 10/02/16._x000a_15/02 - Início do piloto em 10/03_x000a_11/02 - Desenvolvimento até 04/03_x000a_10/02 - Mesmo status_x000a_05/02 - Enviada OG em 03/02. Aguardando aprovação de negócios_x000a_02/02 - Mesmo status_x000a_27/01: EF recebida. Em análise por TI para OG até 03/02._x000a_26/01 – Pendente revisão da EF que foi entregue._x000a_18/01 - Aguarda EF_x000a_Edison Nei Siqueira added a comment - 18/Dez/15 12:13_x000a_Aguardando a elaboração da EF por parte de operações para analise da equipe de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ntrega das EFs atualizadas pela area de PMO Negócios prevista para o dia 19/11. _x000a__x000a_Edison Nei Siqueira added a comment - 03/Nov/15 14:54_x000a_Foi solicitada a revalidação das EFs, levando em consideração que não teremos mais o JIRA e nem identificamos a validação da rotina de carga do mailing e afins._x000a__x000a_Edison Nei Siqueira added a comment - 20/Out/15 19:28_x000a_Recebido e encaminhado para Análise de aplicações NGR, aguardando retorno da priorização._x000a__x000a_Edison Nei Siqueira added a comment - 09/Set/15 15:15_x000a_Recebido e encaminhado para Análise de aplicações NGR, aguardando retorno da priorização."/>
    <x v="1"/>
    <s v="Livia Henriques"/>
    <d v="2016-05-09T00:00:00"/>
    <s v="Em Desenvolvimento"/>
    <m/>
    <m/>
  </r>
  <r>
    <s v="CTXMTZRP-43581"/>
    <s v="Plano de Recuperação - Projeto Rentabilização BO Anatel Automações (RTIs) - Serviço proteção ao crédito"/>
    <m/>
    <s v="Plano Recuperação"/>
    <x v="4"/>
    <s v="Ana Coelho"/>
    <s v="Ana Sosa"/>
    <x v="2"/>
    <s v="Livia Rodrigues"/>
    <s v="RTI"/>
    <d v="2015-08-11T18:03:00"/>
    <n v="267.24791666666715"/>
    <d v="2015-08-01T00:00:00"/>
    <x v="0"/>
    <s v="TBD"/>
    <s v="TBD"/>
    <s v="não"/>
    <m/>
    <s v="[03/05] - Mesmo status_x000a_[25/04] - Solicitado alteração na EF com as novas telas do site do SERASA.  Aguardando documento até 27/04/16._x000a_[18/04] - Procedimentos da EF estão desatualizados. Aguardando nova versão para realizar testes de acesso e conectividade. _x000a_[11/04] - Usuário do Serasa sem acesso as telas necessárias. Aguardando para dar continuidade nos testes de conectividade._x000a_ [04/04] Aguardando usuários SPC Serasa para iniciar a análise da EF. _x000a_[29/03] - Pendente usuário do SPC e Serasa para validar a EF. Após acesso, será analisado a EF. Prazo de 5 dias úteis._x000a_[22/03] Aguardando devolução da EF previsto para dia 21/03._x000a_[16/03] - Recebimento da EF dia 14/03. Prazo para devolução 21/03._x000a_08/03/16: Mesmo status  _x000a_ 01/03/16: Mesmo status_x000a_22/02/16: Pendente envio de EF_x000a_15/02 - Análise de EF_x000a_10/02 - Mesmo status_x000a_02/02 - Mesmo status_x000a_27/01: Aguarda o envio da EF._x000a_26/01 – Pendente revisão da EF que foi entregue._x000a_18/01 - Aguarda EF_x000a_Edison Nei Siqueira added a comment - 18/Dez/15 12:31_x000a_EF recebida em 08/12, foi concluída a analise pela equipe de aplicações e foi identificada a necessidade de ajustes, estamos aguardando o retorno da operação para prosseguir no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dison Nei Siqueira added a comment - 17/Nov/15 17:06_x000a_Entrega das EFs atualizadas pela area de PMO Negócios prevista para o dia 19/11._x000a__x000a_Edison Nei Siqueira added a comment - 03/Nov/15 15:01_x000a_Foi solicitada a revalidação das EFs, levando em consideração que não teremos mais o JIRA e nem identificamos a validação da rotina de carga do mailing e afins. _x000a__x000a_Edison Nei Siqueira added a comment - 20/Out/15 19:32_x000a_Aguardando retorno da área de negócios com relação ao levantamos de insumos para prover a aprovação da demanda no comitê de gastos._x000a__x000a_Edison Nei Siqueira added a comment - 06/Out/15 15:29_x000a_Aguardando retorno da área de negócios com relação ao levantamos de insumos para prover a aprovação da demanda no comitê de gastos._x000a__x000a_Edison Nei Siqueira added a comment - 09/Set/15 15:15_x000a_Recebido e encaminhado para Análise de aplicações NGR, aguardando retorno da priorização."/>
    <x v="1"/>
    <s v="Fernanda Nazário"/>
    <s v="TDB"/>
    <s v="Análise"/>
    <m/>
    <m/>
  </r>
  <r>
    <s v="CTXRECSA-403870"/>
    <s v="Disponibilizar Gravação NICE na Operação SOC GFE PE/RJ e SOC OffLines"/>
    <s v="Engenho/Mauá/Sto Amaro"/>
    <s v="Plano Recuperação"/>
    <x v="4"/>
    <s v="Ana Coelho"/>
    <s v="Ana Sosa"/>
    <x v="3"/>
    <s v="José Pedro"/>
    <s v="Upgrade de Tecnologia"/>
    <d v="2015-07-14T18:32:00"/>
    <n v="295.2277777777781"/>
    <d v="2015-08-01T00:00:00"/>
    <x v="0"/>
    <s v="TBD"/>
    <s v="TBD"/>
    <s v="não"/>
    <m/>
    <s v="Edison Nei Siqueira added a comment - 03/Mai/16 11:05_x000a_Continuamos com a necessidade de validação de todos os ramais por parte de operações e CSE. _x000a__x000a_Edison Nei Siqueira added a comment - 26/Abr/16 20:43_x000a_Continuamos com a necessidade de validação de todos os ramais por parte de operações e CSE._x000a__x000a_Edison Nei Siqueira added a comment - 20/Abr/16 08:21_x000a_Realizado ajustes em alguns ramais junto a CSE, porém ainda existem inconsistências que estão sendo validadas pela operação, Elaine e Luiz Washington._x000a__x000a_Edison Nei Siqueira added a comment - 05/Abr/16 16:54_x000a_Pedido para aquisição dos HDs gerado e aguardando o prazo de entrega do fornecedor DELL._x000a__x000a_29/03 - Mesmo status_x000a_Edison Nei Siqueira added a comment - 08/Mar/16 17:36_x000a_SC aprovada aguardando a geração do pedido por parte de suprimentos._x000a__x000a_[29/02] -SCs aprovadas, aguardando  criação pedido._x000a__x000a_16/02] - SCs aprovadas, aguardando  criação pedido._x000a__x000a_[10/02] -  Aguardando Aprovação SC e criação pedidos: (Resp: Koreeda) _x000a_SC 38083_x000a_SC 38084_x000a__x000a_Edison Nei Siqueira added a comment - 26/Jan/16 12:06_x000a_SC para aquisição dos HDs lançada e aguardando aprovação._x000a__x000a_Edison Nei Siqueira added a comment - 21/Jan/16 13:03_x000a_Aguardando lançamento de SC para aquisição de discos e tratar GAPs da regional RJ._x000a__x000a_Edison Nei Siqueira added a comment - 18/Dez/15 12:39_x000a_Continuamos tratando GAPs pontuais com relação a alguns acessos e problemas de gravações em alguns ramais._x000a__x000a_Edison Nei Siqueira added a comment - 17/Nov/15 17:09_x000a_Continuamos tratando GAPs pontuais com relação a alguns acessos e problemas de gravações em alguns ramais._x000a__x000a_Edison Nei Siqueira added a comment - 20/Out/15 19:42_x000a_Em andamento a validação da instalação do NICE Perfomance nas posições de gestão da operação._x000a__x000a_Edison Nei Siqueira added a comment - 13/Out/15 14:57_x000a_Configuração de infraestrutura concluída e ambas as regionais sendo gravadas. _x000a_Regional CE - 100% configurada. Iniciamos a gravação das PAs da operação SOC PE no dia 02/10. _x000a_Regional RJ - 100% configurada, em andamento a instalação do NICE Perfomance nas posições de gestão da operação._x000a__x000a_Edison Nei Siqueira added a comment - 06/Out/15 16:16_x000a_Configuração de infraestrutura: _x000a_Regional CE - 100% configurada. Iniciamos a gravação das PAs da operação SOC PE no dia 02/10. _x000a_Regional RJ - 40% configurada, com dificuldade com relação ao Switch extreme, realizamos a instalação física, estamos em processo de configuração lógica._x000a__x000a_Edison Nei Siqueira added a comment - 29/Set/15 16:12_x000a_Configuração de infraestrutura: _x000a_Regional CE - 85% configurada. _x000a_Regional RJ - 40% configurada, com dificuldade com relação ao Switch extreme."/>
    <x v="1"/>
    <s v="Elaine Fortunato"/>
    <s v="TBD"/>
    <s v="Roll Out"/>
    <m/>
    <n v="702"/>
  </r>
  <r>
    <s v="CTXRJOMA-72849"/>
    <s v="Evalyze Lista de Espera "/>
    <s v="Mauá"/>
    <s v="Operações que não estão no Plano de Recuperação"/>
    <x v="4"/>
    <s v="Ana Coelho"/>
    <s v="Ana Sosa"/>
    <x v="3"/>
    <s v="Livia Rodrigues"/>
    <s v="Desenvolvimento"/>
    <d v="2015-08-01T00:00:00"/>
    <n v="278"/>
    <d v="2015-09-25T00:00:00"/>
    <x v="0"/>
    <s v="TBD"/>
    <s v="TBD"/>
    <s v="-"/>
    <m/>
    <s v="Continuamos aguardando ._x000a_Edison Nei Siqueira added a comment - 03/Mai/16 11:06_x000a_Aguardando aprovação no comitê de caixa, para que o fornecedor prossiga com a homologação junto a operação._x000a__x000a_Edison Nei Siqueira added a comment - 26/Abr/16 20:38_x000a_Aguardando aprovação no comitê de caixa, para que o fornecedor prossiga com a homologação junto a operação._x000a__x000a_Edison Nei Siqueira added a comment - 12/Abr/16 17:46_x000a_Aguardando verificação junto ao fornecedor Closer se teremos proposta comercial para o desenvolvimento ou se será diluído no pool de horas junto a Contax._x000a__x000a_29/03 - Mesmo status_x000a_Edison Nei Siqueira added a comment - 15/Mar/16 09:51_x000a_Aguardando posicionamento da área de negócios._x000a__x000a_[16/02] - Aguardando retorno Fornecedor. Closer._x000a__x000a_02/02 - Mesmo status_x000a_Edison Nei Siqueira added a comment - 26/Jan/16 12:09_x000a_Aguardando retorno do fornecedor Closer com relação a analise da EF._x000a__x000a_Edison Nei Siqueira added a comment - 18/Dez/15 12:55_x000a_Aguardando retorno do fornecedor Closer com relação a analise da EF. _x000a__x000a_Edison Nei Siqueira added a comment - 17/Nov/15 17:12_x000a_Recebida a EF e encaminhada para o fornecedor Close, aguardando posicionamento da área de GSEG para seguir com a abertura dos chamados de liberação e inserção da caixa de e-mail do fornecedor na mailbox da operação._x000a__x000a_Edison Nei Siqueira added a comment - 10/Nov/15 17:26_x000a_Conforme audio realizada junto a GSEG e o Fornecedor Close, ficamos aguardando a EF atualizada com as informações alinhadas na audio._x000a__x000a_Edison Nei Siqueira added a comment - 03/Nov/15 15:25_x000a_Aguardando o de acordo da gerente da operação para abertura de chamados de liberações._x000a__x000a_Edison Nei Siqueira added a comment - 20/Out/15 19:49_x000a_Realizado reunião com o fornecedor Close para entendimento e definição de modos operantes da operação._x000a__x000a_Edison Nei Siqueira added a comment - 06/Out/15 16:27_x000a_Continuamos aguardando um posicionamento da equipe de melhoria continua e projetos da operação para seguir com a demanda_x000a__x000a_Edison Nei Siqueira added a comment - 29/Set/15 16:05_x000a_Continuamos aguardando um posicionamento da equipe de melhoria continua e projetos da operação para seguir com a demanda_x000a__x000a_Edison Nei Siqueira added a comment - 16/Set/15 11:17_x000a_Continuamos aguardando um posicionamento da equipe de melhoria continua e projetos da operação para seguir com a demanda."/>
    <x v="3"/>
    <s v="Daniel Closer"/>
    <s v="TBD"/>
    <s v="Na Fila"/>
    <m/>
    <n v="42"/>
  </r>
  <r>
    <s v="CTXRJOMA-73573"/>
    <s v="Front End do OFF Line - Melhoria TLV OFF Line"/>
    <s v="Mauá"/>
    <s v="Plano Recuperação"/>
    <x v="4"/>
    <s v="Ana Coelho"/>
    <s v="Ana Sosa"/>
    <x v="3"/>
    <m/>
    <s v="Desenvolvimento"/>
    <d v="2015-08-01T00:00:00"/>
    <n v="278"/>
    <d v="2015-08-01T00:00:00"/>
    <x v="0"/>
    <s v="TBD"/>
    <s v="TBD"/>
    <m/>
    <m/>
    <s v="Edison Nei Siqueira added a comment - 03/Mai/16 11:25_x000a_Continuamos aguardando a renovação do contrato junto ao fornecedor TQS._x000a__x000a_Edison Nei Siqueira added a comment - 26/Abr/16 20:36_x000a_Demanda aguardando renovação do contrato junto ao fornecedor TQS._x000a__x000a_Edison Nei Siqueira added a comment - 20/Abr/16 08:23_x000a_Demanda aguardando a aprovação no comitê de caixa, pois foi solicitado ajustes na quantidade de licenças para essa demanda._x000a__x000a_Edison Nei Siqueira added a comment - 05/Abr/16 16:56_x000a_SC aprovada, aguardando geração de pedido para o fornecedor._x000a__x000a_29/03 - Mesmo status_x000a_[16/02] - Aguardando aprovação SCs_x000a__x000a_[10/02] - Aguardando Aprovação SC e criação pedidos: Resp: ( Marcos Barbosa e Koreeda)_x000a_SC 37750_x000a_SC 37751_x000a__x000a_Edison Nei Siqueira added a comment - 26/Jan/16 12:10_x000a_Aguardando aprovação da SC e geração do pedido para acionar o fornecedor._x000a__x000a_Edison Nei Siqueira added a comment - 21/Jan/16 14:27_x000a_Aguardando aprovação da SC e geração do pedido para acionar o fornecedor._x000a__x000a_Edison Nei Siqueira added a comment - 03/Nov/15 15:26_x000a_Aguardando posicionamento com relação ao comitê de gastos para prosseguir com o lançamento da SC._x000a__x000a_Edison Nei Siqueira added a comment - 20/Out/15 19:51_x000a_Aguardando posicionamento com relação ao comitê de gastos para prosseguir com o lançamento da SC._x000a__x000a_Edison Nei Siqueira added a comment - 06/Out/15 16:29_x000a_Aguardando posicionamento com relação ao comitê de gastos para prosseguir com o lançamento da SC._x000a__x000a_Edison Nei Siqueira added a comment - 29/Set/15 16:04_x000a_aguardando posicionamento com relação ao comitê de gastos para prosseguir com o lançamento da SC._x000a__x000a_Edison Nei Siqueira added a comment - 16/Set/15 11:19_x000a_Aguardando aprovação da diretoria para providenciar o lançamento da SC para o fornecedor."/>
    <x v="1"/>
    <m/>
    <m/>
    <s v="Na Fila"/>
    <m/>
    <m/>
  </r>
  <r>
    <s v="CTXSALAS-155279"/>
    <s v="Implantar 10 PV´s atendendo Televenas Outbound Empresarial em home office, utilizando o serviço pacote Smart Office fornecido pela OI."/>
    <s v="Boa Viagem/Niterói"/>
    <s v="Operações que não estão no Plano de Recuperação"/>
    <x v="4"/>
    <s v="Ana Coelho"/>
    <s v="Ana Sosa"/>
    <x v="3"/>
    <s v="Fábio Prazeres"/>
    <s v="Implantação de PA (crescimento, migração ou nova operação)"/>
    <d v="2015-07-02T16:18:00"/>
    <n v="307.32083333333139"/>
    <d v="2015-09-25T00:00:00"/>
    <x v="0"/>
    <s v="TBD"/>
    <s v="TBD"/>
    <s v="-"/>
    <m/>
    <s v="Edison Nei Siqueira added a comment - 03/Mai/16 11:34_x000a_Projeto colocado em hold conforme orientação do solicitante, vale ressaltar que o projeto já vai para um ano e ainda não tem o seu escopo definitivo._x000a__x000a_Edison Nei Siqueira added a comment - 26/Abr/16 20:34_x000a_Estamos aguardando ajustes solicitados na EF para que a demanda seja inserida na fila de engenharia._x000a__x000a_29/03 - Mesmo status_x000a_Edison Nei Siqueira added a comment - 08/Mar/16 17:45_x000a_Estamos aguardando ajustes solicitados na EF para que a demanda seja inserida na fila de engenharia._x000a__x000a_[16/02] - Aguardando retorno Cliente Oi._x000a__x000a_02/02 - Mesmo status_x000a_Edison Nei Siqueira added a comment - 26/Jan/16 12:12_x000a_Aguardando posicionamento da OI com relação a solução que serrá seguida após o alinhamento com a Eleventhec._x000a__x000a_Edison Nei Siqueira added a comment - 18/Dez/15 13:02_x000a_Aguardando posicionamento da OI com relação a solução que serrá seguida após o alinhamento com a Eleventhec._x000a_[16/02] Aguardando Retorno Oi._x000a__x000a_Edison Nei Siqueira added a comment - 01/Dez/15 11:09_x000a_Realizada reunião de alinhamento junto a área de projetos das operações de SAC e áreas especialistas, ficou alinhado que precisamos do retorno da OI com a definição de qual cenário vai ser seguido para a solução Smart Office._x000a__x000a_Edison Nei Siqueira added a comment - 24/Nov/15 16:28_x000a_Continuamos aguardando que seja agendada a reunião junto ao cliente para alinhamento com a equipe de ENG._x000a__x000a_Edison Nei Siqueira added a comment - 17/Nov/15 14:53_x000a_Continuamos aguardando que seja agendada a reunião junto ao cliente para alinhamento com a equipe de ENG._x000a__x000a_Edison Nei Siqueira added a comment - 10/Nov/15 16:47_x000a_Continuamos aguardando que seja agendada a reunião junto ao cliente para alinhamento com a equipe de ENG._x000a__x000a_Edison Nei Siqueira added a comment - 03/Nov/15 11:28_x000a_Continuamos aguardando que seja agendada a reunião junto ao cliente para alinhamento com a equipe de ENG._x000a__x000a_Edison Nei Siqueira added a comment - 20/Out/15 16:43_x000a_Em estudo com ENG de TI: Implementação, Manutenção e Suporte de TI._x000a__x000a_Edison Nei Siqueira added a comment - 13/Out/15 14:39_x000a_Em estudo com ENG de TI: Implementação, Manutenção e Suporte de TI."/>
    <x v="1"/>
    <s v="Fábio Prazeres"/>
    <s v="TBD"/>
    <s v="Análise"/>
    <m/>
    <n v="10"/>
  </r>
  <r>
    <s v="CTXSALPB-31209"/>
    <s v="Realizar implantação nas operações de Rentabilização do discador APC e Front End Front Fácil. "/>
    <s v="Boa Viagem "/>
    <s v="Operações que não estão no Plano de Recuperação"/>
    <x v="4"/>
    <s v="Ana Coelho"/>
    <s v="Ana Sosa"/>
    <x v="3"/>
    <s v="Alexandre Teixeira Pinho"/>
    <s v="Desenvolvimento"/>
    <d v="2015-04-28T10:41:00"/>
    <n v="372.55486111110804"/>
    <d v="2015-08-01T00:00:00"/>
    <x v="0"/>
    <s v="TBD"/>
    <s v="TBD"/>
    <s v="TBD"/>
    <m/>
    <s v="Edison Nei Siqueira added a comment - 03/Mai/16 12:26_x000a_Homologada a versão versão 4.15009.205.1642 . O erro da janela de motivo de desligamento foi corrigido, porém o erro do número binado permaneceu. _x000a_Na segunda chamada de retorno de agendamento pessoal, o número binado que estava no Screenpop era o terminal da chamada anterior. Também, no momento de encerrar a chamada apareceu o erro de “Object reference no set to na instance of na object”: _x000a__x000a_Edison Nei Siqueira added a comment - 26/Abr/16 20:32_x000a_Em homologação junto a equipe de projetos, aplicações NGR e NID._x000a__x000a_29/03 - Mesmo status_x000a_Edison Nei Siqueira added a comment - 07/Mar/16 15:01_x000a_Aguardando retorno do teste dos 20 agendamentos para analise de CSE Discadores._x000a__x000a_[16/02] - Aguardando retorno cliente Oi._x000a__x000a_02/02 - Mesmo status_x000a_Edison Nei Siqueira added a comment - 26/Jan/16 13:29_x000a_Aguardando retorno com relação aos testes de agendamento solicitado pela equipe de discadores._x000a__x000a_Edison Nei Siqueira added a comment - 18/Dez/15 13:52_x000a_Continuamos em homologação , pois o agendamento fidelizado continua apresentando inconsistência. _x000a__x000a_Edison Nei Siqueira added a comment - 10/Nov/15 17:30_x000a_Em Análise a questão de agendamento x horário de verão._x000a__x000a_Edison Nei Siqueira added a comment - 03/Nov/15 15:28_x000a_Evoluímos, porém ainda precisamos da Análise com relação ao tratamento do horário de verão nos agendamentos. _x000a__x000a_Edison Nei Siqueira added a comment - 20/Out/15 19:54_x000a_Realizado audio hoje onde foi tratado o tom de ocupado após as chamadas para telefone fixo, amanhã será dado sequência no agendamento._x000a__x000a_Edison Nei Siqueira added a comment - 06/Out/15 17:00_x000a_Continuamos em homologação com relação a inconsistência no agendamento de contato no Aspect + FF, vamos retornar os testes essa semana ainda._x000a__x000a_Edison Nei Siqueira added a comment - 16/Set/15 11:22_x000a_Continuamos em homologação com relação a inconsistência no agendamento de contato no Aspect + FF."/>
    <x v="1"/>
    <s v="Alexandre Pinho"/>
    <s v="TBD"/>
    <s v="Piloto/Homologação"/>
    <m/>
    <n v="585"/>
  </r>
  <r>
    <s v="CTXSPOAP407-10493"/>
    <s v="tSupervisor - Atualização da ferramenta tSupervisor para todas as operações da OI"/>
    <s v="Sto Amaro"/>
    <s v="Operações que não estão no Plano de Recuperação"/>
    <x v="4"/>
    <s v="Ana Coelho"/>
    <s v="Ana Sosa"/>
    <x v="3"/>
    <m/>
    <s v="Upgrade de Tecnologia"/>
    <d v="2015-06-01T10:35:00"/>
    <n v="338.55902777778101"/>
    <d v="2015-09-25T00:00:00"/>
    <x v="0"/>
    <s v="TBD"/>
    <s v="TBD"/>
    <s v="TBD"/>
    <m/>
    <s v="29/03 - Mesmo status_x000a_Edison Nei Siqueira added a comment - 08/Mar/16 17:50_x000a_Em execução na regional PE, enviado hoje 08/03 o comunicado da implantação para as operações da regional._x000a__x000a_[29/02] - Roll out postergado para  2° Quinzena de Março. devido ao período de DMM._x000a_Previsão de Conclusão  até 20/03._x000a__x000a_[16/02] - Piloto em andamento PE  (M.Guedes -Aplicações )_x000a__x000a_02/02 - Mesmo status_x000a_26/01 - Mesmo status _x000a_Edison Nei Siqueira added a comment - 24/Nov/15 16:35_x000a_O site Mackenzie parou por uma funcionalidade que a operação não autorizava colocar sem a mesma. Iniciaremos piloto hoje dia 24/11. _x000a_  _x000a_STO Amaro estamos acompanhando o cronograma da Erika Miguel. _x000a__x000a_Edison Nei Siqueira added a comment - 17/Nov/15 14:56_x000a_Demanda sendo tratada pelo Marcelo Guedes e Erica Miguel na demanda de atualização do FF + tControl._x000a__x000a_Edison Nei Siqueira added a comment - 10/Nov/15 16:49_x000a_Demanda sendo tratada pelo Marcelo Guedes e Erica Miguel na demanda de atualização do FF + tControl._x000a__x000a_Edison Nei Siqueira added a comment - 03/Nov/15 11:39_x000a_Sasaki, por gentileza verificar com o Guedes se essa demanda está sendo tratada junto com a demanda da Erica Miguel que trata a atualização do FF + Tcontrol._x000a__x000a_Edison Nei Siqueira added a comment - 20/Out/15 16:56_x000a_Aguardando retorno com relação as operações do site Niterói para iniciar o piloto._x000a__x000a_Edison Nei Siqueira added a comment - 13/Out/15 14:45_x000a_Regionais da Bahia, CE e PE já atualizadas 100% com a nova versão do tsupervisor. _x000a__x000a_Em processo de homologação a regional RJ._x000a_Projeto está em hold devido a quantidade de atividades que as equipes de TI dos sites estão realizando para os projetos PR."/>
    <x v="1"/>
    <m/>
    <m/>
    <s v="Desenvolvimento/Execução"/>
    <m/>
    <s v="N/A"/>
  </r>
  <r>
    <s v="CTXBHZRI-82119"/>
    <s v="TLV Blended_Implantar na operação SAV (CRV) TLV da TQS com todas as funcionalidades do TLV 5.0 Ativo que está sendo implantando com as funcionalidades do Receptivo. "/>
    <s v="RJ - Site Niterói"/>
    <s v="Plano Recuperação"/>
    <x v="4"/>
    <s v="Ana Coelho"/>
    <s v="Ana Sosa"/>
    <x v="4"/>
    <s v="Marcel Garcia"/>
    <s v="Upgrade de Tecnologia"/>
    <d v="2015-01-26T17:39:00"/>
    <n v="464.26458333332994"/>
    <d v="2015-08-01T00:00:00"/>
    <x v="0"/>
    <s v="TBD"/>
    <s v="TBD"/>
    <m/>
    <m/>
    <s v="03/05 - Conforme solicitante,  a EF do TLV Blended será revista e anexada até o dia 06/05. _x000a__x000a_25/04 - Solicitado a confirmação  da  importância/prioridade deste projeto e respectivo anexo no tprocess da documentação em falta: EF Revalidada e Aprovação de Comitê. Caso não tenhamos a EF/informação disponibilizada em 15 dias esse chamado será cancelado/fechado. _x000a__x000a_19/04 - Mesmo status_x000a__x000a_12/04 - Comitê, conforme interação com a analista de Projetos Contax - Sem previsão._x000a__x000a_04/04 - Comitê_x000a__x000a_28/03 - Comitê_x000a__x000a_15/03- Comitê_x000a__x000a_23/02 - Mesmo status em relação a TI pela análise de Engenharia, porém demanda está no momento em Comitê._x000a__x000a_15/02 - Solicitante Rodrigo não conseguiu participar da Conferência, aguardando o retorno da  operação perante esta definição desde o dia 21/01._x000a__x000a_10/02 - Mesmo Status_x000a__x000a_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x v="1"/>
    <s v="Rodrigo Ribeiro"/>
    <d v="2016-05-06T00:00:00"/>
    <s v="Na Fila"/>
    <d v="2016-05-03T00:00:00"/>
    <n v="185"/>
  </r>
  <r>
    <s v="CTXNITSP-160928"/>
    <s v="Projeto - Projeto Implantar Discador Aspect + TLV 5.0 no CRV Oi TV"/>
    <s v="RJ - Site Niterói"/>
    <s v="Plano Recuperação"/>
    <x v="4"/>
    <s v="Ana Coelho"/>
    <s v="Ana Sosa"/>
    <x v="4"/>
    <s v="Marcel Garcia"/>
    <s v="Desenvolvimento"/>
    <d v="2015-06-09T10:48:00"/>
    <n v="330.55000000000291"/>
    <d v="2015-08-01T00:00:00"/>
    <x v="0"/>
    <s v="TBD"/>
    <s v="TBD"/>
    <m/>
    <m/>
    <s v="03/05 - Sendo analisado a alteração  de escopo. Retirada do Preditivo, prevalecendo somente o Preview, sendo que neste caso o Tlv atende._x000a__x000a_25/04 - Solicitado a confirmação  da  importância/prioridade deste projeto e respectivo anexo no tprocess da documentação em falta: EF Revalidada e Aprovação de Comitê. Caso não tenhamos a EF/informação disponibilizada em 15 dias esse chamado será cancelado/fechado_x000a__x000a_19/04 - Mesmo Status._x000a__x000a_12/04 - Mesmo Status, aguardando definição do analista de projetos contax._x000a__x000a_04/04 - Aguardando a validação do escopo pelos stakeholders_x000a__x000a_28/03 - Foi solicitado ajuda a negócios para que o cliente defina o escopo desta demanda._x000a__x000a_21/03 - Foi solicitado ajuda a negócios para que o cliente defina o escopo desta demanda._x000a__x000a_15/03 - Mesmo Status_x000a__x000a_07/03 - Aguardando retorno da operação referente a alteração de Escopo_x000a__x000a_01/03 - Em discussão de alteração de escopo_x000a__x000a_23/02 - Mesmo status em relação a TI pela análise de Engenharia, porém em paralelo está sendo realizada a  interação com o Fornecedor referente a regras de negocio operacionais._x000a__x000a_15/02 - Solicitante Rodrigo não conseguiu participar da Conferência, aguardando o retorno da  operação perante esta definição desde o dia 21/01._x000a__x000a_10/02 - Mesmo Status_x000a__x000a_02/02 - A solução encontrada é migrar as 02 operações para o Polo Pernambuco onde poderemos efetuar tanto o crescimento do Velox e Fixo, além da implantação da OI TV, foram informadas as premissas para a operação, aguardando o retorno._x000a__x000a_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08/12 - Em Comitê_x000a__x000a_24/11 - Em Comitê_x000a__x000a_17/11 - Interação com o fornecedor referente as regras operacionais,_x000a__x000a_30/10 - Em processo de handover com analista de Projetos. Em paralelo interação com o fornecedor referente a proposta enviada._x000a_20/10 - Validação de algumas inf na operação em relação a proposta anterior que foram inclusos o Oi Tv._x000a_13/10 - Aguardando retorno do Fornecedor perante as documentações de regra de negócio operacional._x000a_06/10 - Em análise da árvore enviada pelo cliente._x000a_29/09 - Aguardando a árvore do Oi Tv_x000a_------------------------------------------------_x000a_22/09 - Já foi diagnosticado pelo fornecedor que temos uma demanda que tem o Oi Tv, com o recebendo do mailing e exibindo na tela os dados do contato, sem integração com o Sinn._x000a_Aguardando a operação enviar um arquivo do produto OiTV nesse layout, podendo ser um arquivo teste e também a árvore de marcação para esse produto, pois nesse projeto as marcações são liberadas conforme a campanha que se está trabalhando_x000a_16/09 - Verificando questões de quantidade de licença do Discador."/>
    <x v="1"/>
    <s v="Rodrigo Ribeiro / José Pedro"/>
    <s v="TBD"/>
    <s v="Desenvolvimento/Execução"/>
    <m/>
    <n v="50"/>
  </r>
  <r>
    <s v="CTXRECSA-358319"/>
    <s v="Projetos CO - TLV e Discador Triagem Velox / Suporte Avançado velox  "/>
    <s v="PE - Site Santo Amaro"/>
    <s v="Plano Recuperação"/>
    <x v="4"/>
    <s v="Ana Coelho"/>
    <s v="Ana Sosa"/>
    <x v="4"/>
    <s v="Marcel Garcia"/>
    <s v="Desenvolvimento"/>
    <d v="2015-02-02T15:00:00"/>
    <n v="457.375"/>
    <d v="2015-08-01T00:00:00"/>
    <x v="0"/>
    <s v="TBD"/>
    <s v="TBD"/>
    <s v="TBD"/>
    <m/>
    <s v="03/05 - Pré-Piloto iniciou ontem com 2 pa´s, dentro do processo manual de expurgo. Em paralelo está sendo verificado com Engenharia e CSE as questões da liberação para a Automatização do mesmo._x000a__x000a_25/04 - Alinhamentos sendo realizados internamente e com o cliente._x000a_Possibilidade de Retorno do Piloto 02/05._x000a_Processos sendo verificados abaixo:_x000a__x000a_1 - Cadastro de Operadores_x000a_2 - Alteração DAC na operação  10 PAs_x000a_3 - Atividades NID (48h):_x000a_    cadastramento campanhas_x000a_    configurações_x000a_    limpeza base, etc_x000a_4 - Validação configuração Discador_x000a_5 - Acesso Bco de Dados MIS (Automatização)_x000a_6 - Automatização processo expurgo (24h)_x000a_7 - Teste 2 PAs antes do Piloto_x000a_8 - Verificação senhas usuários STC com OI_x000a_9 - Alinhar junto a OI a UF que vamos Pilotar_x000a_10 - Criar rotina dos AGs abertos x tratamento (analisar possíveis  AGs vencidos e sem tratamento por falta de contato)_x000a_11 - Criar rotina para extração dos dados ( AG+ Data/hora abertura+ Data/hora View)_x000a__x000a_19/04 - Equipe de TI está analisando a solução referente ao Discador que se encaixa melhor nas regras de negocios operacionais da demanda_x000a__x000a__x000a_12/04 - Dentro do tópico crítico que é o tempo de carga de mailing,  foi analisado pelo NID quanto a possibilidade de diminuirmos esse tempo de carga, contudo de acordo com o laudo da AVAYA não é recomendado a carga menor que 30min para operação com mailing pequeno._x000a_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_x000a_*Sendo estudado esta possibilidade pela operação. Hoje faremos uma conferência com o cliente para detalhar esta solução. O piloto no momento está parado._x000a__x000a_04/04 - Stressando ao maximo um dos Itens em &quot;Pendência&quot; que é o Time da Carga de Mailing.Ti analisando o cenário atual, ainda esta semana faremos uma conferência interna Contax para alinhamento._x000a__x000a_28/03 - Piloto parado devido a solicitação do cliente. _x000a_Aguardando definições da área de NID, MIS e TI._x000a__x000a_21/03 - Foi enviado laudo detalhado aguardando definição da Oi, do retorno do Piloto. _x000a__x000a_15/03 - Piloto está parado devido aos 8 Itens, porém 5 estão ok, aguardando retorno do Piloto para homologação._x000a__x000a_07/03 -Ocorrências Piloto- 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_x000a_Em paralelo se faz necessário uma atualização na EF pela operação perante os processos de View da Oi e Processos de Expurgo._x000a__x000a_01/03 - Em  piloto_x000a__x000a_23/02 - Em piloto com 9 pas, segue abaixo  os detalhes: _x000a__x000a_1.View Com Problemas: _x000a_As 14h:00  - View da OI voltou a trazer dados da regional RNE (PE), porém a view trouxe a data de abertura com o formato errado, não está trazendo o horário._x000a_O processo de carga foi parado. _x000a_View voltou a funcionar por volta das 15:50h com formato correto._x000a_Os protocolos  enviados estão muito abaixo do padrão, o dia todo só foram carregados em torno de 354 registros._x000a__x000a_2.Carregamento do Raw no Discador no APC_x000a_Para resolver problema do Discador, além do Edson que tem nos apoiado, envolveremos o Bruno Cordeiro de Curitiba que acompanhou todo o processo junto a programação de atualização de tempo das cargas para verificar o tempo de cargas._x000a_Integração tGuidance com UNIFIC: já reportado pela Erica. Todos os casos estão com agendamento na base do UNIFIC, sendo assim a ferramenta só devolve no horário do agendamento._x000a__x000a_Estamos envolvendo os respectivos departamentos, pois somente com todos os processos em 100% é que TI poderá pilotar o processo final com apoio da operação._x000a__x000a_Estamos recebendo o arquivo da Oi, com dados tratados, para darmos sequência no piloto hoje._x000a_-------_x000a_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_x000a_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_x000a_Conforme conferência hoje 15/02 foi acordado, o início do Piloto 16/02._x000a_-----------_x000a_10/02 -  iniciaremos o Piloto no dia 11/02._x000a_-----------_x000a_26/01 - Conforme aprovação das áreas envolvidas (NID, CSE e Aplicações), foi enviado novo cronograma, no qual iniciaremos o Piloto no dia 11/02._x000a_----------_x000a_19/01 - O escopo do projeto foi alterado no dia 06/01 e por isso o Piloto não aumentou para 10 PAs e já nem está com 2 PAs (o Piloto parou)._x000a_Assim, o projeto necessita de ser replanejado, pois são necessárias atividades da equipe de desenvolvimento e CSE novamente. Como sabem os recursos estão 100% alocados e as filas das equipes vão se organizando com outros projetos prioritários._x000a__x000a_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_x000a__x000a__x000a_08/12 - Aumentamos o Piloto em 5 pas, estamos monitorando o comportamento para darmos sequencia._x000a__x000a_01/12 - Estamos em definição de aumento do Piloto, devido a alguns cenários ainda impeditivos._x000a_1. Número excessivo de motivos Telefonia: chamado aberto junto a Oi para solução do problema nos circuitos (Resp.: Wenderson);_x000a_2. Discagem Horizontal apenas até o 2° Telefone: análise junto ao especialista Avaya para que possamos, após atuação, monitorar a solução aplicada (Resp.: Adalton  - Início Monitoramento: 01/12);_x000a_3. Atualização do Mailing: solução já aplicada e em processo de monitoramento (Resp.: Adalton – Parecer sobre a solução: 30/12);_x000a_4. Eficiência das Macros: análise a respeito da informação foi realizada e está sendo afetada pelo Item 2. Após solução do mesmo, informações estarão consistentes (Resp.: Adalton);_x000a_5. Análise de Protocolo Telefone Único: este caso também está na dependência da solução do Item 2 (Responsável: Adalton)._x000a_24/11 - Conforme conferência realizada no dia 19/11 foram discutidos alguns cenários impeditivos para o aumento do Piloto, estes cenários _x000a_estão sendo verificados entre NID e Equipe de Desenvolvimento TI. Hoje 24/11, será realizado uma conferência para a análise da estratégia de discagem. Foram diagnosticadas ações na eficiência das macros quando não se utiliza o discador, sendo acompanhado os protocolos _x000a_para identificação no que se refere a distribuição._x000a_Foi criada uma nova campanha com novas configurações e iniciada dia 19/11 nas PA’s. Estamos acompanhando o comportamento _x000a_do discador nos momentos de atualização do mailing. _x000a_ Foi identificado na análise de Protocolo Telefone Único que alguns protocolos apresentam apenas um telefone, pela regra isso não deveria acontecer devido a análise do histórico, este assunto será discutido em detalhes hoje na reunião com o Wenderson NID._x000a__x000a_17/11 - Fase 1 - a UF de Pernambuco está sendo disponibilizada.  Ainda está sendo visto a questão da Telefonia, por esse motivo ainda não temos previsão de aumento do Piloto._x000a_Fase 2 - Foi informado o valor das licenças, prazo do fornecedor (2 meses). Foi solicitado:_x000a__x000a__Ok formalizado para iniciarmos a contratação do serviço (Lançamento de SC, Aprovações e geração de pedido)._x000a__Entrega de pedido gerado para contagem do prazo._x000a__Entrega do detalhamento do escopo do UNIFIC (Processo, telas e informações) ou a árvore de workflow que a Oi gostaria de desenvolver no Evalyze antes da data de início do desenvolvimento._x000a__x000a_Aguardando o retorno do solicitante com as devidas informações._x000a_-------------_x000a_10/11 - Constatados  casos de problemas que afetam a integração entre discador e UNIFIC e classificação erronea de status de chamadas, refletidas nos relatórios de produtividade. Ti contax e fornecedor atuando em conjunto. Piloto seguem com 2 PAs._x000a_03/11 -  Iniciaremos o piloto no dia de hoje com a UF PE, o discador fará processo em afim sem a geração da macro gerando do mailing, fechamento de AG e abertura de BD antes do vencimento do SLA._x000a_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_x000a__x000a_27/10- o Front-Fácil acaba de ser configurado para aguardar pelo perfilamento &quot;sem tempo limite&quot;._x000a__x000a_Desta forma, o operador poderá finalizar o perfilamento do UNIFIC com a garantia de que nenhuma outra chamada será entregue na PA enquanto o operador não preencher o “Motivo de Desligamento” no Front-Fácil._x000a__x000a_Com esta configuração, não será necessária qualquer alteração/melhoria em nenhuma das ferramentas para que o piloto seja iniciado. Porém, há alguns pontos de atenção que não podemos deixar de alertar:_x000a__x000a_• Os operadores terão a oportunidade de retardar o atendimento depois desta nova configuração. No nosso entendimento, trata-se de uma ação contraditória à implantação do discador automático de chamadas, que visa a máxima produtividade dos colaboradores;_x000a_•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_x000a_• A solução também ainda estará sujeita ao problema original (chegada de chamada sem o screen-pop no UNIFIC), se o operador enviar o “Motivo de Desligamento” pelo Front-Fácil e permanecer com o protocolo em tratamento no UNIFIC, o que impossibilitaria o pop-up do novo protocolo._x000a__x000a_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_x000a_Estamos verificando com a Wenderson para criar uma nova coluna no mailing, exclusivamente para o UNIFIC._x000a_---------------------_x000a_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_x000a_------------------------------_x000a_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_x000a_-----------------------------------------------_x000a_29/09 - Eventos de atraso na entrega dos links da Oi e Criação de login de STC impactaram no início do Piloto hoje 29/09, conforme cronograma. _x000a_ - Foi diagnosticado ontem pela área de Desenvolvimento a necessidade de liberação de IP por parte da Oi;_x000a_- Os logins STC foram encaminhado na sexta passada 25/09, mas estavam com problemas na senha de acesso. Prazo de retorno da operação Hoje 29/09._x000a_*Caso não tenhamos retorno das duas ações acima irá impactar novamente no início do Piloto, previsto para  o dia 05/10_x000a_-----------------------------------------------_x000a_22/09 - Validação de Mailing da Oi =  tivemos alterações de escopo sendo que a Oi já validou, estando em processo de desenvolvimento com risco de atraso, porém ainda não confirmado pelo Marquinhos._x000a__Atraso na entrega dos links da Oi =  a Entrega foi feita hoje dia 22/09, tendo impacto no cronograma das ações posteriores inserindo._x000a_"/>
    <x v="5"/>
    <s v="Viviane Rodriguez e Adalton / Milane / Jaqueline"/>
    <s v="TBD"/>
    <s v="Piloto/Homologação"/>
    <m/>
    <n v="150"/>
  </r>
  <r>
    <s v="CTXRECSA-407337"/>
    <s v="Front Facil no CRV"/>
    <s v="PE - Site Santo Amaro"/>
    <s v="Plano Recuperação"/>
    <x v="4"/>
    <s v="Ana Coelho"/>
    <s v="Ana Sosa"/>
    <x v="4"/>
    <s v="Marcel Garcia"/>
    <s v="Desenvolvimento"/>
    <d v="2015-07-29T15:48:00"/>
    <n v="280.34166666666715"/>
    <d v="2015-08-01T00:00:00"/>
    <x v="0"/>
    <s v="TBD"/>
    <s v="TBD"/>
    <m/>
    <m/>
    <s v="_x000a_03/05 - Devido a alteração de escopo o piloto parou, aguardando Desenvolvimento do Item Conferência (CTXRECSA-475951)_x000a__x000a_25/04 -  Devido a alteração de escopo o piloto parou, aguardando Desenvolvimento do Item Conferência (CTXRECSA-475951)_x000a__x000a_19/04 - Piloto parado, aguardando Desenvolvimento do Item Conferência (CTXRECSA-475951)_x000a__x000a_12/04 - Piloto parado, aguardando Desenvolvimento do Item Conferência (CTXRECSA-475951)._x000a__x000a_04/04 - Mesmo status_x000a__x000a_28/03 - 1. Cenário de ação de Conferência na operação, no qual não foi solicitado na EF._x000a_      Ação: Operação abriu o chamado CTXRECSA-475951, com a EF atualizada. Em análise._x000a_ _x000a_2. Cenário da Base do Click, no qual, foi alinhado que seria aberto uma nova demanda devido a complexidade do Desenvolvimento._x000a_Ação: Solicitado a operação em conferência no dia 08/12 a abertura de um chamado no TProcess, no qual mencionasse esta necessidade que refere-se a Base do Click._x000a_          Demanda do CRV, hoje em Piloto, foi desenvolvida em cima do que foi exposto na última versão da EF em que não contemplava a Base do Click, somente no que refere-se a relatório._x000a_          Ressalto que em fórum paralelo foi solicitado ao Anthonny que abrisse um novo chamado para esta solicitação._x000a__x000a__x000a_21/03 - Piloto em andamento conforme cronograma (2 pas)._x000a__x000a_15/03 - Cronograma permanece o mesmo . Piloto Início: 17/03._x000a__x000a_07/03 - Conforme cronograma alinhado, o Piloto teria início no dia 17/03, porém tivemos atraso na homologação do Perficall._x000a_Aguardando retorno da operação._x000a__x000a_01/03 - O solicitante informou novamente sobre a alteração de Dac, _x000a_podendo assim retardar esta demanda. Aguardando definição  _x000a__x000a_23/02 - Ontem foi solicitado a Estimativa de esforço para o Site dentro das ações necessárias._x000a_Desenvolvimento Perficall -  OK_x000a_Desenvolvimento tGuidance - 15/02 à 29/02_x000a__x000a_15/02 - A operação informou hoje a questão do Dac e envio da planilha de Insumos. Devido ao atraso nas informações, temos um novo prazo para o Desenvolvimento do TGuidance fica do dia 15/02 à 29/02._x000a__x000a_10/02 - Mesmo Status_x000a__x000a_02/02 - Conforme conferência, devido ao problema do headset na operação iremos aguardar até o dia 12/02 (Início de Desenvolvimento) para confirmarmos esta migração de Dac._x000a__x000a_Sendo assim, seguimos com o Desenvolvimento em paralelo no período de 12/02 à 25/02._x000a__x000a_Abaixo algumas ações citadas:_x000a__x000a__Necessário o cadastro dos Insumos se houver migração até o dia 11/02;_x000a__Necessário a liberação de rede, instalação da aplicação do TGuidance com Suporte local, etc., se não houver migração;_x000a__o Item de relatório será priorizado com a outra área de TI._x000a__x000a__x000a_26/01 -  Enviado a EF no dia 13/01, Equipe de Aplicações está analisando a mesma. Em paralelo estamos vendo se há necessidade de liberações de rede, etc. na operação. Prazo de Cronograma de Desenv TI - 27/02_x000a__x000a_18/12 - Em definição de EF , aguardando retorno da operação_x000a__x000a_08/12 - Conforme conferência, estamos aguardando a EF com o escopo solicitado._x000a__x000a_01/12 - A Conferência hoje foi cancelada, reagendada para dia 03/12 Qui._x000a__x000a_24/11 - Aguardando o Doc solicitado no dia 27/11._x000a__x000a_17/11 - Foi solicitada o doc ao cliente com todo o processo detalhado do atendimento, com prints de tela do passo a passo do atendimento, prazo de recebimento anterior no dia 12/11, porém sem sucesso. Prazo atual no dia 27/11 Sext . _x000a__x000a_03/11 - Já foi solicitado  a EF  atualizada, e se possível uma conf com a operação só para entendimento de processo_x000a__x000a_27/10 - Aguardando a EF atualizada._x000a_20/10 - Conforme conferência estamos aguardando a EF. Em estimativa de OG._x000a__x000a_13/10 - Aguardando a árvore. Este Projeto esta em estimativa de OG_x000a_06/10 - Aguardando a árvore. Este Projeto esta em estimativa de OG _x000a_29/09 - Aguardando o envio da EF/ Em estimativa de OG_x000a_--------------------------------_x000a_22/09 - Aguardando o envio da EF."/>
    <x v="1"/>
    <s v="Anthonny Stallony/  Tatiana Barbosa"/>
    <s v="Devido a alteração de escopo , aguardando Término da Demanda CTXRECSA-475951,  previsto continuidade  de tratamento para o dia 02/06"/>
    <s v="Desenvolvimento"/>
    <m/>
    <n v="100"/>
  </r>
  <r>
    <s v="CTXRECSA-475951"/>
    <s v="Item Conferência_CRV"/>
    <s v="PE - Site Santo Amaro"/>
    <s v="Plano Recuperação"/>
    <x v="4"/>
    <s v="Ana Coelho"/>
    <s v="Marcel Garcia"/>
    <x v="4"/>
    <s v="Luciana Andrade"/>
    <s v="Desenvolvimento"/>
    <d v="2015-03-24T18:34:00"/>
    <n v="407.22638888889196"/>
    <d v="2015-03-24T00:00:00"/>
    <x v="1"/>
    <d v="2016-05-31T00:00:00"/>
    <d v="2016-06-10T00:00:00"/>
    <s v="Risco"/>
    <m/>
    <s v="03/05 - Mesmo Status_x000a__x000a_25/04 -  Em Desenvolvimento por Aplicações TI - Prazo Resp: TI - 31/05_x000a__x000a_19/04 - Em Desenvolvimento por Aplicações TI - Prazo Resp: TI - 31/05_x000a__x000a_12/04 - Necessidade de desenvolvimento do item conferência que não estava previsto na EF inicial, aberto chamado CTXRECSA-475951 para resolução._x000a_Necessária resolução do chamado CTXRECSA-475951 para continuidade do piloto  (Chamado CTXRECSA-407337)  - Resp: TI - Prazo: 31/05 "/>
    <x v="0"/>
    <s v="Tatiana Barbosa"/>
    <d v="2016-05-31T00:00:00"/>
    <s v="Desenvolvimento"/>
    <m/>
    <n v="100"/>
  </r>
  <r>
    <s v="CTXRECSA-407387"/>
    <s v="Implantar um discador para a célula Quality Voicer_x000a_"/>
    <s v="PE - Site Santo Amaro"/>
    <s v="Plano Recuperação"/>
    <x v="4"/>
    <s v="Ana Coelho"/>
    <s v="Marcel Garcia"/>
    <x v="4"/>
    <s v="Fabrício Peixoto"/>
    <s v="Desenvolvimento"/>
    <d v="2015-07-29T19:22:00"/>
    <n v="280.19305555555911"/>
    <d v="2015-08-01T00:00:00"/>
    <x v="0"/>
    <s v="TBD"/>
    <s v="TBD"/>
    <s v="Não "/>
    <m/>
    <s v="03/05 - Mesmo Status_x000a__x000a_25/04 - Conforme retorno da Equipe de Aplicações (Morais), esta demanda só será tratada a partir da entrega das solicitações CTXRECSA-358319 – ( fase 1 e fase2)._x000a__x000a_19/04 -  Mesmo status._x000a__x000a_12/04 - Conforme retorno da Equipe de Aplicações (Morais), esta demanda só será tratada a partir da entrega das solicitações CTXRECSA-358319 – ( fase 1 e fase2)._x000a__x000a_04/04 -  Conforme retorno da Equipe de Aplicações (Morais), esta demanda só será tratada a partir da entrega das solicitações CTXRECSA-358319 – ( fase 1 e fase2)._x000a__x000a_28/03 - Mesmo Status_x000a__x000a_21/03 - Mesmo Status_x000a__x000a_15/03 - Mesmo Status_x000a__x000a_07/03 -  Conforme retorno da Equipe de Aplicações (Morais), esta demanda só será tratada a partir da entrega das solicitações CTXRECSA-358319 – ( fase 1 e fase2):_x000a__x000a_01/03- Conforme retorno da Equipe de Aplicações (Morais), esta demanda só será tratada a partir da entrega das solicitações CTXRECSA-358319 – ( fase 1 e fase2):_x000a__x000a_23/02 - Mesmo Status_x000a__x000a_15/02 - Conforme retorno da Equipe de Aplicações (Morais), esta demanda só será tratada a partir da entrega das solicitações CTXRECSA-358319 – ( fase 1 e fase2):_x000a__x000a_10/02 -Solicitada a entrada na Fila da Equipe de Moraes devido a necessidade de Integração do sistema Perfiquality X TGuidance X Discador._x000a__x000a_02/02 - Conforme retorno hoje da operação o sistema Perfiquality é Oi , Infra na Oi e  é uma ferramenta para perfilamento e não tem vinculo com a telefonia. Sendo assim, iremos acionar a Equipe de Aplicações  para análise._x000a__x000a_26/01 - Desenho de Engenharia de Telecom já está feito. _x000a_Estamos aguardando retorno da operação verificar as informações da Infra do sistema com o José Nilton (Oi)._x000a__x000a_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x v="0"/>
    <s v="Alexandre  Morais"/>
    <s v="TBD"/>
    <s v="Na Fila"/>
    <m/>
    <n v="185"/>
  </r>
  <r>
    <s v="CTXRECSA-413131"/>
    <s v="Reestruturação da URA do CO Recife"/>
    <s v="PE - Site Santo Amaro"/>
    <s v="Operações que não estão no Plano de Recuperação"/>
    <x v="4"/>
    <s v="Ana Coelho"/>
    <s v="Ana Sosa"/>
    <x v="4"/>
    <s v="Marcel Garcia"/>
    <s v="Desenvolvimento"/>
    <d v="2015-08-14T00:00:00"/>
    <n v="265"/>
    <d v="2015-09-25T00:00:00"/>
    <x v="0"/>
    <s v="TBD"/>
    <s v="TBD"/>
    <s v="Não "/>
    <m/>
    <s v="03/05 - Mesmo Status._x000a__x000a_25/04 - Em fase de Aprovação com o cliente, foi solicitado o prazo do mesmo._x000a__x000a_19/04 - Mesmo status_x000a__x000a_12/04 - Em fase de Aprovação com o cliente, foi solicitado o prazo do mesmo._x000a__x000a_04/04 - Interação com a Equipe de Ura sobre esta demanda. _x000a_Ressaltando que essa restruturação não contempla a inclusão de novas consultas não relacionadas ao STC, apenas a melhorias dos menus e processos da aplicação de URA._x000a__x000a_28/03 - Mesmo status, cliente Oi analisando a última proposta enviada_x000a__x000a_21/03 - Mesmo status, cliente analisando a última proposta enviada._x000a__x000a_15/03 - Mesmo Status._x000a_ _x000a_07/03 - Mesmo Status._x000a__x000a_01/03 - Proposta renovada e enviada ao cliente. Aguardando definição._x000a__x000a_23/02 - Aguardando cronograma de Engenharia e em paralelo a Equipe de Ura está renovando a proposta._x000a__x000a_15/02 - Mesmo Status, acrescentando a solicitação da Equipe de Ura Contax, renovar a proposta interna devido a validade da mesma._x000a__x000a_10/02 - Solicitado o Estudo de Engenharia para o desenho desta solução, pois o valor  anterior da proposta da Equipe de Ura Contax  não contemplava infraestrutura e  sistema de monitoração._x000a__x000a_02/02 - Mesmo status._x000a__x000a_26/01 - Mesmo status, sem retorno da operação._x000a__x000a_18/12 - Proposta realizada pela Equipe Interna Contax de URA , enviada para o solicitante, aguardando retorno._x000a__x000a_08/12 - Proposta enviada para o solicitante, aguardando retorno._x000a__x000a_01/12 - Aguardando definição de valores da Proposta da Equipe de Ura Contax. Foi cobrado a área de Ura Contax sobre a Proposta._x000a__x000a_24/11 - Conforme alinhamento, a Equipe de Ura Contax enviará a proposta no dia 27/11 (Sext)_x000a__x000a_17/11 - Aguardando o aval do solicitante para que a Equipe de Ura Contax possa interagir e gerar uma nova proposta._x000a__x000a_09/11 - Equipe de URA Contax aceitou fazer estudo de custo e prazo como alternativa a Avaya. Fontes solicitados para a AVAYA, que ainda não retornou._x000a__x000a_30/10 - Acionado a área de Ura Produção para análise desta proposta._x000a_20/10 -  Sendo analisado a Proposta enviada pela Avaya._x000a_13/10 - Aguardando janela da operação para alinhamento sobre a proposta da avaya._x000a_06/10 - Aguardando aprovação_x000a_29/09-Encaminhado o orçamento em PDF para aprovação._x000a_16/09-Encaminhado orçamento para a area solicitante, estamos aguardando a proposta comercial em PDF, solicitada em 17/09."/>
    <x v="1"/>
    <s v="Anthonny "/>
    <s v="TBD"/>
    <s v="Análise"/>
    <m/>
    <n v="220"/>
  </r>
  <r>
    <s v="CTXSALAS-158599"/>
    <s v="Disponibilizar ferramenta do Carbon para as operações inbound e outbound do Televendas. Ti avaliar à integração com front/discador"/>
    <s v="Comércio / Boa Viagem"/>
    <s v="Operações que não estão no Plano de Recuperação"/>
    <x v="4"/>
    <s v="Ana Coelho"/>
    <s v="Ana Sosa"/>
    <x v="3"/>
    <m/>
    <s v="Upgrade de Tecnologia"/>
    <d v="2015-09-04T19:07:00"/>
    <n v="243.20347222222335"/>
    <d v="2015-09-25T00:00:00"/>
    <x v="0"/>
    <s v="TBD"/>
    <s v="TBD"/>
    <m/>
    <m/>
    <s v="Edison Nei Siqueira added a comment - 03/Mai/16 12:36_x000a_Continuamos aguardando o posicionamento da Telecom-PT com relação a versão que vai tratar as chamadas da operação Outbound estava previsto para 27/04 e até o presente momento não recebemos um posicionamento._x000a__x000a_Edison Nei Siqueira added a comment - 26/Abr/16 20:24_x000a_Continuamos aguardando o posicionamento da Telecom-PT com relação a versão que vai tratar as chamadas da operação Outbound previsto para 26/04._x000a__x000a_Edison Nei Siqueira added a comment - 20/Abr/16 08:49_x000a_Realizada a carga do mailing do Outbound com sucesso, estamos aguardando agora a Telecom-PT disponibilizar a versão do Carbon que vai tratar o recebimento da chamada, previsão de liberação da versão por parte da Telecom-PT ficou para o dia 26/04._x000a__x000a_Edison Nei Siqueira added a comment - 12/Abr/16 18:22_x000a_Hoje foi concluído o rollout do Carbon para a operação Unificado. _x000a_Aguardando o versão da Telecom-PT para homologar as operações de Outbound ._x000a__x000a_Edison Nei Siqueira added a comment - 05/Abr/16 17:08_x000a_Iniciamos o rollout da integração tGuidance x Carbon nas operações Ountbound. _x000a_4P - rollout realizado em 04/04 para 100% da operação. _x000a_3P - rollout em andamento. _x000a__x000a_Edison Nei Siqueira added a comment - 29/Mar/16 15:40_x000a_Desenvolvimento tControl, tGuidance e Carbon, homologação concluída e validada junto a operação. _x000a_Instalação do Carbon nas posições de crescimento, 209 PAs site Comércio OCT e 164 no site Boa Viagem concluído e em homologação por parte de operações. _x000a_SCs com necessidade de ajuste de valores para aquisição dos demais insumos para a infraestrutura definitiva._x000a__x000a_15/03 - Mesmo status. Handover Finalizado com o Edson Siqueira _x000a__x000a_07/03 - Todo o Site Comércio (Célula 4P) e Site Boa Viagem (Célula 3P) estão com as operações com o Carbon instalado._x000a_Hoje estamos na Fase de Teste do tGuidance com Carbon ou usando um skill da operação ou VDN DDR._x000a_Em paralelo, temos uma Fase que envolve o TControl no qual foi alinhado uma EF no dia 03/03, com ambas as frentes. _x000a_Conforme retorno de TI, dentro do planejamento o período de desenvolvimento é no dia  09/03/2016 Quarta  à  21/03/2016 Segunda._x000a__x000a_01/03 - PTI - Terminando a validação da resolução dos monitores em relação ao Carbon; Início de testes em relação a Integração Tguidance x Carbon;_x000a_Interação sobre o Novo Escopo tControl x Carbon x TGuidance_x000a__x000a_23/02 - Sites Boa Viagem e Comercio estão preparados com o Carbon, no momento a operação está testando o mesmo junto ao fornecedor perante regras de negócios operacionais._x000a__x000a_15/02 - Fornecedor não conseguiu  completar a carga da base de clientes, mas já consegui subir parcialmente. Sobre os scripts, foi alterado a abordagem que realizamos o cadastro dos textos . _x000a_Em paralelo , estamos atuando on site perante a preparação do ambiente (Boa Viagem e Comércio)._x000a_Em última conferência , a fornecedora PT propôs que a integração do tControl seja com o Carbon e, após abertura do Carbon, o Carbon chame o tGuidance. Foi sinalizado esta necessidade a Equipe de Aplicações TI, aguardando retorno._x000a__x000a_10/02 - Fornecedor realizando algumas correções, no processo de upload da Base de clientes para os testes._x000a__x000a_02/02 - O fornecedor  PTI  verificou a  necessidade de alterações nas telas da campanha 3P Receptivo para adequar aos tamanhos dos monitores da Contax. Aguardando retorno da homologação._x000a__x000a_26/01 - Dentro da Demanda do Carbon temos 3 fases:_x000a_No momento estamos em  homologaçao:_x000a_FASE 1 - Sem Integração_x000a_Validação do Carbon (Operação inbound) _x000a__x000a_18/12 - Cronograma enviado no dia 02/12, sendo aceito pela solicitante._x000a_Fase: Instalação do Carbon pelo Fornecedor PTI e Início dos testes._x000a_Em paralelo está sendo Desenvolvimento a frente de Mailing pela Equipe de Aplicações._x000a_Foi avaliado que o Site Comercio não tem infraestrutura para o aceite de 32 pas, sendo avaliado possibilidade de colocar tudo no Site Boa Viagem ou em outro Site._x000a_Hoje temos o layout assertivo de 68 pas no Site Boa Viagem, já foi avaliado a premissa de desktops _x000a_dos agentes. _x000a__x000a_08/12 - ENG - Desenho da Solução enviado ao solicitante, retorno de aceite do mesmo.Cronograma sendo seguido_x000a_Site - Solicitação de layout para o solicitante para avaliação da infra dos desktops do agente, aguardando retorno do solicitante.Em paralelo, houve questionamento do Site pois o site comercio não tem link mpls direto com o DC, e migramos 300 pas para o mesmo nesta semana. _x000a_Questionamentos feitos a ENG (Villa) &quot;Houve avaliação do link? Suporta? Qual será a rota de saída?”_x000a__x000a_01/12 - Cronograma sendo alinhado com as áreas._x000a_Ações de CSE em andamento._x000a_Doc do Desenho da Solução sendo finalizado por ENG, em paralelo a Dell estará enviando as cotações dos servidores para a infra definitiva seguindo o processo de Suprimentos._x000a__x000a_24/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17/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_x000a_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_x000a__x000a_30/10 - Reunião de alinhamento sobre execução de integração do Carbon com tguidance realizada entre operação,  TI e OI._x000a__x000a_27/10 -  Análise e Entendimento do Escopo do Projeto, em defesa de prioridades por Diretoria._x000a_20/10 - Análise e Entendimento do Escopo do Projeto_x000a_13/10 - Análise e Entendimento do Escopo do Projeto_x000a_06/10 -Informado ao solicitante para preencher o formulário de detalhamento do projeto para podermos dar continuidade na Análise e estimativa do mesmo. _x000a_"/>
    <x v="3"/>
    <s v="Telecom PT"/>
    <s v="TBD"/>
    <s v="Piloto/Homologação"/>
    <m/>
    <n v="15"/>
  </r>
  <r>
    <s v="CTXSALSM-78582"/>
    <s v="Projeto - Implantar Relatorio de Ura Oi Internet"/>
    <s v="BA- Site Fonte Nova"/>
    <s v="Operações que não estão no Plano de Recuperação"/>
    <x v="4"/>
    <s v="Ana Coelho"/>
    <s v="Ana Sosa"/>
    <x v="4"/>
    <s v="Cris Kuzuhara"/>
    <s v="Desenvolvimento"/>
    <d v="2015-07-03T18:15:00"/>
    <n v="306.23958333333576"/>
    <d v="2015-09-25T00:00:00"/>
    <x v="1"/>
    <m/>
    <d v="2016-05-06T00:00:00"/>
    <s v="Sim"/>
    <m/>
    <s v="03/05 - Cliente está solicitando uma liberação via web que não está dentro do escopo da demanda. Foi solicitado uma call amanhã 04/05 para esta definição._x000a__x000a_25/04 - Mesmo status._x000a__x000a_19/04 - Aguardando o retorno de Ura Contax com as pendências de finalização desta demanda._x000a__x000a_12/04 -Noc já treinado. a Matriz de Acionamento enviada._x000a_Aguardando retorno sobre os acessos e finalizando questões de relatórios._x000a__x000a_04/04 - Treinamento do Noc sendo realizado.Liberação do cliente, sendo realizado. _x000a_Conforme interação com Dennys Noc, o treinamento será finalizado no dia 11/04, no qual posteriormente será enviado a Matriz de Acionamento para o solicitante._x000a__x000a_28/03 - Treinamento do Noc sendo realizado.Liberação do cliente, sendo realizado._x000a__x000a_21/03 - Mesmo status._x000a__x000a_15/03 - Analisando a possibilidade dos acesso do cliente Oi ( Via Link de Internet ou Acesso Via Nat);_x000a_ - Matriz de Acionamento, estamos em treinamento do Noc  para que possamos enviá-la._x000a__x000a_07/03 - Definição de treinamento com NOC._x000a__x000a_01/03 - Aplicação em Produção, feito treinamento direto com o cliente._x000a_Homologado com sucesso._x000a_No momento estamos, tentando interação com o NOC para definição _x000a_de processos de Monitoração._x000a__x000a_23/02- A ferramenta está em Produção porém, para a Ura conseguir passar as informações de Produção é necessário a GMUD (dia 24/02)._x000a_Fase de Piloto com término no dia 26/02._x000a_Quanto a parte de Monitoração, estamos alinhando com as partes de TI para que o NOC entre em contato com o Manuel Botelho (Site), informando a indisponibilidade, caso haja._x000a_Ontem a Equipe de URA fez um over view com o cliente._x000a_Hoje teremos uma conferência para fechar este fluxo. _x000a__x000a_15/02 - Cronograma seguindo conforme acordado. Equipe de Ura atuando, conforme previsto._x000a__x000a_10/02 - Cronograma refeito com o dealine 24/02, amanhã daremos continuidade as ações de Ura._x000a__x000a_02/02 - Refeito o cronograma, a parte do CSE já está concluída. Estamos trabalhando com a Equipe de Ura para que possamos reduzir as ações do mesmo. Por enquanto dead line está em 29/02._x000a__x000a_26/01 - Encontramos um problema no switch onde o servidor está conectado perante a este cenário o cronograma está atrasado, aguardando retorno do LW para atualização._x000a__x000a_15/12 - CTXSALSM-78582 - Projeto entregue em: 15/12/2015 _x000a_18/12 - Conforme retorno de Engenharia, foi consolidado o cronograma de ações do CSE e Ura, enviados hoje ao solicitante._x000a_Prazo Homologação Final: 19/02/2016_x000a__x000a_08/12 - Apesar do solicitante pedir a homologação dentro do prazo do dia 09/12, devido as prioridades, o Prazo ENG foi 08/12 às 15/12._x000a__x000a_01/12 - a Equipe de Ura está andando com o processo. Porém, a Equipe de  ENG estão reprogramando a fila devido as solicitações da diretoria e não podiam definir um prazo no momento._x000a__x000a_24/11 - Interação entre a Equipe de Ura e Linux a fim de criar um script de limpeza dos logs.  Assim que recebermos as inf de Ura, o Analista Linux irá criar a rotina de expurgo de dados._x000a_17/11 - Aguardando retorno do cliente perante estas informações de Infra, verificando necessidade de uma redução nos requisitos da infra solicitada pelo Klaus._x000a_Foi solicitado um valor mínimo aceitável para o número de processadores e espaço em disco._x000a__x000a_05/11 - Conforme análise de Infra pelo Klaus:_x000a_-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_x000a__x000a_"/>
    <x v="1"/>
    <s v="Thiago Fialho / Alexandre "/>
    <d v="2016-05-06T00:00:00"/>
    <s v="Homologação"/>
    <m/>
    <m/>
  </r>
  <r>
    <s v="CTXSPOLP-106246"/>
    <s v="Projeto -Desenv de Front End &quot;Discafácil&quot; para a Célula Small_Infra do Discafácil"/>
    <s v="_x000a_SP - Site  Lapa"/>
    <s v="Plano Recuperação"/>
    <x v="0"/>
    <s v="Noemia Ferro"/>
    <s v="Maurício Perez"/>
    <x v="4"/>
    <m/>
    <s v="Desenvolvimento"/>
    <d v="2015-06-17T00:00:00"/>
    <n v="323"/>
    <d v="2015-09-25T00:00:00"/>
    <x v="1"/>
    <m/>
    <d v="2016-05-06T00:00:00"/>
    <s v="não"/>
    <m/>
    <s v="03/05 - Aguardando retorno do Luiz Washington (CSE )_x000a__x000a_25/04 - Hoje de acordo com o CSE DBA é finalizado a migração de Base._x000a__x000a_19/04 - Aguardando liberação de acesso do CSE DBA._x000a__x000a_12/04 - Em últimas definições de acesso do Discafácil ._x000a__x000a_04/04 - Necessidade do solicitante original foi cancelada. _x000a_O chamado ficará aberto devido a disponibilização da infra para o produto Discafácil._x000a_Interação com o CSE._x000a__x000a_28/03 - Necessidade foi cancelada. O chamado está aberto, devido a &quot;pendência&quot; do Discafácil. Aguardando retorno do CSE. Prazo Hoje 29/03_x000a__x000a_21/03 - Amanhã, prazo final para cancelamento desta demanda. Em paralelo, está sendo verificado a Infra do Discafácil com o LW._x000a__x000a_15/03 - A operação está aguardando os testes de homologação para outra demanda da Cielo da Ayty, para melhorias no Front End da ARV._x000a_Se esta solicitação estiver OK para a operação, poderemos cancelar este projeto._x000a__x000a__x000a_07/03 - Solicitado a George nova revisão da EF,  com o prazo de 48h de retorno._x000a__x000a_01/03 - Mesmo Status._x000a__x000a_23/02 - Refeito o custo de Engenharia junto ao desenho da solução, no momento está sendo avaliado pela Equipe de Aplicações. Em paralelo, estamos aguardando retorno da EF, pela operação._x000a__x000a_15/02 - Ainda estamos aguardando a atualização da EF e em paralelo estamos revisando o custo desta demanda e provavelmente na semana que vem terminaremos a monitoração do ambiente destino e avaliaremos se é possível usar a infra do tGuidance._x000a__x000a_10/02 - Mesmo Status. Em paralelo o custo desta demanda está sendo revisada. _x000a__x000a_02/02 - Aguardando o treinamento em SP para a operação poder finalizar _x000a_a EF desta demanda._x000a__x000a_26/01 - Desde a última conferência realizada com a operação no dia 05/01 estamos aguardando a EF atualizada pelos mesmos._x000a_Em paralelo estamos verificando com Engenharia pois tivemos retorno de que há necessidade de upgrade do Storage no qual estávamos aguardando o departamento comercial pois não tínhamos a cotação pois a renovação do serviço não foi realizada com a Dell._x000a_---------------------------------------_x000a_04/01 - Iniciado estudo de engenharia_x000a_18/12 - Prazo de Engenharia 28/12 à 30/12_x000a__x000a_08/12 - EF anexada ontem (07/12) ao chamado, sendo avaliada pela Equipe de Desenvolvimento._x000a__x000a_01/12 -Solicitado a EF desta demanda a operação. Foi sinalizado que foram feitos questionamentos de TI no chamado desde o dia 23/07 e não tivemos retorno. Aguardando._x000a__x000a_24/11 - Em Estimativa de OG_x000a_17/11 - Estimativa de OG_x000a_30/10 - Estimativa de OG_x000a_20/10 - Aguardando recurso para análise e definição de OG e/ou priorização pela diretoria. _x000a__x000a_13/10 - Aguardando recurso para Análise e definição de OG e/ou priorização pela diretoria. _x000a_06/10 - Não iniciado. Precisamos alinhar expectativa de cronograma."/>
    <x v="6"/>
    <s v="Luiz Washington"/>
    <d v="2016-05-06T00:00:00"/>
    <s v="Liberação"/>
    <m/>
    <n v="50"/>
  </r>
  <r>
    <s v="CTXSPOLP-115114"/>
    <s v="Projeto - Renovação de Servidores DNK - Ticket "/>
    <s v="SP - Operação Site Antártica_x000a_SP - Infra Site Lapa"/>
    <s v="Plano Recuperação"/>
    <x v="0"/>
    <s v="Noemia Ferro"/>
    <s v="Maurício Perez"/>
    <x v="4"/>
    <s v="Carlos Batista"/>
    <s v="Implantação de PA (crescimento, migração ou nova operação)"/>
    <d v="2015-11-18T15:30:00"/>
    <n v="168.35416666666424"/>
    <d v="2015-12-02T00:00:00"/>
    <x v="0"/>
    <d v="2016-05-15T00:00:00"/>
    <d v="2016-04-25T00:00:00"/>
    <s v="Risco"/>
    <m/>
    <s v="03/05 - A troca dos equipamentos irá ser efetuada pela Ticket/DNK e a Ticket deverá retornar com previsão e cronograma para dia 15 de maio._x000a__x000a_19/04 - Mesmo status. Agendado reunião dia 25/04 sobre estes pontos da Ticket._x000a__x000a_12/04 - Conforme contato com o ponto focal de TI do Site Lapa, não tivemos retorno da DNK sobre os servidores._x000a_Contanto, o cronograma está defasado. Foi solicitado atualização._x000a__x000a_04/04 -  Mesmo Status. Cronograma sendo seguido._x000a__x000a_28/03 - Mesmo Status. Cronograma sendo seguido._x000a__x000a_21/03 - Mesmo status._x000a__x000a_15/03 - Cronograma da DNK recebido e alinhado com TI.  _x000a_Início 15/04_x000a__x000a_07/03 - Mesmo status, aguardando retorno da DNK._x000a__x000a_01/03 - DNK informou que irão enviar novo cronograma para sequencia da demanda. Foi solicitado por TI envio com 72 horas de antecendência, para organização de todas as frentes._x000a__x000a_23/02 - Carlos reportou que DNK e Cliente tiveram reunião na sexta 19/02 e fizeram um cronograma, aguardando o mesmo._x000a__x000a_15/02 - Mesmo Status. Cronograma realizado junto ao CSE e Suporte Site. Dead line 17/02_x000a__x000a_10/02 - Cronograma realizado junto ao CSE e Suporte Site. Dead line 17/02_x000a__x000a_02/02 - CSE já está atuando no sentido de preparar a Infra no ambiente, interação com Controle de Ativos para esta necessidade._x000a__x000a_26/01 - Aguardando cronograma do CSE  em relação a preparação de Infra para os servidores da DNK._x000a__x000a_21/01 - Definido as ações abaixo, ainda aguardando retorno do Item 1._x000a__x000a_1. O servidores serão disponibilizados pela própria DNK – Definição dos servidores nesta Seg 18/01._x000a_2. A instalação e configuração serão realizadas pela DNK_x000a_3. Precisamos informar para a  DNK os IPs dos servidores  10.51.0.83/23 e 10.51.84./23 (descritos na topologia)_x000a_4. Necessário a  passagem de cabeamento dos core ate os servidores_x000a_5. No firewall já existem uma regras,  para  validar o é necessário efetuar testes em conjunto com a DNK_x000a_-----------------------------------------------_x000a__x000a_18/12 - Prazo de Engenharia: _x000a_14/12 à 05/01/2016_x000a__x000a_08/12 - Conforme padrão, foi enviado para Fila de ENG com todo  o escopo detalhado da demanda. Aguardando Prazo para análise"/>
    <x v="1"/>
    <s v="Carlos / Cibele"/>
    <d v="2016-05-15T00:00:00"/>
    <s v="Implantação"/>
    <m/>
    <n v="150"/>
  </r>
  <r>
    <s v="CTXSPOLP-115119"/>
    <s v="Projeto - URANET - Ticket "/>
    <s v="SP - Operação Site Antártica_x000a_SP - Infra Site Lapa"/>
    <s v="Plano Recuperação"/>
    <x v="0"/>
    <s v="Noemia Ferro"/>
    <s v="Maurício Perez"/>
    <x v="4"/>
    <s v="Carlos Batista"/>
    <s v="Implantação de PA (crescimento, migração ou nova operação)"/>
    <d v="2015-11-18T16:03:00"/>
    <n v="168.33125000000291"/>
    <d v="2015-12-02T00:00:00"/>
    <x v="0"/>
    <s v="TBD"/>
    <s v="TBD"/>
    <s v="Risco"/>
    <m/>
    <s v="03/05 - Sem retorno do fornecedor, aguardando._x000a__x000a_25/04 - Reunião a ser agendada por Cibele com o time de projeto do lado da Ticket, para levantar histórico e situação atual do projeto, para prover respostas pendentes para a Contax e demais atividades._x000a__x000a_19/04 - Aguardando retorno da operação, perante a homologação._x000a__x000a_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_x000a_Aguardando retorno do solicitante para os testes na operação._x000a__x000a_04/04 - Durante a segunda parte da conferência entre as áreas de TI Contax e URANET, foi identificada a necessidade de realizar uma configuração extra nos links para garantir a automatização da solução em caso de queda de um destes links._x000a_Engenharia TI atuando no novo desenho da solução_x000a__x000a_28/03 - Cronograma alterado: Início: 23/03 Seg  -  Fim: 01/04 Qua_x000a__x000a_21/03 - Cronograma alterado: Início: 28/03 Seg  -  Fim: 08/04 Qua_x000a__x000a_15/03 - Prazo TI _x000a_Início: 15/03 Seg  -  Fim: 08/04 Qua_x000a__x000a__x000a_07/03 - Solicitado a atualização do cronograma porTI Site._x000a__x000a_01/03 - Tivemos uma ativação de circuito Oi no site Lapa. Cronograma seguindo conforme previsto._x000a__x000a_23/02 - Cronograma de TI sendo seguido . Início: 15/02 Seg  -  Fim: 11/03 Qua.  _x000a__x000a_10/02 - Cronograma realizado junto ao CSE e Suporte Site. Dead line 11/03_x000a__x000a_02/02 - CSE já está atuando no sentido de preparar a Infra no ambiente, interação com Controle de Ativos para esta necessidade._x000a__x000a_26/01 - Aguardando o cronograma de CSE perante as preparações de Infra. Em paralelo estamos interagindo com  a operação perante algumas pendências de informações para análise de Engenharia Telecom._x000a__x000a_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_x000a__x000a_• Instalar um novo switch extranet     (Modelo sugerido 3560G 24portas )._x000a_• Dois roteadores ( 3845, 2811, 1841, 2851) ._x000a_• Passagem de cabo do firewall até o novo extranet, passagem de cabo do extranet até os novo roteadores, passagem de cabo dos nossos roteadores até o equipamento das operadoras Algar e Oi ._x000a_• Na topologia contem as informações para configurar o extranet e os dois roteadores,  segue também um txt com as regras de firewall e roteamento, as liberações também envolvem a comunicação do nosso PABX com o PABX da Uranet as regras estão no txt.  _x000a_• Verificar com Microsoft para  cadastrar os endereços no DNS._x000a_Foi solicitado cronograma ao CSE perante as ações acima._x000a_-----------------------------------------------------------_x000a_18/12 - Prazo de Engenharia: _x000a_14/12 à 05/01/2016_x000a__x000a_08/12 - Conforme padrão, foi enviado para Fila de ENG com todo  o escopo detalhado da demanda. Aguardando Prazo de ENG."/>
    <x v="1"/>
    <s v="Carlos / Cibele"/>
    <d v="2016-04-29T00:00:00"/>
    <s v="Homologação"/>
    <m/>
    <n v="100"/>
  </r>
  <r>
    <s v="CTXPOARB-85984"/>
    <s v="Projeto RTI - Registro da Ocorrência de Callback"/>
    <s v="POA e Santo Amaro"/>
    <s v="Plano Recuperação"/>
    <x v="5"/>
    <s v="Rodrigo Zambon"/>
    <s v="Leonardo Pelegrino"/>
    <x v="2"/>
    <s v="Juliano Molina"/>
    <s v="RTI"/>
    <d v="2015-03-27T00:00:00"/>
    <n v="405"/>
    <d v="2015-08-01T00:00:00"/>
    <x v="1"/>
    <m/>
    <d v="2016-08-01T00:00:00"/>
    <s v="-"/>
    <m/>
    <s v="[03/05] - Em desenvolvimento_x000a_[25/04] - Iniciado o desenvolvimento conforme previsto. _x000a_[18/04] - Aguardando desenvolvimento. Inicio em 25/04. _x000a_[11/04] - Aguardando desenvolvimento. _x000a_[04/04] Datas de desenvolvimento replanejada devido ao remanejamento de recursos para a execução das demandas de Claro. Datas de UAT precisam ser validadas com a operação._x000a_[29/03] - Terá impacto no desenvolvido, pois o recurso foi alocado no projeto da Claro. Prazo para novas datas de desnvolvimento  4/4_x000a_[22/03] Aguardando inicio dos desenvolvimentos, conforme cronograma publicado. _x000a_[15/03] Aguardando inicio do desenvolvimento. Data de UAT sugerida de 28/04 a 04/05/16. Aguardando confirmação de datas de piloto e rollout por PMO-Negócio. _x000a_Data fim de desenvolvimento agora está considerando testes internos. Não impacta as demais datas. _x000a_[08/03] - Desenvolvimento dos ajustes foram reagendados para 06/04/16 a 19/04/16. Sugestão de datas de Homologação de 29/04/16 a 07/06/16                                                   01/03/16: Pendente resposta do fornecedor. _x000a_22/02/16: Homologação do Callback não aprovada pela operação. Nos dias 24 e 25, TI fará análise técnica in loco para determinar as próximas ações e replanejamento. _x000a_10/02 - Piloto inconclusivo. Negócio deve confirmar o roll out... Aguardando_x000a_10/02 - Mesmo status_x000a_05/02 - Homologação &quot;Call Back&quot; não aprovada pela operação. Piloto estendido até 12/02. Demais OK_x000a_01/02: Aguarda a definição de negócio quanto a prioridade de projetos. Retrofit x RTI para definir a data do rollout.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Mariana APP_x000a_25/11 - • O projeto está previsto para ser tratado por ENG somente do dia 08/12 a 14/12 (quando a previsão inicial era para conclusão até o dia 27/11)_x000a_• Necessário rever atividades com CSE e site para novo cronograma de entrega_x000a_• Como a complexidade é alta, será realizado o projeto primeiramente no site de Navegantes para depois avançarmos para Santo Amaro e Aurora_x000a__x000a_24/11 – Encaminhamos ao PMO-TI um alerta de risco de atraso pois precisamos das atividades de ENG, CSE e Site prontos até dia 27/11_x000a_[17/11] Cronograma alinhado. Parte de desenvolvimento já concluída. Aguardando resposta de ENG com as datas de implantação._x000a_Como o projeto é de alta complexidade, ocorrerá o piloto no site de navegantes, onde já temos cronogramas.  Para os sites de Aurora-PE e Santo Amaro-PE serão realizados depois do Freezing e do piloto -&gt; Cronograma a ser realizado_x000a_[27/10 – Leandro] disponibilizado um login único provisório para continuidade da equipe de RTI em 27/10  / em paralelo suporte negócio continuará tentar viabilizanr com a NET um login definitivo para uso de RTI)_x000a__x000a_[20/10 – Leandro] Alteração dos logins que serão usados para os testes e desenvolvimentos. Suporte ao Negócio interagindo com com NET para habilitação dos logins.  (ainda aguardando)_x000a_[13/10 – Leandro] Alteração dos logins que serão usados para os testes e desenvolvimentos. Suporte ao Negócio interagindo com com NET para habilitação dos logins. _x000a__x000a_[5/10 – Leandro] Identificado a necessidade de abertura automática do registro.  Automação de processos aguardando passo a passo do processo de abertura de call-back pelo operador, para ajustar o desenho do TO BE e o desenho da solução. _x000a_[28/09 - Leandro] Automação de Processos está tocando o detalhamento do processo, os mesmos solicitaram o apoio de Juliano Molina para auxilia-los, o mesmo já retornou com documento._x000a_[17/09 – Cleonice] Aguardando recurso para realizar a análise da documentação e disponibilizar cronograma de desenvolvimento."/>
    <x v="0"/>
    <s v="Mariana"/>
    <d v="2016-04-27T00:00:00"/>
    <s v="Desenvolvimento"/>
    <d v="2015-08-01T00:00:00"/>
    <n v="1500"/>
  </r>
  <r>
    <s v="CTXPOARB-94401"/>
    <s v="RTI - Verificar e validar Lançamentos Futuros para Reembolso"/>
    <s v="POA e Santo Amaro"/>
    <s v="Plano Recuperação"/>
    <x v="5"/>
    <s v="Rodrigo Zambon"/>
    <s v="Leonardo Pelegrino"/>
    <x v="2"/>
    <s v="Juliano Molina"/>
    <s v="RTI"/>
    <d v="2015-09-30T00:00:00"/>
    <n v="218"/>
    <d v="2015-10-07T00:00:00"/>
    <x v="1"/>
    <d v="2016-03-17T00:00:00"/>
    <d v="2016-06-24T00:00:00"/>
    <s v="Sim"/>
    <m/>
    <s v="[03/05] - Mesmo status_x000a_[25/04] - UAT em andamento._x000a_[18/04] - UAT em andamento._x000a_ [11/04] Desenvolvimento finalizado em 05/04/16. UAT iniciada em 07/04/16, conforme cronograma. _x000a_[04/04]  Solicitado à operação para informar hostname e responsável pelo UAT.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rocesso de assessment concluído, com entrega da solução a ser desenvolvida prevista para dia 26/01._x000a_18/01 - Início do assessment reagendado para 18/01 a pedido da Operação. Afetando demais datas do projeto_x000a_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
    <x v="1"/>
    <s v="Juliano Molina"/>
    <m/>
    <s v="Homologação"/>
    <d v="2016-06-24T00:00:00"/>
    <m/>
  </r>
  <r>
    <s v="CTXPOARB-94402"/>
    <s v="RTI - Aviso sobre abertura/geração de ocorrências duplicadas no N1"/>
    <s v="POA e Santo Amaro"/>
    <s v="Plano Recuperação"/>
    <x v="5"/>
    <s v="Rodrigo Zambon"/>
    <s v="Leonardo Pelegrino"/>
    <x v="2"/>
    <s v="Juliano Molina"/>
    <s v="RTI"/>
    <d v="2015-09-30T00:00:00"/>
    <n v="218"/>
    <d v="2015-10-07T00:00:00"/>
    <x v="1"/>
    <d v="2016-03-17T00:00:00"/>
    <d v="2016-06-24T00:00:00"/>
    <s v="Sim"/>
    <m/>
    <s v="[03/05] - Mesmo status_x000a_[25/04] - UAT em andamento._x000a_[18/04] - UAT em andamento. _x000a_[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 _x000a_[15/03] - Mesmo status_x000a_[08/03 - Em desenvolvimento   _x000a_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10/02 - Mesmo status_x000a_05/02 - Recebida revisão do documento em 05/02 e está em avaliação pelo time interno. Nova data de início do desenvolvimento será definida até dia 12/02_x000a_01/02: Assessment realizado por terceiro não atendeu aos requisitos mínimos para desenvolvimento. Reunião para envio de complementos agendada para 01/02/16 com impacto na data inicial do desenvolvimento. Nova da data a ser definida até 05/02/16._x000a_26/01: Devido à incremento de escopo, tempo de desenvolvimento replanejado._x000a_18/01 - Devido à incremento de escopo, tempo de desenvolvimento replanejado._x000a_Solicitante respondeu EF ontem (dia 23/11) e no mesmo dia, após avaliação de TI, encaminhamos ao fornecedor para obter a proposta comercial_x000a_[23/11] EF encaminhada. O próximo passo agora é enviar os documentos recebidos na sexta-feira para o fornecedor, que nos enviará a proposta comercial para ser aprovada. O fornecedor está levando em média de 5 a 7 dias úteis para nos retornar._x000a_[16/11] Aguardando retorno do solicitante."/>
    <x v="1"/>
    <s v="Juliano Molina"/>
    <m/>
    <s v="Homologação"/>
    <d v="2016-06-24T00:00:00"/>
    <m/>
  </r>
  <r>
    <s v="CTXPOARB-94403"/>
    <s v="RTI - PopUP no momento da geração de Visita Técnica e abertura de IE"/>
    <s v="POA e Santo Amaro"/>
    <s v="Plano Recuperação"/>
    <x v="5"/>
    <s v="Rodrigo Zambon"/>
    <s v="Leonardo Pelegrino"/>
    <x v="2"/>
    <s v="Juliano Molina"/>
    <s v="RTI"/>
    <d v="2015-09-30T00:00:00"/>
    <n v="218"/>
    <d v="2015-10-07T00:00:00"/>
    <x v="1"/>
    <d v="2016-03-17T00:00:00"/>
    <d v="2016-06-24T00:00:00"/>
    <s v="Sim"/>
    <m/>
    <s v="[03/05] - Mesmo status_x000a_[25/04] - UAT em andamento._x000a_[19/04] - UAT em andamento_x000a_[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Fornecedor BETTA respondeu a proposta em 17/11, porém a proposta do fornecedor veio incompleta – Aguardando nova proposta 24/11_x000a_[16/11] Enviamos solicitação para proposta comercial de fornecedro BETTA – Aguardando proposta"/>
    <x v="1"/>
    <s v="Juliano Molina"/>
    <m/>
    <s v="Homologação"/>
    <d v="2016-06-24T00:00:00"/>
    <m/>
  </r>
  <r>
    <s v="CTXPOARB-95442"/>
    <s v="RTI - Preenchimento automático do Infomaker"/>
    <s v="POA e Santo Amaro"/>
    <s v="Plano Recuperação"/>
    <x v="5"/>
    <s v="Rodrigo Zambon"/>
    <s v="Leonardo Pelegrino"/>
    <x v="2"/>
    <s v="Juliano Molina"/>
    <s v="RTI"/>
    <d v="2015-10-21T00:00:00"/>
    <n v="197"/>
    <d v="2015-10-22T00:00:00"/>
    <x v="1"/>
    <m/>
    <d v="2016-06-18T00:00:00"/>
    <m/>
    <m/>
    <s v="[03/05] - Mesmo status_x000a_[25/04] - Desenvolvimento em andamento_x000a_[18/04] - Desenvolvimento em andamento_x000a_ [11/04] - TO BE aprovado pela operação. Inicio do desenvolvimento em 11/04/16. _x000a_[04/04] TO BE enviado para aprovação da operação em 01/04/16; aguardando retorno da operação. Datas de desenvolvimento e UAT replanejadas devido ao remanejamento de recursos para a execução das demandas de Claro; datas de UAT precisam ser validadas._x000a_ [29/03] - To be iniciado. Previsto entrega dia 30/4. _x000a_[21/03] Aguardando inicio do desenho do TO BE, conforme cronograma publicado. _x000a_[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_x000a_ [08/03] - Operação retornou com EF complementar em 03/03/16. Novas datas de desenvolvimento e TO BE publicadas. Datas de Homologação 18/05/16 a 24/06/16 01/03/16: Mesmo status._x000a_22/02/16: Desenvolvimento da EF previamente enviada está concluído. Aguardando EF complementar ser enviada pela operação. _x000a_11/02 - Replanejado para dia 26/02_x000a_05/02 - Devido à incremento de escopo, tempo de desenvolvimento replanejado para 06/01 a 19/02_x000a_01/02: Piloto previsto para 25/02 à 07/03.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24/11 - Juliano respondeu dia 19/11. Após avaliação de TI encaminhamos proposta para o fornecedor 24/11/15_x000a_[16/11] Aguardando retorno do solicitante."/>
    <x v="0"/>
    <s v="Mariana"/>
    <d v="2016-04-01T00:00:00"/>
    <s v="Em Desenvolvimento"/>
    <d v="2016-06-18T00:00:00"/>
    <m/>
  </r>
  <r>
    <s v="CTXPOARB-95467"/>
    <s v="RTI - Preenchimento automático texto padrão"/>
    <s v="POA e Santo Amaro"/>
    <s v="Plano Recuperação"/>
    <x v="5"/>
    <s v="Rodrigo Zambon"/>
    <s v="Leonardo Pelegrino"/>
    <x v="2"/>
    <s v="Juliano Molina"/>
    <s v="RTI"/>
    <d v="2015-10-22T00:00:00"/>
    <n v="196"/>
    <d v="2015-10-22T00:00:00"/>
    <x v="1"/>
    <m/>
    <d v="2016-05-17T00:00:00"/>
    <s v="Sim"/>
    <m/>
    <s v="[03/05] - Em piloto_x000a_[25/04] - Iniciado piloto em 20/04_x000a_[19/04] - Piloto programado para iniciar dia 20/04_x000a_[11/04] UAT aprovado pela operação. Aguardando inicio do Piloto, de acordo com as datas definidas pela operação._x000a_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_x000a_[22/03] Inicio de UAT programado para as 14h do dia 22/03/16. Data de piloto confirmada pela operação._x000a_[14/03] Validar com os sites as datas para piloto e rollout._x000a_[08/03] - Rollout em Recife planejado do dia 08/03 a 18/03, porém a operação não aprovou as datas devido ao DMM. Aguardando novas datas para programarmos o rollout. 01/03/16: Pendente envio de cronograma. _x000a_22/01/16: Em desenvolvimento, não há pendências. Piloto antecipado em função do DMM da operação._x000a_05/02 - Em desenvolvimento até 19/02, porém o piloto foi antecipado para 29/02 a 09/03 devido ao DMM da operação_x000a_01/02: Piloto previsto para 29/02 à 09/03. Piloto foi antecipado a pedido de negócio devido ao DMM._x000a_26/01 - Mesmo status _x000a_18/01 - Devido à alteração da solução tecnico/operacional , necessário redesenho da solução técnica impactando início do desenvolvimento. _x000a_[16/11] Aguardando retorno do solicitante. EF com dados insuficientes para solicitar a Proposta Comercial."/>
    <x v="1"/>
    <s v="Juliano Molina"/>
    <m/>
    <s v="Piloto"/>
    <d v="2016-05-17T00:00:00"/>
    <s v="20 Pas"/>
  </r>
  <r>
    <s v="CTXSPOAP407-12333"/>
    <s v="TAM - Virtualização URA-BR   - (antigo: Ura Rec Voz )"/>
    <s v="Alegria/SP"/>
    <s v="Plano Recuperação"/>
    <x v="5"/>
    <s v="Rodrigo Zambon"/>
    <s v="Leonardo Pelegrino"/>
    <x v="1"/>
    <s v="Fabrício Peixoto"/>
    <s v="URA"/>
    <d v="2015-09-03T00:00:00"/>
    <n v="245"/>
    <d v="2015-08-01T00:00:00"/>
    <x v="0"/>
    <s v="TBD"/>
    <s v="TBD"/>
    <s v="Não existe data fechada"/>
    <m/>
    <s v="[03/05] - Pendências de Liberações de redes executada. Necessario solicitar novos testes com o fornecedor; _x000a__x000a_[26/04] - Pendências de Liberações de redes para prosseguimento ações ISYS (Homologação Infra/Aplicação). Solicitado apoio CSE (emial em18/04, com informações)_x000a__x000a_[19/04] - Pendências de Liberações de redes para prosseguimento ações ISYS (Homologação Infra/Aplicação). Solicitado apoio CSE (emial em18/04, com informações)_x000a_[12/04] - Problemas de redes Contax,  inviabilizaram testes dia 06/04. _x000a_Nova data proposta para retomada dos testes com ISYS ( 13/04] ._x000a_Fase Atual - Homologação da Plataforma e da Nova Aplicação. [previsto até 25/04 ]_x000a_1) Plano de Ação para homologação Aplicação, será apresentado pela ISYS após homologação da nova plataforma._x000a__x000a_[05/04] - Agendado Teste de Homologação da Plataforma com Fornecedor ISYS ( 06/03 - 14HS ). _x000a_Proxima etapa - Plano de Açã opara testes de Homologação Aplicação na nova Plataforma._x000a__x000a_[29/03] -  Ambiente disponibilizado para testes . Solicitado esclarecimentos para fornecedor ISYS sobre Plano de ação para homologação (Login Agent) . Ag. retorno para dar inicio aos testes,_x000a__x000a_[22/03] -  Entrega ambnte para para testes tecnicos planejado para 23/03. O fornecedor enviará o plano de ação para a homologação da nova infra até 22/03._x000a_Fase de validação por Negócios, para as informações  solicitdas pelo Fornecedor YSYS, para configuração do novo ambinete URA  (Plano de rollout)  [Logins, vdns e skill, hostnames pa's ativas]_x000a__x000a_[15/03] - Desenvolvimento em andamento pela ISYS. Aguardando agendda do Cliente para alinharmos a criação do  plano de Ação para Rollout ambiente._x000a__x000a_ [11/03] - Problemas de redes e Infra CTX, resolvidos em 10/03. Solicitado testes e atualizaão do Cronograma, para fornecedor ISYS. Impacto estimado de 8 dias . Nova data entrega ambiente para homologação TAM - 23/03_x000a__x000a_[08/03] - Solucionados problemas de Infra (redes) no ambiente Contax._x000a_Fornecedor retomou a etapa de instalação componentes para prosseguir com desenvolvimento._x000a_Impacto no Cronograma  (Atraso) : +/-  15 dias_x000a__x000a_[29/02] - Ponto Atenção (Atraso) - Identificamos problemas Infra Contax e está sendo tratado pela equipe Tecnica. _x000a_Impacto direto no tempo de desenvolvimento do fornecedor URA ( 10 dias )_x000a_ até momento._x000a_Expectativa de Conclusão: até 04/03_x000a__x000a_[23/02] - Desenvolvimento URA sendo executado pelo fornecedor, conforme planejado. Data prevista para disponibilização da ferramenta para testes ( 15/03 )._x000a__x000a_[16/02] - Desenvolvimento URA sendo executado pelo fornecedor, conforme planejado. Data prevista para disponibilização da ferramenta para testes ( 15/03 )._x000a__x000a_[10/02] - Desenvolvimento URA sendo executado pelo fornecedor, conforme planejado. Data prevista para disponibilização da ferramenta para testes ( 15/03 )._x000a__x000a_02/02 - Desenvolvimento sendo realizado pelo fornecedor, conforme planejado. Data prevista para disponibilização da ferramenta é 15/03._x000a__x000a_[29/01] - Aguardando status atualizado do cronograma de desenvolvimento da URA (Fornecedor ISYS)_x000a__x000a_[26/01] - Em andamento Desenvolvimento._x000a__x000a_[21/01] - Em andamento. Fase de Desenvolvimento pelo Fornecedor ISYS até 15/03. Cronograma d eentrega replanejado, devido a imprevistos de Infra Contax. Nova data informada no status de 21/01._x000a_Proxima etapa será homologação TAM (30DIAS) _x000a__x000a_[18/12] - Aguardando conclusão de liberações de acesso para Fornecedor ISYS [ LW - CSE ], previsão conclusão 18/12._x000a_O fornecedor ISYS iniciará desenvolvimento dia 04/01. Previsão de disponibilização do ambiente para Homologação da TAM em 02/03/16._x000a__x000a_[01/12] Servidores OK. Previsão de liberação na rede em 2/12._x000a_Pendente informação dos logins dos analistas pela ISYS para liberação do acesso nos novos servidores._x000a_Pendente status da disponibilização do AES_x000a_Cronograma enviado para atualização pela ISYS._x000a__x000a_[25/11] Aguardando retorno do Marangoni (área de Segurança) quanto alguns questionamentos realizados_x000a_Cliente está cobrando posicionamento_x000a__x000a_[18/11] Projeto está com as filas executoras e cronograma já foi feito._x000a_Necessário cobrar atividades de CSE, as mesmas não estão sendo pontuadas por eles._x000a__x000a_[15/10 – Leandro] Cronograma enviado em 20/10_x000a__x000a_[5/10 – Leandro]  Novo call envolvendo áreas técnicas  e cliente realizado dia 5/10. Próximos passos: cada área enviar suas lista  de atividades para montagem do cronograma._x000a_[18/09 – Dalton] Cronograma disponibilizado pelo Thiago Ferreira em 16/Set, neste momento estamos aguardando a definição do range de IPs pela equipe do Felipe Villa. _x000a_[28/09 - Leandro] Retorno pendente de ENG. Faremos um follow-up e cobrança desse assunto para prosseguimento."/>
    <x v="3"/>
    <s v="Marcel/Priscila"/>
    <s v="ND"/>
    <s v="Desenvolvimento/Execução"/>
    <d v="2016-03-30T00:00:00"/>
    <n v="600"/>
  </r>
  <r>
    <s v="CTXSPOAP407-12458"/>
    <s v="Pesquisa de Satisfação Eletrônica URA"/>
    <s v="Antártica/SP"/>
    <s v="Operações que não estão no Plano de Recuperação"/>
    <x v="6"/>
    <s v="Noemia Ferro"/>
    <s v="Maurício Perez"/>
    <x v="5"/>
    <s v="George Dimitrov"/>
    <s v="URA"/>
    <d v="2015-09-09T00:00:00"/>
    <n v="239"/>
    <d v="2015-08-01T00:00:00"/>
    <x v="2"/>
    <s v="TBD"/>
    <s v="TBD"/>
    <s v="TBD"/>
    <m/>
    <s v="04/05 - Aguardando aprovação do solicitante_x000a_27/04 - Aguardando aprovação_x000a_19/04 - Proposta enviada pela ISYS e necessário inclusão na fila de ENG (equipe de infra se é possível disponibilizar um Servidor de Banco de Dados ou se já temos um disponível sendo usado pela operação)_x000a_13/04 - Mesmo status_x000a_06/04 - Mesmo status_x000a_01/04 - Questionamentos enviados pela Information no dia 21/03. _x000a__x000a_Aguardando resposta do Santander_x000a__x000a_29/03 - Mesmo status_x000a_15/03 - Mesmo status_x000a_08/03 - Mesmo status_x000a_29/02 - Aguardando geração de pedido_x000a_22/02 - Mesmo status_x000a_16/02 - Aguardando DE ACORDO do solicitante em relação a proposta enviada pelo fornecedor_x000a_10/02 - Mesmo status_x000a_02/02 - Mesmo status_x000a_[28/01] - Aguardando aceite por parte do solicitante_x000a_[26/01] Aguardando proposta da ISYS_x000a_[26/11] Solicitação de proposta técnica/comercial para a Information. Aguardando retorno_x000a_[18/11] Pendente informações por parte de negócios (George / Veronica / Noemia)_x000a_14/10]] Análise de orçamento junto a Information Systems_x000a_[19/09 - Dalton] – encaminhado para George questionamentos levantados pela information, aguardando retorno._x000a_[18/09 - Dalton] Aguardando análise e orçamento da Information."/>
    <x v="1"/>
    <s v="George Dimitrov"/>
    <s v="Sem previsão"/>
    <s v="Desenvolvimento/Execução"/>
    <m/>
    <m/>
  </r>
  <r>
    <s v="CTXSPOBF-119863"/>
    <s v="Melhoria Relatório Screen Pop"/>
    <s v="Antártica/SP"/>
    <s v="Operações que não estão no Plano de Recuperação"/>
    <x v="6"/>
    <s v="Noemia Ferro"/>
    <s v="Maurício Perez"/>
    <x v="5"/>
    <s v="George Dimitrov"/>
    <s v="Desenvolvimento"/>
    <d v="2015-06-12T15:48:00"/>
    <n v="327.34166666666715"/>
    <d v="2015-08-01T00:00:00"/>
    <x v="1"/>
    <s v="-"/>
    <d v="2016-05-06T00:00:00"/>
    <s v="Sim"/>
    <m/>
    <s v="04/05 - Homologação marcada para dia 06/05 para finalização do projeto._x000a_29/04 - Testes realizados e OK..._x000a_01/04 - Cronograma em andamento. Previsão de entrega - 13/05_x000a_29/02 - Desenvolvimento pela ISYS previsto para terminar em 15/04. Após isso será disponibilizado para testes e homologação. Depois de homologado, entrará as atividades do site TI prevista para início em 02/05_x000a_22/02 - Mesmo status_x000a_16/02 - Information repassou o Cronograma de desenvolvimeto da aplicação. Devido a complexibilidade, recebemos a previsão de implantação em produção em 13/05. Já alinhado com a operação (Veronica)._x000a__x000a_10/02 - Cronograma elaborado e andando conforme_x000a_02/02 - Aguardando elaboração de cronograma pela ISYS_x000a_[26/01] Pedido gerado. Aguardando cronograma da ISYS para execução_x000a_[17/11] Solicitações de compras geradas -&gt; Aguardando aprovações no fluig -&gt; Falta Ibrahim_x000a_[27/10– Bruno/Leandro] Em tratativa com controladoria  referente a SC, Information aguardando esse trâmite interno para dar inicio ao cronograma por parte deles._x000a__x000a_[05/10 – Dalton/Leandro] Aguardando o “de acordo” do Cliente referente à Proposta da Information Systems para prosseguir com o Projeto._x000a_[18/09 – Leandro] Aguardando o “de acordo” do Cliente referente à Pr Assim que se tiver esses usuários, se dará inicio nas movimentações.oposta da Information Systems para prosseguir com o Projeto."/>
    <x v="1"/>
    <s v="George Dimitrov"/>
    <d v="2016-05-06T00:00:00"/>
    <s v="Desenvolvimento/Execução"/>
    <m/>
    <m/>
  </r>
  <r>
    <s v="CTXSPOBF-124602"/>
    <s v="Discador para Ciclo de Vida e Finauto"/>
    <s v="Alegria/SP"/>
    <s v="Operações que não estão no Plano de Recuperação"/>
    <x v="6"/>
    <s v="Noemia Ferro"/>
    <s v="Carlos Batista"/>
    <x v="1"/>
    <s v="George Dimitrov"/>
    <s v="Desenvolvimento"/>
    <d v="2015-08-31T00:00:00"/>
    <n v="248"/>
    <d v="2015-08-01T00:00:00"/>
    <x v="0"/>
    <s v="TBD"/>
    <s v="TBD"/>
    <s v="Não existe data fechada"/>
    <m/>
    <s v="[03/05] Servidor a ser concluido por CSE em 04/05. Novas duvidas levantadas por aplicações a serem encaminhadas para solicitante._x000a__x000a_[26/04] A etapa de disponibilização da infra está em execução e terá seus servidores entregues no dia de terça-feira(27/04)._x000a_Ao consultar o cronograma do projeto, notei que ele ainda não existe data do desenvolvimento, por estar em analise do time de aplicações dos itens que estavam pendentes da EF. Ainda sem previsão de retorno. Email para Marcelo Guedes._x000a__x000a_[19/04] - Aguardando Cronograma CSE._x000a__x000a_[12/04] - Infra Servidores definida por Arquitetura e EF fase final de validação por Aplicações. Encaminhando para fila de Execução (CSE). Proximo passo avaliação e definição de  esforço, insumo e Cronograma de execução ( Criação Maquinas)_x000a__x000a_[05/04] - Esclarecimentos da EF ( solicitante) recebidos em 05/04 e encaminhados  para equipe Tecnica Aplicações. . Em paralelo , equipe Engenharia avaliando premissas de Infra TI par aatender a nova Aplicação._x000a__x000a_[29/03] -  Pendencia Solicitante  - Aguardando  retorno do solicitante para os esclarecimentos a EF._x000a__x000a_[22/03] - Aguardando  retorno do solicitante para os esclarecimentos a EF._x000a_Projeto direcionado para fila de Engenharia para validação de primissas de Infra estrutura solicitadas por Aplicações ._x000a__x000a_[15/03] - EF recebida em  10/03. Projeto encaminhado para fila de Aplicações. (Aguardando analise EF e mapeamento de esforço e necessidade insumos TI._x000a__x000a_[11/03] - EF recebida em 10/03. Considerações e questionamentos esclarecidos com Solicitando. Aguardando validação da EF com Operação . Proximo passo - encaminhar EF para analise da equipe de Aplicações._x000a_Solicitante informado que o projeto será encerrado em 09/03, pois ainda não consta EF. _x000a__x000a_[29/02] - Aguardando EF com escopo atualizado._x000a__x000a_[23/02] - Mudança de Escopo. Entendimento Escopo do projeto realizado com equipe Projeto Negocios (George) e GerOperação (Veronica). Aguardando EF atualizada para _x000a_direcionar projeto para fila de Aplicações. Necesidade: Front End integrada com discador com possibilidade de discagem manual. Mantendo mesmas funcionalidades da aplicação atual em produção._x000a__x000a_[16/02] - Avaliando proposta Tecnica TQS com equipe Aplicações._x000a__x000a_[10/02] - Avaliando proposta tecnica do fornecedor ._x000a__x000a_[02/02] - Necessário levantar maiores esclarecimentos com C. Sasaki e Engenharia (Telecom), para esclarecer escopo e como foi elaborada a proposta Comercial do fornecedor TQS._x000a_Avaliar com fornecedor a possibilidade de execução piloto sem custos._x000a__x000a_[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_x000a__x000a_[26/01] - sEM ALTERAÇÃO._x000a__x000a_[21/01] - Proposta Comercial Contax encaminhada para aprovação do cliente Santander em 02/12 ( Solução TQS). Ainda não obtivemos retorno sobre a aprovação. O cliente solicitou a realização de um Piloto antes da aprovação da Proposta._x000a_Solução FF descartada, pois o escopo contempla Operação Blended e o FF não foi customizado para operações Bended. (C. Sasaki - 21/01)_x000a__x000a_[17/11 - George] Solicitada nova proposta comercial para a Ayty. Finalizando documentação da operação para orçamento._x000a__x000a__x000a_[14/10 – Dalton/Leandro] Pontos de atenção:_x000a_-Aprovação proposta TQS pelo solicitante  Esclarecido dúvidas sobre TQS / aguardando decisão da possibilidade de um benck mark em outro cliente)_x000a_-Desenho da topologia (Pendente com ENG)._x000a_-Preenchimento Quadro TODO´s (George complementou itens referentes a ele.)._x000a__x000a_[05/10 – Dalton/Leandro] Pontos de atenção:_x000a_-Aprovação proposta TQS pelo solicitante (Pendente conversa entre Suporte ao Negócio/Projetos/Aplicações) para esclarecer a necessidade de se contratar a TQS._x000a_-Desenho da topologia (Pendente com ENG)._x000a_-Preenchimento Quadro TODO´s (Necessário apoio George)._x000a_[23/09 - Leandro] Washington realizou a análise do discador e decidiu-se pelo Aspect 7.1._x000a_Próximos passos antes da execução:_x000a_Orçamento TQS; _x000a_Desenho da topologia;_x000a_Saber-se se o Link é do cliente ou não._x000a__x000a_[18/09 – Leandro] Ainda encontra-se em análise pela equipe de CSE e aplicações_x000a_[16/09 - Leandro] Realizando levantamento com área de CSE sobre a viabilidade do uso das ferramentas APC ou Aspect para atender a demanda_x000a_"/>
    <x v="7"/>
    <s v="Fernanda / LW"/>
    <s v="ND"/>
    <s v="Desenvolvimento/Execução"/>
    <s v="ND"/>
    <m/>
  </r>
  <r>
    <s v="CTXSPOBF-98975"/>
    <s v="Topologia tGuindance"/>
    <s v="Alegria/SP"/>
    <s v="Operações que não estão no Plano de Recuperação"/>
    <x v="6"/>
    <s v="Noemia Ferro"/>
    <s v="Carlos Batista"/>
    <x v="2"/>
    <s v="George Dimitrov"/>
    <s v="Desenvolvimento"/>
    <d v="2014-07-24T00:00:00"/>
    <n v="651"/>
    <d v="2015-08-01T00:00:00"/>
    <x v="0"/>
    <s v="TBD"/>
    <s v="TBD"/>
    <m/>
    <m/>
    <s v="[03/05] - Mesmo status_x000a_[25/04] - Mesmo status_x000a_[19/03] - Mesmo status_x000a_[12/4] - Aguardando aprovação do cliente _x000a_[4/4] - Cliente solicita os logs em documento. Solicitado informações a equipe de MS. [29/03] - Mesmo status_x000a_[22/3] - Mesmo Status_x000a_[15/03] - Mesmo status_x000a_[08/03] - Encaminhado os logs dos servidores para George. Aguardando aprovação do cliente. _x000a_[29/02] - Solicitado o processo de log dos servidores para equipe de MS.    _x000a_[23/02] - Aguardando resposta da equipe de aplicações para o processo de log dos servidores do tGuidance.                                                                                                                                    [16/02] - Agendado reunião de alinhamento com George                                           [10/02] - Mesmo status                                                                                                                                                                                                                                                                                                               02/02 - Mesmo status_x000a_26/01 - Mesmo status _x000a_VERIFICAR COM O GEORGE_x000a_[05/10 – Dalton/Leandro] Aguardando Robson Costa com aceite do cliente para prosseguimento_x000a_[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_x000a_[18/09 – Leandro] faltando OK do cliente._x000a_[16/09 - Leandro] Realizado follow-up presencial com Robson Costa, os mesmos mencionaram não terem conseguido o de acordo do cliente ainda._x000a_"/>
    <x v="1"/>
    <m/>
    <s v="TDB"/>
    <s v="Levantamento de informações"/>
    <s v="TDB"/>
    <m/>
  </r>
  <r>
    <s v="CTXSPOLP-111956"/>
    <s v="Projeto - Monitoria da Qualidade "/>
    <m/>
    <s v="Plano Recuperação"/>
    <x v="2"/>
    <s v="Giuseppe"/>
    <s v="Mauricio Lustosa"/>
    <x v="6"/>
    <s v="Brigida Gouveia"/>
    <s v="Desenvolvimento"/>
    <d v="2015-09-23T00:00:00"/>
    <n v="225"/>
    <d v="2015-10-01T00:00:00"/>
    <x v="0"/>
    <s v="TBD"/>
    <s v="TBD"/>
    <s v="TBD"/>
    <m/>
    <s v="12/04 - Fase 1 (Alegria): Em implantação/ajustes_x000a_Fase 2 (liberação outros sites): Na fila de Engenharia com previsão para entrega da análise em 15/04_x000a_Fase 3 (MIS): Em planejamento_x000a_29/03 - Dois dias de atraso em Claro e Net e um dia na Vivo e Oi._x000a_Em homologação_x000a_22/03 - Mesmo status_x000a_17/03:_x000a_Etapa concluída:_x000a_Liberação de acessos ao ambiente Oi, Vivo, Valro e NETa partir do site Alegria;_x000a_Criação da VPN TSA x Genesys_x000a__x000a_Pontos de atenção:_x000a_Homlogação do acesso aos sistemas a partir do Alegria;_x000a_Instabilidade VPN TSA_x000a_Acesso ambiente TSA e Genesys_x000a__x000a_Próximos passos:_x000a_Preparação máquinas para homologaç~dos acessos_x000a_Homologação dos acessos pela equipe de qualidade, TSA e Genesys - 21/03_x000a_Transporte e preparação das PAs no Site Alegria - 21/03 (Claro) 24/03 (NET) 28/03 (Oi e Vivo)_x000a__x000a_08/03 - Etapas concluídas:_x000a_Liberações de acesso CTC Dom Pedro para Oi, VIVO, Claro e Net_x000a_Separação de 55 estações com controle de ativos_x000a_Desenho da solução acesso para a operação no Site Alegria_x000a_Criação de servidores TS para Claro e VIVO_x000a_Criação de usuário TS_x000a__x000a_Pontos de atenção:_x000a_Liberação de acessos pelos clientes (Oi principalmente)_x000a_Homologação do acesso aos sistemas a partir do Alegria_x000a__x000a_Próximos passos: _x000a_Liberações de acessos ao site Alegria_x000a_Preparação das estações para homologação - 11/03_x000a_Homologação dos acessos pela equipe de qualidade - 16/03_x000a_Homologação dos acessos pela equipe Genesys e TSA - 18/03_x000a_Transporte e preparação das PAs no site alegria - 18/03 (Claro) , 21/03 (NET), 24/3 (Oi e VIVO)_x000a_16/02 - Etapas concluídas:_x000a_Separação de 55 estações com controle de ativos;_x000a_Mapeamento de 95% dos 130 sistemas;_x000a_Análise de banda WEB para acesso via VPN/Web;_x000a__x000a_Pontos de atenção:_x000a_Liberação de acesso para treianemnto CTC D.Pedro_x000a_Liberação de acesso pelos clientes (Oi principalmente)_x000a_Licenças terminal services (acessos Vivo e Claro)_x000a__x000a_Próximos passos:_x000a_Análise e liberação de acessos Rede Contax - CTC D. Pedro_x000a_Análise e liberação de acessos Rede Contax - Site Alegria_x000a_Transporte de estações Lapa &gt; Alegria_x000a_Homologar estação Alegria_x000a__x000a_Previsão: 20/mar_x000a__x000a__x000a_02/02 - Mesmo status_x000a_26/01 - Mesmo status _x000a_15/1 - projeto retomado. Kick off agendado com Genesys e TSA_x000a_15/10-Leandro] Projeto encaminhado a fila do site para Análise e estimativa / Acionamento de sites para estudo de mapeamento de sistemas atrelados - na fila._x000a__x000a_Dalton Bondesan added a comment - 29/Set/15 14:50 _x000a_Projeto encaminhado a fila do site para Análise e estimativa. "/>
    <x v="8"/>
    <s v="LW / Zenailde"/>
    <d v="2016-03-21T00:00:00"/>
    <s v="Homologação"/>
    <m/>
    <n v="54"/>
  </r>
  <r>
    <s v="CTXFORBM-323275"/>
    <s v="Projeto para efetuarmos controle de pausas no tCollect! da Retenção Invol"/>
    <s v="Santo Amaro"/>
    <s v="Operações que não estão no Plano de Recuperação"/>
    <x v="4"/>
    <s v="Ana Coelho"/>
    <s v="Ana Sosa"/>
    <x v="2"/>
    <s v="Tatiane Rodrigues Dallecrode "/>
    <s v="Desenvolvimento"/>
    <d v="2015-09-29T00:00:00"/>
    <n v="219"/>
    <d v="2015-10-21T00:00:00"/>
    <x v="0"/>
    <s v="TBD"/>
    <s v="TBD"/>
    <s v="Risco - A equipe técnica está com várias ações concorrentes "/>
    <m/>
    <s v="[03/05] - Mesmo status_x000a_[25/4] - mesmo status_x000a_[19/04] - Mesmo Status_x000a_[12/4] - Aguardando a conclusão do POP_x000a_[4/4] - Mesmo status_x000a_[29/03] Mesmo status_x000a_[22/03] Mesmo status_x000a_[15/03] - Mesmo status_x000a_08/03 - Em hold_x000a_[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
    <x v="0"/>
    <s v="Camilla Fermiano"/>
    <s v="TDB"/>
    <s v="Hold"/>
    <s v="TDB"/>
    <n v="384"/>
  </r>
  <r>
    <s v="CTXSPOAP407-13236"/>
    <s v="Projeto - Solução infraestrutura (servidor e link) para relatórios de Televendas"/>
    <s v="Corporativo"/>
    <s v="Operações que não estão no Plano de Recuperação"/>
    <x v="2"/>
    <s v="Giuseppe"/>
    <s v="José Maria"/>
    <x v="5"/>
    <s v="Pedro Bazzarella"/>
    <s v="Infraestrutura"/>
    <d v="2015-11-11T00:00:00"/>
    <n v="176"/>
    <d v="2015-11-17T00:00:00"/>
    <x v="0"/>
    <s v="TBD"/>
    <s v="TBD"/>
    <s v="TBD"/>
    <m/>
    <s v="02/05 - Necessário o acesso da equipe de BI na base do aspect para extração de relatórios.  Já foi incluído na fila de aplicações, porém o Marcelo Caldeira entrará em contato para verificar se um desenvolvimento que eles estão fazendo pode ser aplicado para extração desses relatórios._x000a_27/04 - Liberações e bancos de dados liberados. Aguardando homologação_x000a_20/04 - Liberações foram feitas. Hoje teremos uma reunião para definição do projeto_x000a_12/04 - Mesmo status_x000a_06/04 - Aguardando retorno de CSE_x000a_29/03 - Não homologado. LW solicitado para identificar o problema. Aguardando_x000a_14/03 - Servidor piloto disponibilizado. Aguardando homologação_x000a_08/03 - Aguardando homologação_x000a_01/03 - Aguardando homologação por parte do solicitante, referente ao Servidor Piloto_x000a_10/02 - Servidor piloto já foi elaborado (CSE e ENG). Hoje a equipe de negócios passou a relação dos usuários que precisam ter acesso a esse servidor. LW irá cadastrar... Para o servidor definitivo, é necessário uma outra call e definição melhor do escopo_x000a_02/02 - No call houve a mudança de escopo, Engenharia está elaborando a documentação com previsão de término até amanhã (03/02)_x000a_[28/01] Proposta enviada por Engenharia e aguardando aprovação por parte do solicitante._x000a_[26/01] Tivemos uma call no início da semana com o José Maria, Eder e o Maurício Lustosa._x000a__x000a_Esse projeto tinha um escopo inicial e foi mudado totalmente o escopo:_x000a_• Requisitos funcionais com dimensões bem maiores;_x000a_• Dois servidores ao invés de um;_x000a_• Necessidade de piloto (o que não estava contemplado no escopo inicial)._x000a_"/>
    <x v="1"/>
    <s v="Pedro Bazzarela"/>
    <s v="Sem previsão"/>
    <s v="Desenvolvimento/Execução"/>
    <m/>
    <m/>
  </r>
  <r>
    <s v="CTXSPOAL-94230"/>
    <s v="Projeto - Desenvolvimento de tabulador Contax para substituição do DefyIT"/>
    <s v="Alegria/SP"/>
    <s v="Plano Recuperação"/>
    <x v="0"/>
    <s v="Noemia Ferro"/>
    <s v="Maurício Perez"/>
    <x v="5"/>
    <s v="Carlos Batista"/>
    <s v="Desenvolvimento"/>
    <d v="2015-09-22T00:00:00"/>
    <n v="226"/>
    <d v="2015-11-18T00:00:00"/>
    <x v="0"/>
    <d v="2016-05-04T00:00:00"/>
    <s v="TBD"/>
    <s v="TBD"/>
    <m/>
    <s v="02/05 - tReports default já foram disponibilizados. Aguardando homologação por parte do solicitante desde 29/abr.  Foram solicitados novos desenvolvimentos que estão em análise da previsão de entrega pela equipe de aplicações_x000a_27/04 - Hoje estamos nas fases de testes do tReports (visão default) para disponibilização à operação homologar.  A operação necessita de mais relatórios a serem enviados para o Cliente, estamos analisando o esforço para disponibilizarmos o BD para BI, conforme solicitado, pois será necessário novo desenvolvimento_x000a__x000a_20/04 - Sistema implantado. tReports (visão default) está previsto para ser implementado em 27/abr.  A operação necessita de mais relatórios a serem enviados para o Cliente, estamos analisando o esforço para disponibilizarmos o BD para BI, conforme solicitado, pois será necessário novo desenvolvimento_x000a_13/04 - Testes do tGuidance realizados com sucesso no dia 11/04 e dia 12/04. Homologação do cliente realizada no dia 12/04. _x000a_Entrada em produçã do tGuidance será realizada faseadamente. Já temos dois operadores utilizando, dia 14/04 subirão mais 4 operadores para produção e dia 15/04 tod aoperação entrará em produção_x000a_tSupervisor OK._x000a_Começaremos o desenvolvimento do tReports para implantar. Cronograma passaremos até o dia 15/abr_x000a_06/04 - Tivemos atrasos em algumas atividades devido a problemas no banco de dados do Tguidance. Sendo assim, foi reprogramada a entrega do FF para dia 11/04. Aguardando de acordo do cliente para homologação.  A instalação do ambiente tReports (relatórios) será iniciada após a homologação do cliente._x000a_28/03 - Mesmo status_x000a_22/03 - Cronograma já enviado À equipe de negócios e operação. Data prevista para conclusão é dia 07/abr"/>
    <x v="0"/>
    <s v="Viviane"/>
    <s v="TBD"/>
    <s v="Desenvolvimento/Execução"/>
    <m/>
    <m/>
  </r>
  <r>
    <s v="CTXMTZPB-1118"/>
    <s v="Restrição de Transferência"/>
    <s v="Borges de Melo/CE_x000a_João Pessoa/PB_x000a_Mackenzie/RJ_x000a_Niterói/RJ_x000a_Santo Amaro/PE"/>
    <s v="Plano Recuperação"/>
    <x v="4"/>
    <s v="Ana Coelho"/>
    <s v="Ana Sosa"/>
    <x v="7"/>
    <s v="Luiz Matheus"/>
    <s v="Desenvolvimento"/>
    <d v="2015-12-03T00:00:00"/>
    <n v="154"/>
    <d v="2015-12-17T00:00:00"/>
    <x v="1"/>
    <s v="N/A"/>
    <d v="2016-05-31T00:00:00"/>
    <s v="Risco"/>
    <m/>
    <s v="02/05 - Piloto Santo Amaro inciado. Rollout Niterói programado para 04/05._x000a_19/04 - Piloto Santo Amaro programado para início em 20/04._x000a_12/04 - Piloto em andamento._x000a_05/04 - Iniciado Piloto no Site Niterói _x000a_29/03 - Cronograma em linha._x000a_22/03 - Cronograma fechado. _x000a_15/03 - Definindo cronograma. Entrega 16/03._x000a_10/03 - Finalizada a EF. Aguardando data APP._x000a_08/03 - Necessário conferência entre aplicações e buscando agenda para quarta._x000a_02/03 - Ana fez a definição da solução a ser adotada;_x000a_Enviado para a área de aplicações para fazer entendimento e reprogramar cronograma._x000a_22/02 - Ana informou que alinhará com PH no dia 23/02 para definir a solução a ser adotada. _x000a_16/02 - Alinhado novo desenho de solução proposto pela área de APP. _x000a_Aguardando definição do cliente._x000a_11/02 - Ana informou à equipe q a solução desenhada não atende. _x000a_- Rivaldo avaliando com a equipe._x000a_10/02 - Em linha. _x000a_03/02/2016 - Alinhamento das necessidades de definição de layout com a operação;_x000a_- Alexandre ainda não enviou a EF final, FUP realizado; _x000a_- Operação já definiu mesagem a ser apresentada para o operador e aguarda EF para incluir;_x000a_- Operação já definiu &quot;última transferência&quot;, após recebimento da EF será inserida na mesma._x000a_28/01 - Fechamento do cronograma._x000a_27/01 - Kickoff com os Sites. Envio do cronograma para validação (SItes e Aplicações)_x000a_26/01 - Mesmo status _x000a_09/01/2016 - Início do tratamento do projeto._x000a_Definição das etapas macro e avaliação da EF._x000a_14/01/2016 - Kickoff com a participação da área de desenvolviemnto e operações para apresentação da solução desenhada._x000a_Mudança de escopo, acordada entrega de nova EF dia 15/01/2016._x000a_Envio do draft da solução para aprovação de operações._x000a_18/01/2016 - Entrega da nova EF com o detalhamento da alteração de escopo._x000a_Início da avaliação pela área de desenvolvimento."/>
    <x v="9"/>
    <s v="Julio Silva"/>
    <s v="N/A"/>
    <s v="Desenvolvimento/Execução"/>
    <d v="2016-05-31T00:00:00"/>
    <n v="1200"/>
  </r>
  <r>
    <s v="CTXRECSA-371873"/>
    <s v="Projetos bolha - Troca do sistema WinXP para Win7 em todas as operações do Itaú nos estados de PE"/>
    <s v="Cabula/Santo Amaro"/>
    <s v="Plano Recuperação"/>
    <x v="3"/>
    <s v="Ricardo Araújo"/>
    <s v="Celso Miranda"/>
    <x v="2"/>
    <s v="Marco Brandão"/>
    <s v="Desenvolvimento"/>
    <d v="2015-09-03T00:00:00"/>
    <n v="245"/>
    <d v="2015-09-25T00:00:00"/>
    <x v="1"/>
    <d v="2016-02-02T00:00:00"/>
    <s v="28/04/2016_x000a_TBD"/>
    <s v="Risco - O Banco ainda não aprovou a utilização do tSupervisor"/>
    <m/>
    <s v="[02/05] - Banco fez novamente questionamentos sobre a aplicação. Prazo de entrega 04/05_x000a_[25/04] - Mesmo status_x000a_[19/4] - Mesmo status_x000a_[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x v="1"/>
    <s v="Marco Brandão"/>
    <s v="TDB"/>
    <s v="Análise "/>
    <d v="2016-04-28T00:00:00"/>
    <n v="3076"/>
  </r>
  <r>
    <s v="CTXPOARB-95971"/>
    <s v="Projeto - Melhoria no Discador Disca Fácil - Priorizar Contatos por horário (Souza Cruz)"/>
    <s v="Porto Alegre/RS"/>
    <s v="Plano Recuperação"/>
    <x v="0"/>
    <s v="Rodrigo Zambon"/>
    <s v="Maurício Cardoso Gomes"/>
    <x v="7"/>
    <s v="Fabrício Peixoto"/>
    <s v="Desenvolvimento"/>
    <d v="2015-11-04T00:00:00"/>
    <n v="183"/>
    <d v="2015-12-23T00:00:00"/>
    <x v="1"/>
    <d v="2016-01-19T00:00:00"/>
    <d v="2016-08-01T00:00:00"/>
    <s v="Risco"/>
    <m/>
    <s v="03/05 - Início do desenvolvimento previsto para 06/05._x000a_22/01/2016 - Desevolvimento se iniciará após entrega do Projeto CTXPOARB- 95971."/>
    <x v="0"/>
    <m/>
    <m/>
    <s v="Na Fila"/>
    <m/>
    <n v="75"/>
  </r>
  <r>
    <s v="CTXPOARB-91679"/>
    <s v="Projeto - Melhoria no discador da Operação Souza Cruz"/>
    <s v="Porto Alegre/RS"/>
    <s v="Plano Recuperação"/>
    <x v="0"/>
    <s v="Rodrigo Zambon"/>
    <s v="Maurício Cardoso Gomes"/>
    <x v="7"/>
    <s v="Fabrício Peixoto"/>
    <s v="Desenvolvimento"/>
    <d v="2015-07-29T00:00:00"/>
    <n v="281"/>
    <d v="2015-12-23T00:00:00"/>
    <x v="1"/>
    <d v="2016-01-19T00:00:00"/>
    <d v="2016-05-05T00:00:00"/>
    <s v="Sim"/>
    <m/>
    <s v="03/05- Gmud realizada. Em acompanhamento de pós implantação._x000a_26/04 - GMUD reprogramada para 29/04._x000a_19/04 - GMUD cancelada a pedido da operação. Aguardando data de disponibilidade da área de desenvolvimento._x000a_21/03 - Cronograma em linha._x000a_14/03 - Finalizada a adequação do cronograma e disponibilizado o mesmo._x000a_11/03 - Operação solicitou adiamento de duas semanas na execução da GMUD, para 15/04. Validando com as áreas executoras._x000a_08/03 - Cronograma em validação pela área de aplicações. Finalização 10/03._x000a_02/03 - Para remarcação da GMUD foi estabelecido o pré-requisito de realização de backup do ambiente;_x000a_Infra do Site para backup tem data estimada de disponibilização 23/03;_x000a_Será enviado para a diretoria para verificação._x000a_23/02 - GMUD cancelada a pedido do cliente. Aguardando nova data de disponibilidade da área para reprogramação._x000a_22/02 - GMUD 19226 aberta para a implantação da nova versão da solução. Buscando aprovação da diretoria._x000a_16/02 - Em linha._x000a_10/02 - Em linha._x000a_03/02/2016 - Aprovada pela operação a nova versão de software. _x000a_- Em programação do Piloto._x000a_29/01/2016 - Agendado o teste na posição de atendimento para dia 03/02/2016, estava agendado para dia 01/02, porém o Site não teria como realizar._x000a_26/01/2016 - Em desenvolvimento pela área de aplicações._x000a_Cronograma disponibilizado para operações e TI Site._x000a_26/01/2016 - Liberação do ambiente remoto para aplicações._x000a_26/01/2016 - Em desenvolvimento pela área de aplicações._x000a_Cronograma disponibilizado para operações e TI Site._x000a_22/01/2012 - Finalizado o desenvolvimento."/>
    <x v="0"/>
    <s v="Alexandre Morais"/>
    <d v="2016-04-16T00:00:00"/>
    <s v="Na Fila"/>
    <m/>
    <n v="75"/>
  </r>
  <r>
    <s v="CTXMTZPB-1091"/>
    <s v="Projeto - PASSWORK - PILOTO"/>
    <s v="Acre/Boa Viagem"/>
    <s v="Plano Recuperação"/>
    <x v="2"/>
    <s v="Pedro Miranda"/>
    <s v="Nara Araujo"/>
    <x v="2"/>
    <s v="Fabrício Peixoto"/>
    <s v="Desenvolvimento"/>
    <d v="2015-11-27T00:00:00"/>
    <n v="160"/>
    <d v="2015-12-28T00:00:00"/>
    <x v="0"/>
    <d v="2016-05-09T00:00:00"/>
    <s v="TBD"/>
    <s v="Risco - A equipe técnica está com várias ações concorrentes "/>
    <m/>
    <s v="[03/05] - Atualizado EF da integração do Ecadop com TTV. Aguradando aprovação para envio a Nice._x000a_[25/04] - Aguardando aprovação das EFs (Negócio e Nice). _x000a_[19/04] - Aguardando Nice enviar cronograma. Prazo TDB [12/4] -Aguardando envio da EF. Prazo 11/4 _x000a_[5/4] - Realizado reunião hoje com a Nice para alinhamento das integrações e foi defindo que na sexta-feira Adalton irá encaminhar a EF e após o recebimento Nice encaminha o cronograma. [29/03] - Nice solicita reunião no dia 30/3 para tratar as integrações (tClock; Ecadop). _x000a_[22/03] Realizado reunião com Nice e alinhado as integrações que deveão ser realizadas. _x000a_[15/03] - Aguardando reunião do Rivaldo com a Nice dia 17/03._x000a_[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_x000a_[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
    <x v="1"/>
    <s v="Leandro Tauil"/>
    <d v="2016-05-04T00:00:00"/>
    <s v="Levantamento de informações"/>
    <s v="TDB"/>
    <n v="2000"/>
  </r>
  <r>
    <s v="CTXRECSA-440043"/>
    <s v="Discador SOC PE (GFE)"/>
    <s v="Santo Amaro/PE"/>
    <s v="Plano Recuperação"/>
    <x v="4"/>
    <s v="Ana Coelho"/>
    <s v="Ana Sosa"/>
    <x v="7"/>
    <s v="Luciana Cardoso"/>
    <s v="Desenvolvimento"/>
    <d v="2015-11-17T00:00:00"/>
    <n v="170"/>
    <d v="2016-01-11T00:00:00"/>
    <x v="0"/>
    <s v="TBD"/>
    <s v="TBD"/>
    <s v="NA"/>
    <m/>
    <s v="03/05 - Mesmo status._x000a_19/04 - TQS informou que só pode dar andamento do Projeto após o fechamento do contrato. Suprimentos ainda em negociação. Sem data_x000a_12/04 - Aguardando agenda TQS._x000a_05/04 - Em aprovação pelo demandante._x000a_29/03 - Mesmo status_x000a_21/03 - Aguardando proposta fornecedor._x000a_11/03 - Enviadas as informações. Aguardando retorno APP._x000a_10/03 - Em levantamento de informações do discador para fechamento do escopo e solicitação de proposta ao fornecedor._x000a_08/03 - Definida a utilização de disca fácil+tGuidance. _x000a_Em verificação com engenharia de pré-requisitos informados pela área. 03/03 - Aplicações enviará as informações de definições do projeto dia 03/03._x000a_25/02 - Solicitado mais informações com relação ao ambiente Aspect._x000a_Em levantamento informações do Discador Aspect para fechamento da avaliação pelo fornecedor. Novo contato com Engenharia 02/03. _x000a_22/02 - Solicitado orçamento ao fornecedor TQS, sem data de envio._x000a_16/02 - EF enviada para avaliação da área de desenvolvimento. Resposta 19/02._x000a_10/02 - Providenciando EF - Elaine_x000a_02/01/2016 - Envio de solicitação de EF novamente._x000a_26/01 - Mesmo status _x000a_20/01/2016 - Em validação de EF._x000a_21/01/2016 - EF sendo corrigida de acordo com a demanda."/>
    <x v="0"/>
    <s v="Fabiana Carla"/>
    <s v="Sem previsão"/>
    <s v="Análise"/>
    <m/>
    <m/>
  </r>
  <r>
    <s v="CTXRJOMA-73888"/>
    <s v="Projeto - Projeto - Ferramenta de Automação OFF Line"/>
    <s v="Mackenzie/RJ"/>
    <s v="Operações que não estão no Plano de Recuperação"/>
    <x v="4"/>
    <s v="Ana Coelho"/>
    <s v="Ana Sosa"/>
    <x v="7"/>
    <s v="Luciana"/>
    <s v="Desenvolvimento"/>
    <d v="2015-08-10T00:00:00"/>
    <n v="269"/>
    <d v="2016-01-11T00:00:00"/>
    <x v="2"/>
    <s v="TBD"/>
    <s v="TBD"/>
    <s v="NA"/>
    <m/>
    <s v="19/04 - Mesmo status_x000a_29/03 - Mesmo status_x000a_10/03 - Orçamento finalizado. Aguardando aprovação do cliente._x000a_08/03 - respondidos os questionamentos da Elaine e com base na resposta ela solicitou que fosse realizada uma alteração no orçamento. 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 _x000a_TQS informa que ainda não houve uma definição pela Contax com relação ao contrato de manutenção, só será possível fazer orçamento após essa definição._x000a_10/02 - Conferência com fornecedor dia 11/02 para definir solução._x000a_04/02/2016 - Conferência será reagendada para 11/04/2016._x000a_03/02/2016 - Não foi possível realizar conferência. Agendada para o dia 04/02.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x v="1"/>
    <s v="Elaine Fortunato"/>
    <s v="Sem previsão"/>
    <s v="Análise"/>
    <m/>
    <m/>
  </r>
  <r>
    <s v="CTXRJOED-56989"/>
    <s v="Projeto - Instalar Ferramenta de Automações Célula GFE - Engenho de Dentro"/>
    <s v="Niterói/RJ"/>
    <s v="Operações que não estão no Plano de Recuperação"/>
    <x v="4"/>
    <s v="Ana Coelho"/>
    <s v="Ana Sosa"/>
    <x v="7"/>
    <s v="Luciana"/>
    <s v="Desenvolvimento"/>
    <d v="2015-11-13T00:00:00"/>
    <n v="174"/>
    <d v="2016-01-11T00:00:00"/>
    <x v="2"/>
    <s v="TBD"/>
    <s v="TBD"/>
    <s v="NA"/>
    <m/>
    <s v="19/04 - Mesmo status_x000a_29/03 - Mesmo status_x000a_10/03 - Orçamento finalizado. Aguardando aprovação do cliente._x000a_08/03 - respondidos os questionamentos da Elaine e com base na resposta ela solicitou que fosse realizada uma alteração no orçamento.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_x000a_TQS informa que ainda não houve uma definição pela Contax com relação ao contrato de manutenção, só será possível fazer orçamento após essa definição._x000a_10/02 - Idem._x000a_04/02/2016 - Conferência será reagendada para 11/04/2016.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x v="1"/>
    <s v="Elaine Fortunato"/>
    <s v="Sem previsão"/>
    <s v="Análise"/>
    <m/>
    <m/>
  </r>
  <r>
    <s v="CTXRECSA-452887"/>
    <s v="Projeto - Integração URA CO x Ferramenta Automação"/>
    <s v="Santo Amaro/PE"/>
    <s v="Operações que não estão no Plano de Recuperação"/>
    <x v="4"/>
    <s v="Ana Coelho"/>
    <s v="Ana Sosa"/>
    <x v="7"/>
    <s v="Anthonny"/>
    <s v="Desenvolvimento"/>
    <d v="2016-01-11T00:00:00"/>
    <n v="115"/>
    <d v="2016-01-14T00:00:00"/>
    <x v="1"/>
    <s v="N/A"/>
    <d v="2016-07-08T00:00:00"/>
    <s v="Sim"/>
    <m/>
    <s v="03/05 - Cronograma em linha._x000a_26/04 - Cronograma em linha._x000a_12/04 - Cronograma em linha._x000a_04/04 - Realizado Kickoff do Projeto. Em andamento._x000a_29/03 - Mesmo status_x000a_21/03 - Cronograma em criação pela área desenvolvimento. Data: 31/03_x000a_15/03 - Recebida aprovação do cliente. Cronograma em confecção. Data 17/03._x000a_08/03 - Aguardando resposta do Cliente_x000a_26/02 - Aguardando resposta cliente._x000a_18/02 - Respostas enviadas. Aguardando aprovação do cliente._x000a_16/02 - Negócios solicitou a informação da validade da proposta e tempo estimado de implantação. Encaminhado à área de URA._x000a_04/10 - Operação avaliando custos. (Anthonny)_x000a_02/02/2016 - Envio dos custos para operação, aguardando avaliação._x000a_27/01/2016 - Kickoff agendado para 01/02/2016._x000a_19/01/2016 - Verificado que a URA CO não está sob a tutela de nosso contrato de desenvolvimento OI. Será necessário criar proposta ou incluir a mesma no contrato._x000a_20/01/2016 - Anthonny verificará a possibilidade de propormos a inclusão dessa URA no pool de desenvolvimento de URAs da OI._x000a_26/01/2016 - Envio do status da operação para desenvolvimento; &quot;decisão da operação pela não inclusão dessa URA no Pool&quot;._x000a_Devolutiva para verificação de caminho a seguir, desenvolver, solicitar código à Avaya ou orçar com Avaya."/>
    <x v="10"/>
    <s v="Daniel Farias"/>
    <d v="2016-03-31T00:00:00"/>
    <s v="Na Fila"/>
    <m/>
    <m/>
  </r>
  <r>
    <s v="CTXBHZRI-94859"/>
    <s v="Projeto - Implantar TCollect / Aspect: Escob R2, CD R2 e CD Móvel"/>
    <s v="Prado/MG"/>
    <s v="Plano Recuperação"/>
    <x v="4"/>
    <s v="Ana Coelho"/>
    <s v="Ana Sosa"/>
    <x v="7"/>
    <s v="Fabrício Peixoto"/>
    <s v="Desenvolvimento"/>
    <d v="2015-11-10T00:00:00"/>
    <n v="177"/>
    <d v="2016-01-14T00:00:00"/>
    <x v="1"/>
    <s v="N/A"/>
    <d v="2016-10-31T00:00:00"/>
    <s v="Risco"/>
    <m/>
    <s v="03/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10/03 - Validado pela engenharia, operação será no Polo Prado. _x000a_08/03 - Em validação de possibilidade de colocar operação no Polo Aspect Prado._x000a_03/03 - EF será disponibilizada 18/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x v="1"/>
    <s v="Neilor Márcio"/>
    <s v="18/03_x000a_"/>
    <s v="Na Fila"/>
    <m/>
    <m/>
  </r>
  <r>
    <s v="CTXMTZRP-42203"/>
    <s v="Projeto - Integração Barra Atendimento ao OSvC (Novo CRM Oi)"/>
    <s v="Mackenzie/RJ_x000a_Niterói/RJ_x000a_Borges de Melo/CE_x000a_Santo Amaro/PE_x000a_Comércio/BA_x000a_Boa viagem/BA"/>
    <s v="Plano Recuperação"/>
    <x v="4"/>
    <s v="Ana Coelho"/>
    <s v="Ana Sosa"/>
    <x v="5"/>
    <s v="Fernanda Nazário"/>
    <s v="Desenvolvimento"/>
    <d v="2015-06-11T00:00:00"/>
    <n v="329"/>
    <d v="2016-01-14T00:00:00"/>
    <x v="0"/>
    <d v="2016-05-12T00:00:00"/>
    <s v="TBD"/>
    <s v="TBD"/>
    <m/>
    <s v="02/05 - Mesmpo status para ambos estados, porém a soliciatção de entrada de nova operação não será possível._x000a_27/04 - PE: Operação assistida dos operadores previstos para essa semana.  Foi solicitado pela Brigida entrada de nova operação.  Aguardando plano de roll out alinhado com a Oi para que TI possa analisar a viabilidade_x000a_BA: Configurações sendo realizadas na sala de treinamento, porém é necessário passar o login de rede dos operadores que realizarão o treinamento. Aguardando time de negócios _x000a_Decomissionamento: Chamado em análise pela equipe de aplicações_x000a__x000a_20/04 - PE: Treinamento realizado pela operação, máquinas da operação configuradas, homologação prevista para hoje, operação inicia no dia 25. Disponibilização de rede para o cliente em andamento_x000a_BA: Configurações sendo realizadas na sala de treinamento, porém é necessário passar o login de rede dos operadores que realizarão o treinamento. Aguardando time de negócios _x000a_Testes OSVC: Desenvolvimento realizado em 18/abr, testes agendados para a próxima semana (26,27)_x000a_Decomissionamento: Chamado aberto, incluindo na fila da equipe de aplicações, porém será necessário envio da EF por parte de negócios_x000a_13/04 - Máquinas de treinamento de PE configuradas e homologadas pela operação._x000a_Treinamento sendo realizado até dia15/04._x000a_Em paralelo estamos realizando a adequação das máquinas da operação em PE_x000a__x000a_06/04 - Cronograma alinhado com a equipe de negócio._x000a_Pendências: _x000a_Resultado dos testes no CTC em PE [Bruno Guerra, 06/abr]_x000a_Previsão de instalação do CRM nas máquinas do CTC em PE [Bruno Guerra, 08/abr]_x000a_Envio do layout de PE e BA [Brigida, 06/abr]_x000a_29/03 - PE:_x000a_Definições:_x000a_ Conseguimos 31PAs com os requisitos mínimos para a fase de estabilização do projeto;_x000a_ Treinamento será nos dias 12 e 13/abril no ECC (anexo do Santo Amaro)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Riscos_x000a_ Não é viável a utilização das mesmas PAs da operação para treinamento. Sendo assim, fica o ponto de atenção de não termos PAs adequadas para realização dos treinamentos_x000a__x000a_BA:_x000a_Definições:_x000a_ 169 PAs na BA  (cenário é mais confortável já que o parque de maquinas é novo e o nosso prazo de implantação é 25/05)_x000a_ 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_x000a_14/03 - Mesmo status._x000a_08/03 - Foi definida uma &quot;Fase de estabilização&quot; para abril em PE e em maio em BA.  Estamos realizando os alinhamentos das atividades necessárias para adequação das salas de treinamento e máquinas disponibilizadas_x000a_01/03 - Configuração já efetuadas para realização dos testes nos dias 01/03 e 02/03._x000a_23/02 - . A Oi esta se planejando para realizar novos testes nos dias 01 e 02/03, precisaremos deixar nossa parte preparada para novos testes._x000a_ _x000a_ _x000a_OBJETIVO PRINCIPAL:_x000a_ _x000a_Verificar se as novas informações disponibilizadas no servidor de contexto da Contax seriam enviadas corretamente ao OSvC, através da string do Front Fácil. Para a realização dos testes, foi necessário:_x000a_ _x000a_1. Viabilizar a transferência de chamadas de testes da URA Fixa_x000a_2. Adequar o FrontFácil para “popular” os campos da string com as novas informações_x000a__x000a_19/02 - Máquinas levantadas. Já com comercial para realizar proposta comercial._x000a_A Oi fez os testes nas máquinas hoje com sucesso._x000a_Próximos passos em definição_x000a_10/02 - Estamos levantando a quantidade de máquinas para Upgrade_x000a_02/02 - Foram levantados os custos de adequações das máquinas para suportar a aplicação nas regionais. Está com a equipe de comercial realizar a precificação. Em paralelo estamos realizando testes nas máquinas, performance e conectividade_x000a_28/01 - Call realizada. Está pendente a adequação das máquinas para aceitar a ferramente do OsVC... Plano de rollout já disponibilziado pela Oi, onde a primeira onda será em Recife (nosso pior cenário de máquinas)_x000a_26/01 - Mesmo status _x000a_14/01 - Preencher o formulário de abertura de projeto"/>
    <x v="11"/>
    <s v="Brigida"/>
    <s v="TBD"/>
    <s v="Desenvolvimento/Execução"/>
    <m/>
    <m/>
  </r>
  <r>
    <s v="CTXNITSP-164357"/>
    <s v="Projeto - Projeto: Migração da URA Dealer (*803) p/ NGR"/>
    <s v="Niterói/RJ"/>
    <s v="Operações que não estão no Plano de Recuperação"/>
    <x v="4"/>
    <s v="Ana Coelho"/>
    <s v="Ana Sosa"/>
    <x v="7"/>
    <s v="Ricardo"/>
    <s v="Desenvolvimento"/>
    <d v="2015-07-17T00:00:00"/>
    <n v="293"/>
    <d v="2016-01-14T00:00:00"/>
    <x v="0"/>
    <s v="TBD"/>
    <s v="TBD"/>
    <s v="NA"/>
    <m/>
    <s v="03/05 - SC aprovada. Em tramitação para a geração de pedido para o fornecedor._x000a_19/04 - Mesmo status._x000a_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_x000a_03/03 - Área de URA entrega informações de uso do banco de dados 03/03._x000a_26/02 - Recebida OG de Telecom. Aguardando avaliação BD do ambiente NGR. Buscando data de entrega da avaliação pela engenharia._x000a_18/02 - Definido que não será necessário utilizar ICR._x000a_- OG de CSE em montagem (26/02)_x000a_16/02 - Solicitado à área de URAS o encaminhamento das chamadas para avaliação com planejamento. (19/02)._x000a_11/02 - Enviado questionamento de utilização de ICR para área de roteamento.(Julio)_x000a_05/02 - Disponibilizada EF - Àrea de aplicações avaliando_x000a_26/01 - Mesmo status _x000a_14/01 - Agurando confecção da EF"/>
    <x v="2"/>
    <s v="Eder Herrero"/>
    <d v="2016-03-28T00:00:00"/>
    <s v="Na Fila"/>
    <m/>
    <m/>
  </r>
  <r>
    <s v="CTXNITSP-172614"/>
    <s v="Projeto - Projeto: Migração da URA do PAP (0800 033 1140 e 0800 642 1431) p/ ambiente NGR"/>
    <s v="Niterói/RJ"/>
    <s v="Operações que não estão no Plano de Recuperação"/>
    <x v="4"/>
    <s v="Ana Coelho"/>
    <s v="Ana Sosa"/>
    <x v="7"/>
    <s v="Ricardo"/>
    <s v="Desenvolvimento"/>
    <d v="2015-11-09T00:00:00"/>
    <n v="178"/>
    <d v="2016-01-14T00:00:00"/>
    <x v="0"/>
    <s v="TBD"/>
    <s v="TBD"/>
    <s v="NA"/>
    <m/>
    <s v="03/05 - SC aprovada. Em tramitação para a geração de pedido para o fornecedor._x000a_19/04 - Mesmo status._x000a_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23/02 - Aguardando informações área de negócios._x000a_16/02 - Solicitado à área de URAS o encaminhamento das chamadas para avaliação com planejamento. (19/02)._x000a_11/02 - Enviado questionamento de utilização de ICR para área de roteamento._x000a_05/02 - Disponibilizada EF - Àrea de aplicações avaliando_x000a_26/01 - Mesmo status _x000a_14/01 - Agurando confecção da EFc"/>
    <x v="2"/>
    <s v="Eder Herrero"/>
    <d v="2016-03-28T00:00:00"/>
    <s v="Na Fila"/>
    <m/>
    <m/>
  </r>
  <r>
    <s v="CTXBHZRI-94837"/>
    <s v="Projeto - Projeto: Migração da URA do Hotline Empresarial (0800 280 3120) p/ ambiente NGR"/>
    <s v="Prado/MG"/>
    <s v="Operações que não estão no Plano de Recuperação"/>
    <x v="4"/>
    <s v="Ana Coelho"/>
    <s v="Ana Sosa"/>
    <x v="7"/>
    <s v="Ricardo"/>
    <s v="Desenvolvimento"/>
    <d v="2015-11-10T00:00:00"/>
    <n v="177"/>
    <d v="2016-01-14T00:00:00"/>
    <x v="0"/>
    <s v="TBD"/>
    <s v="TBD"/>
    <s v="NA"/>
    <m/>
    <s v="03/05 - SC aprovada. Em tramitação para a geração de pedido para o fornecedor._x000a_19/04 - Mesmo status._x000a_12/04 - Mesmo status_x000a_ 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03/03 - Área de URA entrega informações de uso do banco de dados 03/03._x000a_26/02 - Aguardando OG CSE e avaliação de BD do ambietne NGR._x000a_18/02 - Definido que não será necessário utilizar ICR._x000a_16/02 - Solicitado à área de URAS o encaminhamento das chamadas para avaliação com planejamento. (19/02)._x000a_11/02 - Enviado questionamento de utilização de ICR para área de roteamento.(Julio)_x000a_27/01 -Disponibilizada EF e inserida no chamado._x000a_26/01 - Mesmo status _x000a_14/01 - Agurando confecção da EF. _x000a_20/01/2016 - Insumos de Telecom já disponibilizados. Continuamos aguardando EF."/>
    <x v="2"/>
    <s v="Eder Herrero"/>
    <d v="2016-03-28T00:00:00"/>
    <s v="Na Fila"/>
    <m/>
    <m/>
  </r>
  <r>
    <s v="CTXFORBM-291757"/>
    <s v="Projeto - Projeto - SISGO"/>
    <s v="Borges de Melo/Ce"/>
    <s v="Operações que não estão no Plano de Recuperação"/>
    <x v="4"/>
    <s v="Ana Coelho"/>
    <s v="Ana Sosa"/>
    <x v="8"/>
    <m/>
    <s v="Desenvolvimento"/>
    <d v="2015-05-18T00:00:00"/>
    <n v="353"/>
    <d v="2016-01-14T00:00:00"/>
    <x v="0"/>
    <s v="TBD"/>
    <s v="TBD"/>
    <s v="TBD"/>
    <m/>
    <s v="03/05: Foram apontadas novas falhas e o time de APP está atuando para solucionar. _x000a_26/04: Aguardando retorno da operação quanto as pendências solucionadas._x000a_19/04: Permanece pendente a liberação de rede e algumas dúvidas que são enviadas diariamente pela operação._x000a_12/04: Rollout concluído em 08/04, porém a operação sinalizou em 11/04 algumas pendências a serem tratadas, como por exemplo dúvida sobre o processo de tratamento de tickets e liberação de rede._x000a_05/04: Em 01/04 foi alterado o escopo do projeto para implantar o SISGO na operação toda. Foram feitas reuniões para validação do escopo e recebido o ok da homologação. Esta em validação o cronograma do Rollout._x000a_28/03: Mesmo status_x000a_21/03: Aguardando negócio enviar o hostname das PA´s para iniciar o piloto._x000a_17/03 - Os testes hoje ou amanhã serão acompanhados pela equipe de APP com a operação, pois não estavam conseguindo gerar tickets._x000a_08/03: Aguardando conclusão dos testes de 2º nível _x000a_01/03/16 Aguardando os testes da área de negócio com as PA´s do Nascente e definição do hostnamento para o Borges de Melo. Data do piloto indefinida._x000a_22/02/16: Liberação de rede realizada em 22/02, pendete testes e instalação da aplicação no site._x000a_01/02: Previsto para 03/02 apresentação sobre a ferramenta._x000a_26/01 - Mesmo status _x000a_14/01 - Em setembro: EF aprovada e aprovação enviada para Dalton e Fornecedor. Aguardando aprovação de proposta comercial pelo cliente. "/>
    <x v="9"/>
    <s v="Debora"/>
    <s v="TBD"/>
    <s v="Pós-rollout"/>
    <m/>
    <n v="1825"/>
  </r>
  <r>
    <s v="CTXNITSP-172566"/>
    <s v="Implantação do BO Strategy - Retenção Empresarial "/>
    <s v="Niterói/RJ"/>
    <s v="Operações que não estão no Plano de Recuperação"/>
    <x v="4"/>
    <s v="Ana Coelho"/>
    <s v="Ana Sosa"/>
    <x v="7"/>
    <m/>
    <s v="Desenvolvimento"/>
    <d v="2015-11-09T00:00:00"/>
    <n v="178"/>
    <d v="2016-01-14T00:00:00"/>
    <x v="0"/>
    <s v="TBD"/>
    <s v="TBD"/>
    <s v="N/A"/>
    <m/>
    <s v="29/03 - Mesmo status_x000a_15/03 - Solicitado pela Tatiane que o Projeto seja colocado em hold pois o cliente não tem ainda o layout do mailing para a confecção da EF._x000a_08/03 - Aguardando EF_x000a_03/03 - Aguardando EF._x000a_22/02 - Faltam ainda informações que estão sendo levantadas pela Tatiane._x000a_16/02 - Anderson enviará os custos no dia 16/02._x000a_11/02 - Anderson enviará a EF com o entendimento da necessidade e após validação será gerado o custo._x000a_04/02 - Enviadas as informações faltantes solicitadas pelo fornecedor para a precificação. (Julio)_x000a_- em avaliação a possibilidade de utilizar o tBPM._x000a_02/02/2016 - Realização de conferência com o Fornecedor;_x000a_- Tatiane providenciará a criação das árvores de perfilamento;_x000a_29/01/2016 - Fornecedor enviou dúvidas com relação a EF, já respondidas pela Elaine._x000a_26/01/2016 - Verificado com Fabiana Carla e há a ncessidade de acionamento de fornecedor para verificação do desenvolvimento._x000a_Fabiana informou que o acionamento não é feito por ela._x000a_Enviada EF para o fornecedor avaliar, data estimada de devolução 28/01/2016._x000a_21/01/2016 - Verificado com o Luiz Washington o acionamento e ele verificará e retornará no dia 22/01/2016._x000a_22/01/2016 - Luiz retornou que não tem histórico nem recurso que conhece aplicação para dar andamento._x000a_26/01/2016 - envio da EF para o Fornecedor avaliar."/>
    <x v="1"/>
    <s v="Tatiane Dallecrode"/>
    <s v="Sem data"/>
    <s v="Na Fila"/>
    <m/>
    <m/>
  </r>
  <r>
    <s v="CTXFORBM-344418"/>
    <s v="Projeto - Reestruturação BO Strategy"/>
    <s v="Borges de Melo/Ce"/>
    <s v="Operações que não estão no Plano de Recuperação"/>
    <x v="4"/>
    <s v="Ana Coelho"/>
    <s v="Ana Sosa"/>
    <x v="7"/>
    <s v="Lucas Ribeiro"/>
    <s v="Desenvolvimento"/>
    <d v="2015-12-30T00:00:00"/>
    <n v="127"/>
    <d v="2016-01-14T00:00:00"/>
    <x v="0"/>
    <s v="TBD"/>
    <s v="TBD"/>
    <m/>
    <m/>
    <s v="26/04 - EF confeccionada. Aguardando aprovação do cliente._x000a_19/04 - aguardando confecção EF fornecedor. _x000a_12/04 - Mesmo status_x000a_28/03 - Fornecedor realizaou as alterações. Em validação pelo Lucas Lourenço._x000a_22/03 - Lucas enviou as alterações a serem feitas. Aguardando atuação do fornecedor._x000a_10/03 - EF enviada pelo fornecedor. Aguardando validação Lucas Lourenço._x000a_08/03 - Fornecedor enviou alguns questionamentos que Lucas está buscando._x000a_01/03 - Lucas enviou as informações para fornecedor. Aguardando proposta. Sem data._x000a_16/02 - Mesmo Status_x000a_01/02/2016 - Em revisão das especificações pelo demandante. (Lucas Lorencato)_x000a_28/01/2016 - Verificando responsável pelo projeto por parte de operações._x000a_26/01/2016 - Verificado com Fabiana Carla e há a ncessidade de acionamento de fornecedor para verificação do desenvolvimento._x000a_Fabiana informou que o acionamento não é feito por ela._x000a_Enviada EF para o fornecedor avaliar, data estimada de devolução_x000a_21/01/2016 - Verificado com o Luiz Washington o acionamento e ele verificará e retornará no dia 22/01/2016."/>
    <x v="1"/>
    <s v="Lucas Lorenco"/>
    <d v="2016-03-31T00:00:00"/>
    <s v="Na Fila"/>
    <m/>
    <m/>
  </r>
  <r>
    <s v="CTXFORBM-348261"/>
    <s v="Projeto - Implantação Retenção Involuntária R2"/>
    <s v="Borges de Melo/Ce"/>
    <s v="S&amp;OP"/>
    <x v="4"/>
    <s v="Ana Coelho"/>
    <s v="Ana Sosa"/>
    <x v="0"/>
    <s v="Jonas Divino"/>
    <s v="Implantação de PA (crescimento, migração ou nova operação)"/>
    <d v="2016-01-13T00:00:00"/>
    <n v="113"/>
    <d v="2016-01-14T00:00:00"/>
    <x v="1"/>
    <s v="-"/>
    <d v="2016-05-20T00:00:00"/>
    <s v="Risco"/>
    <m/>
    <s v="04/05 - Projeto está em desenvolvimento pela equipe de aplicações com previsão de término dia 16/mai. Após isso, o site atuará para entrega das posições_x000a_26/04 - Definido em 19/04 qu iremos utilizar o polo aspect MG para implantar essas posições. no momento estamos aguardando a configrações dos servidores que esta prevista para ser entregue no dia 03/04. após isso continua-se os desenvolvimentos (estou buscando datas). Jasolicitado ao LW a criação de OU/AD e os usuários que precisam ter acesso as essa estrutura;_x000a_19/04 - Aguardando Definição de qual polo aspect utilizar. Definição Corporativa. sem prazo. Rico alto de atraso._x000a_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_x000a_23/02 - Realizado em 19/02 uma reunião de alinhamento entre solicitante, desenvolvimento, PMOs. Estamos em processo de To Be;_x000a_16/02 - Aguardando, desde 20/01, a EF para analises de Desenvolvimentos  e Engenharia. Sem Previsão._x000a_26/02 - Aguardando agenda com a Accenture;_x000a_20/01 - Em analise de engenharia e plataforma de TI, já acionado Equipe de NGR - Desenvolvimento;_x000a_14/01 - Favor preencher o formulário de crescimento anexo. _x000a__x000a_Favor enviar o layout aprovado pela equipe de planejamento. "/>
    <x v="0"/>
    <s v="Camilla Fermiano"/>
    <d v="2016-05-16T00:00:00"/>
    <s v="Desenvolvimento/Execução"/>
    <m/>
    <n v="15"/>
  </r>
  <r>
    <s v="CTXNITSP-164460"/>
    <s v="URA Oi Total"/>
    <s v="Niterói/RJ"/>
    <s v="Operações que não estão no Plano de Recuperação"/>
    <x v="4"/>
    <s v="Ana Coelho"/>
    <s v="Ana Sosa"/>
    <x v="7"/>
    <s v="Jill Ortiz"/>
    <s v="Desenvolvimento"/>
    <d v="2015-07-20T00:00:00"/>
    <n v="290"/>
    <d v="2016-01-14T00:00:00"/>
    <x v="1"/>
    <m/>
    <d v="2016-08-01T00:00:00"/>
    <s v="Sim"/>
    <m/>
    <s v="19/04 - Mesmo status._x000a_12/04 - Aprovada SC Avaya. Avaya criando cronograma._x000a_04/04 - Mesmo status_x000a_08/03 - Mesmo status_x000a_03/02 - Finalizada documentação Telecom para implantação._x000a_Em aprovação proposta Avaya para configuração da URA._x000a_26/02 - Nova data de validação por Engenharia e CSE - 26/02._x000a_22/02 - Em aprovação proposta Avaya,_x000a_Em valiação por CSE da parte Telecom (25/02)_x000a_16/02 - Mesmo status_x000a_11/02 - Rodrigo verificou demandas no mesmo ambiente e não há concomitância de especificações técnicas entre demandas._x000a_Solictei volume para estudo pela área de URA. (Rodrigo)_x000a_10/02 - Em avaliação._x000a_03/02 - Rodrigo avaliará a real necessidade da demanda em comparação com outras 2 demandas para a mesma URA (CO)._x000a_02/02/2016 - Dificuldade de contato com Rodrigo, demandante._x000a_01/02/2016 - Em conversa com o Gerson verifiquei a necessidade de levantar mais informações para darmos andamento. FAlar com Rodrigo._x000a_27/01/2016 - aguardando retorno Avaya._x000a_26/01/2016 - Início do tratamento da demanda._x000a_21/02/2016 - Solicitada à Avaya a atualização da proposta de desenvolvimento que é de 16/09/2015 e tinha validade de 60 dias."/>
    <x v="1"/>
    <s v="Jill Ortiz"/>
    <s v="Pedido em criação. Sem previsão."/>
    <s v="Na Fila"/>
    <m/>
    <n v="9"/>
  </r>
  <r>
    <s v="CTXSPOAP407-14854"/>
    <s v="MIGRAÇÃO TAM SP PARA JP"/>
    <s v="João Pessoa"/>
    <s v="S&amp;OP"/>
    <x v="5"/>
    <s v="Rodrigo Zambon"/>
    <s v="Leonardo Pelegrino"/>
    <x v="0"/>
    <s v="Luciana Cardoso"/>
    <s v="Implantação de PA (crescimento, migração ou nova operação)"/>
    <d v="2016-01-20T00:00:00"/>
    <n v="106"/>
    <d v="2016-01-26T00:00:00"/>
    <x v="1"/>
    <s v="-"/>
    <d v="2016-05-12T00:00:00"/>
    <s v="Risco"/>
    <m/>
    <s v="03/05 - Aparelhos AVAYA Estão no site Lapa reservados para transporte para JPA. SC foi aprovada 28/abr e PC precisa ser imediato.  Aparelhos devem chegar até dia 05/mai. Em paralelo, TI site está atuando nas demais configurações_x000a_26/04 - 110 Heads enviadosde PL407 para site JPA via Malote. 105 Avayas 9608 devem ser enviados de site Lapa - SP para site JPA, estamos em processo de SC/PC (precisam chegar até dia 05/05 em JPA). Estamos solicitando criação de CDIs, Ofice ID, Ramais, etc para essa ampliação;_x000a_19/04 - Buscando Saving de insumos para implantação da 2° onda, prevista para 14/05. Treinamento em Andamento._x000a_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_x000a_29/03 - Realizado o transporte dos computadores , avayas e heads. teremos que refazer as imagens, devido a solicitação do cliente de trocar de win XP para win7. Iniciaremos em 30/03 até dia 04/04. Homologação de 05 à 07/04. Roll out em 08/04;_x000a_22/03 - Agendando transporte dos insumos, os mesmos devem chegar ate a proxima semana;_x000a_15/03 - Aguardando numero de PC para transportes de maquinas FOR/JPA e avayas de FOR/JPA;_x000a_08/03 - Entregamos o ambiente de treinamento com 3 salas. estamos aguardando numero de PC para transporte de maquinas FOR/JPS e avayas de FOR/JPA;_x000a_01/03 - Em Homologação do ambiente de trainamento pelo cliente. GMUD realizada com sucesso no dia 24/02 com sucesso. Configuração das maquinas de treinamento configuradas no periodo de 25 à 29/02 ._x000a_23/02 - Realizando algumas configurações nas maquinas da sala de treinamento, realizando liberações de rota / rede. Previsão de configurações por parte do cliente é de 25/02 a partir da 23hs;_x000a_16/02 - roteadores entregues no sites JP (em 16/02 às 15h30min). iremos instalar no local e disponibilizar uma maquina remota para as configurações, que devem ir até dia 18/02 à 11h00min;_x000a_10/02 - Aguardando numero do PC para acionar a transportadora para poder realizar o trasnporte dos dois roteadores de Lapa p/ JPA. estamos dependendo desse trasnporte para poder acionar as equipes internas e do cliente para realizar as devidas liberações e configurações de redes;_x000a_02/02 - Há necessidade detransporte de roteadores de SP para JPA. Estamos buscando 25 Maquinas e heads para completar os insumos. Em paralelo estamos levantando informações para repassar ao cliente para liberação de acessos no site JPA;_x000a_26/01 - Realizando o entendimento do projeto;"/>
    <x v="11"/>
    <s v="Luciana Cardoso"/>
    <d v="2016-05-05T00:00:00"/>
    <s v="Roll Out"/>
    <m/>
    <n v="100"/>
  </r>
  <r>
    <s v="CTXSPOAP407-14745"/>
    <s v="IMPLANTAÇÃO TAM VIAGENS - INFRA - SITE AUGUSTA"/>
    <s v="Augusta"/>
    <s v="S&amp;OP"/>
    <x v="5"/>
    <s v="Rodrigo Zambon"/>
    <s v="Leonardo Pelegrino"/>
    <x v="0"/>
    <s v="Luciana Cardoso"/>
    <s v="Implantação de PA (crescimento, migração ou nova operação)"/>
    <d v="2016-01-14T00:00:00"/>
    <n v="112"/>
    <d v="2016-01-26T00:00:00"/>
    <x v="1"/>
    <s v="-"/>
    <s v="Sala Trein: 27/mai_x000a_Augusta: 10/mai"/>
    <s v="Risco_x000a_Risco"/>
    <m/>
    <s v="04/05 - Sala de Treinamento no Alameda Santos (27/mai): Dois roteadores serão transportados para o site AS ainda essa semana. Pendente geração de PC de transporte dos Switchs, Máquinas, Avayas do site Alegria para o Alameda Santos. Após chegada no site:_x000a_• Acionar LW para realizar as liberações e configurações de rede e Coordenador do site para instalar os roteadores e switches_x000a_• Cobrar a Zenailde de uma VLAN para colocar nessas posições_x000a_• Acionar o coordenador do site AS e Zenailde para apoiar nas configurações das máquinas e ramais_x000a__x000a_Entrada de 91PAs no Augusta (10/mai): Pendente geração de PC de transporte das Máquinas e Avayas do site Alegria para o Augusta (em conjunto com os da Sala de Treinamento). Após chegada no site: • Acionar a Zenailde para configurações das máquinas e ramais com as imagens já disponíveis e outras configurações que o cliente enviar_x000a__x000a_26/04 - Dois Roteadores localizado em SP (modelo 3800), iremos transportar via taxi para o site Alameda Santos. Dois Switch localizado no site Santo Amaro, Luciana Cardoso esta cobrando processo de SC/PC para transportar para o site Alameda Santos. com os insumos no site As, necessario realizar as devidas configurações junto a Redes / Microsoft. Necessario levantar a rede a ser utilizada no site AS, Zenailde esta verificando disponibilidade._x000a_19/04 - Aguardando definições das atividades para os movimentos 8, 9 e10. Faremos uma reunião em 19 e 20/04 para definições das proximas fazes. Cobrando Controle de Ativos sobre os insumos necesarios (Switches e Roteadores) para implantar as salas de treinamemnto no site Alameda Santos, entretanto o cliente quer uma reunião para esse tema , pois diz não estar ciente. estamos agendando._x000a_12/04 - Analisando atividades para os proximos movimentos (8, 9 e 10);_x000a_29/03 - Migrado Mazanino para 4° andar. fazermos movimentações entre o 5°andar e o 3° andar do grupos Reserva e Cargo, e voltaremos o Planejamento para o Mezanino, no periodo de 01 à 04/04;_x000a_22/03 - Em execução de movimentações entre andares, e analisando as necessidades das salas de treinamentos no site AS;_x000a_15/03 -  Em execução das movimentações entre andares para execuções das obras. validando insumos para o crescimeto;_x000a_01/03 - Realizamos algumas reuniões na ultima semana, e foi definido o cronograma com base na data alvo a ser atingida em 10/05;_x000a_23/02 - realizado alguns alinhamentos, e no momento estamos aguardando definição de cronograma de obras e de ordem para as atividades nos andares;_x000a_16/02 - Aguardando cliente disponibilizar links e aplicações a serm utilizadas na operação (desde 28/01). Em paralelo estamos analisando o layout proposto, infra, insumos, etc. Precisamos tambem que seja definida a data de liberação do ambiente para TI trabalhar;_x000a_10/02 - Aguardando cliente disponibilizar links e aplicações a serm utilizadas na operação (desde 28/01). Em paralelo estamos analisando o layout proposto, infra, insumos, etc;_x000a_26/01 - Realizando o entendimento do projeto;"/>
    <x v="12"/>
    <s v="Luciana Cardoso_x000a_Zenailde Santana"/>
    <d v="2016-05-10T00:00:00"/>
    <s v="Roll Out"/>
    <m/>
    <n v="200"/>
  </r>
  <r>
    <s v="CTXSALLM-119760"/>
    <s v="Configurar 20 PV´s para gravação Inbound"/>
    <s v="Comercio/BA"/>
    <s v="Operações que não estão no Plano de Recuperação"/>
    <x v="4"/>
    <s v="Ana Coelho"/>
    <s v="Neto"/>
    <x v="1"/>
    <s v="C. Kuzuhara"/>
    <s v="Desenvolvimento"/>
    <d v="2016-01-20T00:00:00"/>
    <n v="106"/>
    <d v="2016-01-28T00:00:00"/>
    <x v="0"/>
    <s v="Já entregue"/>
    <s v="Já entregue"/>
    <s v="Já entregue"/>
    <m/>
    <s v="[03/05] - Novo Email para Solictante pedidndo confirmação para fechar o chamado._x000a__x000a_[26/04] - CSE diz ja ter concluido as configurações. Email para Solictante pedidndo confirmação para fechar o chamado._x000a__x000a_[19/04] - Encaminhado 04 ramais pendentes para correção - CSE _x000a__x000a_[12/04] - Aguardando correção dessas 5 pendências  (ramais) pela equipe Gravadores)_x000a__x000a_[05/04] - Solicitante identificou 05 ramais com problemas na gravação. Direcionado para ação equipe tecnica._x000a__x000a_[04/04] - Fase de homologação e ajuste com Solicitante._x000a__x000a_[29/03] - Aguardando retorno da homologação (Cristiane Kuzuhara)._x000a__x000a_[22/03] - Ramais adequados em 16/03. Aguardando validação pelo Solicitante._x000a__x000a_[15/03] - Previsto para 16/03 receber o prazo estimado para execução._x000a__x000a_[08/03] - Previsto para 09/03 receber o prazo estimado para execução._x000a__x000a_[29/02] - Fila de execução CSE . Aguardando retorno com prazo de execução._x000a__x000a_[23/02] Fase de coleta de informações tecnicas para direcionamento  Projeto e briefing para fila do CSE._x000a__x000a_[16/02] - Entendimento escopo realizado com Solicitante e TI Site._x000a_Fase de coleta de informações tecnicas para direcionamento  Projeto e briefing para fila do CSE._x000a__x000a_[10/02] - Fase Inicial - Esclarecer entendimento escopo com Solicitante_x000a__x000a_03/02 - Alterar gravação de 26 PA's que hoje gravam Outbound para Inbound"/>
    <x v="6"/>
    <s v="Luiz Washington"/>
    <m/>
    <s v="Homologação"/>
    <m/>
    <m/>
  </r>
  <r>
    <s v="CTXFORBM-348606"/>
    <s v="Simulador OI Total"/>
    <s v="Borges de Melo/CE"/>
    <s v="Operações que não estão no Plano de Recuperação"/>
    <x v="4"/>
    <s v="Ana Coelho"/>
    <s v="Ana Sosa"/>
    <x v="5"/>
    <s v="Lisandra"/>
    <s v="Desenvolvimento"/>
    <d v="2016-01-14T00:00:00"/>
    <n v="112"/>
    <d v="2016-01-22T00:00:00"/>
    <x v="0"/>
    <s v="TBD"/>
    <s v="TBD"/>
    <s v="TBD"/>
    <m/>
    <s v="02/05 - Sem retorno do solicitante_x000a_12/04 - Aguardando contato do solicitante_x000a_06/04 - Mesmo status_x000a_29/03 - Mesmo status_x000a_14/03 - Aguardando solicitação de compra por parte da operação_x000a_08/03 - Mesmo status_x000a_01/03 - EF não aprovada. Solicitado ao fornecedor novo desenho._x000a_23/02 - Aguardando aprovação do solicitante quanto a EF _x000a_10/02 - Em fase de definição de EF com a Lisandra_x000a_02/02 - Aguardando proposta comercial até amanhã (03/02)_x000a_29/01 - Enviado e-mail ao fornecedor solicitando proposta comercial_x000a_22/01 - Projeto novo em 22/01"/>
    <x v="1"/>
    <s v="Lisandra"/>
    <s v="Sem previsão"/>
    <s v="Desenvolvimento/Execução"/>
    <m/>
    <m/>
  </r>
  <r>
    <s v="CTXSPOBF-135040"/>
    <s v="Implantar Ferramenta Whisbi - Ticket B2B Infra"/>
    <s v="Antártica/SP"/>
    <s v="Plano Recuperação"/>
    <x v="0"/>
    <s v="Noemia Ferro"/>
    <s v="Maurício Perez"/>
    <x v="8"/>
    <m/>
    <s v="Desenvolvimento"/>
    <d v="2016-01-27T00:00:00"/>
    <n v="99"/>
    <d v="2016-02-01T00:00:00"/>
    <x v="0"/>
    <s v="TBD"/>
    <s v="TBD"/>
    <s v="TBD"/>
    <m/>
    <s v="03/05: Mesmo status, em paralelo o projeto foi alocado na fila de CSE em 29/04. Aguardo retorno, para construir um cronograma._x000a_26/04: Mesmo Status_x000a_19/04: Mesmo status_x000a_12/04: Mesmo Status,por isso este projeto ficará em hold até termos o NDA assinado_x000a_05/04: Mesmo Status_x000a_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_x000a_21/03: Após avaliação de SI será necessário: • Utilização do Protocolo HTTPS entre o sistema e a PA;_x000a_• Alteração de contrato com inclusão da Whisbi ou NDA entre as empresas TICKET x WHISBI X CONTAX, onde o escopo é o vazamento de informação e indisponibilidade da aplicação (somente para esta célula);_x000a_• Criação de uma matriz RACCIX de papéis e responsabilidades para o cenário desta célula;_x000a_Além disso será necessário realizar a contratação de link de acordo com Eduardo Ávila (Comercial) , pois a proposta não considera link de internet. _x000a_08/03: Aguardando o recebimento do contrato para SI analisar a aplicabilidade e os  requisitos técnicos ds ferramenta Whisbi._x000a_01/03/16: Foi alterada a prioridade do projeto na reunião do Giulio em 26/02 pelo Giuseppe. Nova data será definida._x000a_22/02/16: Projeto está previsto para terminar a parte de rede (Villa) em 11/03."/>
    <x v="1"/>
    <s v="Carlos Batista"/>
    <s v="TBD"/>
    <s v="Em Hold"/>
    <m/>
    <n v="9"/>
  </r>
  <r>
    <s v="CTXSPOAP407-14651"/>
    <s v="Projeto - ACL Analytics – Workstation"/>
    <m/>
    <s v="Corporativo"/>
    <x v="2"/>
    <s v="Giuseppe"/>
    <s v="Mauricio Lustosa"/>
    <x v="8"/>
    <m/>
    <s v="Desenvolvimento"/>
    <d v="2016-01-07T00:00:00"/>
    <n v="119"/>
    <d v="2016-02-01T00:00:00"/>
    <x v="0"/>
    <s v="TBD"/>
    <s v="TBD"/>
    <s v="TBD"/>
    <m/>
    <s v="03/05: Mesmo status_x000a_26/04: Mesmo Status_x000a_19/04: Mesmo status_x000a_12/04: Aguardando o número do pedido a ser enviado para o fornecedor. Solicitado em 12/02 à auditoria interna abrir SC. Portanto projeto estará em hold até recebermos o número do pedido._x000a_05/04: Controle de Ativos está cotando o valor das licenças Windows 8.1. _x000a_29/03: Verificar com o Toscani a possibilidade de alterar o escopo do projeto, pois de acordo com ele a aplicação deve ficar em um Servidor, porém o ACL não é homologado para o Windows 2008 R2, sendo assim criaríamos uma VM com Windows 8.1 ou 7 para atender está demanda._x000a_22/03: Será necessário adquirir licenças de windows professional 8.1._x000a_08/03/16: Chamado continua em aberto, aguardando autorização de SI._x000a_01/03/16: Aguardando o autorização de acesso ao ftp por SI. Chamado aberto em 01/03/16._x000a_22/02/16: Engenheria terminou a construção do desenho e o projeto foi incluído na fila de CSE em 19/02 para criar um ambiente de infra."/>
    <x v="1"/>
    <s v="Anselmo"/>
    <s v="TBD"/>
    <s v="Em Hold"/>
    <m/>
    <m/>
  </r>
  <r>
    <s v="CTXRECSA-456620"/>
    <s v="Projeto - Implantar ferramenta Evalyze no BO Fixa"/>
    <s v="PE - Site Santo Amaro"/>
    <s v="Operações que não estão no Plano de Recuperação"/>
    <x v="4"/>
    <s v="Ana Coelho"/>
    <s v="Ana Sosa"/>
    <x v="4"/>
    <m/>
    <s v="Desenvolvimento"/>
    <d v="2016-01-26T00:00:00"/>
    <n v="100"/>
    <d v="2016-02-01T00:00:00"/>
    <x v="0"/>
    <d v="2016-05-15T00:00:00"/>
    <s v="TBD"/>
    <m/>
    <m/>
    <s v="03/05 -  Mesmo Status._x000a__x000a_25/04 - Conforme interação com a Fernanda Nazario, demanda em hold até 15/05. _x000a__x000a_19/04 - Conforme interação com a Fernanda Nazario, demanda em hold até 15/05. _x000a__x000a_12/04 - Mesmo Status_x000a__x000a_04/04 - Conforme interação com a Fernanda Nazario, demanda em hold até 15/05. _x000a__x000a_28/03 - Mesmo status, aguardando retorno da operação._x000a__x000a_21/03 - Mesmo status, aguardando retorno da operação._x000a__x000a_15/03 - Mesmo status, aguardando retorno da operação._x000a__x000a_07/03 - Conforme a análise de Engenharia é necessário que a operação realize um alinhamento com a área de Segurança da informação OI e Contax, por que não podemos rotear este IP 10.81.8.7  dentro do nosso ambiente, a  OI precisa criar um NAT com o range 10.173 _x000a__x000a_01/03 - Interação com o solicitante pois conforme retorno de Engenharia, é necessário o alinhamento com área de segurança da informação OI e Contax, por que não podemos rotear este IP 10.81.8.7  dentro do nosso ambiente, a  OI precisa criar um NAT com o range 10.173_x000a__x000a_23/02 - Conforme históricos de “bloqueio” em ambos os lados Oi e CSE, esta demanda está com Análise e Estudo de Viabilidade da Equipe de Engenharia . Prazo : 23/02 à 29/02_x000a__x000a_15/02 - Mesmo Status._x000a__x000a_10/02 - Pendência de abertura de ARS com a Oi,. Em paralelo, colocamos na Fila do Morais para verificar a possibilidade de disponibilizar  a base de dados do Frevo, ao menos em uma única versão, para testes e validação pela Closer dentro do Evalyze._x000a__x000a_Verificarmos possibilidade de uma contingencia manual para que o mesmo acesso que o analista de TI de PE utiliza hoje seja utilizado para pegar o arquivo do Frevo e colocar no ftp da Closer._x000a_---------------------------------------------_x000a_Resumo do último status._x000a_Hoje existe pendência de liberação de acesso pela Oi para a Contax acessar o ambiente do BD do Frevo a partir de Alphaville(regra 2). E nesse momento já temos o contato de Ti da Oi que diz que só vai nos atender, após alguém da OI abrir uma ARS(chamado), com as devidas liberações de Seg Inf da OI, para criação do Nat de acesso. _x000a_A Contax ainda não conseguiu essa ajuda com produtos da Oi na abertura da ARS pois esse é um projeto da Contax, que na sua concepção não envolvia a Oi na sua execução. E está sendo necessário explicar e negociar a respeito._x000a_A equipe de aplicações está aguardando esse retorno da liberação de acesso para configurar a aplicação e realizar testes com o robô desenvolvido. _x000a_A fornecedoara da Closer já desenvolveu a parte deles  mas ainda não consegue fazer testes por não ter recebido dados através da interface de sistema desenhada_x000a__x000a__x000a_02/02 - Acionado a Cris Sasaki (Em estimativa de OG)"/>
    <x v="1"/>
    <s v="Fernanda Nazário"/>
    <d v="2016-05-15T00:00:00"/>
    <s v="Hold"/>
    <m/>
    <n v="240"/>
  </r>
  <r>
    <s v="CTXSPOAP407-12306"/>
    <s v="LATAMCC - Contax SIP Trunk -Integração TAM com rede SITA"/>
    <s v="Alegria/SP"/>
    <s v="Operações que não estão no Plano de Recuperação"/>
    <x v="5"/>
    <s v="Rodrigo Zambon"/>
    <s v="Leonardo Pelegrino"/>
    <x v="1"/>
    <s v="Cleonice"/>
    <s v="Desenvolvimento"/>
    <d v="2015-09-02T00:00:00"/>
    <n v="246"/>
    <d v="2016-02-03T00:00:00"/>
    <x v="0"/>
    <s v="TBD"/>
    <s v="TBD"/>
    <s v="Não existe data fechada"/>
    <m/>
    <s v="[03/05] - Aguardando definição Koreeda (Email Villa) Escalar Milene._x000a__x000a_[26/04] - Aguardando definição Koreeda (Email Villa) _x000a__x000a_[19/04] - Aguardando definição Koreeda (Email Villa) _x000a__x000a_[12/04] - Aguardando definição da Diretoria TI. (Direcionamento Gestor Engenharia)_x000a__x000a_[05/04] -  Aguardando esclarecimentos tecnicos entre  Engenharia e  Comercial Contax, para prosseguimento do projeto._x000a__x000a_[2903] -  Aguardando esclarecimentos tecnicos entre  Engenharia e  Comercial._x000a__x000a_[22/03] -  Aguardando esclarecimentos Engenharia e direcionamento Comercial._x000a__x000a_[15/03] - Aguardando retorno de Engenharia  para os questionamento realizados pelo Comercial._x000a__x000a_[08/03] -  Em 08/03 recebemos alguns questionamento enviados  pelo Comercial, referente as respostas do cliente TAM , para itens contidos na RFP. Será necessário avaliação equipe tecnica._x000a__x000a_[29/02] - Aguardando Retorno Comercial. Custos encaminhados para equipe Projetos e Comercial . Aguardando direcionamento, para iniciar execução._x000a__x000a_[23/02] - Custos encaminhados para equipe Projetos e Comercial . Aguardando direcionamento, para iniciar execução._x000a__x000a_[16/02] - Necessário esclarecer qustão comercial Contax ._x000a_Equipe de Engenharia levantando os custos de TI para a Infra DAC (SM) que será utilizada neste projeto, para encaminhar para Comercial Contax. Passível de repasse custos para Cliente. Previsão : 17/02_x000a__x000a_[10/02] - Em analise e aprovação da solução tecnica, pela Diretoria TI._x000a__x000a_[02/02] - Desenho arquitetura e solução finalizado por Engenharia._x000a_Direcionado para Equipe Implantação CSE._x000a_Necessário a aprovação da diretoria, para utilização da Plataforma o Avaya Session Manager  no data center. Já encaminhado ."/>
    <x v="2"/>
    <s v="Koreeda/ Villa"/>
    <s v="ND"/>
    <s v="Desenho Solução"/>
    <m/>
    <m/>
  </r>
  <r>
    <s v="CTXBHZRP-217559"/>
    <s v="RTI - ABERTURA E FECHAMENTO DE CONTESTAÇÃO (G1)"/>
    <s v="Santo Amaro"/>
    <s v="Plano Recuperação"/>
    <x v="4"/>
    <s v="Ana Coelho"/>
    <s v="Ana Sosa"/>
    <x v="2"/>
    <s v="Luiz Matheus"/>
    <s v="RTI"/>
    <d v="2016-02-03T00:00:00"/>
    <n v="92"/>
    <d v="2016-02-03T00:00:00"/>
    <x v="1"/>
    <d v="2016-03-28T00:00:00"/>
    <d v="2016-05-11T00:00:00"/>
    <s v="Sim"/>
    <m/>
    <s v="[02/05] - UAT iniciada. Termino dia 06/05._x000a_[26/4] - em desenvolvimento_x000a_[19/04] - Em desenvolvimento_x000a_[12/4] - Em desenvolvimento_x000a_[04/04] Em desenvolvimento. Atraso devido à demora na liberação de usuário pela operação. _x000a_Risco de atraso também devido a montagem do ambiente de desenvolvimento. Novo prazo de entrega 29/04/16._x000a_[29/03] -  Usuários de sistemas envolvidos não foram enviados, portanto, haverá atraso. Aguardando previsão de envio para analisar impactos._x000a_[22/03] - To Be validado._x000a_[14/03] -  TO BE enviado para aprovação em 09/03/16. Em 11/03, negócios solicitou alteração no desenho. Previsão de envio para aprovação em 14/03/16. _x000a_Não há impacto nas outras datas. _x000a_[08/03] - Na execução do TO BE, identificamos falhas na EF. Aguardando envio de EF complementar para gerar cronograma.                                             01/03/16: Pendente desenho do TO BE._x000a_22/02/16: PMO Negócios solicitou alteração no cronograma enviado no documento de OG no dia 19/02. Nova OG será enviada até 23/02._x000a_12/02/16 - EF recebida , será enviada OG no dia 19/02/16_x000a_10/02 - Mesmo status_x000a_05/02 - EF em análise. Agendada sala de guerra para retirada de duvidas e fechamento da EF em 12/02_x000a_03/02 - A iniciar"/>
    <x v="0"/>
    <s v="Mariana"/>
    <d v="2016-04-29T00:00:00"/>
    <s v="Em Desenvolvimento"/>
    <m/>
    <m/>
  </r>
  <r>
    <s v="CTXSALLM-120345"/>
    <s v="Crescimento de 30 PV´s de Televendas Out Pós"/>
    <s v="BA - Site Comércio"/>
    <s v="S&amp;OP"/>
    <x v="4"/>
    <s v="Ana Coelho"/>
    <s v="Ana Sosa"/>
    <x v="4"/>
    <s v="Jonas Divino"/>
    <s v="Implantação de PA (crescimento, migração ou nova operação)"/>
    <d v="2016-02-03T00:00:00"/>
    <n v="92"/>
    <d v="2016-02-03T00:00:00"/>
    <x v="1"/>
    <m/>
    <d v="2016-05-06T00:00:00"/>
    <s v="não"/>
    <m/>
    <s v="03/05 - Em Comitê, para aprovação do transporte do Servidor para gravação. Lembrando que são 15 pas para gravação._x000a__x000a_25/04 - Mesmo Status._x000a__x000a_19/04 - Em Comitê, para aprovação do transporte do Servidor para gravação. Lembrando que são 15 pas para gravação._x000a__x000a_12/04 - Aguardando status do CC Brasil quanto a cotação de transporte para remanejamento do Servidor para gravação. _x000a__x000a_04/04 - Mesmo status. _x000a__x000a_28/03 - Foi repassado a cotação de Transporte ao recurso de Negócios (Jonas), para seguimento de abertura de SC. Ressaltando que apenas 15 pas estão sem gravação._x000a__x000a_21/03 - Servidor de gravação encontrado. Em cotação de transporte para posterior abertura de SC._x000a__x000a_15/03 - Aguardando retorno de Controle de Ativos._x000a__x000a_07/03 - Mesmo Status._x000a__x000a_01/03 - Ainda temos apenas pendência de gravação em 15 pas. CSE está estudando um upgrade no Nice 2.0 para que possamos resolver este &quot;problema&quot; de gravação._x000a__x000a_23/02 - 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quot;problema&quot; de gravação._x000a__x000a_15/02 - Mesmo Status._x000a__x000a_10/02 - Acionamento Site para os pré-requisitos de Dac e Imagem das pas. Em paralelo aguardando retorno de Engenharia para as verificações do Discador. Única ação da Equipe do Morais é no final da demanda com o cadastro do novo range de Hostname._x000a__x000a_03/02 - A iniciar"/>
    <x v="11"/>
    <s v="Jonas Divino"/>
    <s v="TBD"/>
    <s v="Desenvolvimento"/>
    <m/>
    <n v="30"/>
  </r>
  <r>
    <s v="CTXBHZRI-97664"/>
    <s v="Novos Arquivos de Atualização R1 Fixa"/>
    <s v="Prado II"/>
    <s v="Operações que não estão no Plano de Recuperação"/>
    <x v="4"/>
    <s v="Ana Coelho"/>
    <s v="Ana Sosa"/>
    <x v="1"/>
    <s v="Tatiane Rodrigues Dallecrode "/>
    <s v="Desenvolvimento"/>
    <d v="2016-01-28T00:00:00"/>
    <n v="98"/>
    <d v="2016-02-04T00:00:00"/>
    <x v="0"/>
    <s v="TBD"/>
    <s v="TBD"/>
    <s v="Não existe data fechada"/>
    <m/>
    <s v="[03/05] Arquivos entregues em 28/04. Pegar posição de aplicações._x000a__x000a_[26/04] Vamos fechar chamado se arquivo não vier até 30/04._x000a__x000a_[19/04] Pendência do Solicitante. [  arquivo de mailing exemplo ]_x000a_Informado ao solicitante o impacto direto no início do Desenvolvimento. Uma nova expectativa  esforço Deesenvolvimento será realizada, quando recebermos o arquivo de mailing _x000a__x000a_[12/04] - Pendência do Solicitante. [  arquivo de mailing exemplo ]_x000a_Informado ao solicitante o impacto direto no início do Desenvolvimento. Uma nova expectativa  esforço Deesenvolvimento será realizada, quando recebermos o arquivo de mailing exemplo. _x000a_Obs: Solicitante ainda sem data para entrega do arquivo_x000a__x000a_[05/04] - Pendência Solicitante. Informado ao solicitante o impacto direto no início do Desenvolvimento. Uma nova expectativa será realizada quando recebermos o arquivo de mailing exemplo. Obs: Solicitante ainda sem data para entrega do arquivo_x000a__x000a_[29/03] - Pendência Solicitante  - Aguardando retorno solicitante. _x000a_Obs: Impacto direto no inicio desenvolvimento e entrega._x000a__x000a_[22/03] - Pend~encia  do solicitante, na entrega do arquivo de exemplo do mailing até 23/03/2016._x000a_Essa entrega é premissa para garantir a o inicio do desenvolvimento e a data de entrega do projeto.(15/04)_x000a__x000a__x000a__x000a_[15/03] - Aguardando retorno solicitante. ( Modelo arquivo mailing). Limite 23/03_x000a__x000a_08/03] - Aguardando o envio arquivo exemplo mailing. ( Jeane (02/03)_x000a__x000a_[03/03] - Para priorizarmos este ultimo projeto para inicio de desenvolvimento no dia 29 Mar, precisamos de entrega do arquivo de exemplo do mailing até 23/03/2016 e alinhar convosco que afetaremos as demais solicitações prioritárias da fila  em mais ou menos 14 dias úteis._x000a__x000a_[02/03] - Aguardando &quot; de acordo &quot;  Admilson par areorganização da Fila de Projetos par apodermos Priorizar o projeto para atender  a data  esperada pelo Cliente._x000a__x000a_ [29/02] - Ponto de Atenção: O lay out do Arquivo mailing será alterado pela Oi em  05/05/16._x000a_Previsão de execução por Aplicações  - Desenvolvimento entre 06 e 27/12/12016_x000a__x000a_[23/02] - Projeto em analise por Aplicações . Data prevista retorno de esforço e prazo execução - 29/02._x000a__x000a_[16/02] - Fase inicial.  Entendimento do escopo com solicitante _x000a__x000a_[10/02] - Fase Inicial - Esclarecer entendimento escopo com Solicitante_x000a__x000a_04/02 - Aguardando Briefing do projeto"/>
    <x v="1"/>
    <s v="Tatiane Dallecrode"/>
    <d v="2016-02-29T00:00:00"/>
    <s v="Desenho Solução"/>
    <d v="2016-04-15T00:00:00"/>
    <m/>
  </r>
  <r>
    <s v="CTXSALSM-87479"/>
    <s v="Alteração URA OI Internet Conexão Sáude"/>
    <s v="Fonte Nova/BA"/>
    <s v="Operações que não estão no Plano de Recuperação"/>
    <x v="4"/>
    <s v="Ana Coelho"/>
    <s v="Ana Sosa"/>
    <x v="5"/>
    <s v="Tiago Fialho"/>
    <s v="URA"/>
    <d v="2016-02-01T00:00:00"/>
    <n v="94"/>
    <d v="2016-02-04T00:00:00"/>
    <x v="1"/>
    <s v="-"/>
    <s v="Fase 1: 06/mai_x000a_Fase 2: TBD"/>
    <s v="Risco"/>
    <m/>
    <s v="04/05 - Chamado de liberação das URLs aprovado por SI. Na fila de CSE Redes para atuação e, assim, continuação de testes pela equipe de desenvolvimento de URA_x000a_02/05 - Chamado com CSE Microsoft sem atuação desde 28/04_x000a_27/04 - Ocorreu erros no link, CSE Redes foi acionado. Está em análise desde 25/04, aguardando retorno._x000a_19/04 - A partir da segunda-feira (18/04)_x000a_Desenvolvimento: 3 dias_x000a_Testes Unitários e funcionais: 2 dias_x000a_Previsão para homologação: 27/abr_x000a__x000a_12/04 - Mesmo status_x000a_06/04 - Estamos aguardando a liberação de proxy para iniciar os testes e retomar o cronograma. Ficamos parados grande parte do tempo aguardando a resposta do Cliente em relação a porta, proxy, envio de novo URL. _x000a_29/03 - Aguardando informação do Tiago com a Oi para liberação da porta para prosseguirmos com os testes e homologação. _x000a_&quot;Bruno,_x000a_ _x000a_Tive retorno a pouco do Rubens da OI onde os mesmo irão criar “um novo acesso com IP público e assim que estiver disponível vamos informá-lo para que você solicite a liberação no seu proxy e possa executar os testes”._x000a_&quot;_x000a_14/03 - Alinhamento realizado. Aguardando retorno da equipe de desenvolvimento de URA quanto aos prazos para Base Fixa e Base Móvel_x000a_08/03 - Foram realizados os alinhamentos com engenharia. Hoje será realizado o alinhamento total (URA + ENG + Planejamento)_x000a_01/03 - Projeto aprovado pelo cliente em questão do desenvolvimento. Porém existem alguns custos adicionais que estão sendo verificados com a equipe de URA se é possível a redução. Em paralelo, os links estão sendo analisados pela equipe de Telecom_x000a_24/02 - Infelizmente na fila de Engenharia só conseguiremos iniciar a análise no dia 01/03.  _x000a_As primeiras demandas da fila de Engenharia são crescimentos, expansões, migrações e desmobilizações._x000a__x000a_17/02 - Proposta da equipe de URA enviada à Cristiane Kuzuhara para aprovação. Com prazo em dias de 15 dias para implantação_x000a_10/02 - Aguardando resposta da equipe de URA_x000a_03/02 - A iniciar"/>
    <x v="6"/>
    <s v="LW"/>
    <d v="2016-05-04T00:00:00"/>
    <s v="Desenvolvimento/Execução"/>
    <m/>
    <m/>
  </r>
  <r>
    <s v="CTXRJOMA-78044"/>
    <s v="RTI - AUTOMAÇÃO CONSULTA HISTÓRICO TERMINAL"/>
    <m/>
    <s v="Plano Recuperação"/>
    <x v="4"/>
    <s v="Ana Coelho"/>
    <s v="Ana Sosa"/>
    <x v="2"/>
    <s v="Luiz Matheus"/>
    <s v="RTI"/>
    <d v="2016-02-11T00:00:00"/>
    <n v="84"/>
    <d v="2016-02-11T00:00:00"/>
    <x v="1"/>
    <d v="2016-03-28T00:00:00"/>
    <d v="2016-05-11T00:00:00"/>
    <s v="Sim"/>
    <m/>
    <s v="[02/05] - Em desenvolvimento. Inicio da UAT dia 04/05. _x000a_[25/4] - Em desenvolvimento_x000a_[19/04] - Em desenvolvimento_x000a_[12/4] - Em desenvolvimento. Prazo de conclusão 3/5_x000a_[04/04] Em desenvolvimento_x000a_[29/03] - Em desenvolvimento_x000a_[22/03] - To Be ajustado pela equipe de desenvolvimento._x000a_[14/03] TO BE em andamento _x000a_[08/03] - Mesmo status_x000a_01/03/16: Pendente aprovação de OG._x000a_22/02/16: Pendente revisão de EF._x000a_12/02/2016  Primeira analise da EF concluída no dia 12/02  solicitado sala de guerra para retirada de dúvidas da EF. _x000a_12/02 - A iniciar"/>
    <x v="0"/>
    <s v="Mariana"/>
    <d v="2016-05-03T00:00:00"/>
    <s v="Em Desenvolvimento"/>
    <m/>
    <m/>
  </r>
  <r>
    <s v="CTXRJOMA-78043"/>
    <s v="Projeto - Playground - Otimização da distribuição de chamadas"/>
    <s v="Cabula"/>
    <s v="Plano Recuperação"/>
    <x v="4"/>
    <s v="Ana Coelho"/>
    <s v="Ana Sosa"/>
    <x v="2"/>
    <s v="Fabrício Peixoto"/>
    <s v="Desenvolvimento"/>
    <d v="2016-02-11T00:00:00"/>
    <n v="84"/>
    <d v="2016-02-12T00:00:00"/>
    <x v="1"/>
    <d v="2016-04-15T00:00:00"/>
    <d v="2016-07-19T00:00:00"/>
    <s v="Sim"/>
    <m/>
    <s v="[03/05] - Projeto em andamento conforme planejado no cronograma._x000a_[25/4] - Information esta avaliando as datas do cronograma e checar a viabilidade de alocação de recurso. Prazo de retorno 27/4._x000a_[19/04] - Recebimento da Information EF e cronograma.  Elaboração e envio do cronograma de TI._x000a_[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_x000a_[29/03] - Pendente envio do cronograma. Prazo 31/03._x000a_[22/3] - Aguardando aprovação da Ana Coelho para a regra de negócios _x000a_[15/03] - Solicitado cronograma para Information - Prazo de entrega 18/03. _x000a_[08/03] - Realizada a reunião com o fornecedor Information para explicação da topologia. Aguardando envio das documentões para fornecedor desenhar EF. _x000a_[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
    <x v="3"/>
    <m/>
    <d v="2016-04-27T00:00:00"/>
    <s v="Levantamento de informações"/>
    <s v="TDB"/>
    <n v="20"/>
  </r>
  <r>
    <s v="CTXBHZRI-98065"/>
    <s v="Migrar a operação Escob R2 para a plataforma de cobrança TCollect + discador Aspect. situado ao Site Prado2 (complemento ao chamado principal CTXBHZRI-94859)"/>
    <s v="Prado/MG"/>
    <s v="Plano Recuperação"/>
    <x v="4"/>
    <s v="Ana Coelho"/>
    <s v="Ana Sosa"/>
    <x v="7"/>
    <s v="Fabrício Peixoto"/>
    <s v="Desenvolvimento"/>
    <d v="2016-02-11T00:00:00"/>
    <n v="84"/>
    <d v="2016-02-17T00:00:00"/>
    <x v="1"/>
    <d v="2016-04-26T00:00:00"/>
    <d v="2016-08-24T00:00:00"/>
    <s v="Risco"/>
    <m/>
    <s v="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3/03 - Data de entrega aplicações 29/06. Aguardando redefinição de filas de prioridade para montar cronograma.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x v="0"/>
    <s v="Alexandre Morais"/>
    <s v="29/06 - data atual"/>
    <s v="Na Fila"/>
    <m/>
    <m/>
  </r>
  <r>
    <s v="CTXBHZRI-98066"/>
    <s v="Projeto - Implantar tCollect!+Aspect Operação - CD R2 (complemento ao chamado principal CTXBHZRI-94859)"/>
    <s v="Prado/MG"/>
    <s v="Plano Recuperação"/>
    <x v="4"/>
    <s v="Ana Coelho"/>
    <s v="Ana Sosa"/>
    <x v="7"/>
    <s v="Fabrício Peixoto"/>
    <s v="Desenvolvimento"/>
    <d v="2016-02-11T00:00:00"/>
    <n v="84"/>
    <d v="2016-02-17T00:00:00"/>
    <x v="1"/>
    <d v="2016-04-26T00:00:00"/>
    <d v="2016-01-05T00:00:00"/>
    <s v="Risco"/>
    <m/>
    <s v="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1/03 - Ef será entregue dia 25/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x v="1"/>
    <s v="Neilor Márcio"/>
    <d v="2016-03-25T00:00:00"/>
    <s v="Na Fila"/>
    <m/>
    <m/>
  </r>
  <r>
    <s v="CTXBHZRI-98067"/>
    <s v="Projeto - Implantar tCollect!+Aspect Operação - Escob OI TV (complemento ao chamado principal CTXBHZRI-94859)"/>
    <s v="Prado/MG"/>
    <s v="Plano Recuperação"/>
    <x v="4"/>
    <s v="Ana Coelho"/>
    <s v="Ana Sosa"/>
    <x v="7"/>
    <s v="Fabrício Peixoto"/>
    <s v="Desenvolvimento"/>
    <d v="2016-02-11T00:00:00"/>
    <n v="84"/>
    <d v="2016-02-17T00:00:00"/>
    <x v="1"/>
    <d v="2016-04-26T00:00:00"/>
    <d v="2016-09-08T00:00:00"/>
    <s v="Risco"/>
    <m/>
    <s v="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1/03 EF será entegue dia 01/04.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x v="1"/>
    <s v="Neilor Márcio"/>
    <d v="2016-04-01T00:00:00"/>
    <s v="Na Fila"/>
    <m/>
    <m/>
  </r>
  <r>
    <s v="CTXSALPB-55659"/>
    <s v="Crescimento de 20 pas do Outbound Velox"/>
    <s v="BA - Site Boa Viagem"/>
    <s v="S&amp;OP"/>
    <x v="4"/>
    <s v="Ana Coelho"/>
    <s v="Ana Sosa"/>
    <x v="4"/>
    <s v="Jonas Divino"/>
    <s v="Implantação de PA (crescimento, migração ou nova operação)"/>
    <d v="2016-02-03T00:00:00"/>
    <n v="92"/>
    <d v="2016-02-03T00:00:00"/>
    <x v="1"/>
    <m/>
    <d v="2016-05-06T00:00:00"/>
    <s v="Não "/>
    <m/>
    <s v="03/05 - Em Comitê, para aprovação do transporte do Servidor para gravação. Lembrando que são 15 pas para gravação._x000a__x000a_25/04 - Mesmo Status._x000a__x000a_19/04 - Em Comitê, para aprovação do transporte do Servidor para gravação._x000a__x000a_12/04 - Aguardando status do CC Brasil quanto a cotação de transporte para remanejamento do Servidor para gravação. _x000a__x000a_04/04 - Mesmo Status._x000a__x000a_28/03 - Foi repassado a cotação de Transporte ao recurso de Negócios, para seguimento de abertura de SC._x000a__x000a_21/03 - Servidor de gravação encontrado. Em cotação de transporte para posterior abertura de SC._x000a__x000a_15/03 -Aguardando retorno de Controle de Ativos._x000a__x000a_07/03 - Mesmo status._x000a__x000a_01/03 - Headsets ok. _x000a_Ainda temos  pendência de gravação  nas pas. CSE está estudando um upgrade no Nice 2.0 para que possamos resolver este &quot;problema&quot; de gravação._x000a__x000a_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_x000a_10/02 - Em análise._x000a_03/02 - A iniciar"/>
    <x v="11"/>
    <s v="Jonas Divino"/>
    <s v="TBD"/>
    <s v="Desenvolvimento"/>
    <m/>
    <n v="20"/>
  </r>
  <r>
    <s v="CTXSPOAS-4528"/>
    <s v="Migração Perfcall"/>
    <s v="Santo Amaro/PE"/>
    <s v="BI Corporativo"/>
    <x v="2"/>
    <s v="Giuseppe"/>
    <s v="Mauricio Lustosa"/>
    <x v="5"/>
    <s v="Tatiana Barbosa"/>
    <s v="Desenvolvimento"/>
    <d v="2015-09-14T00:00:00"/>
    <n v="234"/>
    <d v="2016-01-04T00:00:00"/>
    <x v="0"/>
    <s v="TBD"/>
    <s v="TBD"/>
    <s v="TBD"/>
    <m/>
    <s v="02/05 - Mesmo status_x000a_27/04 - Aguardando envio do IP Nat de destino pelo solicitante_x000a_20/04 - Mesmo status_x000a_12/04 - Aguardando retorno do CSE_x000a_06/04 - Não estamos conseguindo a criação de NAT por parte da Oi_x000a_29/03 - Mesmo status_x000a_14/03 - Foi identificado uma pendência no projeto. E será necessário a criação de NAT por parte da Oi_x000a_09/03 - Projeto entregue. Aguardando homologação do cliente_x000a_01/03 - Entrega prevista para hoje: VMs e Banco de dados. Após isso será passado para o solicitante homologar._x000a_19/01 - Necessidade de Migração dos servidores do sistema Perficall para o Datacenter. "/>
    <x v="1"/>
    <s v="Tatiana Barbosa"/>
    <s v="Sem previsão"/>
    <s v="Desenvolvimento/Execução"/>
    <m/>
    <m/>
  </r>
  <r>
    <s v="CTXRECSA-455203"/>
    <s v="TLS: Protocolo de criptografia TLS 1.2"/>
    <s v="Sto Amaro"/>
    <s v="Plano Recuperação"/>
    <x v="3"/>
    <s v="Ricardo Araújo"/>
    <s v="Celso Miranda"/>
    <x v="3"/>
    <s v="José Pedro"/>
    <s v="Infraestrutura"/>
    <d v="2016-01-20T00:00:00"/>
    <n v="106"/>
    <d v="2016-03-01T00:00:00"/>
    <x v="0"/>
    <s v="TBD"/>
    <s v="TBD"/>
    <s v="TBD"/>
    <m/>
    <s v="Edison Nei Siqueira added a comment - 03/Mai/16 18:08_x000a_Estamos aguardando o retorno do fornecedor MicroFocus com a proposta para upgrade de versão do emulador, em paralelo estamos providenciando a homologação do software no site Site Amaro._x000a__x000a_Edison Nei Siqueira added a comment - 26/Abr/16 20:17_x000a_Entramos em contato com o fornecedor do software e nos foi solicitado o serial do mesmo, pelo que foi visto o Rumba 8.0 ainda não suportava TLS 1.2 só 1.1 logo a versão que está instalada na operação possivelmente também não deve suportar tal criptografia. A demanda ainda continua em analise junto a engenharia._x000a__x000a_Edison Nei Siqueira added a comment - 20/Abr/16 08:35_x000a_Realizada a áudio junto o cliente ITAÚ, porém estamos buscando internamente junto ao site as informações se o emulador suporta ou não tal tipo de criptografia, o fornecedor nos solicitou o serial do do software para verificação, tal solicitação ja´feita ao site para auxiliar no levantamento da informação._x000a__x000a_Edison Nei Siqueira added a comment - 12/Abr/16 18:10_x000a_Agendada audio junto ao cliente para entendimento da demanda, pois precisamos de maiores detalhes para que engenharia consiga evoluir na analise._x000a__x000a_Edison Nei Siqueira added a comment - 15/Mar/16 12:10_x000a_Demanda em analise na área de engenharia com previsão de retorno para o dia 22/03/2016. _x000a__x000a_01/03 - A Iniciar"/>
    <x v="2"/>
    <s v="Benedito Silva (Villa)"/>
    <m/>
    <s v="Na Fila"/>
    <m/>
    <m/>
  </r>
  <r>
    <s v="CTXRECSA-461808"/>
    <s v="Projeto - Projeto - Implantação de licenças COTI - Monitoramento do NET SMS"/>
    <s v="Sto Amaro"/>
    <s v="Operações que não estão no Plano de Recuperação"/>
    <x v="5"/>
    <s v="Rodrigo Zambon"/>
    <s v="Leonardo Pelegrino"/>
    <x v="3"/>
    <s v="Cleonice"/>
    <s v="Desenvolvimento"/>
    <d v="2016-02-12T00:00:00"/>
    <n v="83"/>
    <d v="2016-03-01T00:00:00"/>
    <x v="0"/>
    <s v="TBD"/>
    <s v="TBD"/>
    <s v="TBD"/>
    <m/>
    <s v="Edison Nei Siqueira added a comment - 26/Abr/16 20:03_x000a_Continuamos aguardando retorno com relação a homologação da instalação._x000a__x000a_Edison Nei Siqueira added a comment - 12/Abr/16 18:09_x000a_Realizamos a reinstalação da aplicação e estamos aguardando a validação por parte do cliente._x000a__x000a_Edison Nei Siqueira added a comment - 15/Mar/16 12:12_x000a_Demanda em analise junto a equipe de engenharia com previsão de retorno para o dia 22/03/2016._x000a__x000a_01/03 - A Iniciar"/>
    <x v="2"/>
    <s v="Benedito Silva (Villa)"/>
    <m/>
    <s v="Na Fila"/>
    <m/>
    <m/>
  </r>
  <r>
    <s v="CTXRECSA-457626"/>
    <s v="Projeto - Substituição do front end Ayty pelo Tguidance - Operação Santander Cartões"/>
    <s v="Santo Amaro/PE"/>
    <s v="Plano Recuperação"/>
    <x v="6"/>
    <s v="Noemia Ferro"/>
    <s v="Carlos Batista"/>
    <x v="1"/>
    <s v="George Dimitrov"/>
    <s v="Desenvolvimento"/>
    <d v="2016-01-29T00:00:00"/>
    <n v="97"/>
    <d v="2016-03-04T00:00:00"/>
    <x v="0"/>
    <s v="TBD"/>
    <s v="TBD"/>
    <s v="Não existe data fechada"/>
    <m/>
    <s v="[03/05] Pendente entrega de engenharia._x000a__x000a_[26/04] Falta retorno de Engenhatia sobre infra para Time de App. Previsto para 27/04._x000a__x000a_[12/04] - Fase de esclarecimento de Pendências na EF com equipe Aplicações, Negócios e TI. Nova Verão de EF atualizada sendo anexada ao Tprocess._x000a_Pendente: Envio de informações e detalhamento dos  Relatórios que deverão ser contamplados no Projeto ( Projetos /Operações - George)_x000a__x000a_[05/04] - Avaliação tecnica da EF pela equipe de Aplicações. Estimativas previta : 07/04_x000a__x000a_[29/03] - Recebida EF. Fase de analise e entendimento escopo._x000a_Direcionado  para fila de analise tecnica /priorizações de Aplicações. _x000a__x000a_[22/03]  - Fase de entendimento do escopo e validação da documentação enviada pelo solicitante. Estruturação da EF (PMO Negócios)_x000a__x000a_[15/03] - Detalhamento Funcional anexado ao Tprocess em 15/03. _x000a_Em fase de avaliação da documentação e posterior direcionamento para Fila de Aplicações._x000a__x000a_[08/03] - Aguardando envio da EF preenchida e resposta ao questionamento disponibilizados no Tprocess._x000a__x000a_01/03 - Aguardando EF"/>
    <x v="0"/>
    <s v="Cristiane Sasaki/Luciana"/>
    <m/>
    <s v="Desenho Solução"/>
    <s v="ND"/>
    <m/>
  </r>
  <r>
    <s v="CTXSALSM-85211"/>
    <s v="Aplicação - Desenvolvimento Tabulador de Proposta para a Operação CAC"/>
    <s v="Cabula/BA e Santo Amaro/PE"/>
    <s v="Plano Recuperação"/>
    <x v="3"/>
    <s v="Ricardo Araújo"/>
    <s v="Celso Miranda"/>
    <x v="1"/>
    <s v="Mariana Mello"/>
    <s v="Desenvolvimento"/>
    <d v="2015-12-10T00:00:00"/>
    <n v="147"/>
    <d v="2016-03-04T00:00:00"/>
    <x v="0"/>
    <s v="TBD"/>
    <s v="TBD"/>
    <s v="Não existe data fechada"/>
    <m/>
    <s v="[03/05] Pendente entrega de engenharia. Solicitaram informações sobre escopo. App fez apresentaçao em 28/04 sobre proposta de implamentação negada pelo solicitante. Estudo de adequação em andamento._x000a__x000a_[26/04] - Aguardando retorno Aplicações com data de precvisão conclução e de Eng Sobre estudo de infra._x000a__x000a_[19/04] - Aguardando retorno Aplicações ccom precvisão conclução da Analise OG_x000a__x000a_[12/04] - Projeto direcionado para avaliação tecnica da equipe Aplicações.._x000a_EF recebida em 07/04._x000a__x000a_[04/04] - Aguardando envio da EF preenchida e resposta ao questionamento disponibilizados no Tprocess._x000a__x000a_[29/03] - Aguardando envio da EF preenchida e resposta ao questionamento disponibilizados no Tprocess._x000a__x000a_[22/03]  - Aguardando envio da EF preenchida e resposta ao questionamento disponibilizados no Tprocess._x000a__x000a_[15/03] - Aguardando envio da EF preenchida e resposta ao questionamento disponibilizados no Tprocess._x000a__x000a_[08/03] - Aguardando envio da EF preenchida e resposta ao questionamento disponibilizados no Tprocess._x000a__x000a_01/03 - Aguardando EF"/>
    <x v="0"/>
    <s v="Cristiane"/>
    <s v="ND"/>
    <s v="Construção EF"/>
    <s v="ND"/>
    <m/>
  </r>
  <r>
    <s v="CTXRJOSC-15278"/>
    <s v="Gestão de Demandas e Projetos - Eng.TI - Redes (dados)"/>
    <s v="São Cristovão/RJ"/>
    <s v="Plano Recuperação"/>
    <x v="0"/>
    <s v="Rodrigo Zambon"/>
    <s v="Leonardo Pelegrino"/>
    <x v="1"/>
    <s v="Bruno Batista de Souza"/>
    <m/>
    <d v="2016-01-26T00:00:00"/>
    <n v="100"/>
    <d v="2016-03-04T00:00:00"/>
    <x v="0"/>
    <s v="TBD"/>
    <s v="TBD"/>
    <s v="Não existe data fechada"/>
    <m/>
    <s v="[26/04] Sem retorno do cliente. Tratar o pedido de cancelamento._x000a__x000a_[19/04]  Mesmo status anterior._x000a__x000a_[12/04] -  Aguardando retorno do soliicitante  (Cheuin)  - (Esclarecer escopo com Cliente BBMapfre)._x000a__x000a_[04/04] -  Aguardando retorno do soliicitante  (Cheuin)  - (Esclarecer escopo com Cliente BBMapfre),. _x000a__x000a_[29/03] -  Aguardando retorno do soliicitante (Esclarecer escopo com Cliente BBMapfre),_x000a__x000a_[22/03] - Aguardando retorno do soliicitante (Esclarecer escopo com Cliente BBMapfre),. _x000a__x000a_[15/03] - Projeto sendo analisado por Engenharia TI . Recomendado agendamento de call tecnico com TI Cliente para esclarecimentos escopo.Contato (Fabio Pinheiro - BBMapfre)._x000a_ _x000a_[08/03] - Aguardando mapeamento TI Site._x000a_Direcionando projeto para fila de projetos de Engenharia (Redes) ._x000a__x000a_[04/03] - Detalhamento escopo projeto._x000a_Acionamento equipe TI Site para mapeamento das ações locais._x000a__x000a_[08/02)01/03 - Aguardando formulário de abertura de projeto "/>
    <x v="1"/>
    <s v="José Pedro"/>
    <m/>
    <s v="Desenho Solução"/>
    <s v="ND"/>
    <m/>
  </r>
  <r>
    <s v="CTXRBRSA-1349"/>
    <s v="Projeto - INSTALAÇÃO NOVA CÉLULA CLARO CONTROLE - ACRE"/>
    <s v="Acre e Salvador"/>
    <s v="Plano Recuperação"/>
    <x v="5"/>
    <s v="Rodrigo Zambon"/>
    <s v="Leonardo Pelegrino"/>
    <x v="8"/>
    <s v="Cleonice"/>
    <s v="Desenvolvimento"/>
    <d v="2016-03-02T00:00:00"/>
    <n v="64"/>
    <d v="2016-03-03T00:00:00"/>
    <x v="0"/>
    <s v="TBD"/>
    <s v="TBD"/>
    <s v="TBD"/>
    <m/>
    <s v="03/05: Mesmo Status_x000a_26/04: Mesmo Status_x000a_19/04: Mesmo status_x000a_12/04: Mesmo status, portanto este projeto ficará em hold até recebermos os IP´s da Claro_x000a_05/04: Foram realizados testes e sem sucesso. Estamos aguardando o cliente enviar os IP´s de origem e destino das URL´s para refazer os testes afim de identicar por qual motivo as URL´s não funcionam no Acre._x000a_28/03: Mesmo status_x000a_21/03: Aguardando CSE disponibilizar um recurso de redes. Liberação do recurso está prevista para 23/03._x000a_08/03: Previsão de iniciar a análise em 09/03_x000a_03/03 - A iniciar"/>
    <x v="1"/>
    <s v="Cleonice"/>
    <s v="TBD"/>
    <s v="Em Hold"/>
    <m/>
    <n v="798"/>
  </r>
  <r>
    <s v="CTXSPOAL-109109"/>
    <s v="Migração dos links da BV (Do Lapa para Alegria)"/>
    <s v="Alegria/SP"/>
    <s v="Plano Recuperação"/>
    <x v="0"/>
    <s v="Ricardo Araújo"/>
    <s v="Celso Miranda"/>
    <x v="8"/>
    <s v="Luciana Cardoso"/>
    <s v="Infraestrutura"/>
    <d v="2016-03-04T00:00:00"/>
    <n v="62"/>
    <d v="2016-03-09T00:00:00"/>
    <x v="0"/>
    <s v="TBD"/>
    <s v="TBD"/>
    <s v="TBD"/>
    <m/>
    <s v="03/05: Rogério Luiz enviou as informações dos links de voz e dados ontem, 02/05. Aguardo o retorno de ENG para verificar os próximos passos._x000a_26/04: Mesmo Status_x000a_19/04: Mesmo status, por isso o status do projeto altera-se para em hold._x000a_12/04: Aguardando o cliente enviar as informações sobre o link. _x000a_05/04: Aguardando o site retornar com as dúvidas gerada pelo Rogério Veloso_x000a_29/03: Acionada a equipe responsável para analisar a migração desta operação._x000a_09/03 - A iniciar"/>
    <x v="2"/>
    <s v="Rogério Veloso"/>
    <s v="TBD"/>
    <s v="Em andamento"/>
    <m/>
    <n v="106"/>
  </r>
  <r>
    <s v="CTXSPOAL-108115"/>
    <s v="Outros - N/A - Migração de equipe madrugada Ticket"/>
    <s v="Alegria/SP"/>
    <s v="S&amp;OP"/>
    <x v="0"/>
    <s v="Noemia Ferro"/>
    <s v="Maurício Perez"/>
    <x v="8"/>
    <s v="Jonas Divino"/>
    <s v="Implantação de PA (crescimento, migração ou nova operação)"/>
    <d v="2016-02-25T00:00:00"/>
    <n v="70"/>
    <d v="2016-03-09T00:00:00"/>
    <x v="0"/>
    <s v="TBD"/>
    <s v="TBD"/>
    <s v="TBD"/>
    <m/>
    <s v="03/05: Aguardando retorono da Zenailde para iniciar o processo de contratação de cabeamento._x000a_26/04: Operação e planejamento autorizaram a contratação da empresa de cabeamento, pois a rede no site Alegria é do santander. _x000a_19/04: Foi realizado um levantamento pelo TI Site, sendo necessário contratar o cabeamento, pois a rede disponível é do Santander._x000a_12/04: Mesmo status _x000a_05/04: Mesmo status_x000a_29/03: Aguarda uma data para agendar o kick-off_x000a_21/03: A iniciar_x000a_09/03 - A iniciar"/>
    <x v="9"/>
    <s v="Débora Gercke"/>
    <s v="TBD"/>
    <s v="Em andamento"/>
    <m/>
    <n v="15"/>
  </r>
  <r>
    <s v="CTXNITSP-179559"/>
    <s v="Crescimento SAV Entrega ( CRV FIXO ATIVO, OI TOTAL. DEALER, PAP)"/>
    <s v="RJ - Site Niterói"/>
    <s v="S&amp;OP"/>
    <x v="4"/>
    <s v="Ana Coelho"/>
    <s v="Ana Sosa"/>
    <x v="4"/>
    <s v="Jonas Divino"/>
    <s v="Implantação de PA (crescimento, migração ou nova operação)"/>
    <d v="2016-02-03T00:00:00"/>
    <n v="92"/>
    <d v="2016-02-03T00:00:00"/>
    <x v="1"/>
    <m/>
    <d v="2016-05-06T00:00:00"/>
    <s v="não"/>
    <m/>
    <s v="03/05 - Gravação - homologado _x000a_SO foi alterado neste final de semana., aguardando homologação._x000a_A questão das licenças do Tlv ainda estão em análise._x000a__x000a_25/04 - Em pendência das licenças do Tlv, não sendo necessário abri SC sendo anallisado a partir do contrato._x000a_Alteração do SO, área de Implantações verificando questões de GPO, previsão de alteração neste final de semana._x000a__x000a__x000a__x000a__x000a_19/04 - 5  Onda em homologação, incluindo a parte de gravação._x000a_Conforme contato com CC Brasil, a SC foi aprovada, porém estava com erro em um formulário . Aguardando definição com Financeiro._x000a__x000a_12/04 - 4 Onda homologada. Definindo de escopo na 5 Onda._x000a__x000a_Gravação - Ramais cadastrados hoje, solicitado a operação, a hpmologação.  _x000a_Tlv 5  -  Aberto SC para as licenças do Tlv , em comitê com o Jonas (Negócios)_x000a__x000a_04/04 -Homologação da 4 Onda no Térreo, em andamento. _x000a_Gravação -   Portas ainda disponíveis, informado os IP´s dos ramais para o CSE cadastrar, aguardando retorno._x000a_Tlv 5  -  Aberto SC para as alicenças do Tlv , em comitê com o Jonas (Negócios)_x000a_*Aguardando  o final da homologação da 4 onda para fechamento de escopo da 5 Onda._x000a__x000a__x000a_28/03 - Layout do Térreo em homologação._x000a_21/03 - Layout do 9 andar e 11 andar entregues. Sendo revisado a lista de insumos necessárias para entrega do Térreo. Em paralelo, estamos analisando questões de licenças de Tlv 5, portas de gravação e afins._x000a__x000a_15/03 - Dentro das 5 Ondas, estamos entregando a 2 Onda. Aguardando DA de licenças do TLV 5 (+84)  e Desenho de Engenharia  referente a Migração do a migração de licenças do Polo Aspect de CE para PE ._x000a__x000a_07/03 - Crescimento sendo dividido em 5 Ondas. Estamos na 2 Fase em Homologação."/>
    <x v="11"/>
    <s v="Jonas Divino"/>
    <s v="TBD"/>
    <s v="Homologação"/>
    <m/>
    <n v="300"/>
  </r>
  <r>
    <s v="CTXRJOED-57427"/>
    <s v="Implantação Gas Natural Fenosa"/>
    <s v="Rio Comprido"/>
    <s v="S&amp;OP"/>
    <x v="7"/>
    <s v="Ricardo Araújo"/>
    <s v="Celso Miranda"/>
    <x v="3"/>
    <s v="Flavio Reto"/>
    <s v="Implantação de PA (crescimento, migração ou nova operação)"/>
    <d v="2015-11-30T00:00:00"/>
    <n v="157"/>
    <d v="2015-11-30T00:00:00"/>
    <x v="0"/>
    <s v="TBD"/>
    <s v="TBD"/>
    <s v="TBD"/>
    <m/>
    <s v="Edison Nei Siqueira added a comment - 26/Abr/16 20:00_x000a_Estamos realizando a homologação junto ao cliente e identificando falhas nas configurações da parte voz do SBC do cliente. _x000a_Pedente entrega de aparelhos telefônicos ainda pendente, suprimentos buscando a priorização junto ao fornecedor. _x000a_Link ponto a ponto Rio Comprido x Mackenzie da Hit Telecom, essa solicitação chegou ontem para equipe de implantação da operadora. Já foi solicitado urgência no agendamento das atividades, mas ainda estamos sem visibilidade de cronograma. _x000a_Link ponto a ponto Rio Comprido x Mackenzie da Unitelco, as vistorias nas pontas já foram executadas e o alinhamento com a Oi visando a liberação para instalação da antena no site Mackenzie, também estamos aguardando o projeto para que a Oi formalize o de acordo para instalação._x000a__x000a_Edison Nei Siqueira added a comment - 20/Abr/16 08:40_x000a_Todos os insumos referente a topologia de redes já foram transportados. _x000a_Vistoria realizada para instalação do link de contingência, recebemos ontem o de acordo do cliente GNF para seguir com o projeto apresentado pela operadora HIT. _x000a_Homologação do ambiente junto ao cliente, acesso aos aplicativos que eram escopo do projeto validado junto ao cliente, demais aplicativos solicitados para serem instalados nas PAs que não eram escopo da demanda estão em analise junto ao site. _x000a_Aparelhos telefônicos chegando chegando conforme esperado e a ultima remessa prevista para o dia 25/04. _x000a_Ajustes nas configurações de voz sendo realizado em conjunto com o cliente na Espanha. _x000a__x000a_Edison Nei Siqueira added a comment - 12/Abr/16 18:06_x000a_Estamos realizando o transporte dos insumos e realizando as configurações dos links de interligação entre a Contax e o Cliente GNF._x000a__x000a_Edison Nei Siqueira added a comment - 05/Abr/16 17:16_x000a_Treinamento dos colaboradores inciado. _x000a_Link de interligação em processo de instalação, foi identificado a necessidade de passagem de fibra no ambiente do cliente GNF pela operadora. _x000a_SC000385 Transporte de Insumos - Continua aguardando a aprovação no comitê de caixa._x000a__x000a_Edison Nei Siqueira added a comment - 23/Mar_x000a_Link de dados,  a Oi informou o prazo de 08/ 04 devido a investimento em um equipamento em uma das pontas._x000a_Estamos tentando negociar esse prazo já escalado internamente._x000a_Em paralelo vamos tentar um prazo menor com a hit, que seria a contigencia._x000a__x000a_Edison Nei Siqueira added a comment - 15/Mar/16 12:19_x000a_Treinamento dos multiplicadores teve início no dia 14/03 no site MCK em uma sala, demais salas aguardando a liberação de T&amp;D prevista para o dia 21/03."/>
    <x v="11"/>
    <s v="Flavio Reto"/>
    <m/>
    <s v="Em andamento"/>
    <m/>
    <m/>
  </r>
  <r>
    <s v="CTXFORBM-364479"/>
    <s v="Projeto - NBA Blindagem 2p"/>
    <s v="CE- Site Borges de Melo"/>
    <s v="Operações que não estão no Plano de Recuperação"/>
    <x v="4"/>
    <s v="Ana Coelho"/>
    <s v="Ana Sosa"/>
    <x v="4"/>
    <s v="Sterlaine Priscila"/>
    <s v="Desenvolvimento"/>
    <d v="2016-03-07T00:00:00"/>
    <n v="59"/>
    <d v="2016-03-22T00:00:00"/>
    <x v="1"/>
    <m/>
    <d v="2016-05-13T00:00:00"/>
    <s v="não"/>
    <m/>
    <s v="03/05 - A pa FORBMOIBDX1A193  foi feito a imagem, instalação do ONEX, Configuração do FF, criação dos ramais, solicitação de inclusão na gravação e afins. Solicitado a homologação a operação._x000a__x000a_25/04 - Mesmo Status._x000a__x000a_19/04 - Aguardando retorno da solicitante com o preenchimento da planilha padrão do FF para reenvio à Aplicações TI._x000a_Em paralelo, foi verificado que o link no Aspect está sendo compartilhado, solicitado definição do planejamento da operação,  se vamos migrar ou solicitar novos links no APC_x000a__x000a_12/04 - Equipe Aplicações – Em OG  e com a EF anexada hoje, provável que precisem de um tempo para esta análise. Estou cobrando o prazo._x000a_ _x000a_Equipe Engenharia – Em interação com o recurso e Suporte Site._x000a__x000a__x000a_04/04 - Conforme interação com a solicitante, aguardando o anexo da EF de Integração do FF X NBA._x000a_Em OG._x000a__x000a_28/03 - Em análise de escopo inicial._x000a__x000a_21/03 - Em análise"/>
    <x v="1"/>
    <s v="Lisandra"/>
    <s v="TBD"/>
    <s v="Piloto"/>
    <m/>
    <n v="20"/>
  </r>
  <r>
    <s v="CTXPOARB-104174"/>
    <s v="Projeto - Implantar tGuidance na Retenção NET"/>
    <s v="Navegantes"/>
    <s v="Plano Recuperação"/>
    <x v="5"/>
    <s v="Rodrigo Zambon"/>
    <s v="Leonardo Pelegrino"/>
    <x v="8"/>
    <s v="Luciana Andrade"/>
    <s v="Desenvolvimento"/>
    <d v="2016-03-16T00:00:00"/>
    <n v="50"/>
    <d v="2016-03-22T00:00:00"/>
    <x v="1"/>
    <d v="2016-04-12T00:00:00"/>
    <d v="2016-06-09T00:00:00"/>
    <s v="Sim"/>
    <m/>
    <s v="03/05: Mesmo Status_x000a_26/04: Mesmo Status_x000a_19/04: Cronograma definido. Piloto está previsto de 12/05 à 18/05 e o roll out de 19/05 à 09/06._x000a_12/04: Em definição de cronograma. Sugestão de TI enviado a operação e o mesmo não foi aceito._x000a_05/04: Aguardando a atualização da EF e planilha de insumos pela operação._x000a_29/03: Realizada uma call com o solicitante para entendimento da demanda. Pendente o envio de VDN e atualização da EF._x000a_22/03 - A iniciar"/>
    <x v="1"/>
    <s v="Juliano"/>
    <d v="2016-05-12T00:00:00"/>
    <s v="Em andamento"/>
    <m/>
    <n v="205"/>
  </r>
  <r>
    <s v="CTXRJOMA-78346"/>
    <s v="Contratação das licenças atualizadas do Windows Server "/>
    <m/>
    <s v="Operações que não estão no Plano de Recuperação"/>
    <x v="2"/>
    <s v="Giuseppe"/>
    <s v="Mauricio Lustosa"/>
    <x v="8"/>
    <s v="Marcio José"/>
    <s v="Upgrade de Tecnologia"/>
    <d v="2016-02-22T00:00:00"/>
    <n v="73"/>
    <d v="2016-03-22T00:00:00"/>
    <x v="0"/>
    <s v="TBD"/>
    <s v="TBD"/>
    <s v="TBD"/>
    <m/>
    <s v="03/05: Levantamento usuários do Siebel, Exchange e Click, a Validação de usuários ativos da lista Oi e o Levantamento de máquinas que acessam Siebel e Click foi realizado. Aguardando o retorno de negócio para os próximos passos._x000a_26/04: Aguardando a validação dos usuários que acessam o sistema click._x000a_19/04: Mesmo status._x000a_12/04: Mesmo status. _x000a_05/04: Aguardando a validação dos usuários ativos no Ecadop para fazer a cotação de licenças._x000a_29/03: Enviado e-mail para controle de ativos verificar a aquisição de licenças._x000a_22/03 - A iniciar"/>
    <x v="1"/>
    <s v="Marcio José"/>
    <s v="TBD"/>
    <s v="Em andamento"/>
    <m/>
    <n v="14000"/>
  </r>
  <r>
    <s v="CTXRJOMA-78585"/>
    <s v="Projeto BI -  Meu MIS  ( Operações Itau  ) - Santo Amaro"/>
    <s v="Santo Amaro/PE"/>
    <s v="BI Corporativo"/>
    <x v="2"/>
    <s v="Giuseppe"/>
    <s v="Mauricio Lustosa"/>
    <x v="1"/>
    <s v="Pedro Bazzarella"/>
    <s v="Desenvolvimento"/>
    <d v="2016-03-21T00:00:00"/>
    <n v="45"/>
    <d v="2016-03-22T00:00:00"/>
    <x v="0"/>
    <s v="TBD"/>
    <s v="TBD"/>
    <s v="Não existe data fechada"/>
    <m/>
    <s v="[03/05]Pendente entrega de Aplicações._x000a__x000a_[26/04] No aguardo da OG._x000a__x000a_[19/04] Projeto encaminhado para analise tecnica equipe Adalto. (Recomendação (Koreeda e Rivaldo). Email Klaus._x000a_Retorno Aplicações previsto 26/04._x000a__x000a_[12/04] - Fase de entendimento Tecnico e direcionamento para Equipe Especialista._x000a__x000a_[04/04] - Consulta de Saving com Gestão Ativos._x000a__x000a_[29/03] - Não identificado saving. Direcionar para Analise tecnica._x000a__x000a_[22/03] - Avaliando com equipe TI Recife se procede a disponibilidade de servidores, coforme informado pelo do saving de servidor, conforme sinalizado pelo Solicitante._x000a__x000a_"/>
    <x v="13"/>
    <m/>
    <m/>
    <s v="Na Fila"/>
    <s v="ND"/>
    <m/>
  </r>
  <r>
    <s v="CTXSPOAP407-15768"/>
    <s v="PROJETO MIGRAÇÃO TAM CARGO"/>
    <s v="João Pessoa"/>
    <s v="S&amp;OP"/>
    <x v="5"/>
    <s v="Rodrigo Zambon"/>
    <s v="Leonardo Pelegrino"/>
    <x v="0"/>
    <s v="Luciana Cardoso"/>
    <s v="Implantação de PA (crescimento, migração ou nova operação)"/>
    <d v="2016-03-08T00:00:00"/>
    <n v="58"/>
    <d v="2016-03-08T00:00:00"/>
    <x v="1"/>
    <s v="-"/>
    <d v="2016-05-09T00:00:00"/>
    <s v="Risco"/>
    <m/>
    <s v="03/05 - Aparelhos AVAYA Estão no site Lapa reservados para transporte para JPA. SC foi aprovada 28/abr e PC precisa ser imediato.  Aparelhos devem chegar até dia 05/mai. Em paralelo, TI site está atuando nas demais configurações_x000a_26/04 - 110 Heads enviadosde PL407 para site JPA via Malote. 105 Avayas 9608 devem ser enviados de site Lapa - SP para site JPA, estamos em processo de SC/PC (precisam chegar até dia 05/05 em JPA). Estamos solicitando criação de CDIs, Ofice ID, Ramais, etc para essa ampliação;_x000a_19/04 - Buscando Saving de insumos para implantação da 2° onda, prevista para 07/05. Treinamento em Andamento._x000a_12/04 - Posições pré homologadas entre os dias 04 e 07/04. realizando alguns ajustes ate dia 13/04. nova homologação em 13/04. Roll out da primeira onda com 27 posições programado para 14/04. Treinamento da segunda onda inicia em 14/04;_x000a_29/03 - Recebemos hoje a confirmação de utilização de imagem do Win7, e que estarão no site JPA para homologar no periodo de 05 à 07/04. com isso iremos correr para entregar no dia solicitado, pois anteciparam em uma semana a homologação;_x000a_22/02 - Definição por parte do cliente ate dia 29/03 sobre utilização de imagens com o Win 7 ou Win XP. Isso definirá a necessidade de saving ou necessidade de maquinas;_x000a_21/03 - Entregue a fase da sala de treinamento - Sala 4 em JPA com 25 computadores + rede + Telecom;"/>
    <x v="11"/>
    <s v="Luciana Cardoso"/>
    <d v="2016-05-05T00:00:00"/>
    <s v="Desenvolvimento/Execução"/>
    <m/>
    <n v="50"/>
  </r>
  <r>
    <s v="CTXSPOAP407-16016"/>
    <s v="PROJETO ADEQUAÇÃO URA MULTIPLUS CONTAX P/ ORBITAL "/>
    <s v="Alegria/SP"/>
    <s v="Operações que não estão no Plano de Recuperação"/>
    <x v="5"/>
    <s v="Rodrigo Zambon"/>
    <s v="Leonardo Pelegrino"/>
    <x v="1"/>
    <s v="Cleonice"/>
    <s v="URA"/>
    <d v="2016-03-21T00:00:00"/>
    <n v="45"/>
    <d v="2016-03-28T00:00:00"/>
    <x v="0"/>
    <s v="TBD"/>
    <d v="2016-05-07T00:00:00"/>
    <s v="Risco"/>
    <m/>
    <s v="[03/05] Virada de ligações feita em 01/05. Pendente migração de URA, Call em 04/05 para plano de migração._x000a__x000a_[26/04] Aguardando ok do cliente para alinhar virada, inicialmente para 27/04._x000a__x000a_[19/04] - Testes de transbordo ligação URA para DAC Orbitall ( 01 VDN) realizado em 18/04 com sucesso. _x000a_Aguardando proximos passos (Cliente Multiplus) e confimação data Virada ambiente._x000a_Homologação: [ VDN: 20251 Multiplus Grupo A]_x000a_- Transbordo realizado com Sucesso (Túnel Contax e Orbitall)._x000a_- Transferência URA Multiplus ( Realizada com sucesso)_x000a__x000a__x000a_[12/04] - Solução de Contingência para trasnbordo e transferencias das Ligações da  atual URA Multiplus para DAC Orbital em andamento. Em paralelo ações de configuração de DAC sendo realizadas pelo Fornecedor Orbital._x000a__x000a_[04/04] - Projeto direcionado para avaliação tecnica da equipe de Engenharia. Expectativa de retorno com  Alocação de Recurso tecnico para  avaliação e tratativa da solicitação - 06/04_x000a__x000a_28/03 - A iniciar"/>
    <x v="6"/>
    <s v="LW"/>
    <s v="ND"/>
    <s v="Desenvolvimento/Execução"/>
    <m/>
    <m/>
  </r>
  <r>
    <s v="CTXSPOBF-126487"/>
    <s v="Projeto: Alteração do Arquivo RAW - Operação Serasa Cobrança"/>
    <s v="Antártica/SP"/>
    <s v="Operações que não estão no Plano de Recuperação"/>
    <x v="6"/>
    <s v="Noemia Ferro"/>
    <s v="Maurício Perez"/>
    <x v="5"/>
    <s v="Priscila"/>
    <s v="Upgrade de Tecnologia"/>
    <d v="2016-09-30T00:00:00"/>
    <s v="N/A"/>
    <d v="2016-01-19T00:00:00"/>
    <x v="1"/>
    <s v="-"/>
    <d v="2016-05-04T00:00:00"/>
    <s v="Sim"/>
    <m/>
    <s v="02/05 - Equipe de CSE já disponibilizou o arquivo e os testes foram OK pro planejamento. Aguardando retorno da operação quanto a homolgoação_x000a_27/04 - Hoje teremos um retorno da equipe de CSE com a disponibilização do arquivo em ambiente de homologação para homologação da operação_x000a_20/04 - Projeto entregue pelo fornecedor em 15/abr. Foi aberto um chamado para equipe de produção para disponibilizar o pacote no ambiente para validação da operação. Previsão: 25/abr_x000a_29/03 - Projeto será entregue pelo fornecedor em 14/04"/>
    <x v="1"/>
    <s v="Carlos Batista"/>
    <d v="2016-05-04T00:00:00"/>
    <s v="Desenvolvimento/Execução"/>
    <m/>
    <m/>
  </r>
  <r>
    <s v="CTXSPOAP407-15967"/>
    <s v="Navegação de Dados "/>
    <s v="Acre"/>
    <s v="Plano Recuperação"/>
    <x v="8"/>
    <s v="Rodrigo Zambon"/>
    <s v="Leonardo Pelegrino"/>
    <x v="2"/>
    <s v="Fernanda Nazário"/>
    <s v="RTI"/>
    <d v="2016-03-11T00:00:00"/>
    <n v="55"/>
    <d v="2016-03-24T00:00:00"/>
    <x v="0"/>
    <s v="TBD"/>
    <s v="TBD"/>
    <s v="TDB"/>
    <m/>
    <s v="[03/05] - Demanda desmembrada da original 1478. Equipe de Negocio precisa abrir um chamado para cada solicitação_x000a_[25/04] - Aguardando priorização dos projetos_x000a_ [18/04] - Não será possível cumprir o planejadmento devido ao atraso na aprovação e a necessidade de ajustes, dos POPs 1601 e 1689. O novo replanejamento será publicado até o dia 25/04/16. _x000a_[11/04] Data de TO BE replanejada devido ao atraso na entrega e validação dos TO BEs das outras demandas de Claro. Novo prazo 9/5_x000a_ [04/04] Replanejamento de datas devido à disponibilidade de recursos. Aguardando recurso para iniciar. _x000a_[29/03] - Em fase de desenho de solução. _x000a_Previsão de datas será publicado em 04/04/16. Aguradando Recurso"/>
    <x v="1"/>
    <s v="Fernanda"/>
    <s v="TDB"/>
    <s v="Análise"/>
    <m/>
    <m/>
  </r>
  <r>
    <s v="CTXSPOAP407-15966 "/>
    <s v="Pacotes de Internet "/>
    <s v="Acre"/>
    <s v="Plano Recuperação"/>
    <x v="8"/>
    <s v="Rodrigo Zambon"/>
    <s v="Leonardo Pelegrino"/>
    <x v="2"/>
    <s v="Fernanda Nazário"/>
    <s v="RTI"/>
    <d v="2016-03-11T00:00:00"/>
    <n v="55"/>
    <d v="2016-03-24T00:00:00"/>
    <x v="0"/>
    <d v="2016-03-15T00:00:00"/>
    <s v="TBD"/>
    <s v="Sim"/>
    <m/>
    <s v="[02/05] - Iniciamos os testes internos e idenficamos necessidade de fazer ajustes. Cronograma será estendido em 1 semana. _x000a_[25/04] - Solicitado a equipe de negócios layout das PAs para o piloto. Prazo de envio TDB - Desenvolvimento concluído. Teste de conectividade será realizado nesta semana. Prazo de conclusão 29/04._x000a_[18/04] - TO BE avaliado pela operação, ajustado e enviado para aprovação em 14/04/16. Desenvolvimento conforme cronograma._x000a_[12/04] - TO BE enviado para aprovação em 08/04/16; previsão de retorno em 12/04/16. Em desenvolvimento conforme datas reprogramadas._x000a_[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_x000a_[29/03] - Pendente de envio do desenho do processo por parte de Negócios. Foi solicitada a sala de guerra para esclarecimento de dúvidas, ainda a ser agendada. "/>
    <x v="0"/>
    <s v="Mariana"/>
    <d v="2016-05-09T00:00:00"/>
    <s v="Em Desenvolvimento"/>
    <d v="2016-04-29T00:00:00"/>
    <m/>
  </r>
  <r>
    <s v="CTXSPOAP407-15965"/>
    <s v="Agregadores e Serviços"/>
    <s v="Acre"/>
    <s v="Plano Recuperação"/>
    <x v="8"/>
    <s v="Rodrigo Zambon"/>
    <s v="Leonardo Pelegrino"/>
    <x v="2"/>
    <s v="Fernanda Nazário"/>
    <s v="RTI"/>
    <d v="2016-03-11T00:00:00"/>
    <n v="55"/>
    <d v="2016-03-24T00:00:00"/>
    <x v="0"/>
    <d v="2016-03-15T00:00:00"/>
    <s v="TBD"/>
    <s v="Sim"/>
    <m/>
    <s v="[02/05] - Iniciamos os testes internos e identificamos necessidade de fazer ajustes. Cronograma será estendido em 1 semana. _x000a_[25/04] - Solicitado a equipe de negócios layout das PAs para o piloto. Prazo de envio TDB - Desenvolvimento concluído. Teste de conectividade será realizado nesta semana. Prazo de conclusão 29/04._x000a_[18/04] - TO BE avaliado pela operação, ajustado e enviado para aprovação em 14/04/16. Desenvolvimento conforme cronograma._x000a_[11/04] TO BE ainda não validado pela operação; previsão 11/04/16. Em desenvolvimento conforme datas reprogramadas._x000a_[04/04] Aguardando validação do TO BE pela operação. Previsto para 04/04/16. Desenvolvimento em andamento e estendido devido à complexidade encontrada. Data de UAT precisa ser validada pela operação._x000a_[29/03] - Em desenvolvimento"/>
    <x v="0"/>
    <s v="Mariana"/>
    <d v="2016-05-09T00:00:00"/>
    <s v="Em Desenvolvimento"/>
    <d v="2016-04-29T00:00:00"/>
    <m/>
  </r>
  <r>
    <s v="CTXSPOAP407-15853"/>
    <s v=" Rede e Cobertura"/>
    <s v="Acre"/>
    <s v="Plano Recuperação"/>
    <x v="8"/>
    <s v="Rodrigo Zambon"/>
    <s v="Leonardo Pelegrino"/>
    <x v="2"/>
    <s v="Fernanda Nazário"/>
    <s v="RTI"/>
    <d v="2016-03-11T00:00:00"/>
    <n v="55"/>
    <d v="2016-03-24T00:00:00"/>
    <x v="0"/>
    <s v="TBD"/>
    <s v="TBD"/>
    <s v="Sim"/>
    <m/>
    <s v="[03/05] - Demanda desmembrada da original 1478. Equipe de Negocio precisa abrir um chamado para cada solicitação_x000a_[25/04] - Aguardando priorização dos projetos_x000a_[18/04] - TO BE não iniciado devido ao atraso na validação, e a necessidade de ajustes, dos POPs 1601 e 1689. O novo replanejamento será publicado até o dia 25/04/16. _x000a_[11/04] Data de TO BE replanejada devido ao atraso na entrega e validação dos TO BEs das outras demandas de Claro. Novo prazo 27/4._x000a_[04/04] Replanejamento de datas devido à disponibilidade de recursos. Aguardando recurso para iniciar. _x000a_[29/03] - Em fase de desenho de solução. _x000a_Previsão de datas será publicado em 04/04/16. Aguradando Recurso"/>
    <x v="1"/>
    <s v="Fernanda"/>
    <d v="2016-04-25T00:00:00"/>
    <s v="Análise"/>
    <m/>
    <m/>
  </r>
  <r>
    <s v="CTXRJOMA-78594"/>
    <s v="Projeto Monitoria de Call Center Oi "/>
    <m/>
    <s v="Operações que não estão no Plano de Recuperação"/>
    <x v="4"/>
    <s v="Ana Coelho"/>
    <s v="Marcel Garcia"/>
    <x v="9"/>
    <s v="Fabio Prazeres"/>
    <s v="Desenvolvimento"/>
    <d v="2016-02-26T00:00:00"/>
    <n v="69"/>
    <d v="2016-03-30T00:00:00"/>
    <x v="0"/>
    <s v="TBD"/>
    <s v="TBD"/>
    <s v="Não existe data fechada"/>
    <m/>
    <s v="03/05- Em fase de entendimento com solcitante. Muitos pontos em aberto, com necessidade de colocar em estudo com Engenharia. Preciso fechar escopo antes._x000a__x000a_26/04 - Alinhamento feito comn FAbiana C arla de que projeto estaria entregue. Acionada a Avaya para dar posicionamento._x000a_12/04: Projeto está na fase de entendimento entre  Lustosa e Marcel/Fabio, pois as infomações solicitadas na EF já são disponobilizadas para a Oi através do RTI._x000a_05/04: Projeto alocado na fila dos executores em 01/04._x000a_30/03 - A iniciar"/>
    <x v="1"/>
    <s v="Lustosa/Marcel e Fabio Prazeres"/>
    <s v="TBD"/>
    <s v="Análise"/>
    <m/>
    <m/>
  </r>
  <r>
    <s v="CTXSPOBF-125921"/>
    <s v="Projeto - Instalação do Tsupervisor na Operação Santander nos Sites Antártica e Mackenzie"/>
    <s v="Antártica/SP_x000a_Mackenzie/RJ"/>
    <s v="Plano Recuperação"/>
    <x v="6"/>
    <s v="Noemia Ferro"/>
    <s v="Maurício Perez"/>
    <x v="8"/>
    <s v="Luciana Andrade"/>
    <s v="Desenvolvimento"/>
    <d v="2015-09-22T00:00:00"/>
    <n v="226"/>
    <d v="2016-03-30T00:00:00"/>
    <x v="0"/>
    <s v="TBD"/>
    <s v="TBD"/>
    <s v="TBD"/>
    <m/>
    <s v="03/05: Mesmo status_x000a_26/04: Mesmo Status_x000a_19/04: Mesmo status. Solicitado em paralelo o preenchimento da planilha Cadastro da Operação e até o momento não houve retorno._x000a_12/04: Mesmo status. _x000a_04/04: Projeto em hold, pois a compra de licenças da Nice e a troca do Windows XP para a versão 8 são premissas para implantar o t-supervisor._x000a_30/03 - A iniciar"/>
    <x v="11"/>
    <s v="Luciana Mattos"/>
    <s v="TBD"/>
    <s v="Em Hold"/>
    <m/>
    <n v="390"/>
  </r>
  <r>
    <s v="CTXRECSA-466020"/>
    <s v="Projeto - &quot;VDSL na Sinergia&quot;"/>
    <m/>
    <s v="Operações que não estão no Plano de Recuperação"/>
    <x v="4"/>
    <s v="Ana Coelho"/>
    <s v="Ana Sosa"/>
    <x v="8"/>
    <s v="Jill Ortiz"/>
    <m/>
    <d v="2016-02-25T00:00:00"/>
    <n v="70"/>
    <d v="2016-03-30T00:00:00"/>
    <x v="0"/>
    <s v="TBD"/>
    <s v="TBD"/>
    <s v="TBD"/>
    <m/>
    <s v="03/05: Mesmo Status_x000a_26/04: Mesmo Status_x000a_19/04: Mesmo Status, por isso o status do projeto será alterado para em hold._x000a_12/04: Aguardando DA do cliente para seguir com a alteração da URA. _x000a_05/04: Cotação do valor para a alteração da freseologia da URA R$1250,00. Aguarda proposta formal da Avaya._x000a_30/03 - A iniciar"/>
    <x v="1"/>
    <s v="Jill Ortiz"/>
    <s v="TBD"/>
    <s v="Em Hold"/>
    <m/>
    <s v="TBD"/>
  </r>
  <r>
    <s v="CTXFORBM-361881 "/>
    <s v="Projeto - Gravação de chamadas Oi Total - BTCC"/>
    <s v="Borges de Melo/CE"/>
    <s v="Operações que não estão no Plano de Recuperação"/>
    <x v="4"/>
    <s v="Ana Coelho"/>
    <s v="Ana Sosa"/>
    <x v="8"/>
    <s v="Lucas Ribeiro"/>
    <m/>
    <d v="2016-03-01T00:00:00"/>
    <n v="65"/>
    <d v="2016-03-30T00:00:00"/>
    <x v="0"/>
    <s v="TBD"/>
    <s v="TBD"/>
    <s v="N/A"/>
    <m/>
    <s v="03/05: Aguardando retorno da operação quanto ao cancelamento do projeto._x000a_26/04: Viabilidade não foi aprovada por ENG devido a outro projeto em paralelo já contemplar essa alteração. E-mail enviado a operação com este posicionamento. _x000a_19/04: Aguardando análise de ENG para verificar a viabilidade deste projeto._x000a_04/04: Realizado entendimento do projeto junto ao solicitante e alocado na fila dos executores em 01/04._x000a_30/03 - A iniciar"/>
    <x v="1"/>
    <s v="Sterlaine"/>
    <s v="TBD"/>
    <s v="Em andamento"/>
    <m/>
    <n v="70"/>
  </r>
  <r>
    <s v="CTXSPOAL-110390"/>
    <s v="PROJETO - ARQUITETURA LINK TAM (ALMAVIVA)"/>
    <s v="Alegria/SP"/>
    <s v="Operações que não estão no Plano de Recuperação"/>
    <x v="5"/>
    <s v="Rodrigo Zambon"/>
    <s v="Leonardo Pelegrino"/>
    <x v="1"/>
    <s v="Cleonice"/>
    <m/>
    <d v="2016-03-15T00:00:00"/>
    <n v="51"/>
    <d v="2016-03-30T00:00:00"/>
    <x v="0"/>
    <s v="TBD"/>
    <s v="TBD"/>
    <s v="Não existe data fechada"/>
    <m/>
    <s v="[03/05] Reunião com cliente realizada com sucesso. desenho da solução aprovado com o cliente. Em fase de montagem de cronograma._x000a__x000a_[26/04] Reunião com cliente marcada para 02/05._x000a__x000a_[19/04] - Em fase de entendimento escopo. Reunião tecnica entre TAM e ENG (Antônio) , agendada para 18/04 as 16hs_x000a__x000a_[12/04] - Projeto direcionado para  fila de Engenharia TI, previsão de conclusão da analise tecnica em 04/05._x000a__x000a_[04/04] - Projeto direcionado para avaliação tecnica da equipe de Engenharia. Expectativa de retorno com  Alocação de Recurso tecnico para  avaliação e tratativa da solicitação - 06/04_x000a__x000a_30/03 - A iniciar"/>
    <x v="2"/>
    <s v="Antonio/Rafael"/>
    <m/>
    <s v="Desenho Solução"/>
    <m/>
    <m/>
  </r>
  <r>
    <s v="CTXSPOAL-96495"/>
    <s v="Projeto - Precificação de novo hardware para servidor de banco de dados"/>
    <s v="São Cristóvão"/>
    <s v="Plano Recuperação"/>
    <x v="9"/>
    <s v="Rodrigo Zambon"/>
    <s v="Rogerio Silva"/>
    <x v="1"/>
    <s v="Rogerio Silva"/>
    <s v="Upgrade de Tecnologia"/>
    <d v="2015-10-20T00:00:00"/>
    <n v="198"/>
    <d v="2016-03-30T00:00:00"/>
    <x v="0"/>
    <s v="TBD"/>
    <s v="TBD"/>
    <s v="Não existe data fechada"/>
    <m/>
    <s v="[26/05] Sem evolução. Necessário fazer call com TQS._x000a__x000a_[19/04] - Direcionado para Fila CSE. Assunto esclarecido com LW ee direcionado para DBA. Ainda sem retorno da avaliação tecnica. Será necessário envolver fornecedor TQS._x000a__x000a_[12/04] -  Avaliação tecnica realizada pela Equipe Engenharia. Foram recomendadas melhorias como Criação de indices para as tabelas, Alarmes criticos de Storage e Back up, e posteriormente avaliar a performance da máquina._x000a_Projeto direcionado para Avaliação equipe Execução._x000a__x000a_[04/04] - Projeto direcionado para avaliação tecnica da equipe de Arquitetura. Expectativa de retorno com  Alocação de Recurso tecnico para  avaliação e tratativa da solicitação - 06/04_x000a__x000a_30/03 - A iniciar"/>
    <x v="14"/>
    <s v="LW"/>
    <m/>
    <s v="Desenho Solução"/>
    <m/>
    <m/>
  </r>
  <r>
    <s v="CTXSPOBF-140238"/>
    <s v="Projeto - Substituição do Sistema Operacional das máquinas de Back Office e Supervisores"/>
    <m/>
    <s v="Operações que não estão no Plano de Recuperação"/>
    <x v="6"/>
    <s v="Noemia Ferro"/>
    <s v="Carlos Batista"/>
    <x v="1"/>
    <s v="George Dimitrov"/>
    <s v="Upgrade de Tecnologia"/>
    <d v="2016-03-21T00:00:00"/>
    <n v="45"/>
    <d v="2016-03-30T00:00:00"/>
    <x v="0"/>
    <s v="TBD"/>
    <s v="TBD"/>
    <s v="Não existe data fechada"/>
    <m/>
    <s v="[03/05] Assunto escalado  no dia de hoje. Eng fez analise inicial sobre real necessidade de se migrar versão da NIce, como desnecessaria. Projeto passado para Debora._x000a__x000a_[26/04] MESMO STATUS ANTERIOR._x000a__x000a_[12/04] - Aguardando conclusão da avaliação tecnica no Projeto CTXSPOBF-138261_x000a_Em paralelo, foi realizado mapeamento de modelo de máquinas no site Antartica e Mck, e encaminhado para analise de Gestão de ativos , para avaliar se será necessário aquisição de licenças W8, para esse Upgrade. _x000a__x000a_[04/04] - Aguardando analise técnica do projeto CTXSPOBF-138261 - Atualização da Versão do Nice compatível com Windows 8.1,para darmos prosseguimento com essa solicitação. _x000a_Em paralelo, realizar consulta Gestão Ativos. (disponibilidade Licenças ). _x000a__x000a_ 30/03 - A iniciar"/>
    <x v="15"/>
    <s v="Marcelo Cardoso"/>
    <m/>
    <s v="Na Fila"/>
    <m/>
    <m/>
  </r>
  <r>
    <s v="CTXSPOBF-138261"/>
    <s v="Projeto - Atualizar ferramenta Nice para Nova versão, compatível com Windows 8.1"/>
    <s v="Antártica/SP_x000a_Mackenzie/RJ"/>
    <s v="Operações que não estão no Plano de Recuperação"/>
    <x v="6"/>
    <s v="Noemia Ferro"/>
    <s v="Carlos Batista"/>
    <x v="1"/>
    <s v="George Dimitrov"/>
    <s v="Upgrade de Tecnologia"/>
    <d v="2016-02-29T00:00:00"/>
    <n v="66"/>
    <d v="2016-03-30T00:00:00"/>
    <x v="0"/>
    <s v="TBD"/>
    <s v="TBD"/>
    <s v="Não existe data fechada"/>
    <m/>
    <s v="[03/05] Assunto escalado  no dia de hoje. Eng fez analise inicial sobre real necessidade de se migrar versão da Nice, como desnecessaria. Projeto passado para Debora._x000a__x000a_[26/04] - Escalado com Noemia._x000a_Aguardando retorno ENG. PRAZO (30/05) _x000a__x000a_[12/04] - Em fase de Analise tecnica pela equipe de Engenharia . Conclusão prevista para 31/05._x000a__x000a_[04/04] - Projeto direcionado para avaliação tecnica da equipe de Engenharia. Expectativa de retorno com  Alocação de Recurso tecnico para  avaliação e tratativa da solicitação - 06/04_x000a__x000a_30/03 - A iniciar"/>
    <x v="2"/>
    <s v="Rafael Speglis"/>
    <d v="2016-05-31T00:00:00"/>
    <s v="Desenho Solução"/>
    <m/>
    <m/>
  </r>
  <r>
    <s v="CTXFORBM-362407"/>
    <s v="Projeto - Implantação do NBA + APC para os Propensos OCT e PÒS"/>
    <s v="Nascente"/>
    <s v="Operações que não estão no Plano de Recuperação"/>
    <x v="4"/>
    <s v="Ana Coelho"/>
    <s v="Ana Sosa"/>
    <x v="3"/>
    <s v="Lisandra"/>
    <s v="Desenvolvimento"/>
    <d v="2016-03-02T00:00:00"/>
    <n v="64"/>
    <d v="2016-03-30T00:00:00"/>
    <x v="0"/>
    <s v="TBD"/>
    <s v="TBD"/>
    <s v="TBD"/>
    <m/>
    <s v="Edison Nei Siqueira added a comment - 03/Mai/16 18:11_x000a_Demanda inserida na fila de CSE para levantamento de OG. Estamos aguardando a planilha de cadastro de operação na plataforma tGuidance para evoluir junto a equipe de aplicações._x000a__x000a_Edison Nei Siqueira added a comment - 26/Abr/16 19:36_x000a_Estamos aguardando o retorno da área de projetos com a informação de qual campanha no Aspect é utilizada pela operação, com essa informação será possível verificar se os links utilizados são compartilhados ou não._x000a__x000a_Edison Nei Siqueira added a comment - 12/Abr/16 18:00_x000a_Demanda na fila de engenharia com previsão de conclusão de analise para o dia 20/04._x000a__x000a_Edison Nei Siqueira added a comment - 05/Abr/16 17:21_x000a_Demanda inserida no pipe de engenharia e aplicações, previsão de retorno com o recurso que vai realizar a analise para o dia 06/04._x000a__x000a_30/03 - A iniciar"/>
    <x v="1"/>
    <m/>
    <m/>
    <s v="Analise de CSE"/>
    <m/>
    <m/>
  </r>
  <r>
    <s v="CTXNITSP-172611"/>
    <s v="Projeto - Alteração da regra de carga do Mailing no TLV (SAV ENTREGA)"/>
    <s v="RJ - Site Niterói"/>
    <s v="Operações que não estão no Plano de Recuperação"/>
    <x v="4"/>
    <s v="Ana Coelho"/>
    <s v="Ana Sosa"/>
    <x v="4"/>
    <s v="Leonardo Pellegrini"/>
    <s v="Desenvolvimento"/>
    <d v="2015-11-09T00:00:00"/>
    <n v="178"/>
    <d v="2016-03-30T00:00:00"/>
    <x v="0"/>
    <s v="TBD"/>
    <s v="TBD"/>
    <s v="TBD"/>
    <m/>
    <s v="03/05 - Aguardando EF atualizada  para seguimento da Demanda._x000a__x000a_25/04 - Mesmo status, aguardando retorno da operação com a definição de escopo._x000a__x000a_19/04 - Conforme alinhado em conferência, a TQS vai considerar esta demanda como chamado, assim não é preciso fazer proposta comercial._x000a_Solicitado a operação, o documento atualizado com o escopo da demanda._x000a__x000a_12/04 - Delegado a Engenharia Telecom - Antonio, prazo amanhã 13/04_x000a__x000a_04/04 - Em análise_x000a__x000a_30/03 - A iniciar"/>
    <x v="1"/>
    <s v="Leonardo Pellegrini"/>
    <s v="TBD"/>
    <s v="Em andamento"/>
    <m/>
    <n v="81"/>
  </r>
  <r>
    <s v="CTXRECSA-475954"/>
    <s v="Configuração PA´s Madrugada. "/>
    <s v="Santo Amaro/PE"/>
    <s v="S&amp;OP"/>
    <x v="4"/>
    <s v="Ana Coelho"/>
    <s v="Ana Sosa"/>
    <x v="5"/>
    <s v="Jonas Divino"/>
    <s v="Implantação de PA (crescimento, migração ou nova operação)"/>
    <d v="2016-03-25T00:00:00"/>
    <n v="41"/>
    <d v="2016-03-29T00:00:00"/>
    <x v="1"/>
    <s v="-"/>
    <d v="2016-05-02T00:00:00"/>
    <s v="Sim"/>
    <m/>
    <s v="02/05 - Aguardando retorno quanto a homologação_x000a_27/04 - Mesmo status_x000a_20/04 - Aguardando retorno da equipe de negócio quanto a homologação_x000a_13/04 - Aguardando posicionamento da equipe de negócios. Realizamos as configurações, testamos e está tudo OK._x000a_06/04 - Aguardando envio de login Citrix para realizarmos testes e intervenção para adequação dos sistemas_x000a_30/03 - Projeto recebido por TI em 29/03 para implantação no dia 01/04.  Site já foi acionado para análise. Aguardando retorno até o dia de hoje"/>
    <x v="11"/>
    <s v="Jonas Divino"/>
    <d v="2016-05-03T00:00:00"/>
    <s v="Homologação"/>
    <m/>
    <m/>
  </r>
  <r>
    <s v="CTXSPOAL-110826"/>
    <s v="Projeto - Substituir sistema de telefonia da operação Intermédica"/>
    <s v="Alegria/SP"/>
    <s v="Operações que não estão no Plano de Recuperação"/>
    <x v="0"/>
    <s v="Ricardo Araújo"/>
    <s v="Celso Miranda"/>
    <x v="0"/>
    <s v="Rogério Luiz"/>
    <s v="Infraestrutura"/>
    <d v="2016-03-18T00:00:00"/>
    <n v="48"/>
    <d v="2016-03-30T00:00:00"/>
    <x v="2"/>
    <s v="TBD"/>
    <s v="TBD"/>
    <s v="TBD"/>
    <m/>
    <s v="04/05 - Na fila_x000a_30/03 - A iniciar"/>
    <x v="9"/>
    <s v="Bruno Ribeiro"/>
    <m/>
    <s v="Na Fila"/>
    <m/>
    <m/>
  </r>
  <r>
    <s v="CTXRECSA-476612"/>
    <s v="Item Base do CLICK_CRV"/>
    <s v="PE - Site Santo Amaro"/>
    <s v="Operações que não estão no Plano de Recuperação"/>
    <x v="4"/>
    <s v="Ana Coelho"/>
    <s v="Ana Sosa"/>
    <x v="4"/>
    <s v="Marcel Garcia"/>
    <s v="Desenvolvimento"/>
    <d v="2016-03-28T00:00:00"/>
    <n v="23"/>
    <d v="2016-04-01T00:00:00"/>
    <x v="1"/>
    <m/>
    <d v="2016-06-06T00:00:00"/>
    <s v="Não "/>
    <m/>
    <s v="03/05 - Em Desenvolvimento de Aplicações TI._x000a_Anthonny, irá atualizar a EF com o novo escopo, totalizando 4 itens. _x000a_ O último item “novo” envolve a outra área de TI , sendo Aplicações TI (Viviane Rodriguez). Iremos realizar uma conferência após recebimento da EF atualizada,  para verificar viabilidade de Desenvolvimento. Lembrando que não tem dependência com o desenvolvimento anterior._x000a_Em paralelo, precisamos de um apoio com a Oi para a criação deste NAT (Motivo: Nosso servidor acessar o STC ), não impactando no cronograma deste projeto._x000a_O servidor atual fica em Santo Amaro, estamos realizando um upgrade de infra  e colocando servidores novos no Data Center em São Paulo._x000a__x000a_25/04 - O prazo de Aplicações para  o Desenvolvimento são 25 dias úteis a partir desta liberação de acesso ao FTP. _x000a_Esta liberação já está com o CSE através do chamado RECSA-362778._x000a__x000a_19/04 - Aberto chamado para a liberação do FTP da Oi para seguimento do Desenv de TI. _x000a__x000a_12/04 - Demanda já priorizada e sendo analisada a EF. _x000a__x000a_05/04: Projeto alocado na fila dos executores em 01/04._x000a_01/04 - A iniciar"/>
    <x v="1"/>
    <s v="Anthonny Stallone"/>
    <s v="TBD"/>
    <s v="Análise"/>
    <m/>
    <n v="100"/>
  </r>
  <r>
    <s v="CTXRECSA-472258"/>
    <s v="Projeto - &quot;SMS no Masssivo&quot;"/>
    <m/>
    <s v="Operações que não estão no Plano de Recuperação"/>
    <x v="4"/>
    <s v="Ana Coelho"/>
    <s v="Ana Sosa"/>
    <x v="8"/>
    <s v="Jill Ortiz"/>
    <s v="Desenvolvimento"/>
    <d v="2016-03-11T00:00:00"/>
    <n v="55"/>
    <d v="2016-04-01T00:00:00"/>
    <x v="0"/>
    <s v="TBD"/>
    <s v="TBD"/>
    <s v="TBD"/>
    <m/>
    <s v="03/05: Após a realização da call foram levantadas algumas dúvidas e aguardamos o preenchimento da EF e os requisitos técnicos da ferramenta para seguirmos com o projeto. Solicitação enviada ontem, 02/05._x000a_26/04: Ferramenta é gerenciada pelo fornecedor Oi. Call agendada com ENG para esta tratativa._x000a_19/04: Aguardando retorno sobre o questinamento da ferramenta SENDMAKER. _x000a_12/04 - A iniciar_x000a_04/04 - A iniciar"/>
    <x v="9"/>
    <s v="Débora Gercke"/>
    <d v="2016-04-27T00:00:00"/>
    <s v="Em andamento"/>
    <m/>
    <m/>
  </r>
  <r>
    <s v="CTXSPOAL-111810"/>
    <s v="Projeto Customer Care Volkswagen - Fase II"/>
    <s v="Alegria/SP"/>
    <s v="Operações que não estão no Plano de Recuperação"/>
    <x v="6"/>
    <s v="Noemia Ferro"/>
    <s v="Maurício Perez"/>
    <x v="7"/>
    <s v="Priscila"/>
    <s v="Infraestrutura"/>
    <d v="2016-03-29T00:00:00"/>
    <n v="37"/>
    <d v="2016-04-01T00:00:00"/>
    <x v="0"/>
    <s v="TBD"/>
    <s v="TBD"/>
    <s v="N/A"/>
    <m/>
    <s v="03/05 - Mesmo status._x000a_26/04 - Realizada reunião com o cliente. Alinhados alguns pontos e enviadas informações para início de desenvolvimento por parte da MS._x000a_Aguardando discussão VW para alinhamento do &quot;modus operandi&quot; com relação ao chat. _x000a_12/04 - VW solicita reunião para 20/04. Buscando recursos._x000a_05/04 - Agendado kickoff para 06/04._x000a_01/04 - A iniciar"/>
    <x v="1"/>
    <s v="VW"/>
    <s v="N/A"/>
    <s v="Na Fila"/>
    <m/>
    <m/>
  </r>
  <r>
    <s v="CTXSPOBF-129499"/>
    <s v="Transbordo de Ligações de RCI para Paschoalotto (Bauru)"/>
    <s v="Antártica/SP"/>
    <s v="Operações que não estão no Plano de Recuperação"/>
    <x v="6"/>
    <s v="Noemia Ferro"/>
    <s v="Maurício Perez"/>
    <x v="5"/>
    <s v="George Dimitrov"/>
    <s v="URA"/>
    <d v="2015-11-13T00:00:00"/>
    <n v="174"/>
    <d v="2016-01-13T00:00:00"/>
    <x v="0"/>
    <s v="TBD"/>
    <s v="TBD"/>
    <s v="TBD"/>
    <m/>
    <s v="27/04 - Mesmo status_x000a_20/04 - Mesmo status_x000a_12/04 - Mesmo status_x000a_06/04 - Mesmo status_x000a_01/04 - Aguardando aceite da proposta pelo Santander"/>
    <x v="1"/>
    <s v="Santander"/>
    <s v="N/A"/>
    <s v="Análise"/>
    <m/>
    <m/>
  </r>
  <r>
    <s v="CTXSPOBF-139773"/>
    <s v="Projeto - Demanda Fraseologias - autocompara"/>
    <s v="Antártica/SP"/>
    <s v="Operações que não estão no Plano de Recuperação"/>
    <x v="6"/>
    <s v="Noemia Ferro"/>
    <s v="Maurício Perez"/>
    <x v="5"/>
    <s v="George Dimitrov"/>
    <s v="URA"/>
    <d v="2016-03-15T00:00:00"/>
    <n v="51"/>
    <d v="2016-03-15T00:00:00"/>
    <x v="0"/>
    <s v="TBD"/>
    <s v="TBD"/>
    <s v="TBD"/>
    <m/>
    <s v="27/04 - Mesmo status_x000a_20/04 - Mesmo status_x000a_12/04 - Mesmo status_x000a_06/04 - Mesmo status_x000a_01/04 - Proposta enviada. Aguardando aceite do solicitante"/>
    <x v="1"/>
    <s v="Santander"/>
    <s v="N/A"/>
    <s v="Análise"/>
    <m/>
    <m/>
  </r>
  <r>
    <s v="CTXRECSA-480469"/>
    <s v="Projeto - &quot;Crescimento de 20 PAs Santander Cartões&quot;"/>
    <s v="Santo Amaro/PE"/>
    <s v="S&amp;OP"/>
    <x v="6"/>
    <s v="Noemia Ferro"/>
    <s v="Maurício Perez"/>
    <x v="5"/>
    <s v="Cristina Rey"/>
    <s v="Implantação de PA (crescimento, migração ou nova operação)"/>
    <d v="2016-04-05T00:00:00"/>
    <n v="30"/>
    <d v="2016-04-05T00:00:00"/>
    <x v="1"/>
    <s v="-"/>
    <d v="2016-05-03T00:00:00"/>
    <s v="Sim"/>
    <m/>
    <s v="02/05 - Aguardando retorno quanto a homologação_x000a_27/04 - Insumos OK. Licenças OK. Heads OK. Site finalizando as configurações hoje para homologação amanhã_x000a_20/04 - Cronograma realizado. Licenças OK. Headsets OK. Site já começando a atuar. _x000a_Riscos: 20 teclados e 20 mouses identificados no site Lapa, porém ainda não enviado a Santo Amaro por controle de ativos_x000a_13/04 - Projeto incluído na fila dos executores. Necessidade de heads, mouses e teclados já identificadas e em contato com controle de ativos para envio ao site._x000a_Verificando as licenças com a equipe de ENG e CSE para esse projeto._x000a_Equipe do site já ciente do projeto_x000a_06/04 - Em análise"/>
    <x v="1"/>
    <s v="Carlos Batista"/>
    <d v="2016-05-03T00:00:00"/>
    <s v="Homologação"/>
    <m/>
    <m/>
  </r>
  <r>
    <s v="CTXSPOBF-141219"/>
    <s v="Projeto - Aplicação/URA Transbordo Contax -&gt; URA Autocompara (4004-4495)"/>
    <s v="Antártica/SP"/>
    <s v="Operações que não estão no Plano de Recuperação"/>
    <x v="6"/>
    <s v="Noemia Ferro"/>
    <s v="Maurício Perez"/>
    <x v="5"/>
    <s v="George Dimitrov"/>
    <s v="URA"/>
    <d v="2016-04-01T00:00:00"/>
    <n v="34"/>
    <d v="2016-04-06T00:00:00"/>
    <x v="2"/>
    <s v="TBD"/>
    <s v="TBD"/>
    <s v="TBD"/>
    <m/>
    <s v="04/05 - Proposta enviada pelo fornecedor. Aguardando aprovação da proposta pelo solicitante_x000a_27/04 - Mesmo status_x000a_20/04 - Mesmo status_x000a_06/04 - Aguardando proposta comercial"/>
    <x v="1"/>
    <s v="George Dimitrov"/>
    <s v="N/A"/>
    <s v="Análise"/>
    <m/>
    <m/>
  </r>
  <r>
    <s v="CTXSPOBF-141470"/>
    <s v="Projeto - Aplicação/URA - Opção Não ClienteNova Fraseologia"/>
    <s v="Antártica/SP"/>
    <s v="Operações que não estão no Plano de Recuperação"/>
    <x v="6"/>
    <s v="Noemia Ferro"/>
    <s v="Maurício Perez"/>
    <x v="5"/>
    <s v="George Dimitrov"/>
    <s v="URA"/>
    <d v="2016-04-06T00:00:00"/>
    <n v="29"/>
    <d v="2016-04-06T00:00:00"/>
    <x v="2"/>
    <s v="TBD"/>
    <s v="TBD"/>
    <s v="TBD"/>
    <m/>
    <s v="29/04 - Proposta comercial enviada. Aguardando aprovação do cliente._x000a_27/04 - Mesmo status_x000a_20/04 - Mesmo status_x000a_06/04 - Aguardando proposta comercial"/>
    <x v="1"/>
    <s v="George Dimitrov"/>
    <s v="N/A"/>
    <s v="Análise"/>
    <m/>
    <m/>
  </r>
  <r>
    <s v="CTXSALSM-89880"/>
    <s v="Implantação Front Fácil  TLV Residencial "/>
    <m/>
    <s v="Plano Recuperação"/>
    <x v="4"/>
    <s v="Ana Coelho"/>
    <s v="Ana Sosa"/>
    <x v="8"/>
    <s v="Luciana Andrade"/>
    <s v="Desenvolvimento"/>
    <d v="2016-04-06T00:00:00"/>
    <n v="29"/>
    <d v="2016-04-08T00:00:00"/>
    <x v="1"/>
    <d v="2016-05-02T00:00:00"/>
    <d v="2016-05-23T00:00:00"/>
    <s v="Sim"/>
    <m/>
    <s v="03/05: Piloto realizado com sucesso e iniciamos o rollout hoje, 03/05. Previsão de conclusão 23/05, total de 247 PA´s. Cronograma: _x000a_Data            Atividade    Premissa_x000a_02/mai       Piloto              -_x000a_03/mai       Rollout 1        Ok Homolg Piloto_x000a_04/mai       Rollout 2       Ok Homolg Rollout 1_x000a_05/mai       Rollout 3       Ok Homolg Rollout 2_x000a_09/mai       Rollout 4       Ok Homolg Rollout 3_x000a_10/mai        Rollout 5       Ok Homolg Rollout 4_x000a_11/mai         Rollout 6       Ok Homolg Rollout 5_x000a_12/mai        Rollout 7       Ok Homolg Rollout 6_x000a_16/mai        Rollout 8       Ok Homolg Rollout 7_x000a_17/mai        Rollout 9       Ok Homolg Rollout 8_x000a_18/mai        Rollout 10     Ok Homolg Rollout 9_x000a_19/mai        Rollout 11      Ok Homolg Rollout 10_x000a_23/mai       Rollout 12     Ok Homolg Rollout 11_x000a_26/04: Cronograma enviado a operaçã, porém o mesmo não foi aceito e estamos em fase de rever as datas. Cronograma inicial: _x000a_Desenvolvimento 26/abr a 09/mai_x000a_Liberação de Rede 26/abr a 04/mai_x000a_Homologação 09/mai a11/mai_x000a_Instalação 250 Máquinas 12/mai a 31/mai_x000a_19/04: Dúvidas sobre a operação foram enviadas ao solictante. Aguardando retorno._x000a_08/04 - A iniciar"/>
    <x v="1"/>
    <s v="Cristiane Kuzuhara"/>
    <d v="2016-05-23T00:00:00"/>
    <s v="Rollout"/>
    <m/>
    <n v="247"/>
  </r>
  <r>
    <s v="CTXNITSP-181582"/>
    <s v="Front SAC – TLV "/>
    <m/>
    <s v="Plano Recuperação"/>
    <x v="4"/>
    <s v="Ana Coelho"/>
    <s v="Ana Sosa"/>
    <x v="8"/>
    <s v="Luciana Andrade"/>
    <s v="Desenvolvimento"/>
    <d v="2016-04-06T00:00:00"/>
    <n v="29"/>
    <d v="2016-04-08T00:00:00"/>
    <x v="0"/>
    <s v="TBD"/>
    <s v="TBD"/>
    <s v="TBD"/>
    <m/>
    <s v="03/05: Está pendente o OK da Diretora Ana Coelho para seguir com a compra das licenças do TLV._x000a_26/04: Retorno da confirmação no número de PA´s recebido em 25/04. Em verificação dos próximos passos para iniciar a compra._x000a_19/04: Para implantar o TLV nesses dois projetos, será necessário iniciar o processo de solicitação de compra junto ao fornecedor, portanto solicitado ao Rodrigo a confirmação do número de PA´s por operação._x000a_08/04 - A iniciar"/>
    <x v="1"/>
    <s v="Rodrigo Ribeiro"/>
    <s v="TBD"/>
    <s v="Em andamento"/>
    <m/>
    <n v="233"/>
  </r>
  <r>
    <s v="CTXNITSP-181834"/>
    <s v="Front BO- TLV "/>
    <m/>
    <s v="Plano Recuperação"/>
    <x v="4"/>
    <s v="Ana Coelho"/>
    <s v="Ana Sosa"/>
    <x v="8"/>
    <s v="Luciana Andrade"/>
    <s v="Desenvolvimento"/>
    <d v="2016-04-06T00:00:00"/>
    <n v="29"/>
    <d v="2016-04-08T00:00:00"/>
    <x v="0"/>
    <s v="TBD"/>
    <s v="TBD"/>
    <s v="TBD"/>
    <m/>
    <s v="03/05: Está pendente o OK da Diretora Ana Coelho para seguir com a compra das licenças do TLV._x000a_26/04: Retorno da confirmação no número de PA´s recebido em 25/04. Em verificação dos próximos passos para iniciar a compra._x000a_19/04: Para implantar o TLV nesses dois projetos, será necessário iniciar o processo de solicitação de compra junto ao fornecedor, portanto solicitado ao Rodrigo a confirmação do número de PA´s por operação._x000a_08/04 - A iniciar"/>
    <x v="1"/>
    <s v="Rodrigo Ribeiro"/>
    <s v="TBD"/>
    <s v="Em andamento"/>
    <m/>
    <n v="80"/>
  </r>
  <r>
    <s v="CTXRECSA-472184"/>
    <s v="Instalação do Google Chrome (Site PV INOVA - CO e CRV)"/>
    <s v="Santo Amaro/PE"/>
    <s v="Operações que não estão no Plano de Recuperação"/>
    <x v="4"/>
    <s v="Ana Coelho"/>
    <s v="Ana Sosa"/>
    <x v="5"/>
    <s v="Jill Ortiz"/>
    <s v="Upgrade de Tecnologia"/>
    <d v="2016-04-06T00:00:00"/>
    <n v="29"/>
    <d v="2016-04-08T00:00:00"/>
    <x v="1"/>
    <s v="-"/>
    <d v="2016-05-06T00:00:00"/>
    <s v="Sim"/>
    <m/>
    <s v="02/05 - Sem retorno de CSE até o momento_x000a_27/04 - Homologação NOK. O link está disponibilizado, porém não está entrando. CSE foi acionado para tratativa_x000a_20/04 - Site já disponibilizou o google chrome das máquinas. Aguardando homologação pelo solicitante_x000a_08/04 - A iniciar"/>
    <x v="6"/>
    <s v="LW"/>
    <d v="2016-04-29T00:00:00"/>
    <s v="Homologação"/>
    <m/>
    <m/>
  </r>
  <r>
    <s v="CTXNITSP-177717"/>
    <s v="Projeto - Gravação do BO DADOS e BO NBA - 24 pas"/>
    <s v="RJ - Site Niterói"/>
    <s v="Operações que não estão no Plano de Recuperação"/>
    <x v="4"/>
    <s v="Ana Coelho"/>
    <s v="Ana Sosa"/>
    <x v="4"/>
    <s v="Rodrigo Ribeiro"/>
    <s v="Desenvolvimento"/>
    <d v="2016-04-06T00:00:00"/>
    <n v="29"/>
    <d v="2016-04-08T00:00:00"/>
    <x v="0"/>
    <s v="TBD"/>
    <s v="TBD"/>
    <s v="TBD"/>
    <m/>
    <s v="03/05 - Mesmo Status_x000a__x000a_25/04 - Prazo Engenharia:_x000a_Redes ( Carlos Herdeiro)  = Início  Seg 25/04/16 /  Término Ter 03/05/16_x000a_Telecom (Antônio Júnior) =  Início  Seg 25/04/16 /  Término Ter 03/05/16_x000a__x000a_19/04 - Aguardando retorno do CSE _x000a__x000a_12/04 - Enviado para Engenharia TI - E-mail de Inclusão de 15/04._x000a_Verificação de licenças Nice e Aquisição de SWIT POE 48 portas_x000a__x000a_08/04 - A iniciar"/>
    <x v="14"/>
    <s v="Redes Carlos Herdeiro_x000a_Telecom Antonio Junior"/>
    <d v="2016-05-03T00:00:00"/>
    <s v="Análise "/>
    <m/>
    <n v="24"/>
  </r>
  <r>
    <s v="CTXNITSP-178203"/>
    <s v="Projeto - Instalar uma ferramenta que seja capaz de gravar chamadas de voz e telas de atendimento. _x000a_"/>
    <s v="RJ - Site Niterói"/>
    <s v="Operações que não estão no Plano de Recuperação"/>
    <x v="4"/>
    <s v="Ana Coelho"/>
    <s v="Ana Sosa"/>
    <x v="4"/>
    <s v="Rodrigo Ribeiro"/>
    <s v="Desenvolvimento"/>
    <d v="2016-04-06T00:00:00"/>
    <n v="29"/>
    <d v="2016-04-08T00:00:00"/>
    <x v="0"/>
    <d v="2016-05-13T00:00:00"/>
    <s v="TBD"/>
    <s v="Não "/>
    <m/>
    <s v="03/05 - A demanda foi analisada por CSE e Engenharia e atualmente no parque da Contax não temos licenças de gravação de tela tanto para o Aspect quanto para o Nice. Para que isto seja feito é necessário o envolvimento de Fornecedores para que eles façam uma análise de nosso ambiente e façam uma proposta de instalação._x000a_Está sendo avaliado este escopo de acionamento._x000a__x000a__x000a_25/04 - Demanda foi encaminhada para Engenharia Villa(Telecom/Gravadores) no dia 20/04. Retorno dos mesmos será 27/04._x000a__x000a_19/04 - Demanda foi encaminhada a Aplicações TI, porém a Cris Sasaki  informou que não condiz com o escopo. _x000a_Foi redirecionado a Equipe de Felipe Villa e Silvio Vial._x000a__x000a_12/04 - Enviado para Aplicações TI  -  E-mail de Inclusão de 15/04._x000a_Verificação de um sistema capaz de gravar chamadas de voz e telas de atendimento e se possível tenha integração com Tlv By Contax. _x000a_-----------------------------------------------------------------_x000a_Operações: CRV _x000a_Site: NIterói _x000a_Rede: Contax-br _x000a_DAC:Niterói _x000a_08/04 - A iniciar"/>
    <x v="2"/>
    <s v="Villa (Telecom)"/>
    <d v="2016-05-06T00:00:00"/>
    <s v="Análise "/>
    <m/>
    <n v="444"/>
  </r>
  <r>
    <s v="CTXSALSM-89607"/>
    <s v="Integração direct Call x Avaya"/>
    <m/>
    <s v="Operações que não estão no Plano de Recuperação"/>
    <x v="4"/>
    <s v="Ana Coelho"/>
    <s v="Ana Sosa"/>
    <x v="8"/>
    <s v="Cristiane Kuzuhara"/>
    <s v="Desenvolvimento"/>
    <d v="2016-04-06T00:00:00"/>
    <n v="29"/>
    <d v="2016-04-08T00:00:00"/>
    <x v="0"/>
    <s v="TBD"/>
    <s v="TBD"/>
    <s v="TBD"/>
    <m/>
    <s v="03/05: Após a realização da call foram levantadas algumas dúvidas e aguardamos o preenchimento da EF e os requisitos técnicos da ferramenta para seguirmos com o projeto. Solicitação enviada ontem, 02/05._x000a_26/04: Mesmo status_x000a_19/04: O projeto não contem EF e o solicitante exigiu uma call com a área de ENG para esclarecimento de dúvidas. _x000a_08/04 - A iniciar"/>
    <x v="2"/>
    <s v="TBD"/>
    <s v="TBD"/>
    <s v="Em andamento"/>
    <m/>
    <m/>
  </r>
  <r>
    <s v="CTXSALSM-88005"/>
    <s v="Click To Call Ferramenta TI Contax (Piloto Ferramenta CTC)"/>
    <m/>
    <s v="Operações que não estão no Plano de Recuperação"/>
    <x v="4"/>
    <s v="Ana Coelho"/>
    <s v="Ana Sosa"/>
    <x v="8"/>
    <s v="Cristiane Kuzuhara"/>
    <s v="Desenvolvimento"/>
    <d v="2016-04-06T00:00:00"/>
    <n v="29"/>
    <d v="2016-04-08T00:00:00"/>
    <x v="0"/>
    <s v="TBD"/>
    <s v="TBD"/>
    <s v="TBD"/>
    <m/>
    <s v="03/05: Projeto consiste em três partes, ENG, CL e APP. Para concluir a análise do projeto e fornecer um cronograma, precisamos receber o retorno das 3 áreas. Até o momento não recebemos a confirmação das informações do cliente._x000a_26/04: Retorno de ENG recebido hoje, aguardo retorno do cliente e informações do solicitante._x000a_19/04: Aguarda retorno de ENG, retorno do cliente e informações do solicitante._x000a_08/04 - A iniciar"/>
    <x v="1"/>
    <s v="TBD"/>
    <s v="TBD"/>
    <s v="Em andamento"/>
    <m/>
    <m/>
  </r>
  <r>
    <s v="CTXMLTREG-6041"/>
    <s v="Projeto - Migração das URAs de Cadastro para o IPCC/NGR"/>
    <s v="Niterói/RJ"/>
    <s v="Operações que não estão no Plano de Recuperação"/>
    <x v="4"/>
    <s v="Ana Coelho"/>
    <s v="Ana Sosa"/>
    <x v="7"/>
    <s v="Jill Ortiz"/>
    <s v="URA"/>
    <d v="2016-04-11T00:00:00"/>
    <n v="24"/>
    <d v="2016-04-11T00:00:00"/>
    <x v="0"/>
    <s v="TBD"/>
    <s v="TBD"/>
    <s v="N/A"/>
    <m/>
    <s v="03/05 - Confirmada a disponibilidade de ICR. Em andamento aquisição de memória._x000a_26/04 - Em estudo disponibilidade de ICR e Infra._x000a_19/04 - Avaliação de ambiente ICR em andamento._x000a_11/04 - A iniciar"/>
    <x v="9"/>
    <s v="Julio Silva"/>
    <m/>
    <s v="Na Fila"/>
    <m/>
    <m/>
  </r>
  <r>
    <s v="CTXSPOBF-137613"/>
    <s v="Fraseologia Detalhamento da Divida - URA CONTAX"/>
    <s v="Antártica/SP"/>
    <s v="Operações que não estão no Plano de Recuperação"/>
    <x v="6"/>
    <s v="Noemia Ferro"/>
    <s v="Maurício Perez"/>
    <x v="5"/>
    <s v="George Dimitrov"/>
    <s v="URA"/>
    <d v="2016-04-06T00:00:00"/>
    <n v="29"/>
    <d v="2016-04-08T00:00:00"/>
    <x v="0"/>
    <s v="TBD"/>
    <s v="TBD"/>
    <s v="TBD"/>
    <m/>
    <s v="04/05 - Proposta aguardando suprimentos gerar o pedido_x000a_27/04 - Mesmo status_x000a_20/04 - Aguardando aprovação da proposta pelo solicitante_x000a_01/04 - Solicitada proposta ao fornecedor. Aguardando envio"/>
    <x v="1"/>
    <s v="George Dimitrov"/>
    <s v="N/A"/>
    <s v="Análise"/>
    <m/>
    <m/>
  </r>
  <r>
    <s v="CTXSPOBF-123499"/>
    <s v="Projeto - Configurar Infraestrutura de DAC Contax para Integração do SACL (Automatização de Protocolo)"/>
    <m/>
    <s v="Operações que não estão no Plano de Recuperação"/>
    <x v="6"/>
    <s v="Noemia Ferro"/>
    <s v="Maurício Perez"/>
    <x v="8"/>
    <s v="Carlos Batista"/>
    <s v="URA"/>
    <d v="2015-08-10T00:00:00"/>
    <n v="269"/>
    <d v="2016-04-14T00:00:00"/>
    <x v="0"/>
    <s v="TBD"/>
    <s v="TBD"/>
    <s v="TBD"/>
    <m/>
    <s v="03/05: ENG enviou desenho e o esforço para implantar o projeto. Estamos aguardando o levantamento dos custos para repassar ao cliente._x000a_26/04: Aguarda retorno da operação quanto a dúvida sobre a quantidade de PA´s._x000a_19/04: Alocado na fila dos executores hoje._x000a_14/04 - A iniciar"/>
    <x v="9"/>
    <s v="Thiago Augusto"/>
    <s v="TBD"/>
    <s v="Análise"/>
    <m/>
    <m/>
  </r>
  <r>
    <s v="CTXPOARB-105144"/>
    <s v="Projeto - Implantar tGuidance na operação Retenção PME - NET"/>
    <m/>
    <s v="Plano Recuperação"/>
    <x v="5"/>
    <s v="Rodrigo Zambon"/>
    <s v="Leonardo Pelegrino"/>
    <x v="8"/>
    <s v="Luciana Andrade"/>
    <s v="Desenvolvimento"/>
    <d v="2016-04-13T00:00:00"/>
    <n v="22"/>
    <d v="2016-04-14T00:00:00"/>
    <x v="0"/>
    <d v="2016-05-10T00:00:00"/>
    <s v="TBD"/>
    <m/>
    <m/>
    <s v="03/05: Alinharei as atividades de execução em relação ao G4 com Juliano para veririficar se é possível incluir esta virada em conjunto com o projeto CTXPOARB-104174._x000a_26/04: Em estimativa de OG._x000a_19/04: Alocado na fila dos executores hoje._x000a_14/04 - A iniciar"/>
    <x v="9"/>
    <s v="Débora Gercke"/>
    <d v="2016-05-04T00:00:00"/>
    <s v="Análise"/>
    <m/>
    <m/>
  </r>
  <r>
    <s v="CTXRECSA-482222"/>
    <s v="Projeto - Replicar Tabulador de Vendas das operações Financeiras e CAE na operação ItauCred"/>
    <s v="Santo Amaro"/>
    <s v="Plano Recuperação"/>
    <x v="3"/>
    <s v="Ricardo Araújo"/>
    <s v="Celso Miranda"/>
    <x v="2"/>
    <s v="Luciana Andrade"/>
    <s v="Desenvolvimento"/>
    <d v="2016-04-08T00:00:00"/>
    <n v="27"/>
    <d v="2016-04-14T00:00:00"/>
    <x v="0"/>
    <s v="TBD"/>
    <s v="TBD"/>
    <s v="TDB"/>
    <m/>
    <s v="[03/05] - Solicitado documento com o detalhamento da solicitação. Prazo TDB_x000a_[26/4] - Aguardando envio da OG. Prazo 27/4._x000a_[19/04] - Projeto encaminhado para a fila da equipe de aplicações. Aguardando retorno da OG. Prazo 20/4.14/04 - A iniciar"/>
    <x v="1"/>
    <s v="Mariana Mello"/>
    <s v="TDB"/>
    <s v="Levantamento de informações"/>
    <m/>
    <m/>
  </r>
  <r>
    <s v="CTXPOARB-105144"/>
    <s v="Projeto - Implantar tGuidance na operação Retenção PME - NET"/>
    <m/>
    <s v="Plano Recuperação"/>
    <x v="5"/>
    <s v="Rodrigo Zambon"/>
    <s v="Leonardo Pelegrino"/>
    <x v="8"/>
    <s v="Luciana Andrade"/>
    <s v="Desenvolvimento"/>
    <d v="2016-04-13T00:00:00"/>
    <n v="22"/>
    <d v="2016-04-14T00:00:00"/>
    <x v="0"/>
    <s v="TBD"/>
    <s v="TBD"/>
    <s v="TBD"/>
    <m/>
    <s v="14/04 - A iniciar"/>
    <x v="9"/>
    <s v="Debora"/>
    <m/>
    <s v="Na Fila"/>
    <m/>
    <m/>
  </r>
  <r>
    <s v="CTXRECSA-461984"/>
    <s v="Migrar 80 PAs do Site Navegantes para o Sto Amaro"/>
    <s v="Santo Amaro/PE"/>
    <s v="S&amp;OP"/>
    <x v="5"/>
    <s v="Rodrigo Zambon"/>
    <s v="Leonardo Pelegrino"/>
    <x v="8"/>
    <s v="Cristina Rey"/>
    <s v="Implantação de PA (crescimento, migração ou nova operação)"/>
    <d v="2016-04-20T00:00:00"/>
    <n v="15"/>
    <d v="2016-04-20T00:00:00"/>
    <x v="0"/>
    <d v="2016-05-11T00:00:00"/>
    <s v="TBD"/>
    <s v="TDB"/>
    <m/>
    <s v="03/05: Aguardando o retorno de ENG para verificar a se a infra de Santo Amaro suporta esta migração. Área de negócio informou que tem inclusive 2 aparelhos para deficiente auditivo para serem configurados no site. _x000a_26/04: Projeto em hold, aguardando documentação EF e layout para alocar o projeto na fila dos executores._x000a_20/04 - A iniciar"/>
    <x v="2"/>
    <s v="Antonio"/>
    <d v="2016-05-06T00:00:00"/>
    <s v="Análise"/>
    <m/>
    <m/>
  </r>
  <r>
    <s v=" CTXRECSA-482954"/>
    <s v="Criar SFTP para troca de arquivos entre Contax e Banco Itaú"/>
    <s v="Paulista 407"/>
    <s v="Plano Recuperação"/>
    <x v="3"/>
    <s v="Ricardo Araújo"/>
    <s v="Celso Miranda"/>
    <x v="2"/>
    <s v="Mariana Mello"/>
    <s v="Implantação de PA (crescimento, migração ou nova operação)"/>
    <d v="2016-04-11T00:00:00"/>
    <n v="24"/>
    <d v="2016-04-14T00:00:00"/>
    <x v="0"/>
    <s v="TBD"/>
    <s v="TBD"/>
    <s v="TDB"/>
    <m/>
    <s v="[03/05] - Realizado reunião de alinhamento com Negocio e Engenharia e ficou de agendar uma reunião com o cliente para maiores esclarecimentos. Prazo TDB_x000a_[25/4] - A iniciar"/>
    <x v="1"/>
    <s v="Mariana Mello"/>
    <s v="TDB"/>
    <s v="Levantamento de informações"/>
    <m/>
    <m/>
  </r>
  <r>
    <s v="CTXBHZRI-101275"/>
    <s v="Projeto - &quot;URA Oi TV&quot;"/>
    <s v="Niterói/RJ"/>
    <s v="Operações que não estão no Plano de Recuperação"/>
    <x v="4"/>
    <s v="Ana Coelho"/>
    <s v="Ana Sosa"/>
    <x v="7"/>
    <s v="Jill Ortiz"/>
    <s v="URA"/>
    <d v="2016-04-27T00:00:00"/>
    <n v="8"/>
    <d v="2016-04-27T00:00:00"/>
    <x v="0"/>
    <d v="2016-05-13T00:00:00"/>
    <s v="TBD"/>
    <s v="Sim"/>
    <m/>
    <s v="03/05 - Na fila de CSE para execução. Aguardando andamento do Projeto Ura OI Total._x000a_27/04 - A iniciar"/>
    <x v="6"/>
    <s v="Luiz Washington"/>
    <s v="N/A"/>
    <s v="Na Fila"/>
    <m/>
    <m/>
  </r>
  <r>
    <s v="CTXNITSP-182475"/>
    <s v="TLV Auditorias"/>
    <s v="Niterói/RJ"/>
    <s v="Operações que não estão no Plano de Recuperação"/>
    <x v="4"/>
    <s v="Ana Coelho"/>
    <s v="Ana Sosa"/>
    <x v="4"/>
    <s v="Jill Ortiz"/>
    <s v="Desenvolvimento"/>
    <d v="2016-04-14T00:00:00"/>
    <n v="21"/>
    <d v="2016-04-28T00:00:00"/>
    <x v="0"/>
    <s v="TBD"/>
    <s v="TBD"/>
    <s v="TDB"/>
    <m/>
    <s v="03/05 - Call com o solicitante, porém foi cancelada a pedido do mesmo. Remarcando kick off._x000a__x000a_28/04 - A iniciar"/>
    <x v="9"/>
    <s v="Érica Cotrim"/>
    <m/>
    <s v="Análise "/>
    <m/>
    <m/>
  </r>
  <r>
    <s v="CTXFORBM-376441"/>
    <s v="Novos Campos Mailing de Ofertas Retenção Invol Móvel"/>
    <s v="Borges de Melo/CE"/>
    <s v="Operações que não estão no Plano de Recuperação"/>
    <x v="4"/>
    <s v="Ana Coelho"/>
    <s v="Ana Sosa"/>
    <x v="2"/>
    <s v="Cristiano Fernandes Melo"/>
    <s v="Desenvolvimento"/>
    <d v="2016-04-13T00:00:00"/>
    <n v="22"/>
    <d v="2016-04-28T00:00:00"/>
    <x v="0"/>
    <s v="TBD"/>
    <d v="2016-05-04T00:00:00"/>
    <s v="Sim"/>
    <m/>
    <s v="28/04 - A iniciar"/>
    <x v="0"/>
    <m/>
    <m/>
    <s v="Levantamento de informações"/>
    <m/>
    <m/>
  </r>
  <r>
    <s v="CTXSPOAL-115788"/>
    <s v="Projeto - Analise em servidor de URA atual para operação Intermédica"/>
    <s v="Alegria/SP"/>
    <s v="Operações que não estão no Plano de Recuperação"/>
    <x v="0"/>
    <s v="Ricardo Araújo"/>
    <s v="Celso Miranda"/>
    <x v="5"/>
    <s v="Rogério Luiz"/>
    <s v="URA"/>
    <d v="2016-04-29T00:00:00"/>
    <n v="6"/>
    <d v="2016-04-29T00:00:00"/>
    <x v="0"/>
    <s v="TBD"/>
    <s v="TBD"/>
    <s v="TBD"/>
    <m/>
    <s v="02/05 - Incluído na fila de Engenharia para análise_x000a_29/04 - A iniciar"/>
    <x v="9"/>
    <s v="Bruno Guerra"/>
    <m/>
    <s v="Na Fila"/>
    <m/>
    <m/>
  </r>
  <r>
    <s v="CTXNITSP-179086"/>
    <s v="Voicer com Menu (CRV Ativo)"/>
    <s v="Niterói/RJ"/>
    <s v="Operações que não estão no Plano de Recuperação"/>
    <x v="4"/>
    <s v="Ana Coelho"/>
    <s v="Ana Sosa"/>
    <x v="4"/>
    <s v="Leonardo Pellegrini"/>
    <s v="Desenvolvimento"/>
    <d v="2016-02-25T00:00:00"/>
    <n v="70"/>
    <d v="2016-04-29T00:00:00"/>
    <x v="0"/>
    <s v="TBD"/>
    <s v="TBD"/>
    <s v="TDB"/>
    <m/>
    <s v="03/05 - A iniciar_x000a__x000a_29/04 - A iniciar"/>
    <x v="9"/>
    <s v="Érica Cotrim"/>
    <m/>
    <s v="Na Fila"/>
    <m/>
    <m/>
  </r>
  <r>
    <s v="CTXRECSA-488096"/>
    <s v="Projeto - Crescimento/Forecast"/>
    <s v="Santo Amaro/PE"/>
    <s v="S&amp;OP"/>
    <x v="4"/>
    <s v="Ana Coelho"/>
    <s v="Ana Sosa"/>
    <x v="5"/>
    <s v="Jonas Divino"/>
    <s v="Implantação de PA (crescimento"/>
    <d v="2016-04-26T00:00:00"/>
    <n v="9"/>
    <d v="2016-05-04T00:00:00"/>
    <x v="0"/>
    <s v="TBD"/>
    <s v="TBD"/>
    <s v="TBD"/>
    <m/>
    <s v="04/05 - Informações divergentes entre layout e enviada por negócio. Aguardando o envio correto das informações para acionamento das áreas."/>
    <x v="11"/>
    <s v="Jonas Divino"/>
    <d v="2016-05-04T00:00:00"/>
    <s v="Na Fila"/>
    <m/>
    <s v="20 + 1"/>
  </r>
</pivotCacheRecords>
</file>

<file path=xl/pivotCache/pivotCacheRecords3.xml><?xml version="1.0" encoding="utf-8"?>
<pivotCacheRecords xmlns="http://schemas.openxmlformats.org/spreadsheetml/2006/main" xmlns:r="http://schemas.openxmlformats.org/officeDocument/2006/relationships" count="174">
  <r>
    <s v="CTXFORNA-25436"/>
    <s v="Implantar Front End e discador"/>
    <s v="Borges de Melo/Ce"/>
    <s v="Plano Recuperação"/>
    <x v="0"/>
    <s v="Reginaldo"/>
    <s v="José Maria"/>
    <x v="0"/>
    <s v="José Pedro"/>
    <s v="Desenvolvimento"/>
    <d v="2015-08-18T00:00:00"/>
    <n v="277"/>
    <d v="2015-09-25T00:00:00"/>
    <s v="Não"/>
    <s v="TBD"/>
    <s v="TBD"/>
    <s v="TBD"/>
    <m/>
    <s v="17/05 - Novo desenho de engenharia já realizado.  Aguardando análise e próximos passos da equipe de CSE para avançarmos com o projeto_x000a_11/05 - Verificando com Engenharia qual o prazo para novo desenho, uma vez que o polo aspect a ser usado será o do Alegria. Previsão de retorno até 13/05_x000a_04/05 - Tivemos algumas definições que impactaram o cronograma de desenvolvimento (Polo Aspect, outras demandas, etc). Novo cronograma em análise com previsão de elaboração até dia 06/05_x000a_26/04 - Aguardando Definição de qual polo aspect utilizar. Definição Corporativa. sem prazo. Rico alto de atraso. Desenvolvimento Parcial..._x000a_22/03 - Em Desenvolvimento...previsão de conclusão do desenvolvimento em Maio/2016;_x000a_15/03 - Recebemos o layout do arquivo raw, equipe de desenvolvimento irá analisar ate amanhã. Desenvolvimento continua...._x000a_01/03 - Foram disponibilizados os Servidores em 26/02. Estamos em fase de desenvolvimento. Evoluindo..._x000a_23/02 - Disponibilizanod os servidores de BD, APP e D-1, até dia 26/02. Em paralelo as confirgurações da aplicação;_x000a_16/02 - Fase 1 de Desenvolvimento concluida. fase 2 em andamento. Em paralelo estamos analisando o espaço de Oracle (servidor) para a aplicação, com data limite até dia 22/02;_x000a_10/02 - Realisando ajustes na topologia para iniciar atividades com CSE. Em Paralelo estamos iniciando as atividades com equipe de desenvolvimento;_x000a_02/02 - Avaliações entre as equipes de Telecom, Discadores e Plataforma;_x000a_26/01 - Equipe de Plataforma esta revendo espaço do Storage pata liberar À equipe de Desenvolvimento. Desenvolvimento em andamento;_x000a_20/01 - devido a necessidade de investimento para upo grade do storage, e os debitos junto a não renovação de contrato com a DELL., estamos buscando 'limpar' o storage atual para tentar assim disponibilizar espaço. Sem Previsão, sendo tratado por Nelsom Klaus._x000a_04/01 - Inicio de ENG em 04/01 e previsão de término em 15/01_x000a_25/11 - Cobrando disponibilização de Servidores para disponibilizar para desenvolvimentos. ainda sem data;_x000a_17/11 - Levantando insumos necessarios para desenvolvimento (servidor de desenvolvimento e Aplicação e BD);_x000a_03/11 - Aguardando avaliação da euiqpe do Rivaldo; sem previsão._x000a_27/10 - Conforme alinhado no ultima reunião de Up Data de Projetos, será avaliado pela equipe do Rivaldo a real necessidade dessa solicitação, se farão correções no By Contax ou outro FF. Ainda sem data;_x000a_Enviado posteriormente/ encaminhar para priorização"/>
    <s v="CSE"/>
    <s v="LW"/>
    <d v="2016-05-20T00:00:00"/>
    <s v="Desenvolvimento/Execução"/>
    <m/>
    <n v="40"/>
  </r>
  <r>
    <s v="CTXSPOAP407-13150"/>
    <s v="2a.fase do TTV "/>
    <s v="Antártica"/>
    <s v="Plano Recuperação"/>
    <x v="1"/>
    <s v="Bruno Vasconcellos"/>
    <m/>
    <x v="0"/>
    <s v="Wagner Mattos"/>
    <s v="Desenvolvimento"/>
    <d v="2015-10-15T15:34:00"/>
    <n v="218.35138888889196"/>
    <d v="2015-08-01T00:00:00"/>
    <s v="Não"/>
    <s v="TBD"/>
    <s v="TBD"/>
    <s v="TBD"/>
    <m/>
    <s v="11/05 - Mesmo status_x000a_04/05 - Mesmo status_x000a_26/04 - Aguardando proposta do Fornecedor que fará a intregraçãentre o TTV e posições da VIVO Fixa; sem previsão;_x000a_18/12 - Aguardando proposta do Fornecedor que fará a intregraçãentre o TTV e posições da VIVO Fixa; sem previsão;_x000a_25/11 - Aguardando proposta de terceiros para desenvolvimento de solução para capturar informações dos 8% de posições restantes (que utilizam InterGrall e Genesys do segmento da FIXA);_x000a_17/11 - TTV implantado em 92% das posiçoes da VIVO (Movel em 100%, fixa 82%, restando vizualizar 258 PAs que são Intergrall e 'Genesys' a definir estratégia);_x000a_03/11 - Realizando algumas configurações de SKILL junto as equipe de Planejamento, Avaya e NICE;_x000a_27/10 - Configurações finalizadas. em fase de homologação. No momento estamos aguardando as correções a serem realizadas pela equipe do Antonio Carlos - Planejamento VIVO, sem prazo informado;_x000a_20/10 - Periodo de configurações entre Contax e NICE. Previsão de conclusão das confgurações de TI, é 28/10;_x000a_06/10 - Aguardando emissão do PC para acionar a NICE, prazo para emissão até 08/10;_x000a_29/09 - Processo de Aprovação de SC e após, gerar pedidos;_x000a_29/09 - ja realizada aprovação do valor (U$34.794,54) em Comitê, sem data;_x000a_22/09 - Já temos a proposta da NICE, e estamos em processo de SC / Aprovações / PC. Após termos os pedido aguardaremos a disponibilização das licenças (em processo normal, o tempo é de até 60 dias, mas vamos trabalhar para ser disponibilizado o mais breve possivel;_x000a_16/09 - Estamos aguardando definição do Rivaldo Barbosa sobre a configuração e licenças da NICE para realizarmos testes (conf. Avaya já Ok desde 04/09). Milene ciente da necessidade de cobrar o Rivaldo._x000a_"/>
    <s v="Aplicações"/>
    <s v="Cristiane Sasaki"/>
    <s v="N/A"/>
    <s v="Desenvolvimento/Execução"/>
    <m/>
    <n v="258"/>
  </r>
  <r>
    <s v="CTXMTZPB-300"/>
    <s v="Migração de 02 servidores para o Azure (Nuvem)"/>
    <s v="DataCenter"/>
    <s v="BI Corporativo"/>
    <x v="2"/>
    <m/>
    <s v="Mauricio Lustosa"/>
    <x v="1"/>
    <s v="Pedro Bazzarella"/>
    <s v="Implantação de PA (crescimento, migração ou nova operação)"/>
    <d v="2015-09-03T00:00:00"/>
    <n v="261"/>
    <d v="2015-10-07T00:00:00"/>
    <s v="Não"/>
    <s v="TBD"/>
    <s v="TBD"/>
    <s v="TBD"/>
    <m/>
    <s v="[17/05] - Necessário definição de proximos passos sobre a analise / execução dessa solicitação ( Adalto )_x000a__x000a_[10/05]Pendente entrega de Aplicações.Alinhamento com Rivaldo._x000a__x000a_[03/05]Pendente entrega de Aplicações._x000a__x000a_[26/04]Respondido por time de aplicações que OG será entrege até 26/04._x000a__x000a_[19/04] - Projeto encaminhadopara analise tecnica equipe Adalto. (Recomendação (Koreeda e Rivaldo). Email Klaus._x000a_Retorno Aplicações previsto 26/04._x000a__x000a_[12/04] - Aguardando retorno do solicitante , se prosseguiremos como projeto, a partir das cotações apresentadas apara Upgrade._x000a__x000a_[05/04] - Mesmo status _x000a_[29/03] - Mesmo status.[22/03] mesmo status._x000a_Aguardando agenda do solicitante para call tecnico (redução cistos x risco ambiente ) _x000a__x000a_[15/03] - Aguardand o agenda do solicitante para call tecnico (redução cistos x risco ambiente ) ._x000a__x000a_[08/03] - Solicitante pediu revisão de solução ( possibilidade redução custos)._x000a__x000a_[29/02] - Custos encaminhados para analise do Solicitante._x000a__x000a_[23/02] - Aguardando retorno Engenharia._x000a__x000a_[16/02] -  Em  Processo de cotação de insumo de TI para upgrage servidores (em andamento por Engenharia)_x000a__x000a_[10/02] - Processo de cotação de insumo de TI para upgrage servidores está em andamento por Engenharia._x000a__x000a_03/02 -Projeto já Inserido na Fila Klaus. Estava sendo tratado diretamente entre Lustosa e Klaus_x000a__x000a_Status  atual: Equipe de Engenharia está fazendo a cotação de Insumos para Upgrade servidores._x000a__x000a_02/02 - Esclarecendo com Solicitante, pois nessa demanda solicita migração de 2 servidores sem contrato de suporte e alto risco falha, rodando faturamento, relatórios contratuais e informações de trafego do Itau, além sandbox. Projeto aberto Set/15;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08/Set/15 18:56 _x000a_Projeto encaminhado para a Fila de TI-ENG para Análise e estimativa. "/>
    <s v="ENG/APP"/>
    <s v="Adalto"/>
    <d v="2016-04-26T00:00:00"/>
    <s v="Desenho Solução"/>
    <s v="ND"/>
    <s v="N/A"/>
  </r>
  <r>
    <s v="CTXMTZPB-510"/>
    <s v="Criação de ambiente de produção - MS Azure ( DATAZEN )"/>
    <s v="DataCenter"/>
    <s v="BI Corporativo"/>
    <x v="2"/>
    <m/>
    <s v="Mauricio Lustosa"/>
    <x v="1"/>
    <s v="Pedro Bazzarella"/>
    <s v="Implantação de PA (crescimento, migração ou nova operação)"/>
    <d v="2015-09-22T00:00:00"/>
    <n v="242"/>
    <d v="2015-10-07T00:00:00"/>
    <s v="Não"/>
    <s v="TBD"/>
    <s v="TBD"/>
    <s v="TBD"/>
    <m/>
    <s v="[17/05] - Em andamento com equipe Arquitetura. _x000a_Aguardando lançamento de nova versão do SQL 2016. ( Previsão 1° sem 2016)_x000a__x000a_[03/05] - Em andamento com Arquitetura TI (Eder) Questionada nova previsão de  entrega para 13/05. Klaus citou que projeto vai ficar congelado até lançamento do SQL 2016._x000a__x000a_[03/05] - Em andamento com Arquitetura TI (Eder) previsão de _x000a_05/05._x000a__x000a_[26/04] - Em andamento com Arquitetura TI (Eder) previsão de entrega em 29/04._x000a__x000a_[19/04] - Em andamento com Arquitetura TI (Eder) _x000a__x000a_[12/04] - Ações tecnicas em andamento, sendo alinhadas diretamente com solicitante x TI ._x000a__x000a_[05/04] - Ações tecnicas sendo alinhadas diretamente com solicitante ._x000a__x000a_[29/03] - Em andamento . Alinhamento direto entre Engenharia e equipe BI_x000a__x000a_[22/03] - BP aprovado. Fase de desenho solução com Engenharia e BI._x000a__x000a_[15/03] - Aguradando retorno do solicitante (Lustosa) com a aprovação do BP no Comitê._x000a__x000a_[08/03 ] - devido ao parecer tecnico no projeto CTXRJOMA-78762   Projeto - DATAZEN &quot;On Premises&quot;, Mauricio Lustosa seguirá  com a apresentação do BP no comitê._x000a__x000a_[29/02] - BP avaliadopor Engenharia. EM Hold, aguardando avaliação de uma nova proposta de solução utilizando servidores fisicos na Contax. Sendo desenhada em outro projeto._x000a__x000a_[23/02] - Aguardando retorno Engenharia._x000a__x000a_[16/02] -  BP avaliado por  TI e  uma segunda proposta para solução  ( on premises) enviada pelo Solicitante, sendo avaliada por Engenharia TI._x000a__x000a_[10/02] - Solução tecnica sendo avaliada pela Diretoria e Engenharia._x000a__x000a_03/02 - Escopo desse projeto já estava sendo tratado pela equipe do Klaus, direto com equipe Lustosa._x000a__x000a_Klaus havia sinalizado a necessidade do Lustosa apresentar BP para comitê. A discussão desse tema está no email anexo._x000a__x000a_Ação:  esclarecer com Koreeda, se seguiremos sem apresentação BP (email anexo) ._x000a_Trata-se de utilização de Créditos “ já pagos “ pela Contax, para implementação deste Projeto na Nuvem._x000a__x000a_02/02 - Esclarecendo com solicitante. Necessário aprovação de BP (resp. Lustosa), para continuidade do porjeto, por Engenharia.  (+/- US$ 6.682,92)_x000a_Necessário retomar a prioridade deste projeto com Engenharia._x000a_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24/Set/15 15:44 _x000a_Projeto encaminhado para a Fila de TI-ENG para iniciar a Análise e estimativa. "/>
    <s v="ENG"/>
    <s v="Pedro / Eder "/>
    <s v="ND"/>
    <s v="Desenvolvimento/Execução"/>
    <s v="ND"/>
    <s v="N/A"/>
  </r>
  <r>
    <s v="CTXRECSA-419337"/>
    <s v="Projetos bolha - TROCA DO WIN7 - a criação da estrutura do tsupervisor, o SMPA não funciona com Win 7."/>
    <s v="Cabula/Santo Amaro"/>
    <s v="Plano Recuperação"/>
    <x v="3"/>
    <s v="Ricardo Araújo"/>
    <s v="Celso Miranda"/>
    <x v="2"/>
    <s v="Marco Brandão"/>
    <s v="Desenvolvimento"/>
    <d v="2015-09-03T00:00:00"/>
    <n v="261"/>
    <d v="2015-09-25T00:00:00"/>
    <s v="Sim"/>
    <d v="2016-02-02T00:00:00"/>
    <s v="28/04/2016_x000a_TBD"/>
    <s v="Risco - O Banco ainda não aprovou a utilização do tSupervisor"/>
    <m/>
    <s v="[16/05] - Aguardando aprovação do banco para a utilização do tSupervidor_x000a_ [10/05] - Banco solicita novamente uma call para tirar dúvidas do tSupervisor._x000a_[02/05] - Banco fez novamente questionamentos sobre a aplicação. Prazo de entrega 04/05_x000a_[25/04] - Mesmo status_x000a_[19/4] - Mesmo status_x000a_[12/4] - Aguardando aprovação do banco para a utilização do tSupervisor._x000a_[04/04] - Encaminhado ao banco as evidências de segurnaça do tSupervisor._x000a_[29/03] - Mesmo status_x000a_[22/03] - Mesmo status_x000a_[15/03] - Aguardando envio das evidências pela equipe de aplicações, Engenharia e site. _x000a_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_x000a_Aguardando apenas o de acordo para seguir com o projeto. Juliana 20/01_x000a_O banco informou que o De acordo leva em média 10 dias úteis e com este prazo não conseguiremos implantar o t-Supervisor. Ainda permancemos aguardando o De acordo do banco. Débora 23/11_x000a_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_x000a_Projeto previsto para ser concluído em 16/11. Estou aguardando um de acordo do banco para seguir com a execução do projeto. Débora 03/11_x000a_Projeto previsto para ser concluído em 16/11. Estou aguardando um de acordo do banco para seguir com a execução do projeto. Débora 27/10_x000a_Em levantamento com os executores a duração para configuração do t-Supervisor, pois é um pré-requisito para implantar o Win7 e ainda não foi definido um resposável por apresentar a solução ao banco. Débora 20/10._x000a_Ainda não foi definido um resposável por apresentar a solução ao banco. Débora 13/10._x000a_Demanda está em análise. O sistema tSupervisor será apresentado ao banco como uma solução alternativa ao SMPA que não é compatível com o win7. A equipe do Alexandre Morais está responsável por elaborar o material que será apresentado ao banco. Data TBD._x000a_[Fabiana 18/09] - BASE LINE ITAÚ (Windows 7) - Trata-se da análise do sistema T-Supervisor visto que nos testes realizados pelo Rosim há problemas de compatibilidade com o windows 7._x000a_"/>
    <s v="Solicitante"/>
    <s v="Marco Brandão"/>
    <s v="TDB"/>
    <s v="Análise "/>
    <d v="2016-04-28T00:00:00"/>
    <n v="3076"/>
  </r>
  <r>
    <s v="CTXRECSA-422212"/>
    <s v="Projetos bolha - CONTROLE DE ACESSO COM O PROTOCOLO 802.1x "/>
    <s v="Cabula/Santo Amaro"/>
    <s v="Plano Recuperação"/>
    <x v="3"/>
    <s v="Ricardo Araújo"/>
    <s v="Celso Miranda"/>
    <x v="2"/>
    <s v="Marco Brandão"/>
    <s v="Desenvolvimento"/>
    <d v="2015-09-14T00:00:00"/>
    <n v="250"/>
    <d v="2015-09-25T00:00:00"/>
    <s v="Sim"/>
    <d v="2016-02-02T00:00:00"/>
    <d v="2016-11-30T00:00:00"/>
    <s v="Sim"/>
    <m/>
    <s v="[16/05] - Em desenvolvimento_x000a_[10/05] - Aguardando a entrega das licenças_x000a_[02/05] - Gerado número do pedido. Aguardando o envio das licenças pelo fornecedor._x000a_[25/4] - Mesmo status_x000a_[19/4] - Mesmo status_x000a_[12/4] - Mesmo status_x000a_[4/4] - Mesmo Status_x000a_[29/03] Cotação com os fornecedores e aguardando geração de Pedido. _x000a_[22/03] - Mesmo status_x000a_[15/03] - Mesmo status_x000a_[08/03] - Aguardando geração de pedido                                                                                                                                                                                                                                                                            [29/02] - Aguardando aprovação da SC. _x000a_[22/02] - Aguardando abertura de SC                                                                                                                                                                                                                                                                                 [16/02] - Solicitado abertura de SC para contratação do fornecedor                                                                [10/02] Mesmo Status                                                                                                                                                                                                                                                                                                                [02/02] - No dia 28/01 foi solicitado a revisão da proposta do fornecedor, estamos aguardando para a criação de SC.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a migração do t-Supervisor, pois é um pré-requisito para a migração do win7. Débora 01/12_x000a_A solução sem custos não funcionou e será necessário a contratação de um fornecedor para executar este projeto. Proposta comercial em análise pelo Banco. Débora 23/11_x000a_A solução sem custos não funcionou e será necessário a contratação de um fornecedor para executar este projeto. Proposta comercial em análise pelo Banco. Débora 17/11_x000a_A solução sem custos não funcionou e será necessário a contratação de um fornecedor para executar este projeto. Proposta comercial em análise pelo Banco. Débora 10/11_x000a_A solução sem custos não funcionou e será necessário a contratação de um fornecedor para executar este projeto. Proposta comercial em análise pelo Banco. Débora 03/11_x000a_A solução sem custos não funcionou e será necessário a contratação de um fornecedor para executar este projeto. Proposta comercial em análise pelo Banco. Débora 27/10_x000a_O piloto está previsto para iniciar em 19/10 à 21/10 no site Mackenzie. Débora 13/10/15._x000a_O piloto está previsto para iniciar em 19/10 à 21/10 no site Mackenzie._x000a_Esse chamado se aplica ao site Santo Amaro. Débora 05/10/15_x000a_[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_x000a_Esse chamado se aplica ao site Santo Amaro."/>
    <s v="Fornecedor"/>
    <m/>
    <s v="TDB"/>
    <s v="Em andamento"/>
    <d v="2016-11-30T00:00:00"/>
    <n v="3076"/>
  </r>
  <r>
    <s v="CTXRECSA-430668"/>
    <s v="Projetos bolha - AUDITORIA REMOTA: (Coleta de Dados Automatizada) - PE-Santo Amaro"/>
    <s v="Cabula/Santo Amaro"/>
    <s v="Plano Recuperação"/>
    <x v="3"/>
    <s v="Ricardo Araújo"/>
    <s v="Celso Miranda"/>
    <x v="2"/>
    <s v="Marco Brandão"/>
    <s v="Desenvolvimento"/>
    <d v="2015-10-14T00:00:00"/>
    <n v="220"/>
    <d v="2015-10-22T00:00:00"/>
    <s v="Sim"/>
    <d v="2016-02-02T00:00:00"/>
    <d v="2016-07-22T00:00:00"/>
    <s v="Risco - A equipe técnica está com várias ações concorrentes "/>
    <m/>
    <s v="[16/05] - Mesmo status_x000a_[10/05] - Aguardando liberação de rede para instalação da aplicação do Protheus_x000a_[02/05] - Disponibilizado servidor. Aguardando o banco instalar a aplicação do Protheus. Prazo TDB_x000a_[25/4] - Mesmo status_x000a_[19/4] - Projeto em andamento_x000a_[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m/>
    <m/>
    <s v="TDB"/>
    <s v="Em andamento"/>
    <d v="2016-07-22T00:00:00"/>
    <n v="3076"/>
  </r>
  <r>
    <s v="CTXRECSA-430770"/>
    <s v="Projetos bolha - Aplicações de Hardenings : (Baseline Itaú) - PE-Santo Amaro"/>
    <s v="Cabula/Santo Amaro"/>
    <s v="Plano Recuperação"/>
    <x v="3"/>
    <s v="Ricardo Araújo"/>
    <s v="Celso Miranda"/>
    <x v="2"/>
    <s v="Marco Brandão"/>
    <s v="Desenvolvimento"/>
    <d v="2015-10-14T00:00:00"/>
    <n v="220"/>
    <d v="2015-10-22T00:00:00"/>
    <s v="Não"/>
    <d v="2016-05-13T00:00:00"/>
    <s v="TBD"/>
    <s v="Risco - Aguardando entrega de proposta de fornecedor"/>
    <m/>
    <s v="[16/05] - Aguardando avaliação de SI_x000a_[10/5] - Aguardando avaliação de TI e SI sobre as propostas._x000a_[02/05] - As consultorias retornou com as propostas comerciais, mas a equipe da Operação realizou vários questionamentos e teremos que realizar uma conferencia para tirar as dúvidas._x000a_[25/04] - Aguardando retorno da consultoria_x000a_[19/04] Consultorias enviou as propostas, porém havia solicitado que a proposta teria que ser dividida entre os sub-projetos do Bolha. Solicitado revisão da proposta._x000a_[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s v="SI "/>
    <s v="Rodrigo Marangoni"/>
    <s v="TDB"/>
    <s v="Levantamento de informações"/>
    <s v="TDB"/>
    <n v="3076"/>
  </r>
  <r>
    <s v="CTXSALSM-74754"/>
    <s v="Projetos bolha - Troca do sistema WinXP para Win7 em todas as operações do Itaú BA"/>
    <s v="Cabula/Santo Amaro"/>
    <s v="Plano Recuperação"/>
    <x v="3"/>
    <s v="Ricardo Araújo"/>
    <s v="Celso Miranda"/>
    <x v="2"/>
    <s v="Marco Brandão"/>
    <s v="Desenvolvimento"/>
    <d v="2015-09-03T00:00:00"/>
    <n v="261"/>
    <d v="2015-09-25T00:00:00"/>
    <s v="Sim"/>
    <d v="2016-02-02T00:00:00"/>
    <s v="28/04/2016_x000a_TBD"/>
    <s v="Risco - O Banco ainda não aprovou a utilização do tSupervisor"/>
    <m/>
    <s v="[16/05] - Aguardando aprovação do banco para a utilização do tSupervidor_x000a_[10/05] - Banco solicita novamente uma call para tirar dúvidas do tSupervisor._x000a_[02/05] - Banco fez novamente questionamentos sobre a aplicação. Prazo de entrega 04/05_x000a_[25/04] - Mesmo status_x000a_[19/4] - Mesmo status_x000a_[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s v="Solicitante"/>
    <s v="Marco Brandão"/>
    <s v="TDB"/>
    <s v="Análise "/>
    <d v="2016-04-28T00:00:00"/>
    <n v="3076"/>
  </r>
  <r>
    <s v="CTXSALSM-83016"/>
    <s v="Projetos bolha - AUDITORIA REMOTA: (Coleta de Dados Automatizada) - BA-Cabula"/>
    <s v="Cabula/Santo Amaro"/>
    <s v="Plano Recuperação"/>
    <x v="3"/>
    <s v="Ricardo Araújo"/>
    <s v="Celso Miranda"/>
    <x v="2"/>
    <s v="Marco Brandão"/>
    <s v="Desenvolvimento"/>
    <d v="2015-10-14T00:00:00"/>
    <n v="220"/>
    <d v="2015-10-22T00:00:00"/>
    <s v="Sim"/>
    <d v="2016-02-02T00:00:00"/>
    <d v="2016-07-22T00:00:00"/>
    <s v="Risco - A equipe técnica está com várias ações concorrentes "/>
    <m/>
    <s v="[16/05] - Mesmo status_x000a_[10/05] - Aguardando liberação de rede para instalação da aplicação do Protheus_x000a_[02/05] - Disponibilizado servidor. Aguardando o banco instalar a aplicação do Protheus. Prazo TDB_x000a_[25/4] - Mesmo status_x000a_[19/4] - Projeto em andamento_x000a_[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s v="CSE"/>
    <s v="Luiz Washington"/>
    <s v="TDB"/>
    <s v="Em andamento"/>
    <d v="2016-07-22T00:00:00"/>
    <n v="3076"/>
  </r>
  <r>
    <s v="CTXSALSM-83029"/>
    <s v="Projetos bolha - Aplicações de Hardenings : (Baseline Itaú) - BA-Cabula"/>
    <s v="Cabula/Santo Amaro"/>
    <s v="Plano Recuperação"/>
    <x v="3"/>
    <s v="Ricardo Araújo"/>
    <s v="Celso Miranda"/>
    <x v="2"/>
    <s v="Marco Brandão"/>
    <s v="Desenvolvimento"/>
    <d v="2015-10-14T00:00:00"/>
    <n v="220"/>
    <d v="2015-10-22T00:00:00"/>
    <s v="Não"/>
    <d v="2016-05-13T00:00:00"/>
    <s v="TBD"/>
    <s v="Risco - Aguardando entrega de proposta de fornecedor"/>
    <m/>
    <s v="[16/05] - Aguardando avaliação de SI_x000a_[10/5] - Aguardando avaliação de TI e SI sobre as propostas._x000a_[02/05] - As consultorias retornou com as propostas comerciais, mas a equipe da Operação realizou vários questionamentos e teremos que realizar uma conferencia para tirar as dúvidas._x000a_[25/04] - Aguardando retorno da consultoria_x000a_[19/04] Consultorias enviou as propostas, porém havia solicitado que a proposta teria que ser dividida entre os sub-projetos do Bolha. Solicitado revisão da proposta._x000a_[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s v="SI "/>
    <s v="Rodrigo Marangoni"/>
    <s v="TDB"/>
    <s v="Levantamento de informações"/>
    <s v="TDB"/>
    <n v="3076"/>
  </r>
  <r>
    <s v="CTXSPOAP407-10410"/>
    <s v="Projeto RTI Vivo - Integração TClock x Logon no vivo 360"/>
    <s v="Antártica/SP"/>
    <s v="Plano Recuperação"/>
    <x v="1"/>
    <s v="Bruno Vasconcellos"/>
    <m/>
    <x v="2"/>
    <s v="Paloma Almeida"/>
    <s v="RTI"/>
    <d v="2015-05-27T12:40:00"/>
    <n v="359.47222222221899"/>
    <d v="2015-08-01T00:00:00"/>
    <s v="Sim"/>
    <d v="2016-04-04T00:00:00"/>
    <d v="2016-05-28T00:00:00"/>
    <s v="Sim"/>
    <m/>
    <s v="[16/05] - Piloto na operação Fixo foi cancelado devido a desmobilização da operação. Foi solicitado por Negócios o inicio do piloto na operação Renteção PF, porem só no inicio de Junho devido a movimentações e mudanças de layout. _x000a_[10/05 - Mesmo status_x000a_[03/05] - Mesmo status_x000a_[25/04] - Em piloto_x000a_[19/04] - Piloto iniciado em 18/4_x000a_[11/04] - Piloto programado para o dia 18/04/16, conforme solicitação da operação. _x000a_[4/4] - Aguardando validação do site para iniciarmos o piloto no dia 18/4_x000a_[29/03] - Operação aprovou iniciar o piloto e sugeriu data do dia 18/4._x000a_ [22/03] - Acompanhamento in loco feito entre os dias 15 e 18 de Março. Posicionamento será feito até o dia 23/03/16. _x000a_[15/03] -  Equipe de automações fará acompanhamento in loco na semana de 15 a 18/03. _x000a_[08/03] - Operação realizou novos testes e foram identificados que os erros não são relacionados ao RTI. Aguardando melhor data para o piloto e informações das 20 PAs para o piloto.                                                                                                                                                                                                                                                                                                                                          01/03/16: Pendente a verificação de erro apontado pela operação._x000a_22/02/16: Piloto será iniciado em 24/02. Data de rollout a ser validada com a operação._x000a_15/02/16 - nova versão corrigida será entregue em 16/02/16 - Data de Piloto e Rollout a ser validada com operação._x000a_10/02 - Mesmo status_x000a_05/02 - Encontrado problemas técnicos na aplicação durante período de testes. Em análise pela equipe de RTI. Nova data para início do piloto a ser informada no dia 12/02_x000a_01/02: Início do piloto alterado para 02/02 a pedido de negócio._x000a_26/01 - Mesmo status _x000a_18/01/16 - Aguardando formalização de quais os sites e operações deverão receber a solução. Pendência PMO Negócios. Mariana APP "/>
    <s v="Solicitante"/>
    <s v="Paloma Almeida"/>
    <d v="2016-05-18T00:00:00"/>
    <s v="Hold"/>
    <d v="2016-05-28T00:00:00"/>
    <m/>
  </r>
  <r>
    <s v="CTXSPOAP407-10425"/>
    <s v="Automação do Saldo de Recarga e Bônus"/>
    <s v="Antártica/SP"/>
    <s v="Plano Recuperação"/>
    <x v="1"/>
    <s v="Bruno Vasconcellos"/>
    <m/>
    <x v="2"/>
    <s v="Paloma Almeida"/>
    <s v="RTI"/>
    <d v="2015-05-27T15:43:00"/>
    <n v="359.34513888888614"/>
    <d v="2015-08-01T00:00:00"/>
    <s v="Não"/>
    <s v="TBD"/>
    <s v="TBD"/>
    <s v="TBD"/>
    <m/>
    <s v="[16/05] - Testes feitos e o resultado não foi satisfatório. Erros persistem. Aguardando nova agenda com a Nice._x000a_ [09/05] - Mesmo status_x000a_[02/05] - Testes feitos e o resultado não foi satisfatório. Erros persistem. Aguardando nova agenda com a Nice. _x000a_[25/04] - Testes internos com solução ajustada previstos para finalizar em 29/04. Somente após resultado dos testes serão replanejados próximos passos._x000a_ [18/04] - Após testes realizados em conjunto com a NICE em 13/04, haverá necessidade de ajuste na solução. Testes internos com solução ajustada previstos para finalizar em 29/04. Somente após resultado dos testes serão replanejados próximos passos. _x000a_[11/04] - Análise realizada pela NICE. Feita alteração na solução. Testes internos até 15/04. _x000a_[4/4] - A avliação do erro esta sendo conduzida pela equipe de desnvolevimento e NICE. Análise com a NICE será feita no dia 04/04/16. _x000a_[29/03] - Aguardando recurso para elaboração de laudo. Previsto para 04/05/16 a 17/05/16 01/03/16: Pendente envio de OG._x000a_ [15/03] - Mesmo status_x000a_[08/03] - Aguardando recurso para elaboração de laudo. Previsto para 04/05/16 a 17/05/16 01/03/16: Pendente envio de OG._x000a_22/02/16: Pendente o envio do diagnóstico com análise dos problemas previsto para 04/03._x000a_15/02/16 - data da data para diagnóstico em 17/02/16 - Dificuldades de acesso aos sistemas da operação._x000a__x000a_10/02 - Em análise dos problemas com diagnoticos previstos para dia 12/02. Ainda sem previsão quanto ao rollout_x000a_01/02: Parecer dos testes será enviado em 02/02._x000a_26/01 – Agendado novos testes com a presença de TI e Negócios na operação para 27 e 28 /01._x000a_18/01/16 - Operação enviará até a data de 18/01 o resultado de novos testes de performance. Aguardando ok para seguir com rollout. _x000a_"/>
    <s v="Aplicações"/>
    <s v="Bruno"/>
    <d v="2016-05-17T00:00:00"/>
    <s v="Análise"/>
    <s v="TDB"/>
    <m/>
  </r>
  <r>
    <s v="CTXMTZRP-39707"/>
    <s v="DAC Único Fixa"/>
    <s v="Borges de Melo/Ce"/>
    <s v="Plano Recuperação"/>
    <x v="4"/>
    <s v="Ana Coelho"/>
    <s v="Ana Sosa"/>
    <x v="3"/>
    <m/>
    <s v="Infraestrutura"/>
    <d v="2015-03-23T13:54:00"/>
    <n v="424.42083333332994"/>
    <d v="2015-08-01T00:00:00"/>
    <s v="Não"/>
    <s v="TBD"/>
    <s v="TBD"/>
    <s v="TBD"/>
    <m/>
    <s v="Edison Nei Siqueira added a comment - 10/Mai/16 17:55_x000a_Continua o mesmo status. _x000a__x000a_O projeto DAC Único está em freezing devido a possível indisponibilidade do DAC Minas A. As análises que está sendo realizadas pela diretoria TI são: _x000a__x000a_Fase 1: Migra todos os Insumos PRADO I para PRADO II (Aspect +Avaya) _x000a_Fase 2: Migra todos os Insumos PRADO I para PRADO II (Avaya) – Exceção Aspect (Migra para novo polo SPO) _x000a_Fase 3: Migra Aspect para nova plataforma SPO – Avaya Em analise_x000a__x000a_Edison Nei Siqueira added a comment - 03/Mai/16 10:53_x000a_Continua o mesmo status. _x000a__x000a_O projeto DAC Único está em freezing devido a possível indisponibilidade do DAC Minas A. As análises que está sendo realizadas pela diretoria TI são: _x000a__x000a_Fase 1: Migra todos os Insumos PRADO I para PRADO II (Aspect +Avaya) _x000a_Fase 2: Migra todos os Insumos PRADO I para PRADO II (Avaya) – Exceção Aspect (Migra para novo polo SPO) _x000a_Fase 3: Migra Aspect para nova plataforma SPO – Avaya Em analise_x000a__x000a_Edison Nei Siqueira added a comment - 26/Abr/16 11:42_x000a_O projeto DAC Único está em freezing devido a possível indisponibilidade do DAC Minas A. As análises que está sendo realizadas pela diretoria TI são: _x000a_Fase 1: Migra todos os Insumos PRADO I para PRADO II (Aspect +Avaya) _x000a_Fase 2: Migra todos os Insumos PRADO I para PRADO II (Avaya) – Exceção Aspect (Migra para novo polo SPO) _x000a_Fase 3: Migra Aspect para nova plataforma SPO – Avaya Em analise _x000a__x000a_Edison Nei Siqueira added a comment - 20/Abr/16 08:53_x000a_Aguardando retorno de engenharia Telecom, pois a demanda visa centralizar todo o DAC da Fixa utilizando o DAC Prado I, o site encontra-se em processo de desmobilização que está em analise por parte da diretoria._x000a__x000a_Edison Nei Siqueira added a comment - 12/Abr/16 17:41_x000a_Além da necessidade de insumos sinalizada por engenharia, hoje recebi o retorno de que a demanda estará Freezing até que seja definida a situação da regional BH com relação a desmobilização ou não do CPD._x000a__x000a_Edison Nei Siqueira added a comment - 05/Abr/16 16:47_x000a_Continuamos na busca de insumos junto a controle de ativos, conseguimos os gabinetes e agora estamos buscando 20 placas DS1._x000a__x000a_Edison Nei Siqueira added a comment - 29/Mar/16 15:12_x000a_Estamos buscando internamente junto a controle de ativos os insumos solicitados pela área de engenharia Telecom. _x000a_20 Placas DS1 e 02 Gabinetes Avaya._x000a__x000a_Edison Nei Siqueira added a comment - 08/Mar/16 17:01_x000a_Demanda reinserida na fila de engenharia para analise e desenho de solução, previsão de entrega entre 07/03/16 e 18/03/16. Após o retorno vamos agendar o kick off do projeto._x000a__x000a_[29/02] - Projeto na fila de execução. Aguardando priorização, para alocação de recurso Telecom _x000a_[16/02] - A equipe Telecom reavaliou o cenário e fez as respectivas considerações e ajustes na topologia. Seguiremos com a centralização dessa ultima onda de ramais para DAC MG A. Ramais sendo mapeados par a oanalise de esforço e criar plano de ação._x000a__x000a_Edison Nei Siqueira added a comment - 02/Fev/16 10:57_x000a_Recebemos ontem dia 01/02/2016 o retorno da quantidade de PAs envolvidas na demanda, agora vam+os aguardar a conclusão da analise de Engenharia._x000a__x000a_Edison Nei Siqueira added a comment - 26/Jan/16 08:13_x000a_Demanda em analise junto a engenharia com previsão de entrega da analise para o dia 29/01/2016._x000a__x000a_Edison Nei Siqueira added a comment - 21/Jan/16 10:18_x000a_Demanda na fila de Engenharia para analise._x000a__x000a_Edison Nei Siqueira added a comment - 01/Dez/15 11:34_x000a_Fabrício, por gentileza verificar se a demanda seguirá, visto que a mesma requer investimento._x000a__x000a_Edison Nei Siqueira added a comment - 03/Nov/15 12:11_x000a_Aguardando aprovação interna de investimentos para solicitar a abertura de contratação dos links junto a OI._x000a__x000a_Edison Nei Siqueira added a comment - 20/Out/15 17:58_x000a_Aguardando aprovação interna de investimentos para solicitar a abertura de contratação dos links junto a OI._x000a__x000a_Edison Nei Siqueira added a comment - 05/Out/15 08:39_x000a_Aguardando aprovação interna de investimentos para solicitar a abertura de contratação dos links junto a OI._x000a__x000a_Edison Nei Siqueira added a comment - 22/Set/15 18:44_x000a_Aguardando aprovação interna de investimentos para solicitar a abertura de contratação dos links junto a OI."/>
    <s v="Engenharia - Telecom"/>
    <s v="Gutenberg Bastos"/>
    <d v="2016-03-18T00:00:00"/>
    <s v="Analise de Engenharia"/>
    <m/>
    <n v="1174"/>
  </r>
  <r>
    <s v="CTXMTZRP-43360"/>
    <s v="Integração do discador Aspect com a ferramenta Evalyze "/>
    <s v="Rio Comprido"/>
    <s v="Plano Recuperação"/>
    <x v="4"/>
    <s v="Ana Coelho"/>
    <s v="Ana Sosa"/>
    <x v="3"/>
    <s v="Fabrício Peixoto"/>
    <s v="Desenvolvimento"/>
    <d v="2015-08-03T18:09:00"/>
    <n v="291.24375000000146"/>
    <d v="2015-08-01T00:00:00"/>
    <s v="Não"/>
    <s v="TBD"/>
    <s v="TBD"/>
    <s v="TBD"/>
    <m/>
    <s v="_x000a_Edison Nei Siqueira added a comment - 10/Mai/16 18:24_x000a_Estamos realizando reuniões internas de TI analisando cada requisito da EF a Closer, para identificar a melhor solução a ser aplicada para operação._x000a__x000a_Edison Nei Siqueira added a comment - 03/Mai/16 10:58_x000a_Foi enviado para o cliente OI validar a possibilidade de utilizar o POP da OI para a entrega dos 25 E1s. Estamos aguardando engenharia Contax entregar o desenho definitivo com a nova topologia para avaliação e aprovação da OI, previsão de entrega do desenho prevista para hoje dia 03/05. _x000a__x000a_Em analise junto a equipe de aplicações o retorno de operações com as informações dos RF e RFNs que foram esclarecidos._x000a__x000a_Edison Nei Siqueira added a comment - 26/Abr/16 11:50_x000a_Reunião realizada junto ao fornecedor Aspect, estamos internalizando novamente a demanda em engenharia para novo estudo e desenho da solução._x000a__x000a_Edison Nei Siqueira added a comment - 20/Abr/16 08:18_x000a_A reunião junto a Aspect e CSE não ocorreu na data acordada, estamos aguardando retorno hoje sobre a evolução do dia de ontem, só podemos evoluir com relação a topologia após ocorrer essa reunião. _x000a_Reunião entre a equipe de aplicações NGR e Closer, foi identificado a necessidade de maior detalhamento de alguma RF e RFN descritos na EF, tal necessidade foi encaminhada para o solicitante da demanda e operações para esclarecimentos, ficamos aguardando esse retorno para informar as respectivas OGs._x000a__x000a_Edison Nei Siqueira added a comment - 12/Abr/16 17:44_x000a_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_x000a__x000a_Edison Nei Siqueira added a comment - 05/Abr/16 16:51_x000a_Reunião de kick off planejada para a próxima semana junto a Closer, áreas especialistas e operações.._x000a__x000a_Edison Nei Siqueira added a comment - 29/Mar/16 15:32_x000a_SC aprovada e pedido gerado para o fornecedor, o Oi deu previsão de instalação dos links E1s para 18/05. _x000a__x000a_Aguardando reunião de kick off junto as áreas especialistas e o fornecedor Closer._x000a__x000a_Demanda será inserida no pipe das áreas especialistas para que seja agendada a reunião de kick off._x000a_Edison Nei Siqueira added a comment - 08/Mar/16 17:33_x000a_Aprovada a EF pela OI em 29/02 _x000a_Aguardando retorno da OI para a disponibilização dos 25 links.Prazo: TBD _x000a__x000a_Em levantamento das informações para preparação do material de defesa no comitê de caixa. Foi solicitado apoio para o Fábio Koreeda e Milene, pois não conseguimos identificar o valor da licença mensal do Aspect - Prazo: TBD_x000a__x000a_[16/02] - Custos do desenvolvimento aguardando aprovação do Comitê de Caixa._x000a__x000a_[10/02] - - EF encaminhada para fornecedor e custos de desenvolvimento estão aguardando aprovação comitê caixa_x000a__x000a_Edison Nei Siqueira added a comment - 02/Fev/16 11:36_x000a_aguardando retorno do fornecedor com relação a analise da EF._x000a__x000a_Edison Nei Siqueira added a comment - 26/Jan/16 11:52_x000a_EF anexada ao chamado de projeto, estamos aguardando o posicionamento com relação a plataforma a ser utilizada e a solicitação dos E1s junto a Oi._x000a__x000a_Edison Nei Siqueira added a comment - 21/Jan/16 13:0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18/Dez/15 11:5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01/Dez/15 14:44_x000a_Previsão de receber até o dia de amanhã 02/12 o desenho da solução por parte de ENG com a solução proposta para a implementação do discador._x000a__x000a_Edison Nei Siqueira added a comment - 24/Nov/15 17:02_x000a_Começamos a receber hoje as EFs com ajustes solicitados pela equipe de App, assim que for concluída a Análise estaremos dividindo com os envolvidos._x000a_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_x000a__x000a_Edison Nei Siqueira added a comment - 27/Out/15 18:09 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 _x000a__x000a_Edison Nei Siqueira added a comment - 20/Out/15 19:24_x000a_Aguardando retorno da área de negócios com relação ao levantamos de insumos para prover a aprovação da demanda no comitê de gastos._x000a__x000a_Edison Nei Siqueira added a comment - 06/Out/15 15:16_x000a_Aguardando retorno da área de negócios com relação ao levantamos de insumos para prover a aprovação da demanda no comitê de gastos_x000a__x000a_Edison Nei Siqueira added a comment - 09/Set/15 15:10 _x000a_Recebido e encaminhado para Análise de aplicações NGR, aguardando retorno da priorização. _x000a_+P22"/>
    <s v="Negócios"/>
    <s v="Livia Henriques"/>
    <s v="TBD"/>
    <s v="Análise"/>
    <s v="TBD"/>
    <n v="250"/>
  </r>
  <r>
    <s v="CTXMTZRP-43574"/>
    <s v="1- Plano de Recuperação - Projeto Rentabilização BO Anatel Automações (RTIs) - Direcionamento Automático para Área Sem SLOT_x000a_"/>
    <m/>
    <s v="Plano Recuperação"/>
    <x v="4"/>
    <s v="Ana Coelho"/>
    <s v="Ana Sosa"/>
    <x v="2"/>
    <s v="Livia Rodrigues"/>
    <s v="RTI"/>
    <d v="2015-08-11T17:53:00"/>
    <n v="283.2548611111124"/>
    <d v="2015-08-01T00:00:00"/>
    <s v="Não"/>
    <s v="TBD"/>
    <s v="TBD"/>
    <s v="TBD"/>
    <m/>
    <s v="[16/05] - Iniciado o desenvolvimento da solução. _x000a_[10/05] - Aguardando desdenvolvimento_x000a_[02/05] - EF entregue. Analise até 04/05. _x000a_[25/04] - Mesmo status_x000a_[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_x000a_[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 [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_x000a_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22/01 – Pendente revisão da EF que foi entregue._x000a_18/01 - Em análise de EF. Até 26/01 para retorno OG/ pendências._x000a_Edison Nei Siqueira added a comment - 18/Dez/15 12:03_x000a_EF em analise pela área de desenvolvimento, aguardando retorno da operação.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31_x000a_Entrega das EFs atualizadas pela area de PMO Negócios prevista para o dia 19/11._x000a__x000a_dison Nei Siqueira added a comment - 03/Nov/15 14:49_x000a_Foi solicitada a revalidação das EFs, levando em consideração que não teremos mais o JIRA e nem identificamos a validação da rotina de carga do mailing e afins._x000a__x000a_Edison Nei Siqueira added a comment - 06/Out/15 15:18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s v="Aplicações"/>
    <s v="Bruno"/>
    <d v="2016-05-04T00:00:00"/>
    <s v="Em Desenvolvimento"/>
    <s v="TDB"/>
    <m/>
  </r>
  <r>
    <s v="CTXMTZRP-43575"/>
    <s v="2- Plano de Recuperação - Projeto Rentabilização BO Anatel Automações (RTIs) - Direcionamento Automático para Área Potes Não Agendáveis "/>
    <m/>
    <s v="Plano Recuperação"/>
    <x v="4"/>
    <s v="Ana Coelho"/>
    <s v="Ana Sosa"/>
    <x v="2"/>
    <s v="Livia Rodrigues"/>
    <s v="RTI"/>
    <d v="2015-08-11T17:55:00"/>
    <n v="283.25347222221899"/>
    <d v="2015-08-01T00:00:00"/>
    <s v="Não"/>
    <s v="TBD"/>
    <s v="TBD"/>
    <s v="TBD"/>
    <m/>
    <s v="[16/05] - Iniciado o desenvolvimento da solução. _x000a_[09/05] - Aguardando inicio do desenvolvimento. _x000a_[02/05] - EF entregue. Analise até 04/05. _x000a_[25/04] - Mesmo status_x000a_[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_x000a_ [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 Pendente revisão da EF que foi entregue._x000a_18/01 - Aguarda EF_x000a_Edison Nei Siqueira added a comment - 18/Dez/15 12:10_x000a_EF em analise pela área de desenvolvimento, aguardando retorno da operação. 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48_x000a_Entrega das EFs atualizadas pela area de PMO Negócios prevista para o dia 19/11. _x000a__x000a_Edison Nei Siqueira added a comment - 03/Nov/15 14:50_x000a_Foi solicitada a revalidação das EFs, levando em consideração que não teremos mais o JIRA e nem identificamos a validação da rotina de carga do mailing e afins. _x000a__x000a_Edison Nei Siqueira added a comment - 20/Out/15 19:25_x000a_Aguardando retorno da área de negócios com relação ao levantamos de insumos para prover a aprovação da demanda no comitê de gastos. _x000a__x000a_Edison Nei Siqueira added a comment - 06/Out/15 15:22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s v="Aplicações"/>
    <s v="Bruno"/>
    <d v="2016-05-04T00:00:00"/>
    <s v="Análise"/>
    <s v="TDB"/>
    <m/>
  </r>
  <r>
    <s v="CTXMTZRP-43579"/>
    <s v="Plano de Recuperação - Projeto Rentabilização BO Anatel Automações (RTIs) - Não recebimento de gravações de atendimento."/>
    <m/>
    <s v="Plano Recuperação"/>
    <x v="4"/>
    <s v="Ana Coelho"/>
    <s v="Ana Sosa"/>
    <x v="2"/>
    <s v="Livia Rodrigues"/>
    <s v="RTI"/>
    <d v="2015-08-11T18:00:00"/>
    <n v="283.25"/>
    <d v="2015-08-01T00:00:00"/>
    <s v="Não"/>
    <s v="TBD"/>
    <s v="TBD"/>
    <s v="TBD"/>
    <m/>
    <s v="[16/05] - Por solicitação de Negócios, o piloto será adiado devido à não entrega da senha do usuário CHR. Nova data a ser confirmada. _x000a_[09/05] - Aguardando inicio dos testes integrados em 11/05. _x000a_[02/05] - Ambiente não foi entregue no dia 29/04, conforme previsão. Aguardando nova data. Pendente usuário CHR previsto para 28/04; e alinhamento com a Closer para testes integrados._x000a_[25/04] - Infra entregue, porém as liberações de redes não estão ok e precisamos aacionar a Closer para que a liberação seja realizada por eles. _x000a_[18/04] - Em validação de ambiente. PONTO DE ATENÇÃO: Aguardando liberação de acesso ao Banco de Dados por PMO TI. Previsão de entrega das aplicações configuradas até 29/04/16. _x000a_[12/4] - Infra entregue dia 11/4. Aguardando teste de liberação de rede. _x000a_[5/4] - A entrega da infra estava programada para dia 4/4, porém tivemos alguns problemas em produção e será reprogramado a entrega. Novo prazo de entrega da infra 11/4. _x000a_[29/03] - O ambiente de infra será entregue dia 4/4. Pendências: Equipe de desnvolvimento solicitou o usuário CHR especial pra executar macros. Prazo TDB /Necessário Planejamento para UAT, Piloto e Rollout. Prazo TDB_x000a_[22/03] Aguardando data para a entrega do ambiente de infra. Previsto 24/3_x000a_[14/03] - Nesta semana a solução de engenharia foi aprovada e vamos direcionar para a fila de CSE para a configuração do ambiente e replanejamento da data de UAT._x000a_[08/03] - Solução em desenvolvimento. Ponto de Atenção: está pendente a definição de fluxo para registro de transação no STC.                                                                                      01/03/16: Mesmo status_x000a_22/02/16: Em desenvolvimento, pendente criação do ambiente de testes_x000a_15/02/16 - OG aprovada em 10/02/16._x000a_15/02 - Início do piloto em 10/03_x000a_11/02 - Desenvolvimento até 04/03_x000a_10/02 - Mesmo status_x000a_05/02 - Enviada OG em 03/02. Aguardando aprovação de negócios_x000a_02/02 - Mesmo status_x000a_27/01: EF recebida. Em análise por TI para OG até 03/02._x000a_26/01 – Pendente revisão da EF que foi entregue._x000a_18/01 - Aguarda EF_x000a_Edison Nei Siqueira added a comment - 18/Dez/15 12:13_x000a_Aguardando a elaboração da EF por parte de operações para analise da equipe de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ntrega das EFs atualizadas pela area de PMO Negócios prevista para o dia 19/11. _x000a__x000a_Edison Nei Siqueira added a comment - 03/Nov/15 14:54_x000a_Foi solicitada a revalidação das EFs, levando em consideração que não teremos mais o JIRA e nem identificamos a validação da rotina de carga do mailing e afins._x000a__x000a_Edison Nei Siqueira added a comment - 20/Out/15 19:28_x000a_Recebido e encaminhado para Análise de aplicações NGR, aguardando retorno da priorização._x000a__x000a_Edison Nei Siqueira added a comment - 09/Set/15 15:15_x000a_Recebido e encaminhado para Análise de aplicações NGR, aguardando retorno da priorização."/>
    <s v="Solicitante"/>
    <s v="Livia Henriques"/>
    <d v="2016-05-09T00:00:00"/>
    <s v="Em Desenvolvimento"/>
    <m/>
    <m/>
  </r>
  <r>
    <s v="CTXMTZRP-43581"/>
    <s v="Plano de Recuperação - Projeto Rentabilização BO Anatel Automações (RTIs) - Serviço proteção ao crédito"/>
    <m/>
    <s v="Plano Recuperação"/>
    <x v="4"/>
    <s v="Ana Coelho"/>
    <s v="Ana Sosa"/>
    <x v="2"/>
    <s v="Livia Rodrigues"/>
    <s v="RTI"/>
    <d v="2015-08-11T18:03:00"/>
    <n v="283.24791666666715"/>
    <d v="2015-08-01T00:00:00"/>
    <s v="Não"/>
    <s v="TBD"/>
    <s v="TBD"/>
    <s v="TBD"/>
    <m/>
    <s v="[16/05] - Aguardando inicio dos desenvolvimentos._x000a_ [10/05] - Aguardando inicio dos desenvolvimentos. _x000a_[03/05] - Mesmo status_x000a_[25/04] - Solicitado alteração na EF com as novas telas do site do SERASA.  Aguardando documento até 27/04/16._x000a_[18/04] - Procedimentos da EF estão desatualizados. Aguardando nova versão para realizar testes de acesso e conectividade. _x000a_[11/04] - Usuário do Serasa sem acesso as telas necessárias. Aguardando para dar continuidade nos testes de conectividade._x000a_ [04/04] Aguardando usuários SPC Serasa para iniciar a análise da EF. _x000a_[29/03] - Pendente usuário do SPC e Serasa para validar a EF. Após acesso, será analisado a EF. Prazo de 5 dias úteis._x000a_[22/03] Aguardando devolução da EF previsto para dia 21/03._x000a_[16/03] - Recebimento da EF dia 14/03. Prazo para devolução 21/03._x000a_08/03/16: Mesmo status  _x000a_ 01/03/16: Mesmo status_x000a_22/02/16: Pendente envio de EF_x000a_15/02 - Análise de EF_x000a_10/02 - Mesmo status_x000a_02/02 - Mesmo status_x000a_27/01: Aguarda o envio da EF._x000a_26/01 – Pendente revisão da EF que foi entregue._x000a_18/01 - Aguarda EF_x000a_Edison Nei Siqueira added a comment - 18/Dez/15 12:31_x000a_EF recebida em 08/12, foi concluída a analise pela equipe de aplicações e foi identificada a necessidade de ajustes, estamos aguardando o retorno da operação para prosseguir no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dison Nei Siqueira added a comment - 17/Nov/15 17:06_x000a_Entrega das EFs atualizadas pela area de PMO Negócios prevista para o dia 19/11._x000a__x000a_Edison Nei Siqueira added a comment - 03/Nov/15 15:01_x000a_Foi solicitada a revalidação das EFs, levando em consideração que não teremos mais o JIRA e nem identificamos a validação da rotina de carga do mailing e afins. _x000a__x000a_Edison Nei Siqueira added a comment - 20/Out/15 19:32_x000a_Aguardando retorno da área de negócios com relação ao levantamos de insumos para prover a aprovação da demanda no comitê de gastos._x000a__x000a_Edison Nei Siqueira added a comment - 06/Out/15 15:29_x000a_Aguardando retorno da área de negócios com relação ao levantamos de insumos para prover a aprovação da demanda no comitê de gastos._x000a__x000a_Edison Nei Siqueira added a comment - 09/Set/15 15:15_x000a_Recebido e encaminhado para Análise de aplicações NGR, aguardando retorno da priorização."/>
    <s v="Solicitante"/>
    <s v="Fernanda Nazário"/>
    <s v="TDB"/>
    <s v="Análise"/>
    <m/>
    <m/>
  </r>
  <r>
    <s v="CTXRECSA-403870"/>
    <s v="Disponibilizar Gravação NICE na Operação SOC GFE PE/RJ e SOC OffLines"/>
    <s v="Engenho/Mauá/Sto Amaro"/>
    <s v="Plano Recuperação"/>
    <x v="4"/>
    <s v="Ana Coelho"/>
    <s v="Ana Sosa"/>
    <x v="3"/>
    <s v="José Pedro"/>
    <s v="Upgrade de Tecnologia"/>
    <d v="2015-07-14T18:32:00"/>
    <n v="311.2277777777781"/>
    <d v="2015-08-01T00:00:00"/>
    <s v="Não"/>
    <s v="TBD"/>
    <s v="TBD"/>
    <s v="TBD"/>
    <m/>
    <s v="Edison Nei Siqueira added a comment - 03/Mai/16 11:05_x000a_Continuamos com a necessidade de validação de todos os ramais por parte de operações e CSE. _x000a__x000a_Edison Nei Siqueira added a comment - 26/Abr/16 20:43_x000a_Continuamos com a necessidade de validação de todos os ramais por parte de operações e CSE._x000a__x000a_Edison Nei Siqueira added a comment - 20/Abr/16 08:21_x000a_Realizado ajustes em alguns ramais junto a CSE, porém ainda existem inconsistências que estão sendo validadas pela operação, Elaine e Luiz Washington._x000a__x000a_Edison Nei Siqueira added a comment - 05/Abr/16 16:54_x000a_Pedido para aquisição dos HDs gerado e aguardando o prazo de entrega do fornecedor DELL._x000a__x000a_29/03 - Mesmo status_x000a_Edison Nei Siqueira added a comment - 08/Mar/16 17:36_x000a_SC aprovada aguardando a geração do pedido por parte de suprimentos._x000a__x000a_[29/02] -SCs aprovadas, aguardando  criação pedido._x000a__x000a_16/02] - SCs aprovadas, aguardando  criação pedido._x000a__x000a_[10/02] -  Aguardando Aprovação SC e criação pedidos: (Resp: Koreeda) _x000a_SC 38083_x000a_SC 38084_x000a__x000a_Edison Nei Siqueira added a comment - 26/Jan/16 12:06_x000a_SC para aquisição dos HDs lançada e aguardando aprovação._x000a__x000a_Edison Nei Siqueira added a comment - 21/Jan/16 13:03_x000a_Aguardando lançamento de SC para aquisição de discos e tratar GAPs da regional RJ._x000a__x000a_Edison Nei Siqueira added a comment - 18/Dez/15 12:39_x000a_Continuamos tratando GAPs pontuais com relação a alguns acessos e problemas de gravações em alguns ramais._x000a__x000a_Edison Nei Siqueira added a comment - 17/Nov/15 17:09_x000a_Continuamos tratando GAPs pontuais com relação a alguns acessos e problemas de gravações em alguns ramais._x000a__x000a_Edison Nei Siqueira added a comment - 20/Out/15 19:42_x000a_Em andamento a validação da instalação do NICE Perfomance nas posições de gestão da operação._x000a__x000a_Edison Nei Siqueira added a comment - 13/Out/15 14:57_x000a_Configuração de infraestrutura concluída e ambas as regionais sendo gravadas. _x000a_Regional CE - 100% configurada. Iniciamos a gravação das PAs da operação SOC PE no dia 02/10. _x000a_Regional RJ - 100% configurada, em andamento a instalação do NICE Perfomance nas posições de gestão da operação._x000a__x000a_Edison Nei Siqueira added a comment - 06/Out/15 16:16_x000a_Configuração de infraestrutura: _x000a_Regional CE - 100% configurada. Iniciamos a gravação das PAs da operação SOC PE no dia 02/10. _x000a_Regional RJ - 40% configurada, com dificuldade com relação ao Switch extreme, realizamos a instalação física, estamos em processo de configuração lógica._x000a__x000a_Edison Nei Siqueira added a comment - 29/Set/15 16:12_x000a_Configuração de infraestrutura: _x000a_Regional CE - 85% configurada. _x000a_Regional RJ - 40% configurada, com dificuldade com relação ao Switch extreme."/>
    <s v="Negócios"/>
    <s v="Elaine Fortunato"/>
    <s v="TBD"/>
    <s v="Roll Out"/>
    <m/>
    <n v="702"/>
  </r>
  <r>
    <s v="CTXRJOMA-72849"/>
    <s v="Evalyze Lista de Espera "/>
    <s v="Mauá"/>
    <s v="Operações que não estão no Plano de Recuperação"/>
    <x v="4"/>
    <s v="Ana Coelho"/>
    <s v="Ana Sosa"/>
    <x v="3"/>
    <s v="Livia Rodrigues"/>
    <s v="Desenvolvimento"/>
    <d v="2015-08-01T00:00:00"/>
    <n v="294"/>
    <d v="2015-09-25T00:00:00"/>
    <s v="Não"/>
    <s v="TBD"/>
    <s v="TBD"/>
    <s v="TBD"/>
    <m/>
    <s v="Edison Nei Siqueira added a comment - 10/Mai/16 18:36_x000a_Aguardando a aprovação da demanda no comitê de caixa._x000a__x000a_Continuamos aguardando ._x000a_Edison Nei Siqueira added a comment - 03/Mai/16 11:06_x000a_Aguardando aprovação no comitê de caixa, para que o fornecedor prossiga com a homologação junto a operação._x000a__x000a_Edison Nei Siqueira added a comment - 26/Abr/16 20:38_x000a_Aguardando aprovação no comitê de caixa, para que o fornecedor prossiga com a homologação junto a operação._x000a__x000a_Edison Nei Siqueira added a comment - 12/Abr/16 17:46_x000a_Aguardando verificação junto ao fornecedor Closer se teremos proposta comercial para o desenvolvimento ou se será diluído no pool de horas junto a Contax._x000a__x000a_29/03 - Mesmo status_x000a_Edison Nei Siqueira added a comment - 15/Mar/16 09:51_x000a_Aguardando posicionamento da área de negócios._x000a__x000a_[16/02] - Aguardando retorno Fornecedor. Closer._x000a__x000a_02/02 - Mesmo status_x000a_Edison Nei Siqueira added a comment - 26/Jan/16 12:09_x000a_Aguardando retorno do fornecedor Closer com relação a analise da EF._x000a__x000a_Edison Nei Siqueira added a comment - 18/Dez/15 12:55_x000a_Aguardando retorno do fornecedor Closer com relação a analise da EF. _x000a__x000a_Edison Nei Siqueira added a comment - 17/Nov/15 17:12_x000a_Recebida a EF e encaminhada para o fornecedor Close, aguardando posicionamento da área de GSEG para seguir com a abertura dos chamados de liberação e inserção da caixa de e-mail do fornecedor na mailbox da operação._x000a__x000a_Edison Nei Siqueira added a comment - 10/Nov/15 17:26_x000a_Conforme audio realizada junto a GSEG e o Fornecedor Close, ficamos aguardando a EF atualizada com as informações alinhadas na audio._x000a__x000a_Edison Nei Siqueira added a comment - 03/Nov/15 15:25_x000a_Aguardando o de acordo da gerente da operação para abertura de chamados de liberações._x000a__x000a_Edison Nei Siqueira added a comment - 20/Out/15 19:49_x000a_Realizado reunião com o fornecedor Close para entendimento e definição de modos operantes da operação._x000a__x000a_Edison Nei Siqueira added a comment - 06/Out/15 16:27_x000a_Continuamos aguardando um posicionamento da equipe de melhoria continua e projetos da operação para seguir com a demanda_x000a__x000a_Edison Nei Siqueira added a comment - 29/Set/15 16:05_x000a_Continuamos aguardando um posicionamento da equipe de melhoria continua e projetos da operação para seguir com a demanda_x000a__x000a_Edison Nei Siqueira added a comment - 16/Set/15 11:17_x000a_Continuamos aguardando um posicionamento da equipe de melhoria continua e projetos da operação para seguir com a demanda."/>
    <s v="Fornecedor"/>
    <s v="Daniel Closer"/>
    <s v="TBD"/>
    <s v="Na Fila"/>
    <m/>
    <n v="42"/>
  </r>
  <r>
    <s v="CTXRJOMA-73573"/>
    <s v="Front End do OFF Line - Melhoria TLV OFF Line"/>
    <s v="Mauá"/>
    <s v="Plano Recuperação"/>
    <x v="4"/>
    <s v="Ana Coelho"/>
    <s v="Ana Sosa"/>
    <x v="3"/>
    <m/>
    <s v="Desenvolvimento"/>
    <d v="2015-08-01T00:00:00"/>
    <n v="294"/>
    <d v="2015-08-01T00:00:00"/>
    <s v="Não"/>
    <s v="TBD"/>
    <s v="TBD"/>
    <s v="TBD"/>
    <m/>
    <s v="Edison Nei Siqueira added a comment - 03/Mai/16 11:25_x000a_Continuamos aguardando a renovação do contrato junto ao fornecedor TQS._x000a__x000a_Edison Nei Siqueira added a comment - 26/Abr/16 20:36_x000a_Demanda aguardando renovação do contrato junto ao fornecedor TQS._x000a__x000a_Edison Nei Siqueira added a comment - 20/Abr/16 08:23_x000a_Demanda aguardando a aprovação no comitê de caixa, pois foi solicitado ajustes na quantidade de licenças para essa demanda._x000a__x000a_Edison Nei Siqueira added a comment - 05/Abr/16 16:56_x000a_SC aprovada, aguardando geração de pedido para o fornecedor._x000a__x000a_29/03 - Mesmo status_x000a_[16/02] - Aguardando aprovação SCs_x000a__x000a_[10/02] - Aguardando Aprovação SC e criação pedidos: Resp: ( Marcos Barbosa e Koreeda)_x000a_SC 37750_x000a_SC 37751_x000a__x000a_Edison Nei Siqueira added a comment - 26/Jan/16 12:10_x000a_Aguardando aprovação da SC e geração do pedido para acionar o fornecedor._x000a__x000a_Edison Nei Siqueira added a comment - 21/Jan/16 14:27_x000a_Aguardando aprovação da SC e geração do pedido para acionar o fornecedor._x000a__x000a_Edison Nei Siqueira added a comment - 03/Nov/15 15:26_x000a_Aguardando posicionamento com relação ao comitê de gastos para prosseguir com o lançamento da SC._x000a__x000a_Edison Nei Siqueira added a comment - 20/Out/15 19:51_x000a_Aguardando posicionamento com relação ao comitê de gastos para prosseguir com o lançamento da SC._x000a__x000a_Edison Nei Siqueira added a comment - 06/Out/15 16:29_x000a_Aguardando posicionamento com relação ao comitê de gastos para prosseguir com o lançamento da SC._x000a__x000a_Edison Nei Siqueira added a comment - 29/Set/15 16:04_x000a_aguardando posicionamento com relação ao comitê de gastos para prosseguir com o lançamento da SC._x000a__x000a_Edison Nei Siqueira added a comment - 16/Set/15 11:19_x000a_Aguardando aprovação da diretoria para providenciar o lançamento da SC para o fornecedor."/>
    <m/>
    <m/>
    <m/>
    <s v="Na Fila"/>
    <m/>
    <m/>
  </r>
  <r>
    <s v="CTXSALAS-155279"/>
    <s v="Implantar 10 PV´s atendendo Televenas Outbound Empresarial em home office, utilizando o serviço pacote Smart Office fornecido pela OI."/>
    <s v="Boa Viagem/Niterói"/>
    <s v="Operações que não estão no Plano de Recuperação"/>
    <x v="4"/>
    <s v="Ana Coelho"/>
    <s v="Ana Sosa"/>
    <x v="3"/>
    <s v="Fábio Prazeres"/>
    <s v="Implantação de PA (crescimento, migração ou nova operação)"/>
    <d v="2015-07-02T16:18:00"/>
    <n v="323.32083333333139"/>
    <d v="2015-09-25T00:00:00"/>
    <s v="Não"/>
    <s v="TBD"/>
    <s v="TBD"/>
    <s v="TBD"/>
    <m/>
    <s v="Edison Nei Siqueira added a comment - 03/Mai/16 11:34_x000a_Projeto colocado em hold conforme orientação do solicitante, vale ressaltar que o projeto já vai para um ano e ainda não tem o seu escopo definitivo._x000a__x000a_Edison Nei Siqueira added a comment - 26/Abr/16 20:34_x000a_Estamos aguardando ajustes solicitados na EF para que a demanda seja inserida na fila de engenharia._x000a__x000a_29/03 - Mesmo status_x000a_Edison Nei Siqueira added a comment - 08/Mar/16 17:45_x000a_Estamos aguardando ajustes solicitados na EF para que a demanda seja inserida na fila de engenharia._x000a__x000a_[16/02] - Aguardando retorno Cliente Oi._x000a__x000a_02/02 - Mesmo status_x000a_Edison Nei Siqueira added a comment - 26/Jan/16 12:12_x000a_Aguardando posicionamento da OI com relação a solução que serrá seguida após o alinhamento com a Eleventhec._x000a__x000a_Edison Nei Siqueira added a comment - 18/Dez/15 13:02_x000a_Aguardando posicionamento da OI com relação a solução que serrá seguida após o alinhamento com a Eleventhec._x000a_[16/02] Aguardando Retorno Oi._x000a__x000a_Edison Nei Siqueira added a comment - 01/Dez/15 11:09_x000a_Realizada reunião de alinhamento junto a área de projetos das operações de SAC e áreas especialistas, ficou alinhado que precisamos do retorno da OI com a definição de qual cenário vai ser seguido para a solução Smart Office._x000a__x000a_Edison Nei Siqueira added a comment - 24/Nov/15 16:28_x000a_Continuamos aguardando que seja agendada a reunião junto ao cliente para alinhamento com a equipe de ENG._x000a__x000a_Edison Nei Siqueira added a comment - 17/Nov/15 14:53_x000a_Continuamos aguardando que seja agendada a reunião junto ao cliente para alinhamento com a equipe de ENG._x000a__x000a_Edison Nei Siqueira added a comment - 10/Nov/15 16:47_x000a_Continuamos aguardando que seja agendada a reunião junto ao cliente para alinhamento com a equipe de ENG._x000a__x000a_Edison Nei Siqueira added a comment - 03/Nov/15 11:28_x000a_Continuamos aguardando que seja agendada a reunião junto ao cliente para alinhamento com a equipe de ENG._x000a__x000a_Edison Nei Siqueira added a comment - 20/Out/15 16:43_x000a_Em estudo com ENG de TI: Implementação, Manutenção e Suporte de TI._x000a__x000a_Edison Nei Siqueira added a comment - 13/Out/15 14:39_x000a_Em estudo com ENG de TI: Implementação, Manutenção e Suporte de TI."/>
    <s v="Negócios"/>
    <s v="Fábio Prazeres"/>
    <s v="TBD"/>
    <s v="Análise"/>
    <m/>
    <n v="10"/>
  </r>
  <r>
    <s v="CTXSALPB-31209"/>
    <s v="Realizar implantação nas operações de Rentabilização do discador APC e Front End Front Fácil. "/>
    <s v="Boa Viagem "/>
    <s v="Operações que não estão no Plano de Recuperação"/>
    <x v="4"/>
    <s v="Ana Coelho"/>
    <s v="Ana Sosa"/>
    <x v="3"/>
    <s v="Alexandre Teixeira Pinho"/>
    <s v="Desenvolvimento"/>
    <d v="2015-04-28T10:41:00"/>
    <n v="388.55486111110804"/>
    <d v="2015-08-01T00:00:00"/>
    <s v="Não"/>
    <s v="TBD"/>
    <s v="TBD"/>
    <s v="TBD"/>
    <m/>
    <s v="Edison Nei Siqueira added a comment - 18/Mai/16 11:28_x000a_Iniciamos o piloto no dia 16/05 utilizando a solução do FF + Aspect, estamos com um daley com relação ao agendamento fidelizado x a plataforma Aspect, já foi aberto chamado junto ao fornecedor para analise, mesmo com essa situação a operação optou por iniciar o piloto com 40 PAs._x000a__x000a_Edison Nei Siqueira added a comment - 03/Mai/16 12:26_x000a_Homologada a versão versão 4.15009.205.1642 . O erro da janela de motivo de desligamento foi corrigido, porém o erro do número binado permaneceu. _x000a_Na segunda chamada de retorno de agendamento pessoal, o número binado que estava no Screenpop era o terminal da chamada anterior. Também, no momento de encerrar a chamada apareceu o erro de “Object reference no set to na instance of na object”: _x000a__x000a_Edison Nei Siqueira added a comment - 26/Abr/16 20:32_x000a_Em homologação junto a equipe de projetos, aplicações NGR e NID._x000a__x000a_29/03 - Mesmo status_x000a_Edison Nei Siqueira added a comment - 07/Mar/16 15:01_x000a_Aguardando retorno do teste dos 20 agendamentos para analise de CSE Discadores._x000a__x000a_[16/02] - Aguardando retorno cliente Oi._x000a__x000a_02/02 - Mesmo status_x000a_Edison Nei Siqueira added a comment - 26/Jan/16 13:29_x000a_Aguardando retorno com relação aos testes de agendamento solicitado pela equipe de discadores._x000a__x000a_Edison Nei Siqueira added a comment - 18/Dez/15 13:52_x000a_Continuamos em homologação , pois o agendamento fidelizado continua apresentando inconsistência. _x000a__x000a_Edison Nei Siqueira added a comment - 10/Nov/15 17:30_x000a_Em Análise a questão de agendamento x horário de verão._x000a__x000a_Edison Nei Siqueira added a comment - 03/Nov/15 15:28_x000a_Evoluímos, porém ainda precisamos da Análise com relação ao tratamento do horário de verão nos agendamentos. _x000a__x000a_Edison Nei Siqueira added a comment - 20/Out/15 19:54_x000a_Realizado audio hoje onde foi tratado o tom de ocupado após as chamadas para telefone fixo, amanhã será dado sequência no agendamento._x000a__x000a_Edison Nei Siqueira added a comment - 06/Out/15 17:00_x000a_Continuamos em homologação com relação a inconsistência no agendamento de contato no Aspect + FF, vamos retornar os testes essa semana ainda._x000a__x000a_Edison Nei Siqueira added a comment - 16/Set/15 11:22_x000a_Continuamos em homologação com relação a inconsistência no agendamento de contato no Aspect + FF."/>
    <s v="Operações"/>
    <s v="Alexandre Pinho"/>
    <s v="TBD"/>
    <s v="Piloto/Homologação"/>
    <m/>
    <n v="585"/>
  </r>
  <r>
    <s v="CTXBHZRI-82119"/>
    <s v="TLV Blended_Implantar na operação SAV (CRV) TLV da TQS com todas as funcionalidades do TLV 5.0 Ativo que está sendo implantando com as funcionalidades do Receptivo. "/>
    <s v="RJ - Site Niterói"/>
    <s v="Plano Recuperação"/>
    <x v="4"/>
    <s v="Ana Coelho"/>
    <s v="Ana Sosa"/>
    <x v="4"/>
    <s v="Marcel Garcia"/>
    <s v="Upgrade de Tecnologia"/>
    <d v="2015-01-26T17:39:00"/>
    <n v="480.26458333332994"/>
    <d v="2015-08-01T00:00:00"/>
    <s v="Não "/>
    <s v="TBD"/>
    <s v="TBD"/>
    <s v="TBD"/>
    <m/>
    <s v="17/05 - Desde: 04/03/2016 - Aguardando aprovação do comitê de Caixa para envio do Pedido de compra. Sendo verificado  renovação de contrato com a TQS._x000a__x000a_10/05 - Sendo incluso no fluxo de OG perante a última EF anexada no dia 09/05/2016 pelo solicitante Rodrigo Ribeiro. Em análise com TI / Fornecedor._x000a__x000a_03/05 - Conforme solicitante,  a EF do TLV Blended será revista e anexada até o dia 06/05. _x000a__x000a_25/04 - Solicitado a confirmação  da  importância/prioridade deste projeto e respectivo anexo no tprocess da documentação em falta: EF Revalidada e Aprovação de Comitê. Caso não tenhamos a EF/informação disponibilizada em 15 dias esse chamado será cancelado/fechado. _x000a__x000a_19/04 - Mesmo status_x000a__x000a_12/04 - Comitê, conforme interação com a analista de Projetos Contax - Sem previsão._x000a__x000a_04/04 - Comitê_x000a__x000a_28/03 - Comitê_x000a__x000a_15/03- Comitê_x000a__x000a_23/02 - Mesmo status em relação a TI pela análise de Engenharia, porém demanda está no momento em Comitê._x000a__x000a_15/02 - Solicitante Rodrigo não conseguiu participar da Conferência, aguardando o retorno da  operação perante esta definição desde o dia 21/01._x000a__x000a_10/02 - Mesmo Status_x000a__x000a_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s v="Comitê"/>
    <s v="Rodrigo Ribeiro"/>
    <d v="2016-05-06T00:00:00"/>
    <s v="Na Fila"/>
    <d v="2016-05-03T00:00:00"/>
    <n v="185"/>
  </r>
  <r>
    <s v="CTXNITSP-160928"/>
    <s v="Projeto Implantar Discador Aspect + TLV 5.0 no CRV Oi TV_20 pas_Modo Preview"/>
    <s v="RJ - Site Niterói"/>
    <s v="Plano Recuperação"/>
    <x v="4"/>
    <s v="Ana Coelho"/>
    <s v="Ana Sosa"/>
    <x v="4"/>
    <s v="Marcel Garcia"/>
    <s v="Desenvolvimento"/>
    <d v="2015-06-09T10:48:00"/>
    <n v="346.55000000000291"/>
    <d v="2015-08-01T00:00:00"/>
    <s v="Não "/>
    <s v="TBD"/>
    <s v="TBD"/>
    <s v="TBD"/>
    <m/>
    <s v="17/05 - Considerando a data de 27/06 para entrega do TLV Preview pela TQS._x000a__x000a_10/05 - Sendo analisado o escopo junto ao fornecedor pois a demanda já foi paga pelo cliente._x000a__x000a_03/05 - Sendo analisado a alteração  de escopo. Retirada do Preditivo, prevalecendo somente o Preview, sendo que neste caso o Tlv atende._x000a__x000a_25/04 - Solicitado a confirmação  da  importância/prioridade deste projeto e respectivo anexo no tprocess da documentação em falta: EF Revalidada e Aprovação de Comitê. Caso não tenhamos a EF/informação disponibilizada em 15 dias esse chamado será cancelado/fechado_x000a__x000a_19/04 - Mesmo Status._x000a__x000a_12/04 - Mesmo Status, aguardando definição do analista de projetos contax._x000a__x000a_04/04 - Aguardando a validação do escopo pelos stakeholders_x000a__x000a_28/03 - Foi solicitado ajuda a negócios para que o cliente defina o escopo desta demanda._x000a__x000a_21/03 - Foi solicitado ajuda a negócios para que o cliente defina o escopo desta demanda._x000a__x000a_15/03 - Mesmo Status_x000a__x000a_07/03 - Aguardando retorno da operação referente a alteração de Escopo_x000a__x000a_01/03 - Em discussão de alteração de escopo_x000a__x000a_23/02 - Mesmo status em relação a TI pela análise de Engenharia, porém em paralelo está sendo realizada a  interação com o Fornecedor referente a regras de negocio operacionais._x000a__x000a_15/02 - Solicitante Rodrigo não conseguiu participar da Conferência, aguardando o retorno da  operação perante esta definição desde o dia 21/01._x000a__x000a_10/02 - Mesmo Status_x000a__x000a_02/02 - A solução encontrada é migrar as 02 operações para o Polo Pernambuco onde poderemos efetuar tanto o crescimento do Velox e Fixo, além da implantação da OI TV, foram informadas as premissas para a operação, aguardando o retorno._x000a__x000a_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08/12 - Em Comitê_x000a__x000a_24/11 - Em Comitê_x000a__x000a_17/11 - Interação com o fornecedor referente as regras operacionais,_x000a__x000a_30/10 - Em processo de handover com analista de Projetos. Em paralelo interação com o fornecedor referente a proposta enviada._x000a_20/10 - Validação de algumas inf na operação em relação a proposta anterior que foram inclusos o Oi Tv._x000a_13/10 - Aguardando retorno do Fornecedor perante as documentações de regra de negócio operacional._x000a_06/10 - Em análise da árvore enviada pelo cliente._x000a_29/09 - Aguardando a árvore do Oi Tv_x000a_------------------------------------------------_x000a_22/09 - Já foi diagnosticado pelo fornecedor que temos uma demanda que tem o Oi Tv, com o recebendo do mailing e exibindo na tela os dados do contato, sem integração com o Sinn._x000a_Aguardando a operação enviar um arquivo do produto OiTV nesse layout, podendo ser um arquivo teste e também a árvore de marcação para esse produto, pois nesse projeto as marcações são liberadas conforme a campanha que se está trabalhando_x000a_16/09 - Verificando questões de quantidade de licença do Discador."/>
    <s v="Operação / CC Brasil"/>
    <s v="Rodrigo Ribeiro / José Pedro"/>
    <s v="TBD"/>
    <s v="Desenvolvimento/Execução"/>
    <m/>
    <n v="20"/>
  </r>
  <r>
    <s v="CTXRECSA-358319"/>
    <s v="Projetos CO - TLV e Discador Triagem Velox / Suporte Avançado velox  "/>
    <s v="PE - Site Santo Amaro"/>
    <s v="Plano Recuperação"/>
    <x v="4"/>
    <s v="Ana Coelho"/>
    <s v="Ana Sosa"/>
    <x v="4"/>
    <s v="Marcel Garcia"/>
    <s v="Desenvolvimento"/>
    <d v="2015-02-02T15:00:00"/>
    <n v="473.375"/>
    <d v="2015-08-01T00:00:00"/>
    <s v="Não"/>
    <s v="TBD"/>
    <s v="TBD"/>
    <s v="TBD"/>
    <m/>
    <s v="17/05 - Previsão de Piloto (10 pa´s) hoje na parte da tarde._x000a_Verificando algumas questões para sermos mais assertivos como:_x000a_Validação Riscos Processo de Tramitação, o arquivo ser disponibilizado _x000a_para tratamento em paralelo da operação não impactando o sla,_x000a_UF segregada pela Oi, processo na operação da tabela verdade,_x000a_Validação Riscos Regra Tramitação,Análise arquivo retorno _x000a__x000a_10/05 - Pré-Piloto em andamento com 2 pa´s_x000a_Piloto previsto com 10 pa´s para amanhã 11/05_x000a_Eventos sendo analisados no Pré- Piloto por Telecom e Oi:_x000a_Lig Muda_x000a_Numero não reconhecido._x000a__x000a_03/05 - Pré-Piloto iniciou ontem com 2 pa´s, dentro do processo manual de expurgo. Em paralelo está sendo verificado com Engenharia e CSE as questões da liberação para a Automatização do mesmo._x000a__x000a_25/04 - Alinhamentos sendo realizados internamente e com o cliente._x000a_Possibilidade de Retorno do Piloto 02/05._x000a_Processos sendo verificados abaixo:_x000a__x000a_1 - Cadastro de Operadores_x000a_2 - Alteração DAC na operação  10 PAs_x000a_3 - Atividades NID (48h):_x000a_    cadastramento campanhas_x000a_    configurações_x000a_    limpeza base, etc_x000a_4 - Validação configuração Discador_x000a_5 - Acesso Bco de Dados MIS (Automatização)_x000a_6 - Automatização processo expurgo (24h)_x000a_7 - Teste 2 PAs antes do Piloto_x000a_8 - Verificação senhas usuários STC com OI_x000a_9 - Alinhar junto a OI a UF que vamos Pilotar_x000a_10 - Criar rotina dos AGs abertos x tratamento (analisar possíveis  AGs vencidos e sem tratamento por falta de contato)_x000a_11 - Criar rotina para extração dos dados ( AG+ Data/hora abertura+ Data/hora View)_x000a__x000a_19/04 - Equipe de TI está analisando a solução referente ao Discador que se encaixa melhor nas regras de negocios operacionais da demanda_x000a__x000a__x000a_12/04 - Dentro do tópico crítico que é o tempo de carga de mailing,  foi analisado pelo NID quanto a possibilidade de diminuirmos esse tempo de carga, contudo de acordo com o laudo da AVAYA não é recomendado a carga menor que 30min para operação com mailing pequeno._x000a_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_x000a_*Sendo estudado esta possibilidade pela operação. Hoje faremos uma conferência com o cliente para detalhar esta solução. O piloto no momento está parado._x000a__x000a_04/04 - Stressando ao maximo um dos Itens em &quot;Pendência&quot; que é o Time da Carga de Mailing.Ti analisando o cenário atual, ainda esta semana faremos uma conferência interna Contax para alinhamento._x000a__x000a_28/03 - Piloto parado devido a solicitação do cliente. _x000a_Aguardando definições da área de NID, MIS e TI._x000a__x000a_21/03 - Foi enviado laudo detalhado aguardando definição da Oi, do retorno do Piloto. _x000a__x000a_15/03 - Piloto está parado devido aos 8 Itens, porém 5 estão ok, aguardando retorno do Piloto para homologação._x000a__x000a_07/03 -Ocorrências Piloto- 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_x000a_Em paralelo se faz necessário uma atualização na EF pela operação perante os processos de View da Oi e Processos de Expurgo._x000a__x000a_01/03 - Em  piloto_x000a__x000a_23/02 - Em piloto com 9 pas, segue abaixo  os detalhes: _x000a__x000a_1.View Com Problemas: _x000a_As 14h:00  - View da OI voltou a trazer dados da regional RNE (PE), porém a view trouxe a data de abertura com o formato errado, não está trazendo o horário._x000a_O processo de carga foi parado. _x000a_View voltou a funcionar por volta das 15:50h com formato correto._x000a_Os protocolos  enviados estão muito abaixo do padrão, o dia todo só foram carregados em torno de 354 registros._x000a__x000a_2.Carregamento do Raw no Discador no APC_x000a_Para resolver problema do Discador, além do Edson que tem nos apoiado, envolveremos o Bruno Cordeiro de Curitiba que acompanhou todo o processo junto a programação de atualização de tempo das cargas para verificar o tempo de cargas._x000a_Integração tGuidance com UNIFIC: já reportado pela Erica. Todos os casos estão com agendamento na base do UNIFIC, sendo assim a ferramenta só devolve no horário do agendamento._x000a__x000a_Estamos envolvendo os respectivos departamentos, pois somente com todos os processos em 100% é que TI poderá pilotar o processo final com apoio da operação._x000a__x000a_Estamos recebendo o arquivo da Oi, com dados tratados, para darmos sequência no piloto hoje._x000a_-------_x000a_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_x000a_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_x000a_Conforme conferência hoje 15/02 foi acordado, o início do Piloto 16/02._x000a_-----------_x000a_10/02 -  iniciaremos o Piloto no dia 11/02._x000a_-----------_x000a_26/01 - Conforme aprovação das áreas envolvidas (NID, CSE e Aplicações), foi enviado novo cronograma, no qual iniciaremos o Piloto no dia 11/02._x000a_----------_x000a_19/01 - O escopo do projeto foi alterado no dia 06/01 e por isso o Piloto não aumentou para 10 PAs e já nem está com 2 PAs (o Piloto parou)._x000a_Assim, o projeto necessita de ser replanejado, pois são necessárias atividades da equipe de desenvolvimento e CSE novamente. Como sabem os recursos estão 100% alocados e as filas das equipes vão se organizando com outros projetos prioritários._x000a__x000a_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_x000a__x000a__x000a_08/12 - Aumentamos o Piloto em 5 pas, estamos monitorando o comportamento para darmos sequencia._x000a__x000a_01/12 - Estamos em definição de aumento do Piloto, devido a alguns cenários ainda impeditivos._x000a_1. Número excessivo de motivos Telefonia: chamado aberto junto a Oi para solução do problema nos circuitos (Resp.: Wenderson);_x000a_2. Discagem Horizontal apenas até o 2° Telefone: análise junto ao especialista Avaya para que possamos, após atuação, monitorar a solução aplicada (Resp.: Adalton  - Início Monitoramento: 01/12);_x000a_3. Atualização do Mailing: solução já aplicada e em processo de monitoramento (Resp.: Adalton – Parecer sobre a solução: 30/12);_x000a_4. Eficiência das Macros: análise a respeito da informação foi realizada e está sendo afetada pelo Item 2. Após solução do mesmo, informações estarão consistentes (Resp.: Adalton);_x000a_5. Análise de Protocolo Telefone Único: este caso também está na dependência da solução do Item 2 (Responsável: Adalton)._x000a_24/11 - Conforme conferência realizada no dia 19/11 foram discutidos alguns cenários impeditivos para o aumento do Piloto, estes cenários _x000a_estão sendo verificados entre NID e Equipe de Desenvolvimento TI. Hoje 24/11, será realizado uma conferência para a análise da estratégia de discagem. Foram diagnosticadas ações na eficiência das macros quando não se utiliza o discador, sendo acompanhado os protocolos _x000a_para identificação no que se refere a distribuição._x000a_Foi criada uma nova campanha com novas configurações e iniciada dia 19/11 nas PA’s. Estamos acompanhando o comportamento _x000a_do discador nos momentos de atualização do mailing. _x000a_ Foi identificado na análise de Protocolo Telefone Único que alguns protocolos apresentam apenas um telefone, pela regra isso não deveria acontecer devido a análise do histórico, este assunto será discutido em detalhes hoje na reunião com o Wenderson NID._x000a__x000a_17/11 - Fase 1 - a UF de Pernambuco está sendo disponibilizada.  Ainda está sendo visto a questão da Telefonia, por esse motivo ainda não temos previsão de aumento do Piloto._x000a_Fase 2 - Foi informado o valor das licenças, prazo do fornecedor (2 meses). Foi solicitado:_x000a__x000a__Ok formalizado para iniciarmos a contratação do serviço (Lançamento de SC, Aprovações e geração de pedido)._x000a__Entrega de pedido gerado para contagem do prazo._x000a__Entrega do detalhamento do escopo do UNIFIC (Processo, telas e informações) ou a árvore de workflow que a Oi gostaria de desenvolver no Evalyze antes da data de início do desenvolvimento._x000a__x000a_Aguardando o retorno do solicitante com as devidas informações._x000a_-------------_x000a_10/11 - Constatados  casos de problemas que afetam a integração entre discador e UNIFIC e classificação erronea de status de chamadas, refletidas nos relatórios de produtividade. Ti contax e fornecedor atuando em conjunto. Piloto seguem com 2 PAs._x000a_03/11 -  Iniciaremos o piloto no dia de hoje com a UF PE, o discador fará processo em afim sem a geração da macro gerando do mailing, fechamento de AG e abertura de BD antes do vencimento do SLA._x000a_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_x000a__x000a_27/10- o Front-Fácil acaba de ser configurado para aguardar pelo perfilamento &quot;sem tempo limite&quot;._x000a__x000a_Desta forma, o operador poderá finalizar o perfilamento do UNIFIC com a garantia de que nenhuma outra chamada será entregue na PA enquanto o operador não preencher o “Motivo de Desligamento” no Front-Fácil._x000a__x000a_Com esta configuração, não será necessária qualquer alteração/melhoria em nenhuma das ferramentas para que o piloto seja iniciado. Porém, há alguns pontos de atenção que não podemos deixar de alertar:_x000a__x000a_• Os operadores terão a oportunidade de retardar o atendimento depois desta nova configuração. No nosso entendimento, trata-se de uma ação contraditória à implantação do discador automático de chamadas, que visa a máxima produtividade dos colaboradores;_x000a_•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_x000a_• A solução também ainda estará sujeita ao problema original (chegada de chamada sem o screen-pop no UNIFIC), se o operador enviar o “Motivo de Desligamento” pelo Front-Fácil e permanecer com o protocolo em tratamento no UNIFIC, o que impossibilitaria o pop-up do novo protocolo._x000a__x000a_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_x000a_Estamos verificando com a Wenderson para criar uma nova coluna no mailing, exclusivamente para o UNIFIC._x000a_---------------------_x000a_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_x000a_------------------------------_x000a_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_x000a_-----------------------------------------------_x000a_29/09 - Eventos de atraso na entrega dos links da Oi e Criação de login de STC impactaram no início do Piloto hoje 29/09, conforme cronograma. _x000a_ - Foi diagnosticado ontem pela área de Desenvolvimento a necessidade de liberação de IP por parte da Oi;_x000a_- Os logins STC foram encaminhado na sexta passada 25/09, mas estavam com problemas na senha de acesso. Prazo de retorno da operação Hoje 29/09._x000a_*Caso não tenhamos retorno das duas ações acima irá impactar novamente no início do Piloto, previsto para  o dia 05/10_x000a_-----------------------------------------------_x000a_22/09 - Validação de Mailing da Oi =  tivemos alterações de escopo sendo que a Oi já validou, estando em processo de desenvolvimento com risco de atraso, porém ainda não confirmado pelo Marquinhos._x000a__Atraso na entrega dos links da Oi =  a Entrega foi feita hoje dia 22/09, tendo impacto no cronograma das ações posteriores inserindo._x000a_"/>
    <s v="Aplicações TI / Operação/ Oi"/>
    <s v="Viviane Rodriguez e Adalton / Milane / Jaqueline"/>
    <s v="TBD"/>
    <s v="Piloto/Homologação"/>
    <m/>
    <n v="150"/>
  </r>
  <r>
    <s v="CTXRECSA-407337"/>
    <s v="Front Facil no CRV"/>
    <s v="PE - Site Santo Amaro"/>
    <s v="Plano Recuperação"/>
    <x v="4"/>
    <s v="Ana Coelho"/>
    <s v="Ana Sosa"/>
    <x v="4"/>
    <s v="Marcel Garcia"/>
    <s v="Desenvolvimento"/>
    <d v="2015-07-29T15:48:00"/>
    <n v="296.34166666666715"/>
    <d v="2015-08-01T00:00:00"/>
    <s v="Não "/>
    <s v="TBD"/>
    <s v="TBD"/>
    <s v="TBD"/>
    <m/>
    <s v="17/05 - Mesmo Status_x000a__x000a_10/05 - Devido a alteração de escopo o piloto parou, aguardando Desenvolvimento do Item Conferência (CTXRECSA-475951)_x000a__x000a_03/05 - Devido a alteração de escopo o piloto parou, aguardando Desenvolvimento do Item Conferência (CTXRECSA-475951)_x000a__x000a_25/04 -  Devido a alteração de escopo o piloto parou, aguardando Desenvolvimento do Item Conferência (CTXRECSA-475951)_x000a__x000a_19/04 - Piloto parado, aguardando Desenvolvimento do Item Conferência (CTXRECSA-475951)_x000a__x000a_12/04 - Piloto parado, aguardando Desenvolvimento do Item Conferência (CTXRECSA-475951)._x000a__x000a_04/04 - Mesmo status_x000a__x000a_28/03 - 1. Cenário de ação de Conferência na operação, no qual não foi solicitado na EF._x000a_      Ação: Operação abriu o chamado CTXRECSA-475951, com a EF atualizada. Em análise._x000a_ _x000a_2. Cenário da Base do Click, no qual, foi alinhado que seria aberto uma nova demanda devido a complexidade do Desenvolvimento._x000a_Ação: Solicitado a operação em conferência no dia 08/12 a abertura de um chamado no TProcess, no qual mencionasse esta necessidade que refere-se a Base do Click._x000a_          Demanda do CRV, hoje em Piloto, foi desenvolvida em cima do que foi exposto na última versão da EF em que não contemplava a Base do Click, somente no que refere-se a relatório._x000a_          Ressalto que em fórum paralelo foi solicitado ao Anthonny que abrisse um novo chamado para esta solicitação._x000a__x000a__x000a_21/03 - Piloto em andamento conforme cronograma (2 pas)._x000a__x000a_15/03 - Cronograma permanece o mesmo . Piloto Início: 17/03._x000a__x000a_07/03 - Conforme cronograma alinhado, o Piloto teria início no dia 17/03, porém tivemos atraso na homologação do Perficall._x000a_Aguardando retorno da operação._x000a__x000a_01/03 - O solicitante informou novamente sobre a alteração de Dac, _x000a_podendo assim retardar esta demanda. Aguardando definição  _x000a__x000a_23/02 - Ontem foi solicitado a Estimativa de esforço para o Site dentro das ações necessárias._x000a_Desenvolvimento Perficall -  OK_x000a_Desenvolvimento tGuidance - 15/02 à 29/02_x000a__x000a_15/02 - A operação informou hoje a questão do Dac e envio da planilha de Insumos. Devido ao atraso nas informações, temos um novo prazo para o Desenvolvimento do TGuidance fica do dia 15/02 à 29/02._x000a__x000a_10/02 - Mesmo Status_x000a__x000a_02/02 - Conforme conferência, devido ao problema do headset na operação iremos aguardar até o dia 12/02 (Início de Desenvolvimento) para confirmarmos esta migração de Dac._x000a__x000a_Sendo assim, seguimos com o Desenvolvimento em paralelo no período de 12/02 à 25/02._x000a__x000a_Abaixo algumas ações citadas:_x000a__x000a__Necessário o cadastro dos Insumos se houver migração até o dia 11/02;_x000a__Necessário a liberação de rede, instalação da aplicação do TGuidance com Suporte local, etc., se não houver migração;_x000a__o Item de relatório será priorizado com a outra área de TI._x000a__x000a__x000a_26/01 -  Enviado a EF no dia 13/01, Equipe de Aplicações está analisando a mesma. Em paralelo estamos vendo se há necessidade de liberações de rede, etc. na operação. Prazo de Cronograma de Desenv TI - 27/02_x000a__x000a_18/12 - Em definição de EF , aguardando retorno da operação_x000a__x000a_08/12 - Conforme conferência, estamos aguardando a EF com o escopo solicitado._x000a__x000a_01/12 - A Conferência hoje foi cancelada, reagendada para dia 03/12 Qui._x000a__x000a_24/11 - Aguardando o Doc solicitado no dia 27/11._x000a__x000a_17/11 - Foi solicitada o doc ao cliente com todo o processo detalhado do atendimento, com prints de tela do passo a passo do atendimento, prazo de recebimento anterior no dia 12/11, porém sem sucesso. Prazo atual no dia 27/11 Sext . _x000a__x000a_03/11 - Já foi solicitado  a EF  atualizada, e se possível uma conf com a operação só para entendimento de processo_x000a__x000a_27/10 - Aguardando a EF atualizada._x000a_20/10 - Conforme conferência estamos aguardando a EF. Em estimativa de OG._x000a__x000a_13/10 - Aguardando a árvore. Este Projeto esta em estimativa de OG_x000a_06/10 - Aguardando a árvore. Este Projeto esta em estimativa de OG _x000a_29/09 - Aguardando o envio da EF/ Em estimativa de OG_x000a_--------------------------------_x000a_22/09 - Aguardando o envio da EF."/>
    <s v="Operação /Aplicações TI "/>
    <s v="Anthonny Stallony/  Tatiana Barbosa"/>
    <s v="Devido a alteração de escopo , aguardando Término da Demanda CTXRECSA-475951,  previsto continuidade  de tratamento para o dia 02/06"/>
    <s v="Desenvolvimento"/>
    <m/>
    <n v="100"/>
  </r>
  <r>
    <s v="CTXRECSA-475951"/>
    <s v="Item Conferência_CRV"/>
    <s v="PE - Site Santo Amaro"/>
    <s v="Plano Recuperação"/>
    <x v="4"/>
    <s v="Ana Coelho"/>
    <s v="Marcel Garcia"/>
    <x v="4"/>
    <s v="Luciana Andrade"/>
    <s v="Desenvolvimento"/>
    <d v="2015-03-24T18:34:00"/>
    <n v="423.22638888889196"/>
    <d v="2015-03-24T00:00:00"/>
    <s v="Sim"/>
    <d v="2016-05-31T00:00:00"/>
    <d v="2016-06-10T00:00:00"/>
    <s v="Risco"/>
    <m/>
    <s v="17/05 - Em Desenvolvimento por Aplicações TI - Prazo Resp: TI - 31/05_x000a__x000a_10/05 - Em Desenvolvimento por Aplicações TI - Prazo Resp: TI - 31/05_x000a__x000a_03/05 - Mesmo Status_x000a__x000a_25/04 -  Em Desenvolvimento por Aplicações TI - Prazo Resp: TI - 31/05_x000a__x000a_19/04 - Em Desenvolvimento por Aplicações TI - Prazo Resp: TI - 31/05_x000a__x000a_12/04 - Necessidade de desenvolvimento do item conferência que não estava previsto na EF inicial, aberto chamado CTXRECSA-475951 para resolução._x000a_Necessária resolução do chamado CTXRECSA-475951 para continuidade do piloto  (Chamado CTXRECSA-407337)  - Resp: TI - Prazo: 31/05 "/>
    <s v="Aplicações TI "/>
    <s v="Tatiana Barbosa"/>
    <d v="2016-05-31T00:00:00"/>
    <s v="Desenvolvimento"/>
    <m/>
    <n v="100"/>
  </r>
  <r>
    <s v="CTXRECSA-407387"/>
    <s v="Implantar um discador para a célula Quality Voicer_x000a_"/>
    <s v="PE - Site Santo Amaro"/>
    <s v="Plano Recuperação"/>
    <x v="4"/>
    <s v="Ana Coelho"/>
    <s v="Marcel Garcia"/>
    <x v="4"/>
    <s v="Fabrício Peixoto"/>
    <s v="Desenvolvimento"/>
    <d v="2015-07-29T19:22:00"/>
    <n v="296.19305555555911"/>
    <d v="2015-08-01T00:00:00"/>
    <s v="Não "/>
    <s v="TBD"/>
    <s v="TBD"/>
    <s v="TBD"/>
    <m/>
    <s v="17/05 - Conforme retorno da Equipe de Aplicações (Morais), esta demanda só será tratada a partir da entrega das solicitações CTXRECSA-358319 – ( fase 1 e fase2)._x000a__x000a_10/05 - Mesmo Status_x000a__x000a_03/05 - Mesmo Status_x000a__x000a_25/04 - Conforme retorno da Equipe de Aplicações (Morais), esta demanda só será tratada a partir da entrega das solicitações CTXRECSA-358319 – ( fase 1 e fase2)._x000a__x000a_19/04 -  Mesmo status._x000a__x000a_12/04 - Conforme retorno da Equipe de Aplicações (Morais), esta demanda só será tratada a partir da entrega das solicitações CTXRECSA-358319 – ( fase 1 e fase2)._x000a__x000a_04/04 -  Conforme retorno da Equipe de Aplicações (Morais), esta demanda só será tratada a partir da entrega das solicitações CTXRECSA-358319 – ( fase 1 e fase2)._x000a__x000a_28/03 - Mesmo Status_x000a__x000a_21/03 - Mesmo Status_x000a__x000a_15/03 - Mesmo Status_x000a__x000a_07/03 -  Conforme retorno da Equipe de Aplicações (Morais), esta demanda só será tratada a partir da entrega das solicitações CTXRECSA-358319 – ( fase 1 e fase2):_x000a__x000a_01/03- Conforme retorno da Equipe de Aplicações (Morais), esta demanda só será tratada a partir da entrega das solicitações CTXRECSA-358319 – ( fase 1 e fase2):_x000a__x000a_23/02 - Mesmo Status_x000a__x000a_15/02 - Conforme retorno da Equipe de Aplicações (Morais), esta demanda só será tratada a partir da entrega das solicitações CTXRECSA-358319 – ( fase 1 e fase2):_x000a__x000a_10/02 -Solicitada a entrada na Fila da Equipe de Moraes devido a necessidade de Integração do sistema Perfiquality X TGuidance X Discador._x000a__x000a_02/02 - Conforme retorno hoje da operação o sistema Perfiquality é Oi , Infra na Oi e  é uma ferramenta para perfilamento e não tem vinculo com a telefonia. Sendo assim, iremos acionar a Equipe de Aplicações  para análise._x000a__x000a_26/01 - Desenho de Engenharia de Telecom já está feito. _x000a_Estamos aguardando retorno da operação verificar as informações da Infra do sistema com o José Nilton (Oi)._x000a__x000a_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s v="Aplicações TI "/>
    <s v="Alexandre  Morais"/>
    <s v="TBD"/>
    <s v="Na Fila"/>
    <m/>
    <n v="185"/>
  </r>
  <r>
    <s v="CTXRECSA-413131"/>
    <s v="Reestruturação da URA do CO Recife"/>
    <s v="PE - Site Santo Amaro"/>
    <s v="Operações que não estão no Plano de Recuperação"/>
    <x v="4"/>
    <s v="Ana Coelho"/>
    <s v="Ana Sosa"/>
    <x v="4"/>
    <s v="Marcel Garcia"/>
    <s v="Desenvolvimento"/>
    <d v="2015-08-14T00:00:00"/>
    <n v="281"/>
    <d v="2015-09-25T00:00:00"/>
    <s v="Não "/>
    <s v="TBD"/>
    <s v="TBD"/>
    <s v="TBD"/>
    <m/>
    <s v="17/05 - Em fase de Aprovação com o cliente, foi solicitado o prazo do mesmo._x000a__x000a_10/05 - Mesmo Status._x000a__x000a_03/05 - Mesmo Status._x000a__x000a_25/04 - Em fase de Aprovação com o cliente, foi solicitado o prazo do mesmo._x000a__x000a_19/04 - Mesmo status_x000a__x000a_12/04 - Em fase de Aprovação com o cliente, foi solicitado o prazo do mesmo._x000a__x000a_04/04 - Interação com a Equipe de Ura sobre esta demanda. _x000a_Ressaltando que essa restruturação não contempla a inclusão de novas consultas não relacionadas ao STC, apenas a melhorias dos menus e processos da aplicação de URA._x000a__x000a_28/03 - Mesmo status, cliente Oi analisando a última proposta enviada_x000a__x000a_21/03 - Mesmo status, cliente analisando a última proposta enviada._x000a__x000a_15/03 - Mesmo Status._x000a_ _x000a_07/03 - Mesmo Status._x000a__x000a_01/03 - Proposta renovada e enviada ao cliente. Aguardando definição._x000a__x000a_23/02 - Aguardando cronograma de Engenharia e em paralelo a Equipe de Ura está renovando a proposta._x000a__x000a_15/02 - Mesmo Status, acrescentando a solicitação da Equipe de Ura Contax, renovar a proposta interna devido a validade da mesma._x000a__x000a_10/02 - Solicitado o Estudo de Engenharia para o desenho desta solução, pois o valor  anterior da proposta da Equipe de Ura Contax  não contemplava infraestrutura e  sistema de monitoração._x000a__x000a_02/02 - Mesmo status._x000a__x000a_26/01 - Mesmo status, sem retorno da operação._x000a__x000a_18/12 - Proposta realizada pela Equipe Interna Contax de URA , enviada para o solicitante, aguardando retorno._x000a__x000a_08/12 - Proposta enviada para o solicitante, aguardando retorno._x000a__x000a_01/12 - Aguardando definição de valores da Proposta da Equipe de Ura Contax. Foi cobrado a área de Ura Contax sobre a Proposta._x000a__x000a_24/11 - Conforme alinhamento, a Equipe de Ura Contax enviará a proposta no dia 27/11 (Sext)_x000a__x000a_17/11 - Aguardando o aval do solicitante para que a Equipe de Ura Contax possa interagir e gerar uma nova proposta._x000a__x000a_09/11 - Equipe de URA Contax aceitou fazer estudo de custo e prazo como alternativa a Avaya. Fontes solicitados para a AVAYA, que ainda não retornou._x000a__x000a_30/10 - Acionado a área de Ura Produção para análise desta proposta._x000a_20/10 -  Sendo analisado a Proposta enviada pela Avaya._x000a_13/10 - Aguardando janela da operação para alinhamento sobre a proposta da avaya._x000a_06/10 - Aguardando aprovação_x000a_29/09-Encaminhado o orçamento em PDF para aprovação._x000a_16/09-Encaminhado orçamento para a area solicitante, estamos aguardando a proposta comercial em PDF, solicitada em 17/09."/>
    <s v="Operação "/>
    <s v="Anthonny "/>
    <s v="TBD"/>
    <s v="Análise"/>
    <m/>
    <n v="220"/>
  </r>
  <r>
    <s v="CTXSALAS-158599"/>
    <s v="Disponibilizar ferramenta do Carbon para as operações inbound e outbound do Televendas. Ti avaliar à integração com front/discador"/>
    <s v="Comércio / Boa Viagem"/>
    <s v="Operações que não estão no Plano de Recuperação"/>
    <x v="4"/>
    <s v="Ana Coelho"/>
    <s v="Ana Sosa"/>
    <x v="3"/>
    <m/>
    <s v="Upgrade de Tecnologia"/>
    <d v="2015-09-04T19:07:00"/>
    <n v="259.20347222222335"/>
    <d v="2015-09-25T00:00:00"/>
    <s v="Não"/>
    <s v="TBD"/>
    <s v="TBD"/>
    <s v="TBD"/>
    <m/>
    <s v="Edison Nei Siqueira added a comment - 18/Mai/16 11:30_x000a_Estamos realizando os ajustes nas aplicações junto ao fornecedor Telecom-PT para darmos inicio ao piloto das operações outbound._x000a__x000a_Edison Nei Siqueira added a comment - 03/Mai/16 12:36_x000a_Continuamos aguardando o posicionamento da Telecom-PT com relação a versão que vai tratar as chamadas da operação Outbound estava previsto para 27/04 e até o presente momento não recebemos um posicionamento._x000a__x000a_Edison Nei Siqueira added a comment - 26/Abr/16 20:24_x000a_Continuamos aguardando o posicionamento da Telecom-PT com relação a versão que vai tratar as chamadas da operação Outbound previsto para 26/04._x000a__x000a_Edison Nei Siqueira added a comment - 20/Abr/16 08:49_x000a_Realizada a carga do mailing do Outbound com sucesso, estamos aguardando agora a Telecom-PT disponibilizar a versão do Carbon que vai tratar o recebimento da chamada, previsão de liberação da versão por parte da Telecom-PT ficou para o dia 26/04._x000a__x000a_Edison Nei Siqueira added a comment - 12/Abr/16 18:22_x000a_Hoje foi concluído o rollout do Carbon para a operação Unificado. _x000a_Aguardando o versão da Telecom-PT para homologar as operações de Outbound ._x000a__x000a_Edison Nei Siqueira added a comment - 05/Abr/16 17:08_x000a_Iniciamos o rollout da integração tGuidance x Carbon nas operações Ountbound. _x000a_4P - rollout realizado em 04/04 para 100% da operação. _x000a_3P - rollout em andamento. _x000a__x000a_Edison Nei Siqueira added a comment - 29/Mar/16 15:40_x000a_Desenvolvimento tControl, tGuidance e Carbon, homologação concluída e validada junto a operação. _x000a_Instalação do Carbon nas posições de crescimento, 209 PAs site Comércio OCT e 164 no site Boa Viagem concluído e em homologação por parte de operações. _x000a_SCs com necessidade de ajuste de valores para aquisição dos demais insumos para a infraestrutura definitiva._x000a__x000a_15/03 - Mesmo status. Handover Finalizado com o Edson Siqueira _x000a__x000a_07/03 - Todo o Site Comércio (Célula 4P) e Site Boa Viagem (Célula 3P) estão com as operações com o Carbon instalado._x000a_Hoje estamos na Fase de Teste do tGuidance com Carbon ou usando um skill da operação ou VDN DDR._x000a_Em paralelo, temos uma Fase que envolve o TControl no qual foi alinhado uma EF no dia 03/03, com ambas as frentes. _x000a_Conforme retorno de TI, dentro do planejamento o período de desenvolvimento é no dia  09/03/2016 Quarta  à  21/03/2016 Segunda._x000a__x000a_01/03 - PTI - Terminando a validação da resolução dos monitores em relação ao Carbon; Início de testes em relação a Integração Tguidance x Carbon;_x000a_Interação sobre o Novo Escopo tControl x Carbon x TGuidance_x000a__x000a_23/02 - Sites Boa Viagem e Comercio estão preparados com o Carbon, no momento a operação está testando o mesmo junto ao fornecedor perante regras de negócios operacionais._x000a__x000a_15/02 - Fornecedor não conseguiu  completar a carga da base de clientes, mas já consegui subir parcialmente. Sobre os scripts, foi alterado a abordagem que realizamos o cadastro dos textos . _x000a_Em paralelo , estamos atuando on site perante a preparação do ambiente (Boa Viagem e Comércio)._x000a_Em última conferência , a fornecedora PT propôs que a integração do tControl seja com o Carbon e, após abertura do Carbon, o Carbon chame o tGuidance. Foi sinalizado esta necessidade a Equipe de Aplicações TI, aguardando retorno._x000a__x000a_10/02 - Fornecedor realizando algumas correções, no processo de upload da Base de clientes para os testes._x000a__x000a_02/02 - O fornecedor  PTI  verificou a  necessidade de alterações nas telas da campanha 3P Receptivo para adequar aos tamanhos dos monitores da Contax. Aguardando retorno da homologação._x000a__x000a_26/01 - Dentro da Demanda do Carbon temos 3 fases:_x000a_No momento estamos em  homologaçao:_x000a_FASE 1 - Sem Integração_x000a_Validação do Carbon (Operação inbound) _x000a__x000a_18/12 - Cronograma enviado no dia 02/12, sendo aceito pela solicitante._x000a_Fase: Instalação do Carbon pelo Fornecedor PTI e Início dos testes._x000a_Em paralelo está sendo Desenvolvimento a frente de Mailing pela Equipe de Aplicações._x000a_Foi avaliado que o Site Comercio não tem infraestrutura para o aceite de 32 pas, sendo avaliado possibilidade de colocar tudo no Site Boa Viagem ou em outro Site._x000a_Hoje temos o layout assertivo de 68 pas no Site Boa Viagem, já foi avaliado a premissa de desktops _x000a_dos agentes. _x000a__x000a_08/12 - ENG - Desenho da Solução enviado ao solicitante, retorno de aceite do mesmo.Cronograma sendo seguido_x000a_Site - Solicitação de layout para o solicitante para avaliação da infra dos desktops do agente, aguardando retorno do solicitante.Em paralelo, houve questionamento do Site pois o site comercio não tem link mpls direto com o DC, e migramos 300 pas para o mesmo nesta semana. _x000a_Questionamentos feitos a ENG (Villa) &quot;Houve avaliação do link? Suporta? Qual será a rota de saída?”_x000a__x000a_01/12 - Cronograma sendo alinhado com as áreas._x000a_Ações de CSE em andamento._x000a_Doc do Desenho da Solução sendo finalizado por ENG, em paralelo a Dell estará enviando as cotações dos servidores para a infra definitiva seguindo o processo de Suprimentos._x000a__x000a_24/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17/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_x000a_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_x000a__x000a_30/10 - Reunião de alinhamento sobre execução de integração do Carbon com tguidance realizada entre operação,  TI e OI._x000a__x000a_27/10 -  Análise e Entendimento do Escopo do Projeto, em defesa de prioridades por Diretoria._x000a_20/10 - Análise e Entendimento do Escopo do Projeto_x000a_13/10 - Análise e Entendimento do Escopo do Projeto_x000a_06/10 -Informado ao solicitante para preencher o formulário de detalhamento do projeto para podermos dar continuidade na Análise e estimativa do mesmo. _x000a_"/>
    <s v="Fornecedor/ Operação / Aplicações"/>
    <s v="Fornecedor/ Operação / Aplicações"/>
    <s v="TBD"/>
    <s v="Piloto/Homologação"/>
    <m/>
    <n v="15"/>
  </r>
  <r>
    <s v="CTXSALSM-78582"/>
    <s v="Projeto - Implantar Relatorio de Ura Oi Internet"/>
    <s v="BA- Site Fonte Nova"/>
    <s v="Operações que não estão no Plano de Recuperação"/>
    <x v="4"/>
    <s v="Ana Coelho"/>
    <s v="Ana Sosa"/>
    <x v="4"/>
    <s v="Cris Kuzuhara"/>
    <s v="Desenvolvimento"/>
    <d v="2015-07-03T18:15:00"/>
    <n v="322.23958333333576"/>
    <d v="2015-09-25T00:00:00"/>
    <s v="Sim"/>
    <m/>
    <d v="2016-05-06T00:00:00"/>
    <s v="Sim"/>
    <m/>
    <s v="17/05 - Temos duas ações que o cliente está solicitando para o fechamento desta demanda, conforme abaixo:_x000a__x000a_1. Acesso ao NGR Monitor ao cliente, fora do ambiente Contax_x000a_Nesta Quarta (disponibilidade do cliente) , será realizado uma conferência com Redes Oi e Redes Contax para verificação deste acesso, via NAT._x000a__x000a_2. Matriz de Acionamento_x000a_Foi enviado esta matriz conforme padrão da Empresa, porém a cliente solicita um 0800 exclusivo para acionamento, caso precise._x000a_Conforme última interação com o Ger. Jose Carlos de Ura , não temos este tipo de acionamento._x000a__x000a__x000a_10/05 - Estamos em processo de Homologação, porém o solicitante deseja._x000a__x000a_1 - Acesso externo para o cliente Oi, via Nat:_x000a_Aberto chamado SPOAS-12705, aguardando o DA do solicitante._x000a_2 - Acionamento direto do cliente Oi ao Suporte de Ura:_x000a_Sendo analisado os contratos de Ura Oi para verificar a viabilidade._x000a__x000a_03/05 - Cliente está solicitando uma liberação via web que não está dentro do escopo da demanda. Foi solicitado uma call amanhã 04/05 para esta definição._x000a__x000a_25/04 - Mesmo status._x000a__x000a_19/04 - Aguardando o retorno de Ura Contax com as pendências de finalização desta demanda._x000a__x000a_12/04 -Noc já treinado. a Matriz de Acionamento enviada._x000a_Aguardando retorno sobre os acessos e finalizando questões de relatórios._x000a__x000a_04/04 - Treinamento do Noc sendo realizado.Liberação do cliente, sendo realizado. _x000a_Conforme interação com Dennys Noc, o treinamento será finalizado no dia 11/04, no qual posteriormente será enviado a Matriz de Acionamento para o solicitante._x000a__x000a_28/03 - Treinamento do Noc sendo realizado.Liberação do cliente, sendo realizado._x000a__x000a_21/03 - Mesmo status._x000a__x000a_15/03 - Analisando a possibilidade dos acesso do cliente Oi ( Via Link de Internet ou Acesso Via Nat);_x000a_ - Matriz de Acionamento, estamos em treinamento do Noc  para que possamos enviá-la._x000a__x000a_07/03 - Definição de treinamento com NOC._x000a__x000a_01/03 - Aplicação em Produção, feito treinamento direto com o cliente._x000a_Homologado com sucesso._x000a_No momento estamos, tentando interação com o NOC para definição _x000a_de processos de Monitoração._x000a__x000a_23/02- A ferramenta está em Produção porém, para a Ura conseguir passar as informações de Produção é necessário a GMUD (dia 24/02)._x000a_Fase de Piloto com término no dia 26/02._x000a_Quanto a parte de Monitoração, estamos alinhando com as partes de TI para que o NOC entre em contato com o Manuel Botelho (Site), informando a indisponibilidade, caso haja._x000a_Ontem a Equipe de URA fez um over view com o cliente._x000a_Hoje teremos uma conferência para fechar este fluxo. _x000a__x000a_15/02 - Cronograma seguindo conforme acordado. Equipe de Ura atuando, conforme previsto._x000a__x000a_10/02 - Cronograma refeito com o dealine 24/02, amanhã daremos continuidade as ações de Ura._x000a__x000a_02/02 - Refeito o cronograma, a parte do CSE já está concluída. Estamos trabalhando com a Equipe de Ura para que possamos reduzir as ações do mesmo. Por enquanto dead line está em 29/02._x000a__x000a_26/01 - Encontramos um problema no switch onde o servidor está conectado perante a este cenário o cronograma está atrasado, aguardando retorno do LW para atualização._x000a__x000a_15/12 - CTXSALSM-78582 - Projeto entregue em: 15/12/2015 _x000a_18/12 - Conforme retorno de Engenharia, foi consolidado o cronograma de ações do CSE e Ura, enviados hoje ao solicitante._x000a_Prazo Homologação Final: 19/02/2016_x000a__x000a_08/12 - Apesar do solicitante pedir a homologação dentro do prazo do dia 09/12, devido as prioridades, o Prazo ENG foi 08/12 às 15/12._x000a__x000a_01/12 - a Equipe de Ura está andando com o processo. Porém, a Equipe de  ENG estão reprogramando a fila devido as solicitações da diretoria e não podiam definir um prazo no momento._x000a__x000a_24/11 - Interação entre a Equipe de Ura e Linux a fim de criar um script de limpeza dos logs.  Assim que recebermos as inf de Ura, o Analista Linux irá criar a rotina de expurgo de dados._x000a_17/11 - Aguardando retorno do cliente perante estas informações de Infra, verificando necessidade de uma redução nos requisitos da infra solicitada pelo Klaus._x000a_Foi solicitado um valor mínimo aceitável para o número de processadores e espaço em disco._x000a__x000a_05/11 - Conforme análise de Infra pelo Klaus:_x000a_-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_x000a__x000a_"/>
    <s v="Operação / Ura "/>
    <s v="Thiago Fialho / Daniel Farias "/>
    <d v="2016-05-20T00:00:00"/>
    <s v="Homologação"/>
    <m/>
    <m/>
  </r>
  <r>
    <s v="CTXSPOLP-115114"/>
    <s v="Projeto - Renovação de Servidores DNK - Ticket "/>
    <s v="SP - Operação Site Antártica_x000a_SP - Infra Site Lapa"/>
    <s v="Plano Recuperação"/>
    <x v="0"/>
    <s v="Noemia Ferro"/>
    <s v="Maurício Perez"/>
    <x v="4"/>
    <s v="Carlos Batista"/>
    <s v="Implantação de PA (crescimento, migração ou nova operação)"/>
    <d v="2015-11-18T15:30:00"/>
    <n v="184.35416666666424"/>
    <d v="2015-12-02T00:00:00"/>
    <s v="Sim"/>
    <d v="2016-05-15T00:00:00"/>
    <d v="2016-04-25T00:00:00"/>
    <s v="Não"/>
    <m/>
    <s v="17/05 - Prazo do solicitante expirado, foi solicitado novamente urgencia neste retorno._x000a__x000a_10/05 - A Ticket deverá retornar com previsão e cronograma para dia 15 de maio_x000a__x000a_03/05 - A troca dos equipamentos irá ser efetuada pela Ticket/DNK e a Ticket deverá retornar com previsão e cronograma para dia 15 de maio._x000a__x000a_19/04 - Mesmo status. Agendado reunião dia 25/04 sobre estes pontos da Ticket._x000a__x000a_12/04 - Conforme contato com o ponto focal de TI do Site Lapa, não tivemos retorno da DNK sobre os servidores._x000a_Contanto, o cronograma está defasado. Foi solicitado atualização._x000a__x000a_04/04 -  Mesmo Status. Cronograma sendo seguido._x000a__x000a_28/03 - Mesmo Status. Cronograma sendo seguido._x000a__x000a_21/03 - Mesmo status._x000a__x000a_15/03 - Cronograma da DNK recebido e alinhado com TI.  _x000a_Início 15/04_x000a__x000a_07/03 - Mesmo status, aguardando retorno da DNK._x000a__x000a_01/03 - DNK informou que irão enviar novo cronograma para sequencia da demanda. Foi solicitado por TI envio com 72 horas de antecendência, para organização de todas as frentes._x000a__x000a_23/02 - Carlos reportou que DNK e Cliente tiveram reunião na sexta 19/02 e fizeram um cronograma, aguardando o mesmo._x000a__x000a_15/02 - Mesmo Status. Cronograma realizado junto ao CSE e Suporte Site. Dead line 17/02_x000a__x000a_10/02 - Cronograma realizado junto ao CSE e Suporte Site. Dead line 17/02_x000a__x000a_02/02 - CSE já está atuando no sentido de preparar a Infra no ambiente, interação com Controle de Ativos para esta necessidade._x000a__x000a_26/01 - Aguardando cronograma do CSE  em relação a preparação de Infra para os servidores da DNK._x000a__x000a_21/01 - Definido as ações abaixo, ainda aguardando retorno do Item 1._x000a__x000a_1. O servidores serão disponibilizados pela própria DNK – Definição dos servidores nesta Seg 18/01._x000a_2. A instalação e configuração serão realizadas pela DNK_x000a_3. Precisamos informar para a  DNK os IPs dos servidores  10.51.0.83/23 e 10.51.84./23 (descritos na topologia)_x000a_4. Necessário a  passagem de cabeamento dos core ate os servidores_x000a_5. No firewall já existem uma regras,  para  validar o é necessário efetuar testes em conjunto com a DNK_x000a_-----------------------------------------------_x000a__x000a_18/12 - Prazo de Engenharia: _x000a_14/12 à 05/01/2016_x000a__x000a_08/12 - Conforme padrão, foi enviado para Fila de ENG com todo  o escopo detalhado da demanda. Aguardando Prazo para análise"/>
    <s v="Operação / Fornecedor Uranet"/>
    <s v="Carlos / Cibele"/>
    <d v="2016-05-20T00:00:00"/>
    <s v="Implantação"/>
    <m/>
    <n v="150"/>
  </r>
  <r>
    <s v="CTXSPOLP-115119"/>
    <s v="Projeto - URANET - Ticket "/>
    <s v="SP - Operação Site Antártica_x000a_SP - Infra Site Lapa"/>
    <s v="Plano Recuperação"/>
    <x v="0"/>
    <s v="Noemia Ferro"/>
    <s v="Maurício Perez"/>
    <x v="4"/>
    <s v="Carlos Batista"/>
    <s v="Implantação de PA (crescimento, migração ou nova operação)"/>
    <d v="2015-11-18T16:03:00"/>
    <n v="184.33125000000291"/>
    <d v="2015-12-02T00:00:00"/>
    <s v="Não "/>
    <s v="TBD"/>
    <s v="TBD"/>
    <s v="TBD"/>
    <m/>
    <s v="17/05 - Os testes na operação seriam no dia 12/05 porém devido ao atraso do treinamento, não ocorreu. Foi solicitado a atualização do cronograma._x000a__x000a_10/05 - Treinamento para administração do Mailing  está sendo realizado hoje. Posteriormente será o início da operação utilizando mailing de teste._x000a_Aguardando retorno da Uranet._x000a__x000a_03/05 - Sem retorno do fornecedor, aguardando._x000a__x000a_25/04 - Reunião a ser agendada por Cibele com o time de projeto do lado da Ticket, para levantar histórico e situação atual do projeto, para prover respostas pendentes para a Contax e demais atividades._x000a__x000a_19/04 - Aguardando retorno da operação, perante a homologação._x000a__x000a_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_x000a_Aguardando retorno do solicitante para os testes na operação._x000a__x000a_04/04 - Durante a segunda parte da conferência entre as áreas de TI Contax e URANET, foi identificada a necessidade de realizar uma configuração extra nos links para garantir a automatização da solução em caso de queda de um destes links._x000a_Engenharia TI atuando no novo desenho da solução_x000a__x000a_28/03 - Cronograma alterado: Início: 23/03 Seg  -  Fim: 01/04 Qua_x000a__x000a_21/03 - Cronograma alterado: Início: 28/03 Seg  -  Fim: 08/04 Qua_x000a__x000a_15/03 - Prazo TI _x000a_Início: 15/03 Seg  -  Fim: 08/04 Qua_x000a__x000a__x000a_07/03 - Solicitado a atualização do cronograma porTI Site._x000a__x000a_01/03 - Tivemos uma ativação de circuito Oi no site Lapa. Cronograma seguindo conforme previsto._x000a__x000a_23/02 - Cronograma de TI sendo seguido . Início: 15/02 Seg  -  Fim: 11/03 Qua.  _x000a__x000a_10/02 - Cronograma realizado junto ao CSE e Suporte Site. Dead line 11/03_x000a__x000a_02/02 - CSE já está atuando no sentido de preparar a Infra no ambiente, interação com Controle de Ativos para esta necessidade._x000a__x000a_26/01 - Aguardando o cronograma de CSE perante as preparações de Infra. Em paralelo estamos interagindo com  a operação perante algumas pendências de informações para análise de Engenharia Telecom._x000a__x000a_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_x000a__x000a_• Instalar um novo switch extranet     (Modelo sugerido 3560G 24portas )._x000a_• Dois roteadores ( 3845, 2811, 1841, 2851) ._x000a_• Passagem de cabo do firewall até o novo extranet, passagem de cabo do extranet até os novo roteadores, passagem de cabo dos nossos roteadores até o equipamento das operadoras Algar e Oi ._x000a_• Na topologia contem as informações para configurar o extranet e os dois roteadores,  segue também um txt com as regras de firewall e roteamento, as liberações também envolvem a comunicação do nosso PABX com o PABX da Uranet as regras estão no txt.  _x000a_• Verificar com Microsoft para  cadastrar os endereços no DNS._x000a_Foi solicitado cronograma ao CSE perante as ações acima._x000a_-----------------------------------------------------------_x000a_18/12 - Prazo de Engenharia: _x000a_14/12 à 05/01/2016_x000a__x000a_08/12 - Conforme padrão, foi enviado para Fila de ENG com todo  o escopo detalhado da demanda. Aguardando Prazo de ENG."/>
    <s v="Operação / Fornecedor Uranet"/>
    <s v="Carlos / Cibele"/>
    <d v="2016-04-29T00:00:00"/>
    <s v="Homologação"/>
    <m/>
    <n v="100"/>
  </r>
  <r>
    <s v="CTXPOARB-85984"/>
    <s v="Projeto RTI - Registro da Ocorrência de Callback"/>
    <s v="POA e Santo Amaro"/>
    <s v="Plano Recuperação"/>
    <x v="5"/>
    <s v="Rodrigo Zambon"/>
    <s v="Leonardo Pelegrino"/>
    <x v="2"/>
    <s v="Juliano Molina"/>
    <s v="RTI"/>
    <d v="2015-03-27T00:00:00"/>
    <n v="421"/>
    <d v="2015-08-01T00:00:00"/>
    <s v="Sim"/>
    <s v="-"/>
    <d v="2016-08-01T00:00:00"/>
    <s v="Sim"/>
    <m/>
    <s v="[16/05] - UAT será iniciado no dia 16 para validação da funcionalidade e medição do TMA, no entanto, devido ao problema de conectividade do RTI com a tela de callback, a operação solicitou o congelamento do projeto até a que a Nice nos envie uma solução. _x000a_[09/05] - Em desenvolvimento. Há algumas questões encotradas durante o ajuste da solução que deverão ser tratadas pela NICE. Solicitamos um call em 09/05/16 para informar as questões e definir UAT. _x000a_[03/05] - Em desenvolvimento_x000a_[25/04] - Iniciado o desenvolvimento conforme previsto. _x000a_[18/04] - Aguardando desenvolvimento. Inicio em 25/04. _x000a_[11/04] - Aguardando desenvolvimento. _x000a_[04/04] Datas de desenvolvimento replanejada devido ao remanejamento de recursos para a execução das demandas de Claro. Datas de UAT precisam ser validadas com a operação._x000a_[29/03] - Terá impacto no desenvolvido, pois o recurso foi alocado no projeto da Claro. Prazo para novas datas de desnvolvimento  4/4_x000a_[22/03] Aguardando inicio dos desenvolvimentos, conforme cronograma publicado. _x000a_[15/03] Aguardando inicio do desenvolvimento. Data de UAT sugerida de 28/04 a 04/05/16. Aguardando confirmação de datas de piloto e rollout por PMO-Negócio. _x000a_Data fim de desenvolvimento agora está considerando testes internos. Não impacta as demais datas. _x000a_[08/03] - Desenvolvimento dos ajustes foram reagendados para 06/04/16 a 19/04/16. Sugestão de datas de Homologação de 29/04/16 a 07/06/16                                                   01/03/16: Pendente resposta do fornecedor. _x000a_22/02/16: Homologação do Callback não aprovada pela operação. Nos dias 24 e 25, TI fará análise técnica in loco para determinar as próximas ações e replanejamento. _x000a_10/02 - Piloto inconclusivo. Negócio deve confirmar o roll out... Aguardando_x000a_10/02 - Mesmo status_x000a_05/02 - Homologação &quot;Call Back&quot; não aprovada pela operação. Piloto estendido até 12/02. Demais OK_x000a_01/02: Aguarda a definição de negócio quanto a prioridade de projetos. Retrofit x RTI para definir a data do rollout.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Mariana APP_x000a_25/11 - • O projeto está previsto para ser tratado por ENG somente do dia 08/12 a 14/12 (quando a previsão inicial era para conclusão até o dia 27/11)_x000a_• Necessário rever atividades com CSE e site para novo cronograma de entrega_x000a_• Como a complexidade é alta, será realizado o projeto primeiramente no site de Navegantes para depois avançarmos para Santo Amaro e Aurora_x000a__x000a_24/11 – Encaminhamos ao PMO-TI um alerta de risco de atraso pois precisamos das atividades de ENG, CSE e Site prontos até dia 27/11_x000a_[17/11] Cronograma alinhado. Parte de desenvolvimento já concluída. Aguardando resposta de ENG com as datas de implantação._x000a_Como o projeto é de alta complexidade, ocorrerá o piloto no site de navegantes, onde já temos cronogramas.  Para os sites de Aurora-PE e Santo Amaro-PE serão realizados depois do Freezing e do piloto -&gt; Cronograma a ser realizado_x000a_[27/10 – Leandro] disponibilizado um login único provisório para continuidade da equipe de RTI em 27/10  / em paralelo suporte negócio continuará tentar viabilizanr com a NET um login definitivo para uso de RTI)_x000a__x000a_[20/10 – Leandro] Alteração dos logins que serão usados para os testes e desenvolvimentos. Suporte ao Negócio interagindo com com NET para habilitação dos logins.  (ainda aguardando)_x000a_[13/10 – Leandro] Alteração dos logins que serão usados para os testes e desenvolvimentos. Suporte ao Negócio interagindo com com NET para habilitação dos logins. _x000a__x000a_[5/10 – Leandro] Identificado a necessidade de abertura automática do registro.  Automação de processos aguardando passo a passo do processo de abertura de call-back pelo operador, para ajustar o desenho do TO BE e o desenho da solução. _x000a_[28/09 - Leandro] Automação de Processos está tocando o detalhamento do processo, os mesmos solicitaram o apoio de Juliano Molina para auxilia-los, o mesmo já retornou com documento._x000a_[17/09 – Cleonice] Aguardando recurso para realizar a análise da documentação e disponibilizar cronograma de desenvolvimento."/>
    <s v="Aplicações"/>
    <s v="Mariana"/>
    <d v="2016-04-27T00:00:00"/>
    <s v="Desenvolvimento"/>
    <d v="2015-08-01T00:00:00"/>
    <n v="1500"/>
  </r>
  <r>
    <s v="CTXPOARB-94401"/>
    <s v="RTI - Verificar e validar Lançamentos Futuros para Reembolso"/>
    <s v="POA e Santo Amaro"/>
    <s v="Plano Recuperação"/>
    <x v="5"/>
    <s v="Rodrigo Zambon"/>
    <s v="Leonardo Pelegrino"/>
    <x v="2"/>
    <s v="Juliano Molina"/>
    <s v="RTI"/>
    <d v="2015-09-30T00:00:00"/>
    <n v="234"/>
    <d v="2015-10-07T00:00:00"/>
    <s v="Sim"/>
    <d v="2016-03-17T00:00:00"/>
    <d v="2016-06-24T00:00:00"/>
    <s v="Sim"/>
    <m/>
    <s v="[16/05] - Piloto iniciado em 16/5_x000a_[09/05] - UAT finalizado. Será realizado um call para definição do piloto em 10/05/16._x000a_[03/05] - Mesmo status_x000a_[25/04] - UAT em andamento._x000a_[18/04] - UAT em andamento._x000a_ [11/04] Desenvolvimento finalizado em 05/04/16. UAT iniciada em 07/04/16, conforme cronograma. _x000a_[04/04]  Solicitado à operação para informar hostname e responsável pelo UAT.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rocesso de assessment concluído, com entrega da solução a ser desenvolvida prevista para dia 26/01._x000a_18/01 - Início do assessment reagendado para 18/01 a pedido da Operação. Afetando demais datas do projeto_x000a_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
    <s v="Solicitante"/>
    <s v="Juliano Molina"/>
    <m/>
    <s v="Homologação"/>
    <d v="2016-06-24T00:00:00"/>
    <m/>
  </r>
  <r>
    <s v="CTXPOARB-94402"/>
    <s v="RTI - Aviso sobre abertura/geração de ocorrências duplicadas no N1"/>
    <s v="POA e Santo Amaro"/>
    <s v="Plano Recuperação"/>
    <x v="5"/>
    <s v="Rodrigo Zambon"/>
    <s v="Leonardo Pelegrino"/>
    <x v="2"/>
    <s v="Juliano Molina"/>
    <s v="RTI"/>
    <d v="2015-09-30T00:00:00"/>
    <n v="234"/>
    <d v="2015-10-07T00:00:00"/>
    <s v="Sim"/>
    <d v="2016-03-17T00:00:00"/>
    <d v="2016-06-24T00:00:00"/>
    <s v="Sim"/>
    <m/>
    <s v="[16/05] - Piloto iniciado em 16/5_x000a_[09/05] - UAT finalizado. Será realizado um call para definição do piloto em 10/05/16._x000a_[03/05] - Mesmo status_x000a_[25/04] - UAT em andamento._x000a_[18/04] - UAT em andamento. _x000a_[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 _x000a_[15/03] - Mesmo status_x000a_[08/03 - Em desenvolvimento   _x000a_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10/02 - Mesmo status_x000a_05/02 - Recebida revisão do documento em 05/02 e está em avaliação pelo time interno. Nova data de início do desenvolvimento será definida até dia 12/02_x000a_01/02: Assessment realizado por terceiro não atendeu aos requisitos mínimos para desenvolvimento. Reunião para envio de complementos agendada para 01/02/16 com impacto na data inicial do desenvolvimento. Nova da data a ser definida até 05/02/16._x000a_26/01: Devido à incremento de escopo, tempo de desenvolvimento replanejado._x000a_18/01 - Devido à incremento de escopo, tempo de desenvolvimento replanejado._x000a_Solicitante respondeu EF ontem (dia 23/11) e no mesmo dia, após avaliação de TI, encaminhamos ao fornecedor para obter a proposta comercial_x000a_[23/11] EF encaminhada. O próximo passo agora é enviar os documentos recebidos na sexta-feira para o fornecedor, que nos enviará a proposta comercial para ser aprovada. O fornecedor está levando em média de 5 a 7 dias úteis para nos retornar._x000a_[16/11] Aguardando retorno do solicitante."/>
    <s v="Solicitante"/>
    <s v="Juliano Molina"/>
    <m/>
    <s v="Homologação"/>
    <d v="2016-06-24T00:00:00"/>
    <m/>
  </r>
  <r>
    <s v="CTXPOARB-94403"/>
    <s v="RTI - PopUP no momento da geração de Visita Técnica e abertura de IE"/>
    <s v="POA e Santo Amaro"/>
    <s v="Plano Recuperação"/>
    <x v="5"/>
    <s v="Rodrigo Zambon"/>
    <s v="Leonardo Pelegrino"/>
    <x v="2"/>
    <s v="Juliano Molina"/>
    <s v="RTI"/>
    <d v="2015-09-30T00:00:00"/>
    <n v="234"/>
    <d v="2015-10-07T00:00:00"/>
    <s v="Sim"/>
    <d v="2016-03-17T00:00:00"/>
    <d v="2016-06-24T00:00:00"/>
    <s v="Sim"/>
    <m/>
    <s v="[16/5] - Piloto iniciado 16/5_x000a_[09/05] - UAT finalizado. Será realizado um call para definição do piloto em 10/05/16._x000a_[03/05] - Mesmo status_x000a_[25/04] - UAT em andamento._x000a_[19/04] - UAT em andamento_x000a_[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Fornecedor BETTA respondeu a proposta em 17/11, porém a proposta do fornecedor veio incompleta – Aguardando nova proposta 24/11_x000a_[16/11] Enviamos solicitação para proposta comercial de fornecedro BETTA – Aguardando proposta"/>
    <s v="Solicitante"/>
    <s v="Juliano Molina"/>
    <m/>
    <s v="Homologação"/>
    <d v="2016-06-24T00:00:00"/>
    <m/>
  </r>
  <r>
    <s v="CTXPOARB-95442"/>
    <s v="RTI - Preenchimento automático do Infomaker"/>
    <s v="POA e Santo Amaro"/>
    <s v="Plano Recuperação"/>
    <x v="5"/>
    <s v="Rodrigo Zambon"/>
    <s v="Leonardo Pelegrino"/>
    <x v="2"/>
    <s v="Juliano Molina"/>
    <s v="RTI"/>
    <d v="2015-10-21T00:00:00"/>
    <n v="213"/>
    <d v="2015-10-22T00:00:00"/>
    <s v="Sim"/>
    <m/>
    <d v="2016-06-18T00:00:00"/>
    <s v="Sim"/>
    <m/>
    <s v="[16/05] - Desenvolvimento concluído. UAT será iniciado em 16/05. _x000a_[10/05] - Mesmo desenvolvimento_x000a_[03/05] - Mesmo status_x000a_[25/04] - Desenvolvimento em andamento_x000a_[18/04] - Desenvolvimento em andamento_x000a_ [11/04] - TO BE aprovado pela operação. Inicio do desenvolvimento em 11/04/16. _x000a_[04/04] TO BE enviado para aprovação da operação em 01/04/16; aguardando retorno da operação. Datas de desenvolvimento e UAT replanejadas devido ao remanejamento de recursos para a execução das demandas de Claro; datas de UAT precisam ser validadas._x000a_ [29/03] - To be iniciado. Previsto entrega dia 30/4. _x000a_[21/03] Aguardando inicio do desenho do TO BE, conforme cronograma publicado. _x000a_[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_x000a_ [08/03] - Operação retornou com EF complementar em 03/03/16. Novas datas de desenvolvimento e TO BE publicadas. Datas de Homologação 18/05/16 a 24/06/16 01/03/16: Mesmo status._x000a_22/02/16: Desenvolvimento da EF previamente enviada está concluído. Aguardando EF complementar ser enviada pela operação. _x000a_11/02 - Replanejado para dia 26/02_x000a_05/02 - Devido à incremento de escopo, tempo de desenvolvimento replanejado para 06/01 a 19/02_x000a_01/02: Piloto previsto para 25/02 à 07/03.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24/11 - Juliano respondeu dia 19/11. Após avaliação de TI encaminhamos proposta para o fornecedor 24/11/15_x000a_[16/11] Aguardando retorno do solicitante."/>
    <s v="Aplicações"/>
    <s v="Mariana"/>
    <d v="2016-04-01T00:00:00"/>
    <s v="Em Desenvolvimento"/>
    <d v="2016-06-18T00:00:00"/>
    <m/>
  </r>
  <r>
    <s v="CTXPOARB-95467"/>
    <s v="RTI - Preenchimento automático texto padrão"/>
    <s v="POA e Santo Amaro"/>
    <s v="Plano Recuperação"/>
    <x v="5"/>
    <s v="Rodrigo Zambon"/>
    <s v="Leonardo Pelegrino"/>
    <x v="2"/>
    <s v="Juliano Molina"/>
    <s v="RTI"/>
    <d v="2015-10-22T00:00:00"/>
    <n v="212"/>
    <d v="2015-10-22T00:00:00"/>
    <s v="Sim"/>
    <m/>
    <d v="2016-05-17T00:00:00"/>
    <s v="Sim"/>
    <m/>
    <s v="[16/05] - Mesmo status_x000a_[10/05] - Mesmo status_x000a_[03/05] - Em piloto_x000a_[25/04] - Iniciado piloto em 20/04_x000a_[19/04] - Piloto programado para iniciar dia 20/04_x000a_[11/04] UAT aprovado pela operação. Aguardando inicio do Piloto, de acordo com as datas definidas pela operação._x000a_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_x000a_[22/03] Inicio de UAT programado para as 14h do dia 22/03/16. Data de piloto confirmada pela operação._x000a_[14/03] Validar com os sites as datas para piloto e rollout._x000a_[08/03] - Rollout em Recife planejado do dia 08/03 a 18/03, porém a operação não aprovou as datas devido ao DMM. Aguardando novas datas para programarmos o rollout. 01/03/16: Pendente envio de cronograma. _x000a_22/01/16: Em desenvolvimento, não há pendências. Piloto antecipado em função do DMM da operação._x000a_05/02 - Em desenvolvimento até 19/02, porém o piloto foi antecipado para 29/02 a 09/03 devido ao DMM da operação_x000a_01/02: Piloto previsto para 29/02 à 09/03. Piloto foi antecipado a pedido de negócio devido ao DMM._x000a_26/01 - Mesmo status _x000a_18/01 - Devido à alteração da solução tecnico/operacional , necessário redesenho da solução técnica impactando início do desenvolvimento. _x000a_[16/11] Aguardando retorno do solicitante. EF com dados insuficientes para solicitar a Proposta Comercial."/>
    <s v="Solicitante"/>
    <s v="Juliano Molina"/>
    <m/>
    <s v="Piloto"/>
    <d v="2016-05-17T00:00:00"/>
    <s v="20 Pas"/>
  </r>
  <r>
    <s v="CTXSPOAP407-12333"/>
    <s v="TAM - Virtualização URA-BR   - (antigo: Ura Rec Voz )"/>
    <s v="Alegria/SP"/>
    <s v="Plano Recuperação"/>
    <x v="5"/>
    <s v="Rodrigo Zambon"/>
    <s v="Leonardo Pelegrino"/>
    <x v="1"/>
    <s v="Fabrício Peixoto"/>
    <s v="URA"/>
    <d v="2015-09-03T00:00:00"/>
    <n v="261"/>
    <d v="2015-08-01T00:00:00"/>
    <s v="Não"/>
    <s v="TBD"/>
    <s v="TBD"/>
    <s v="TBD"/>
    <m/>
    <s v="[17/05] - Liberações de redes executadas. Aguardando retorno do fornecedor ISYS, sobre testes de acesso ._x000a_Proximos passos: Fornecedor entregar plano de Ação para Validação (Testes e RollOut ) para novo ambinete URA._x000a__x000a_.[10/05] - Pendências de Liberações de redes executada. Necessario cobrar retorno do fornecedor; _x000a__x000a_[03/05] - Pendências de Liberações de redes executada. Necessario solicitar novos testes com o fornecedor; _x000a__x000a_[26/04] - Pendências de Liberações de redes para prosseguimento ações ISYS (Homologação Infra/Aplicação). Solicitado apoio CSE (emial em18/04, com informações)_x000a__x000a_[19/04] - Pendências de Liberações de redes para prosseguimento ações ISYS (Homologação Infra/Aplicação). Solicitado apoio CSE (emial em18/04, com informações)_x000a_[12/04] - Problemas de redes Contax,  inviabilizaram testes dia 06/04. _x000a_Nova data proposta para retomada dos testes com ISYS ( 13/04] ._x000a_Fase Atual - Homologação da Plataforma e da Nova Aplicação. [previsto até 25/04 ]_x000a_1) Plano de Ação para homologação Aplicação, será apresentado pela ISYS após homologação da nova plataforma._x000a__x000a_[05/04] - Agendado Teste de Homologação da Plataforma com Fornecedor ISYS ( 06/03 - 14HS ). _x000a_Proxima etapa - Plano de Açã opara testes de Homologação Aplicação na nova Plataforma._x000a__x000a_[29/03] -  Ambiente disponibilizado para testes . Solicitado esclarecimentos para fornecedor ISYS sobre Plano de ação para homologação (Login Agent) . Ag. retorno para dar inicio aos testes,_x000a__x000a_[22/03] -  Entrega ambnte para para testes tecnicos planejado para 23/03. O fornecedor enviará o plano de ação para a homologação da nova infra até 22/03._x000a_Fase de validação por Negócios, para as informações  solicitdas pelo Fornecedor YSYS, para configuração do novo ambinete URA  (Plano de rollout)  [Logins, vdns e skill, hostnames pa's ativas]_x000a__x000a_[15/03] - Desenvolvimento em andamento pela ISYS. Aguardando agendda do Cliente para alinharmos a criação do  plano de Ação para Rollout ambiente._x000a__x000a_ [11/03] - Problemas de redes e Infra CTX, resolvidos em 10/03. Solicitado testes e atualizaão do Cronograma, para fornecedor ISYS. Impacto estimado de 8 dias . Nova data entrega ambiente para homologação TAM - 23/03_x000a__x000a_[08/03] - Solucionados problemas de Infra (redes) no ambiente Contax._x000a_Fornecedor retomou a etapa de instalação componentes para prosseguir com desenvolvimento._x000a_Impacto no Cronograma  (Atraso) : +/-  15 dias_x000a__x000a_[29/02] - Ponto Atenção (Atraso) - Identificamos problemas Infra Contax e está sendo tratado pela equipe Tecnica. _x000a_Impacto direto no tempo de desenvolvimento do fornecedor URA ( 10 dias )_x000a_ até momento._x000a_Expectativa de Conclusão: até 04/03_x000a__x000a_[23/02] - Desenvolvimento URA sendo executado pelo fornecedor, conforme planejado. Data prevista para disponibilização da ferramenta para testes ( 15/03 )._x000a__x000a_[16/02] - Desenvolvimento URA sendo executado pelo fornecedor, conforme planejado. Data prevista para disponibilização da ferramenta para testes ( 15/03 )._x000a__x000a_[10/02] - Desenvolvimento URA sendo executado pelo fornecedor, conforme planejado. Data prevista para disponibilização da ferramenta para testes ( 15/03 )._x000a__x000a_02/02 - Desenvolvimento sendo realizado pelo fornecedor, conforme planejado. Data prevista para disponibilização da ferramenta é 15/03._x000a__x000a_[29/01] - Aguardando status atualizado do cronograma de desenvolvimento da URA (Fornecedor ISYS)_x000a__x000a_[26/01] - Em andamento Desenvolvimento._x000a__x000a_[21/01] - Em andamento. Fase de Desenvolvimento pelo Fornecedor ISYS até 15/03. Cronograma d eentrega replanejado, devido a imprevistos de Infra Contax. Nova data informada no status de 21/01._x000a_Proxima etapa será homologação TAM (30DIAS) _x000a__x000a_[18/12] - Aguardando conclusão de liberações de acesso para Fornecedor ISYS [ LW - CSE ], previsão conclusão 18/12._x000a_O fornecedor ISYS iniciará desenvolvimento dia 04/01. Previsão de disponibilização do ambiente para Homologação da TAM em 02/03/16._x000a__x000a_[01/12] Servidores OK. Previsão de liberação na rede em 2/12._x000a_Pendente informação dos logins dos analistas pela ISYS para liberação do acesso nos novos servidores._x000a_Pendente status da disponibilização do AES_x000a_Cronograma enviado para atualização pela ISYS._x000a__x000a_[25/11] Aguardando retorno do Marangoni (área de Segurança) quanto alguns questionamentos realizados_x000a_Cliente está cobrando posicionamento_x000a__x000a_[18/11] Projeto está com as filas executoras e cronograma já foi feito._x000a_Necessário cobrar atividades de CSE, as mesmas não estão sendo pontuadas por eles._x000a__x000a_[15/10 – Leandro] Cronograma enviado em 20/10_x000a__x000a_[5/10 – Leandro]  Novo call envolvendo áreas técnicas  e cliente realizado dia 5/10. Próximos passos: cada área enviar suas lista  de atividades para montagem do cronograma._x000a_[18/09 – Dalton] Cronograma disponibilizado pelo Thiago Ferreira em 16/Set, neste momento estamos aguardando a definição do range de IPs pela equipe do Felipe Villa. _x000a_[28/09 - Leandro] Retorno pendente de ENG. Faremos um follow-up e cobrança desse assunto para prosseguimento."/>
    <s v="Fornecedor ISYS"/>
    <s v="Marcel/Priscila"/>
    <s v="ND"/>
    <s v="Desenvolvimento/Execução"/>
    <d v="2016-03-30T00:00:00"/>
    <n v="600"/>
  </r>
  <r>
    <s v="CTXSPOAP407-12458"/>
    <s v="Pesquisa de Satisfação Eletrônica URA"/>
    <s v="Antártica/SP"/>
    <s v="Operações que não estão no Plano de Recuperação"/>
    <x v="6"/>
    <s v="Noemia Ferro"/>
    <s v="Maurício Perez"/>
    <x v="5"/>
    <s v="George Dimitrov"/>
    <s v="URA"/>
    <d v="2015-09-09T00:00:00"/>
    <n v="255"/>
    <d v="2015-08-01T00:00:00"/>
    <s v="TBD"/>
    <s v="TBD"/>
    <s v="TBD"/>
    <s v="TBD"/>
    <m/>
    <s v="17/05 - Mesmo status_x000a_11/05 - Mesmo status_x000a_04/05 - Aguardando aprovação do solicitante_x000a_27/04 - Aguardando aprovação_x000a_19/04 - Proposta enviada pela ISYS e necessário inclusão na fila de ENG (equipe de infra se é possível disponibilizar um Servidor de Banco de Dados ou se já temos um disponível sendo usado pela operação)_x000a_13/04 - Mesmo status_x000a_06/04 - Mesmo status_x000a_01/04 - Questionamentos enviados pela Information no dia 21/03. _x000a__x000a_Aguardando resposta do Santander_x000a__x000a_29/03 - Mesmo status_x000a_15/03 - Mesmo status_x000a_08/03 - Mesmo status_x000a_29/02 - Aguardando geração de pedido_x000a_22/02 - Mesmo status_x000a_16/02 - Aguardando DE ACORDO do solicitante em relação a proposta enviada pelo fornecedor_x000a_10/02 - Mesmo status_x000a_02/02 - Mesmo status_x000a_[28/01] - Aguardando aceite por parte do solicitante_x000a_[26/01] Aguardando proposta da ISYS_x000a_[26/11] Solicitação de proposta técnica/comercial para a Information. Aguardando retorno_x000a_[18/11] Pendente informações por parte de negócios (George / Veronica / Noemia)_x000a_14/10]] Análise de orçamento junto a Information Systems_x000a_[19/09 - Dalton] – encaminhado para George questionamentos levantados pela information, aguardando retorno._x000a_[18/09 - Dalton] Aguardando análise e orçamento da Information."/>
    <s v="Solicitante"/>
    <s v="George Dimitrov"/>
    <s v="Sem previsão"/>
    <s v="Desenvolvimento/Execução"/>
    <m/>
    <m/>
  </r>
  <r>
    <s v="CTXSPOBF-119863"/>
    <s v="Melhoria Relatório Screen Pop"/>
    <s v="Antártica/SP"/>
    <s v="Operações que não estão no Plano de Recuperação"/>
    <x v="6"/>
    <s v="Noemia Ferro"/>
    <s v="Maurício Perez"/>
    <x v="5"/>
    <s v="George Dimitrov"/>
    <s v="Desenvolvimento"/>
    <d v="2015-06-12T15:48:00"/>
    <n v="343.34166666666715"/>
    <d v="2015-08-01T00:00:00"/>
    <s v="Sim"/>
    <s v="-"/>
    <s v="06/05/2016_x000a_19/05/2016"/>
    <s v="Sim_x000a_Sim"/>
    <m/>
    <s v="17/05 - Mesmo status_x000a_11/05 - Reprogramado devido solicitação da operação. A homologação foi remarcada para dia 19/05, marcaremos a entrega de atualização da nova versão do SPOP em todas as PAS da operação no dia 31/05._x000a_04/05 - Homologação marcada para dia 06/05 para finalização do projeto._x000a_29/04 - Testes realizados e OK..._x000a_01/04 - Cronograma em andamento. Previsão de entrega - 13/05_x000a_29/02 - Desenvolvimento pela ISYS previsto para terminar em 15/04. Após isso será disponibilizado para testes e homologação. Depois de homologado, entrará as atividades do site TI prevista para início em 02/05_x000a_22/02 - Mesmo status_x000a_16/02 - Information repassou o Cronograma de desenvolvimeto da aplicação. Devido a complexibilidade, recebemos a previsão de implantação em produção em 13/05. Já alinhado com a operação (Veronica)._x000a__x000a_10/02 - Cronograma elaborado e andando conforme_x000a_02/02 - Aguardando elaboração de cronograma pela ISYS_x000a_[26/01] Pedido gerado. Aguardando cronograma da ISYS para execução_x000a_[17/11] Solicitações de compras geradas -&gt; Aguardando aprovações no fluig -&gt; Falta Ibrahim_x000a_[27/10– Bruno/Leandro] Em tratativa com controladoria  referente a SC, Information aguardando esse trâmite interno para dar inicio ao cronograma por parte deles._x000a__x000a_[05/10 – Dalton/Leandro] Aguardando o “de acordo” do Cliente referente à Proposta da Information Systems para prosseguir com o Projeto._x000a_[18/09 – Leandro] Aguardando o “de acordo” do Cliente referente à Pr Assim que se tiver esses usuários, se dará inicio nas movimentações.oposta da Information Systems para prosseguir com o Projeto."/>
    <s v="Solicitante"/>
    <s v="George Dimitrov"/>
    <d v="2016-05-06T00:00:00"/>
    <s v="Desenvolvimento/Execução"/>
    <m/>
    <m/>
  </r>
  <r>
    <s v="CTXSPOBF-124602"/>
    <s v="Discador para Ciclo de Vida e Finauto"/>
    <s v="Alegria/SP"/>
    <s v="Operações que não estão no Plano de Recuperação"/>
    <x v="6"/>
    <s v="Noemia Ferro"/>
    <s v="Carlos Batista"/>
    <x v="1"/>
    <s v="George Dimitrov"/>
    <s v="Desenvolvimento"/>
    <d v="2015-08-31T00:00:00"/>
    <n v="264"/>
    <d v="2015-08-01T00:00:00"/>
    <s v="Não"/>
    <s v="TBD"/>
    <s v="TBD"/>
    <s v="TBD"/>
    <m/>
    <s v="[17/05] - EF esta sendo validada pela equipe de Aplicações, retorno previsto 18/05._x000a__x000a_[03/05] Servidor a ser concluido por CSE ainda pendente. Cal realizada para tirar duvidas sobre EF._x000a__x000a_[03/05] Servidor a ser concluido por CSE em 04/05. Novas duvidas levantadas por aplicações a serem encaminhadas para solicitante._x000a__x000a_[26/04] A etapa de disponibilização da infra está em execução e terá seus servidores entregues no dia de terça-feira(27/04)._x000a_Ao consultar o cronograma do projeto, notei que ele ainda não existe data do desenvolvimento, por estar em analise do time de aplicações dos itens que estavam pendentes da EF. Ainda sem previsão de retorno. Email para Marcelo Guedes._x000a__x000a_[19/04] - Aguardando Cronograma CSE._x000a__x000a_[12/04] - Infra Servidores definida por Arquitetura e EF fase final de validação por Aplicações. Encaminhando para fila de Execução (CSE). Proximo passo avaliação e definição de  esforço, insumo e Cronograma de execução ( Criação Maquinas)_x000a__x000a_[05/04] - Esclarecimentos da EF ( solicitante) recebidos em 05/04 e encaminhados  para equipe Tecnica Aplicações. . Em paralelo , equipe Engenharia avaliando premissas de Infra TI par aatender a nova Aplicação._x000a__x000a_[29/03] -  Pendencia Solicitante  - Aguardando  retorno do solicitante para os esclarecimentos a EF._x000a__x000a_[22/03] - Aguardando  retorno do solicitante para os esclarecimentos a EF._x000a_Projeto direcionado para fila de Engenharia para validação de primissas de Infra estrutura solicitadas por Aplicações ._x000a__x000a_[15/03] - EF recebida em  10/03. Projeto encaminhado para fila de Aplicações. (Aguardando analise EF e mapeamento de esforço e necessidade insumos TI._x000a__x000a_[11/03] - EF recebida em 10/03. Considerações e questionamentos esclarecidos com Solicitando. Aguardando validação da EF com Operação . Proximo passo - encaminhar EF para analise da equipe de Aplicações._x000a_Solicitante informado que o projeto será encerrado em 09/03, pois ainda não consta EF. _x000a__x000a_[29/02] - Aguardando EF com escopo atualizado._x000a__x000a_[23/02] - Mudança de Escopo. Entendimento Escopo do projeto realizado com equipe Projeto Negocios (George) e GerOperação (Veronica). Aguardando EF atualizada para _x000a_direcionar projeto para fila de Aplicações. Necesidade: Front End integrada com discador com possibilidade de discagem manual. Mantendo mesmas funcionalidades da aplicação atual em produção._x000a__x000a_[16/02] - Avaliando proposta Tecnica TQS com equipe Aplicações._x000a__x000a_[10/02] - Avaliando proposta tecnica do fornecedor ._x000a__x000a_[02/02] - Necessário levantar maiores esclarecimentos com C. Sasaki e Engenharia (Telecom), para esclarecer escopo e como foi elaborada a proposta Comercial do fornecedor TQS._x000a_Avaliar com fornecedor a possibilidade de execução piloto sem custos._x000a__x000a_[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_x000a__x000a_[26/01] - sEM ALTERAÇÃO._x000a__x000a_[21/01] - Proposta Comercial Contax encaminhada para aprovação do cliente Santander em 02/12 ( Solução TQS). Ainda não obtivemos retorno sobre a aprovação. O cliente solicitou a realização de um Piloto antes da aprovação da Proposta._x000a_Solução FF descartada, pois o escopo contempla Operação Blended e o FF não foi customizado para operações Bended. (C. Sasaki - 21/01)_x000a__x000a_[17/11 - George] Solicitada nova proposta comercial para a Ayty. Finalizando documentação da operação para orçamento._x000a__x000a__x000a_[14/10 – Dalton/Leandro] Pontos de atenção:_x000a_-Aprovação proposta TQS pelo solicitante  Esclarecido dúvidas sobre TQS / aguardando decisão da possibilidade de um benck mark em outro cliente)_x000a_-Desenho da topologia (Pendente com ENG)._x000a_-Preenchimento Quadro TODO´s (George complementou itens referentes a ele.)._x000a__x000a_[05/10 – Dalton/Leandro] Pontos de atenção:_x000a_-Aprovação proposta TQS pelo solicitante (Pendente conversa entre Suporte ao Negócio/Projetos/Aplicações) para esclarecer a necessidade de se contratar a TQS._x000a_-Desenho da topologia (Pendente com ENG)._x000a_-Preenchimento Quadro TODO´s (Necessário apoio George)._x000a_[23/09 - Leandro] Washington realizou a análise do discador e decidiu-se pelo Aspect 7.1._x000a_Próximos passos antes da execução:_x000a_Orçamento TQS; _x000a_Desenho da topologia;_x000a_Saber-se se o Link é do cliente ou não._x000a__x000a_[18/09 – Leandro] Ainda encontra-se em análise pela equipe de CSE e aplicações_x000a_[16/09 - Leandro] Realizando levantamento com área de CSE sobre a viabilidade do uso das ferramentas APC ou Aspect para atender a demanda_x000a_"/>
    <s v="APP/CSE"/>
    <s v="Fernanda / LW"/>
    <s v="ND"/>
    <s v="Desenvolvimento/Execução"/>
    <s v="ND"/>
    <m/>
  </r>
  <r>
    <s v="CTXSPOBF-98975"/>
    <s v="Topologia tGuindance"/>
    <s v="Alegria/SP"/>
    <s v="Operações que não estão no Plano de Recuperação"/>
    <x v="6"/>
    <s v="Noemia Ferro"/>
    <s v="Carlos Batista"/>
    <x v="2"/>
    <s v="George Dimitrov"/>
    <s v="Desenvolvimento"/>
    <d v="2014-07-24T00:00:00"/>
    <n v="667"/>
    <d v="2015-08-01T00:00:00"/>
    <s v="Não"/>
    <s v="TBD"/>
    <s v="TBD"/>
    <s v="TBD"/>
    <m/>
    <s v="[16/05] - Mesmo status_x000a_[10/05] - Mesmo status_x000a_[03/05] - Mesmo status_x000a_[25/04] - Mesmo status_x000a_[19/03] - Mesmo status_x000a_[12/4] - Aguardando aprovação do cliente _x000a_[4/4] - Cliente solicita os logs em documento. Solicitado informações a equipe de MS. [29/03] - Mesmo status_x000a_[22/3] - Mesmo Status_x000a_[15/03] - Mesmo status_x000a_[08/03] - Encaminhado os logs dos servidores para George. Aguardando aprovação do cliente. _x000a_[29/02] - Solicitado o processo de log dos servidores para equipe de MS.    _x000a_[23/02] - Aguardando resposta da equipe de aplicações para o processo de log dos servidores do tGuidance.                                                                                                                                    [16/02] - Agendado reunião de alinhamento com George                                           [10/02] - Mesmo status                                                                                                                                                                                                                                                                                                               02/02 - Mesmo status_x000a_26/01 - Mesmo status _x000a_VERIFICAR COM O GEORGE_x000a_[05/10 – Dalton/Leandro] Aguardando Robson Costa com aceite do cliente para prosseguimento_x000a_[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_x000a_[18/09 – Leandro] faltando OK do cliente._x000a_[16/09 - Leandro] Realizado follow-up presencial com Robson Costa, os mesmos mencionaram não terem conseguido o de acordo do cliente ainda._x000a_"/>
    <s v="Solicitante"/>
    <m/>
    <s v="TDB"/>
    <s v="Levantamento de informações"/>
    <s v="TDB"/>
    <m/>
  </r>
  <r>
    <s v="CTXSPOLP-111956"/>
    <s v="Projeto - Monitoria da Qualidade "/>
    <s v="Todos das operações Oi, Claro, VIVO e NET"/>
    <s v="Plano Recuperação"/>
    <x v="2"/>
    <s v="Giuseppe"/>
    <s v="Mauricio Lustosa"/>
    <x v="6"/>
    <s v="Brigida Gouveia"/>
    <s v="Desenvolvimento"/>
    <d v="2015-09-23T00:00:00"/>
    <n v="241"/>
    <d v="2015-10-01T00:00:00"/>
    <s v="Não"/>
    <s v="TBD"/>
    <s v="TBD"/>
    <s v="TBD"/>
    <m/>
    <s v="16/5 - Liberação acesso TSA e Genesys em andamento. Equipes TI local enviou mapeamento dos IPs dos sites._x000a_MIS - Qualidade enviou escopo para análise._x000a__x000a_10/5 - Liberação acesso das aplicações TSA e Genesys nos Sites em andamento:_x000a_- TSA - Operação deve abrir chamado p/ liberação Proxy (em andamento);_x000a_- Genesys - Operação deve enviar IP das estações para enviarmos demanda para CSE (procedimento + planilha para extração do IP enviado para os supervisroes) - aguardando retorno da operação._x000a__x000a_MIS - Aguardando escopo Operação para análise e cronograma._x000a__x000a_12/04 - Fase 1 (Alegria): Em implantação/ajustes_x000a_Fase 2 (liberação outros sites): Na fila de Engenharia com previsão para entrega da análise em 15/04_x000a_Fase 3 (MIS): Em planejamento_x000a_29/03 - Dois dias de atraso em Claro e Net e um dia na Vivo e Oi._x000a_Em homologação_x000a_22/03 - Mesmo status_x000a_17/03:_x000a_Etapa concluída:_x000a_Liberação de acessos ao ambiente Oi, Vivo, Valro e NETa partir do site Alegria;_x000a_Criação da VPN TSA x Genesys_x000a__x000a_Pontos de atenção:_x000a_Homlogação do acesso aos sistemas a partir do Alegria;_x000a_Instabilidade VPN TSA_x000a_Acesso ambiente TSA e Genesys_x000a__x000a_Próximos passos:_x000a_Preparação máquinas para homologaç~dos acessos_x000a_Homologação dos acessos pela equipe de qualidade, TSA e Genesys - 21/03_x000a_Transporte e preparação das PAs no Site Alegria - 21/03 (Claro) 24/03 (NET) 28/03 (Oi e Vivo)_x000a__x000a_08/03 - Etapas concluídas:_x000a_Liberações de acesso CTC Dom Pedro para Oi, VIVO, Claro e Net_x000a_Separação de 55 estações com controle de ativos_x000a_Desenho da solução acesso para a operação no Site Alegria_x000a_Criação de servidores TS para Claro e VIVO_x000a_Criação de usuário TS_x000a__x000a_Pontos de atenção:_x000a_Liberação de acessos pelos clientes (Oi principalmente)_x000a_Homologação do acesso aos sistemas a partir do Alegria_x000a__x000a_Próximos passos: _x000a_Liberações de acessos ao site Alegria_x000a_Preparação das estações para homologação - 11/03_x000a_Homologação dos acessos pela equipe de qualidade - 16/03_x000a_Homologação dos acessos pela equipe Genesys e TSA - 18/03_x000a_Transporte e preparação das PAs no site alegria - 18/03 (Claro) , 21/03 (NET), 24/3 (Oi e VIVO)_x000a_16/02 - Etapas concluídas:_x000a_Separação de 55 estações com controle de ativos;_x000a_Mapeamento de 95% dos 130 sistemas;_x000a_Análise de banda WEB para acesso via VPN/Web;_x000a__x000a_Pontos de atenção:_x000a_Liberação de acesso para treianemnto CTC D.Pedro_x000a_Liberação de acesso pelos clientes (Oi principalmente)_x000a_Licenças terminal services (acessos Vivo e Claro)_x000a__x000a_Próximos passos:_x000a_Análise e liberação de acessos Rede Contax - CTC D. Pedro_x000a_Análise e liberação de acessos Rede Contax - Site Alegria_x000a_Transporte de estações Lapa &gt; Alegria_x000a_Homologar estação Alegria_x000a__x000a_Previsão: 20/mar_x000a__x000a__x000a_02/02 - Mesmo status_x000a_26/01 - Mesmo status _x000a_15/1 - projeto retomado. Kick off agendado com Genesys e TSA_x000a_15/10-Leandro] Projeto encaminhado a fila do site para Análise e estimativa / Acionamento de sites para estudo de mapeamento de sistemas atrelados - na fila._x000a__x000a_Dalton Bondesan added a comment - 29/Set/15 14:50 _x000a_Projeto encaminhado a fila do site para Análise e estimativa. "/>
    <s v="Projetos TI"/>
    <s v="Leonardo Marques"/>
    <d v="2016-05-20T00:00:00"/>
    <s v="Planejamento"/>
    <d v="2016-05-31T00:00:00"/>
    <n v="54"/>
  </r>
  <r>
    <s v="CTXFORBM-323275"/>
    <s v="Projeto para efetuarmos controle de pausas no tCollect! da Retenção Invol"/>
    <s v="Santo Amaro"/>
    <s v="Operações que não estão no Plano de Recuperação"/>
    <x v="4"/>
    <s v="Ana Coelho"/>
    <s v="Ana Sosa"/>
    <x v="2"/>
    <s v="Tatiane Rodrigues Dallecrode "/>
    <s v="Desenvolvimento"/>
    <d v="2015-09-29T00:00:00"/>
    <n v="235"/>
    <d v="2015-10-21T00:00:00"/>
    <s v="Não"/>
    <s v="TBD"/>
    <s v="TBD"/>
    <s v="Risco - A equipe técnica está com várias ações concorrentes "/>
    <m/>
    <s v="[16/05] - Mesmo status_x000a_[10/05] - Mesmo status_x000a_[03/05] - Mesmo status_x000a_[25/4] - mesmo status_x000a_[19/04] - Mesmo Status_x000a_[12/4] - Aguardando a conclusão do POP_x000a_[4/4] - Mesmo status_x000a_[29/03] Mesmo status_x000a_[22/03] Mesmo status_x000a_[15/03] - Mesmo status_x000a_08/03 - Em hold_x000a_[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
    <s v="Aplicações"/>
    <s v="Camilla Fermiano"/>
    <s v="TDB"/>
    <s v="Hold"/>
    <s v="TDB"/>
    <n v="384"/>
  </r>
  <r>
    <s v="CTXSPOAP407-13236"/>
    <s v="Projeto - Solução infraestrutura (servidor e link) para relatórios de Televendas"/>
    <s v="Corporativo"/>
    <s v="Operações que não estão no Plano de Recuperação"/>
    <x v="2"/>
    <s v="Giuseppe"/>
    <s v="José Maria"/>
    <x v="5"/>
    <s v="Pedro Bazzarella"/>
    <s v="Infraestrutura"/>
    <d v="2015-11-11T00:00:00"/>
    <n v="192"/>
    <d v="2015-11-17T00:00:00"/>
    <s v="Não"/>
    <s v="TBD"/>
    <s v="TBD"/>
    <s v="TBD"/>
    <m/>
    <s v="17/05 - Mesmo status_x000a_11/05 - Aguardando desenvolvimento da equipe de informacional para validação._x000a_02/05 - Necessário o acesso da equipe de BI na base do aspect para extração de relatórios.  Já foi incluído na fila de aplicações, porém o Marcelo Caldeira entrará em contato para verificar se um desenvolvimento que eles estão fazendo pode ser aplicado para extração desses relatórios._x000a_27/04 - Liberações e bancos de dados liberados. Aguardando homologação_x000a_20/04 - Liberações foram feitas. Hoje teremos uma reunião para definição do projeto_x000a_12/04 - Mesmo status_x000a_06/04 - Aguardando retorno de CSE_x000a_29/03 - Não homologado. LW solicitado para identificar o problema. Aguardando_x000a_14/03 - Servidor piloto disponibilizado. Aguardando homologação_x000a_08/03 - Aguardando homologação_x000a_01/03 - Aguardando homologação por parte do solicitante, referente ao Servidor Piloto_x000a_10/02 - Servidor piloto já foi elaborado (CSE e ENG). Hoje a equipe de negócios passou a relação dos usuários que precisam ter acesso a esse servidor. LW irá cadastrar... Para o servidor definitivo, é necessário uma outra call e definição melhor do escopo_x000a_02/02 - No call houve a mudança de escopo, Engenharia está elaborando a documentação com previsão de término até amanhã (03/02)_x000a_[28/01] Proposta enviada por Engenharia e aguardando aprovação por parte do solicitante._x000a_[26/01] Tivemos uma call no início da semana com o José Maria, Eder e o Maurício Lustosa._x000a__x000a_Esse projeto tinha um escopo inicial e foi mudado totalmente o escopo:_x000a_• Requisitos funcionais com dimensões bem maiores;_x000a_• Dois servidores ao invés de um;_x000a_• Necessidade de piloto (o que não estava contemplado no escopo inicial)._x000a_"/>
    <s v="Solicitante"/>
    <s v="Pedro Bazzarela"/>
    <s v="Sem previsão"/>
    <s v="Desenvolvimento/Execução"/>
    <m/>
    <m/>
  </r>
  <r>
    <s v="CTXSPOAL-94230"/>
    <s v="Projeto - Desenvolvimento de tabulador Contax para substituição do DefyIT"/>
    <s v="Alegria/SP"/>
    <s v="Plano Recuperação"/>
    <x v="0"/>
    <s v="Noemia Ferro"/>
    <s v="Maurício Perez"/>
    <x v="5"/>
    <s v="Carlos Batista"/>
    <s v="Desenvolvimento"/>
    <d v="2015-09-22T00:00:00"/>
    <n v="242"/>
    <d v="2015-11-18T00:00:00"/>
    <s v="Não"/>
    <d v="2016-05-13T00:00:00"/>
    <d v="2016-05-20T00:00:00"/>
    <s v="TBD"/>
    <m/>
    <s v="17/05 - Aguardando a homologação do cliente quanto aos tReports default e solicitados para fechar o projeto_x000a_11/05 - tReports funcionando normalmente. Aguardando validação da operação para podermos iniciar os novos desenvolvimentos._x000a_02/05 - tReports default já foram disponibilizados. Aguardando homologação por parte do solicitante desde 29/abr.  Foram solicitados novos desenvolvimentos que estão em análise da previsão de entrega pela equipe de aplicações_x000a_27/04 - Hoje estamos nas fases de testes do tReports (visão default) para disponibilização à operação homologar.  A operação necessita de mais relatórios a serem enviados para o Cliente, estamos analisando o esforço para disponibilizarmos o BD para BI, conforme solicitado, pois será necessário novo desenvolvimento_x000a__x000a_20/04 - Sistema implantado. tReports (visão default) está previsto para ser implementado em 27/abr.  A operação necessita de mais relatórios a serem enviados para o Cliente, estamos analisando o esforço para disponibilizarmos o BD para BI, conforme solicitado, pois será necessário novo desenvolvimento_x000a_13/04 - Testes do tGuidance realizados com sucesso no dia 11/04 e dia 12/04. Homologação do cliente realizada no dia 12/04. _x000a_Entrada em produçã do tGuidance será realizada faseadamente. Já temos dois operadores utilizando, dia 14/04 subirão mais 4 operadores para produção e dia 15/04 tod aoperação entrará em produção_x000a_tSupervisor OK._x000a_Começaremos o desenvolvimento do tReports para implantar. Cronograma passaremos até o dia 15/abr_x000a_06/04 - Tivemos atrasos em algumas atividades devido a problemas no banco de dados do Tguidance. Sendo assim, foi reprogramada a entrega do FF para dia 11/04. Aguardando de acordo do cliente para homologação.  A instalação do ambiente tReports (relatórios) será iniciada após a homologação do cliente._x000a_28/03 - Mesmo status_x000a_22/03 - Cronograma já enviado À equipe de negócios e operação. Data prevista para conclusão é dia 07/abr"/>
    <s v="Solicitante"/>
    <s v="Carlos Batista"/>
    <s v="TBD"/>
    <s v="Desenvolvimento/Execução"/>
    <m/>
    <m/>
  </r>
  <r>
    <s v="CTXMTZPB-1118"/>
    <s v="Restrição de Transferência"/>
    <s v="Borges de Melo/CE_x000a_João Pessoa/PB_x000a_Mackenzie/RJ_x000a_Niterói/RJ_x000a_Santo Amaro/PE"/>
    <s v="Plano Recuperação"/>
    <x v="4"/>
    <s v="Ana Coelho"/>
    <s v="Ana Sosa"/>
    <x v="7"/>
    <s v="Luiz Matheus"/>
    <s v="Desenvolvimento"/>
    <d v="2015-12-03T00:00:00"/>
    <n v="170"/>
    <d v="2015-12-17T00:00:00"/>
    <s v="Sim"/>
    <s v="N/A"/>
    <d v="2016-05-31T00:00:00"/>
    <s v="Risco"/>
    <m/>
    <s v="17/05 - Rollout Site João Pessoa finalizado. Redefinido o cronograma e houve atraso de 15 dias._x000a_10/05 - Rollout Niterói finalizado. Iniciado Piloto em João Pessoa. _x000a_02/05 - Piloto Santo Amaro inciado. Rollout Niterói programado para 04/05._x000a_19/04 - Piloto Santo Amaro programado para início em 20/04._x000a_12/04 - Piloto em andamento._x000a_05/04 - Iniciado Piloto no Site Niterói _x000a_29/03 - Cronograma em linha._x000a_22/03 - Cronograma fechado. _x000a_15/03 - Definindo cronograma. Entrega 16/03._x000a_10/03 - Finalizada a EF. Aguardando data APP._x000a_08/03 - Necessário conferência entre aplicações e buscando agenda para quarta._x000a_02/03 - Ana fez a definição da solução a ser adotada;_x000a_Enviado para a área de aplicações para fazer entendimento e reprogramar cronograma._x000a_22/02 - Ana informou que alinhará com PH no dia 23/02 para definir a solução a ser adotada. _x000a_16/02 - Alinhado novo desenho de solução proposto pela área de APP. _x000a_Aguardando definição do cliente._x000a_11/02 - Ana informou à equipe q a solução desenhada não atende. _x000a_- Rivaldo avaliando com a equipe._x000a_10/02 - Em linha. _x000a_03/02/2016 - Alinhamento das necessidades de definição de layout com a operação;_x000a_- Alexandre ainda não enviou a EF final, FUP realizado; _x000a_- Operação já definiu mesagem a ser apresentada para o operador e aguarda EF para incluir;_x000a_- Operação já definiu &quot;última transferência&quot;, após recebimento da EF será inserida na mesma._x000a_28/01 - Fechamento do cronograma._x000a_27/01 - Kickoff com os Sites. Envio do cronograma para validação (SItes e Aplicações)_x000a_26/01 - Mesmo status _x000a_09/01/2016 - Início do tratamento do projeto._x000a_Definição das etapas macro e avaliação da EF._x000a_14/01/2016 - Kickoff com a participação da área de desenvolviemnto e operações para apresentação da solução desenhada._x000a_Mudança de escopo, acordada entrega de nova EF dia 15/01/2016._x000a_Envio do draft da solução para aprovação de operações._x000a_18/01/2016 - Entrega da nova EF com o detalhamento da alteração de escopo._x000a_Início da avaliação pela área de desenvolvimento."/>
    <s v="Projetos TI"/>
    <s v="Julio Silva"/>
    <s v="N/A"/>
    <s v="Desenvolvimento/Execução"/>
    <d v="2016-05-31T00:00:00"/>
    <n v="1200"/>
  </r>
  <r>
    <s v="CTXRECSA-371873"/>
    <s v="Projetos bolha - Troca do sistema WinXP para Win7 em todas as operações do Itaú nos estados de PE"/>
    <s v="Cabula/Santo Amaro"/>
    <s v="Plano Recuperação"/>
    <x v="3"/>
    <s v="Ricardo Araújo"/>
    <s v="Celso Miranda"/>
    <x v="2"/>
    <s v="Marco Brandão"/>
    <s v="Desenvolvimento"/>
    <d v="2015-09-03T00:00:00"/>
    <n v="261"/>
    <d v="2015-09-25T00:00:00"/>
    <s v="Sim"/>
    <d v="2016-02-02T00:00:00"/>
    <s v="28/04/2016_x000a_TBD"/>
    <s v="Risco - O Banco ainda não aprovou a utilização do tSupervisor"/>
    <m/>
    <s v="[16/05] - Aguardando aprovação do banco para a utilização do tSupervidor_x000a_[10/05] - Banco solicita novamente uma call para tirar dúvidas do tSupervisor._x000a_[02/05] - Banco fez novamente questionamentos sobre a aplicação. Prazo de entrega 04/05_x000a_[25/04] - Mesmo status_x000a_[19/4] - Mesmo status_x000a_[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s v="Solicitante"/>
    <s v="Marco Brandão"/>
    <s v="TDB"/>
    <s v="Análise "/>
    <d v="2016-04-28T00:00:00"/>
    <n v="3076"/>
  </r>
  <r>
    <s v="CTXPOARB-95971"/>
    <s v="Projeto - Melhoria no Discador Disca Fácil - Priorizar Contatos por horário (Souza Cruz)"/>
    <s v="Porto Alegre/RS"/>
    <s v="Plano Recuperação"/>
    <x v="0"/>
    <s v="Rodrigo Zambon"/>
    <s v="Maurício Cardoso Gomes"/>
    <x v="7"/>
    <s v="Fabrício Peixoto"/>
    <s v="Desenvolvimento"/>
    <d v="2015-11-04T00:00:00"/>
    <n v="199"/>
    <d v="2015-12-23T00:00:00"/>
    <s v="Sim"/>
    <d v="2016-01-19T00:00:00"/>
    <d v="2016-08-01T00:00:00"/>
    <s v="Risco"/>
    <m/>
    <s v="17/05 - Aguardando posição da Operação (Juliano) para início do desenvolvimento da segunda fase._x000a_10/05 - Aguardando finalização de homologação primeira fase projeto. Previsão 16/05._x000a_03/05 - Início do desenvolvimento previsto para 06/05._x000a_22/01/2016 - Desevolvimento se iniciará após entrega do Projeto CTXPOARB- 95971."/>
    <m/>
    <m/>
    <m/>
    <s v="Na Fila"/>
    <m/>
    <n v="75"/>
  </r>
  <r>
    <s v="CTXPOARB-91679"/>
    <s v="Projeto - Melhoria no discador da Operação Souza Cruz"/>
    <s v="Porto Alegre/RS"/>
    <s v="Plano Recuperação"/>
    <x v="0"/>
    <s v="Rodrigo Zambon"/>
    <s v="Maurício Cardoso Gomes"/>
    <x v="7"/>
    <s v="Fabrício Peixoto"/>
    <s v="Desenvolvimento"/>
    <d v="2015-07-29T00:00:00"/>
    <n v="297"/>
    <d v="2015-12-23T00:00:00"/>
    <s v="Sim"/>
    <d v="2016-01-19T00:00:00"/>
    <d v="2016-05-05T00:00:00"/>
    <s v="Sim"/>
    <m/>
    <s v="17/05 - Aguardando validação da operação._x000a_10/05 - Encontrado 2 problemas. Em tratamento. Previsão 16/05._x000a_03/05- Gmud realizada. Em acompanhamento de pós implantação._x000a_26/04 - GMUD reprogramada para 29/04._x000a_19/04 - GMUD cancelada a pedido da operação. Aguardando data de disponibilidade da área de desenvolvimento._x000a_21/03 - Cronograma em linha._x000a_14/03 - Finalizada a adequação do cronograma e disponibilizado o mesmo._x000a_11/03 - Operação solicitou adiamento de duas semanas na execução da GMUD, para 15/04. Validando com as áreas executoras._x000a_08/03 - Cronograma em validação pela área de aplicações. Finalização 10/03._x000a_02/03 - Para remarcação da GMUD foi estabelecido o pré-requisito de realização de backup do ambiente;_x000a_Infra do Site para backup tem data estimada de disponibilização 23/03;_x000a_Será enviado para a diretoria para verificação._x000a_23/02 - GMUD cancelada a pedido do cliente. Aguardando nova data de disponibilidade da área para reprogramação._x000a_22/02 - GMUD 19226 aberta para a implantação da nova versão da solução. Buscando aprovação da diretoria._x000a_16/02 - Em linha._x000a_10/02 - Em linha._x000a_03/02/2016 - Aprovada pela operação a nova versão de software. _x000a_- Em programação do Piloto._x000a_29/01/2016 - Agendado o teste na posição de atendimento para dia 03/02/2016, estava agendado para dia 01/02, porém o Site não teria como realizar._x000a_26/01/2016 - Em desenvolvimento pela área de aplicações._x000a_Cronograma disponibilizado para operações e TI Site._x000a_26/01/2016 - Liberação do ambiente remoto para aplicações._x000a_26/01/2016 - Em desenvolvimento pela área de aplicações._x000a_Cronograma disponibilizado para operações e TI Site._x000a_22/01/2012 - Finalizado o desenvolvimento."/>
    <s v="Aplicações"/>
    <s v="Alexandre Morais"/>
    <d v="2016-04-16T00:00:00"/>
    <s v="Na Fila"/>
    <m/>
    <n v="75"/>
  </r>
  <r>
    <s v="CTXMTZPB-1091"/>
    <s v="Projeto - PASSWORK - PILOTO"/>
    <s v="Acre/Boa Viagem"/>
    <s v="Plano Recuperação"/>
    <x v="2"/>
    <s v="Pedro Miranda"/>
    <s v="Nara Araujo"/>
    <x v="2"/>
    <s v="Fabrício Peixoto"/>
    <s v="Desenvolvimento"/>
    <d v="2015-11-27T00:00:00"/>
    <n v="176"/>
    <d v="2015-12-28T00:00:00"/>
    <s v="Sim"/>
    <s v="-"/>
    <s v="09/05/2016_x000a_20/05/2016"/>
    <s v="Risco - A equipe técnica está com várias ações concorrentes "/>
    <m/>
    <s v="[16/05] - Mesmo status_x000a_[10/05] - Nice soliictou uma reunião para uma avaliação das EFs. Data prevista 17/5_x000a_[03/05] - Atualizado EF da integração do Ecadop com TTV. Aguradando aprovação para envio a Nice._x000a_[25/04] - Aguardando aprovação das EFs (Negócio e Nice). _x000a_[19/04] - Aguardando Nice enviar cronograma. Prazo TDB [12/4] -Aguardando envio da EF. Prazo 11/4 _x000a_[5/4] - Realizado reunião hoje com a Nice para alinhamento das integrações e foi defindo que na sexta-feira Adalton irá encaminhar a EF e após o recebimento Nice encaminha o cronograma. [29/03] - Nice solicita reunião no dia 30/3 para tratar as integrações (tClock; Ecadop). _x000a_[22/03] Realizado reunião com Nice e alinhado as integrações que deveão ser realizadas. _x000a_[15/03] - Aguardando reunião do Rivaldo com a Nice dia 17/03._x000a_[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_x000a_[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
    <s v="Solicitante"/>
    <s v="Leandro Tauil"/>
    <d v="2016-05-04T00:00:00"/>
    <s v="Levantamento de informações"/>
    <s v="TDB"/>
    <n v="2000"/>
  </r>
  <r>
    <s v="CTXRECSA-440043"/>
    <s v="Discador SOC PE (GFE)"/>
    <s v="Santo Amaro/PE"/>
    <s v="Plano Recuperação"/>
    <x v="4"/>
    <s v="Ana Coelho"/>
    <s v="Ana Sosa"/>
    <x v="7"/>
    <s v="Luciana Cardoso"/>
    <s v="Desenvolvimento"/>
    <d v="2015-11-17T00:00:00"/>
    <n v="186"/>
    <d v="2016-01-11T00:00:00"/>
    <s v="Não"/>
    <s v="TBD"/>
    <s v="TBD"/>
    <s v="TBD"/>
    <m/>
    <s v="17/05 - TQS liberou a realização da atividade. Aguardando posicionamento de CSE para a disponibilizaçãodo ambiente. Data 19/05._x000a_10/05 - Mesmo status._x000a_03/05 - Mesmo status._x000a_19/04 - TQS informou que só pode dar andamento do Projeto após o fechamento do contrato. Suprimentos ainda em negociação. Sem data_x000a_12/04 - Aguardando agenda TQS._x000a_05/04 - Em aprovação pelo demandante._x000a_29/03 - Mesmo status_x000a_21/03 - Aguardando proposta fornecedor._x000a_11/03 - Enviadas as informações. Aguardando retorno APP._x000a_10/03 - Em levantamento de informações do discador para fechamento do escopo e solicitação de proposta ao fornecedor._x000a_08/03 - Definida a utilização de disca fácil+tGuidance. _x000a_Em verificação com engenharia de pré-requisitos informados pela área. 03/03 - Aplicações enviará as informações de definições do projeto dia 03/03._x000a_25/02 - Solicitado mais informações com relação ao ambiente Aspect._x000a_Em levantamento informações do Discador Aspect para fechamento da avaliação pelo fornecedor. Novo contato com Engenharia 02/03. _x000a_22/02 - Solicitado orçamento ao fornecedor TQS, sem data de envio._x000a_16/02 - EF enviada para avaliação da área de desenvolvimento. Resposta 19/02._x000a_10/02 - Providenciando EF - Elaine_x000a_02/01/2016 - Envio de solicitação de EF novamente._x000a_26/01 - Mesmo status _x000a_20/01/2016 - Em validação de EF._x000a_21/01/2016 - EF sendo corrigida de acordo com a demanda."/>
    <s v="Aplicações"/>
    <s v="Fabiana Carla"/>
    <s v="Sem previsão"/>
    <s v="Análise"/>
    <m/>
    <m/>
  </r>
  <r>
    <s v="CTXRJOMA-73888"/>
    <s v="Projeto - Projeto - Ferramenta de Automação OFF Line"/>
    <s v="Mackenzie/RJ"/>
    <s v="Operações que não estão no Plano de Recuperação"/>
    <x v="4"/>
    <s v="Ana Coelho"/>
    <s v="Ana Sosa"/>
    <x v="7"/>
    <s v="Luciana"/>
    <s v="Desenvolvimento"/>
    <d v="2015-08-10T00:00:00"/>
    <n v="285"/>
    <d v="2016-01-11T00:00:00"/>
    <s v="TBD"/>
    <s v="TBD"/>
    <s v="TBD"/>
    <s v="TBD"/>
    <m/>
    <s v="17/ 05 - Mesmo Status_x000a_0/05 - Mesmo status_x000a_19/04 - Mesmo status_x000a_29/03 - Mesmo status_x000a_10/03 - Orçamento finalizado. Aguardando aprovação do cliente._x000a_08/03 - respondidos os questionamentos da Elaine e com base na resposta ela solicitou que fosse realizada uma alteração no orçamento. 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 _x000a_TQS informa que ainda não houve uma definição pela Contax com relação ao contrato de manutenção, só será possível fazer orçamento após essa definição._x000a_10/02 - Conferência com fornecedor dia 11/02 para definir solução._x000a_04/02/2016 - Conferência será reagendada para 11/04/2016._x000a_03/02/2016 - Não foi possível realizar conferência. Agendada para o dia 04/02.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s v="Negócios"/>
    <s v="Elaine Fortunato"/>
    <s v="Sem previsão"/>
    <s v="Análise"/>
    <m/>
    <m/>
  </r>
  <r>
    <s v="CTXRJOED-56989"/>
    <s v="Projeto - Instalar Ferramenta de Automações Célula GFE - Engenho de Dentro"/>
    <s v="Niterói/RJ"/>
    <s v="Operações que não estão no Plano de Recuperação"/>
    <x v="4"/>
    <s v="Ana Coelho"/>
    <s v="Ana Sosa"/>
    <x v="7"/>
    <s v="Luciana"/>
    <s v="Desenvolvimento"/>
    <d v="2015-11-13T00:00:00"/>
    <n v="190"/>
    <d v="2016-01-11T00:00:00"/>
    <s v="TBD"/>
    <s v="TBD"/>
    <s v="TBD"/>
    <s v="TBD"/>
    <m/>
    <s v="17/ 05 - Mesmo Status _x000a_10/05 - Mesmo status_x000a_19/04 - Mesmo status_x000a_29/03 - Mesmo status_x000a_10/03 - Orçamento finalizado. Aguardando aprovação do cliente._x000a_08/03 - respondidos os questionamentos da Elaine e com base na resposta ela solicitou que fosse realizada uma alteração no orçamento.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_x000a_TQS informa que ainda não houve uma definição pela Contax com relação ao contrato de manutenção, só será possível fazer orçamento após essa definição._x000a_10/02 - Idem._x000a_04/02/2016 - Conferência será reagendada para 11/04/2016.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s v="Negócios"/>
    <s v="Elaine Fortunato"/>
    <s v="Sem previsão"/>
    <s v="Análise"/>
    <m/>
    <m/>
  </r>
  <r>
    <s v="CTXRECSA-452887"/>
    <s v="Projeto - Integração URA CO x Ferramenta Automação"/>
    <s v="Santo Amaro/PE"/>
    <s v="Operações que não estão no Plano de Recuperação"/>
    <x v="4"/>
    <s v="Ana Coelho"/>
    <s v="Ana Sosa"/>
    <x v="7"/>
    <s v="Anthonny"/>
    <s v="Desenvolvimento"/>
    <d v="2016-01-11T00:00:00"/>
    <n v="131"/>
    <d v="2016-01-14T00:00:00"/>
    <s v="Sim"/>
    <s v="N/A"/>
    <d v="2016-07-08T00:00:00"/>
    <s v="Sim"/>
    <m/>
    <s v="17/ 05 - Mesmo Status_x000a_10/05 - Cronograma em linha._x000a_03/05 - Cronograma em linha._x000a_26/04 - Cronograma em linha._x000a_12/04 - Cronograma em linha._x000a_04/04 - Realizado Kickoff do Projeto. Em andamento._x000a_29/03 - Mesmo status_x000a_21/03 - Cronograma em criação pela área desenvolvimento. Data: 31/03_x000a_15/03 - Recebida aprovação do cliente. Cronograma em confecção. Data 17/03._x000a_08/03 - Aguardando resposta do Cliente_x000a_26/02 - Aguardando resposta cliente._x000a_18/02 - Respostas enviadas. Aguardando aprovação do cliente._x000a_16/02 - Negócios solicitou a informação da validade da proposta e tempo estimado de implantação. Encaminhado à área de URA._x000a_04/10 - Operação avaliando custos. (Anthonny)_x000a_02/02/2016 - Envio dos custos para operação, aguardando avaliação._x000a_27/01/2016 - Kickoff agendado para 01/02/2016._x000a_19/01/2016 - Verificado que a URA CO não está sob a tutela de nosso contrato de desenvolvimento OI. Será necessário criar proposta ou incluir a mesma no contrato._x000a_20/01/2016 - Anthonny verificará a possibilidade de propormos a inclusão dessa URA no pool de desenvolvimento de URAs da OI._x000a_26/01/2016 - Envio do status da operação para desenvolvimento; &quot;decisão da operação pela não inclusão dessa URA no Pool&quot;._x000a_Devolutiva para verificação de caminho a seguir, desenvolver, solicitar código à Avaya ou orçar com Avaya."/>
    <s v="Aplicações URAs"/>
    <s v="Daniel Farias"/>
    <d v="2016-03-31T00:00:00"/>
    <s v="Desenvolvimento"/>
    <m/>
    <m/>
  </r>
  <r>
    <s v="CTXBHZRI-94859"/>
    <s v="Projeto - Implantar TCollect / Aspect: Escob R2, CD R2 e CD Móvel"/>
    <s v="Prado/MG"/>
    <s v="Plano Recuperação"/>
    <x v="4"/>
    <s v="Ana Coelho"/>
    <s v="Ana Sosa"/>
    <x v="7"/>
    <s v="Fabrício Peixoto"/>
    <s v="Desenvolvimento"/>
    <d v="2015-11-10T00:00:00"/>
    <n v="193"/>
    <d v="2016-01-14T00:00:00"/>
    <s v="Sim"/>
    <s v="N/A"/>
    <d v="2016-10-31T00:00:00"/>
    <s v="Risco"/>
    <m/>
    <s v="17/05 - Avaliando disponibilidade de licenças em outro Polo. Data 19/05_x000a_10/05 - Mesmo status._x000a_03/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10/03 - Validado pela engenharia, operação será no Polo Prado. _x000a_08/03 - Em validação de possibilidade de colocar operação no Polo Aspect Prado._x000a_03/03 - EF será disponibilizada 18/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Estratégia_x000a_"/>
    <s v="Neilor Márcio"/>
    <s v="18/03_x000a_"/>
    <s v="Análise"/>
    <m/>
    <m/>
  </r>
  <r>
    <s v="CTXMTZRP-42203"/>
    <s v="Projeto - Integração Barra Atendimento ao OSvC (Novo CRM Oi)"/>
    <s v="Mackenzie/RJ_x000a_Niterói/RJ_x000a_Borges de Melo/CE_x000a_Santo Amaro/PE_x000a_Comércio/BA_x000a_Boa viagem/BA"/>
    <s v="Plano Recuperação"/>
    <x v="4"/>
    <s v="Ana Coelho"/>
    <s v="Ana Sosa"/>
    <x v="5"/>
    <s v="Fernanda Nazário"/>
    <s v="Desenvolvimento"/>
    <d v="2015-06-11T00:00:00"/>
    <n v="345"/>
    <d v="2016-01-14T00:00:00"/>
    <s v="Não"/>
    <s v="TBD"/>
    <s v="TBD"/>
    <s v="TBD"/>
    <m/>
    <s v="17/05 - A data da entrada de operação na Bahia foi reprogramada para meados de junho (falta equipe de negócio confirmar). Aguardando homologação_x000a_Necessário fazer novo levantamento do parque de máquinas de todas as operações ´para verificarmos quais são as PAs aptas para entrada do CRM e estratégia de implantação_x000a_Decomissionamento: Realizando definições para envio à equipe de aplicações_x000a_11/05 - Aguardando retorno da operação para homologar as PAs da Bahia desde 09/mai. Sem retorno_x000a_PE: Operação funcionando normalemnte. _x000a_Decomissionamento: Aguardando respostas do solicitante_x000a_02/05 - Mesmpo status para ambos estados, porém a soliciatção de entrada de nova operação não será possível._x000a_27/04 - PE: Operação assistida dos operadores previstos para essa semana.  Foi solicitado pela Brigida entrada de nova operação.  Aguardando plano de roll out alinhado com a Oi para que TI possa analisar a viabilidade_x000a_BA: Configurações sendo realizadas na sala de treinamento, porém é necessário passar o login de rede dos operadores que realizarão o treinamento. Aguardando time de negócios _x000a_Decomissionamento: Chamado em análise pela equipe de aplicações_x000a__x000a_20/04 - PE: Treinamento realizado pela operação, máquinas da operação configuradas, homologação prevista para hoje, operação inicia no dia 25. Disponibilização de rede para o cliente em andamento_x000a_BA: Configurações sendo realizadas na sala de treinamento, porém é necessário passar o login de rede dos operadores que realizarão o treinamento. Aguardando time de negócios _x000a_Testes OSVC: Desenvolvimento realizado em 18/abr, testes agendados para a próxima semana (26,27)_x000a_Decomissionamento: Chamado aberto, incluindo na fila da equipe de aplicações, porém será necessário envio da EF por parte de negócios_x000a_13/04 - Máquinas de treinamento de PE configuradas e homologadas pela operação._x000a_Treinamento sendo realizado até dia15/04._x000a_Em paralelo estamos realizando a adequação das máquinas da operação em PE_x000a__x000a_06/04 - Cronograma alinhado com a equipe de negócio._x000a_Pendências: _x000a_Resultado dos testes no CTC em PE [Bruno Guerra, 06/abr]_x000a_Previsão de instalação do CRM nas máquinas do CTC em PE [Bruno Guerra, 08/abr]_x000a_Envio do layout de PE e BA [Brigida, 06/abr]_x000a_29/03 - PE:_x000a_Definições:_x000a_ Conseguimos 31PAs com os requisitos mínimos para a fase de estabilização do projeto;_x000a_ Treinamento será nos dias 12 e 13/abril no ECC (anexo do Santo Amaro)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Riscos_x000a_ Não é viável a utilização das mesmas PAs da operação para treinamento. Sendo assim, fica o ponto de atenção de não termos PAs adequadas para realização dos treinamentos_x000a__x000a_BA:_x000a_Definições:_x000a_ 169 PAs na BA  (cenário é mais confortável já que o parque de maquinas é novo e o nosso prazo de implantação é 25/05)_x000a_ 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_x000a_14/03 - Mesmo status._x000a_08/03 - Foi definida uma &quot;Fase de estabilização&quot; para abril em PE e em maio em BA.  Estamos realizando os alinhamentos das atividades necessárias para adequação das salas de treinamento e máquinas disponibilizadas_x000a_01/03 - Configuração já efetuadas para realização dos testes nos dias 01/03 e 02/03._x000a_23/02 - . A Oi esta se planejando para realizar novos testes nos dias 01 e 02/03, precisaremos deixar nossa parte preparada para novos testes._x000a_ _x000a_ _x000a_OBJETIVO PRINCIPAL:_x000a_ _x000a_Verificar se as novas informações disponibilizadas no servidor de contexto da Contax seriam enviadas corretamente ao OSvC, através da string do Front Fácil. Para a realização dos testes, foi necessário:_x000a_ _x000a_1. Viabilizar a transferência de chamadas de testes da URA Fixa_x000a_2. Adequar o FrontFácil para “popular” os campos da string com as novas informações_x000a__x000a_19/02 - Máquinas levantadas. Já com comercial para realizar proposta comercial._x000a_A Oi fez os testes nas máquinas hoje com sucesso._x000a_Próximos passos em definição_x000a_10/02 - Estamos levantando a quantidade de máquinas para Upgrade_x000a_02/02 - Foram levantados os custos de adequações das máquinas para suportar a aplicação nas regionais. Está com a equipe de comercial realizar a precificação. Em paralelo estamos realizando testes nas máquinas, performance e conectividade_x000a_28/01 - Call realizada. Está pendente a adequação das máquinas para aceitar a ferramente do OsVC... Plano de rollout já disponibilziado pela Oi, onde a primeira onda será em Recife (nosso pior cenário de máquinas)_x000a_26/01 - Mesmo status _x000a_14/01 - Preencher o formulário de abertura de projeto"/>
    <s v="CC Brasil"/>
    <s v="Brigida"/>
    <s v="TBD"/>
    <s v="Desenvolvimento/Execução"/>
    <m/>
    <m/>
  </r>
  <r>
    <s v="CTXNITSP-164357"/>
    <s v="Projeto - Projeto: Migração da URA Dealer (*803) p/ NGR"/>
    <s v="Niterói/RJ"/>
    <s v="Operações que não estão no Plano de Recuperação"/>
    <x v="4"/>
    <s v="Ana Coelho"/>
    <s v="Ana Sosa"/>
    <x v="7"/>
    <s v="Ricardo"/>
    <s v="Desenvolvimento"/>
    <d v="2015-07-17T00:00:00"/>
    <n v="309"/>
    <d v="2016-01-14T00:00:00"/>
    <s v="Não"/>
    <s v="TBD"/>
    <s v="TBD"/>
    <s v="TBD"/>
    <m/>
    <s v="17/ 05 - Mesmo Status_x000a_10/05 - Mesmo status._x000a_03/05 - SC aprovada. Em tramitação para a geração de pedido para o fornecedor._x000a_19/04 - Mesmo status._x000a_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_x000a_03/03 - Área de URA entrega informações de uso do banco de dados 03/03._x000a_26/02 - Recebida OG de Telecom. Aguardando avaliação BD do ambiente NGR. Buscando data de entrega da avaliação pela engenharia._x000a_18/02 - Definido que não será necessário utilizar ICR._x000a_- OG de CSE em montagem (26/02)_x000a_16/02 - Solicitado à área de URAS o encaminhamento das chamadas para avaliação com planejamento. (19/02)._x000a_11/02 - Enviado questionamento de utilização de ICR para área de roteamento.(Julio)_x000a_05/02 - Disponibilizada EF - Àrea de aplicações avaliando_x000a_26/01 - Mesmo status _x000a_14/01 - Agurando confecção da EF"/>
    <s v="Engenharia "/>
    <s v="Eder Herrero"/>
    <d v="2016-03-28T00:00:00"/>
    <s v="Na Fila"/>
    <m/>
    <m/>
  </r>
  <r>
    <s v="CTXNITSP-172614"/>
    <s v="Projeto - Projeto: Migração da URA do PAP (0800 033 1140 e 0800 642 1431) p/ ambiente NGR"/>
    <s v="Niterói/RJ"/>
    <s v="Operações que não estão no Plano de Recuperação"/>
    <x v="4"/>
    <s v="Ana Coelho"/>
    <s v="Ana Sosa"/>
    <x v="7"/>
    <s v="Ricardo"/>
    <s v="Desenvolvimento"/>
    <d v="2015-11-09T00:00:00"/>
    <n v="194"/>
    <d v="2016-01-14T00:00:00"/>
    <s v="Não"/>
    <s v="TBD"/>
    <s v="TBD"/>
    <s v="TBD"/>
    <m/>
    <s v="17/ 05 - Mesmo Status_x000a_10/05 - Mesmo status._x000a_03/05 - SC aprovada. Em tramitação para a geração de pedido para o fornecedor._x000a_19/04 - Mesmo status._x000a_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23/02 - Aguardando informações área de negócios._x000a_16/02 - Solicitado à área de URAS o encaminhamento das chamadas para avaliação com planejamento. (19/02)._x000a_11/02 - Enviado questionamento de utilização de ICR para área de roteamento._x000a_05/02 - Disponibilizada EF - Àrea de aplicações avaliando_x000a_26/01 - Mesmo status _x000a_14/01 - Agurando confecção da EFc"/>
    <s v="Engenharia "/>
    <s v="Eder Herrero"/>
    <d v="2016-03-28T00:00:00"/>
    <s v="Na Fila"/>
    <m/>
    <m/>
  </r>
  <r>
    <s v="CTXBHZRI-94837"/>
    <s v="Projeto - Projeto: Migração da URA do Hotline Empresarial (0800 280 3120) p/ ambiente NGR"/>
    <s v="Prado/MG"/>
    <s v="Operações que não estão no Plano de Recuperação"/>
    <x v="4"/>
    <s v="Ana Coelho"/>
    <s v="Ana Sosa"/>
    <x v="7"/>
    <s v="Ricardo"/>
    <s v="Desenvolvimento"/>
    <d v="2015-11-10T00:00:00"/>
    <n v="193"/>
    <d v="2016-01-14T00:00:00"/>
    <s v="Não"/>
    <s v="TBD"/>
    <s v="TBD"/>
    <s v="TBD"/>
    <m/>
    <s v="17/ 05 - Mesmo Status_x000a_10/05 - Mesmo status._x000a_03/05 - SC aprovada. Em tramitação para a geração de pedido para o fornecedor._x000a_19/04 - Mesmo status._x000a_12/04 - Mesmo status_x000a_ 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03/03 - Área de URA entrega informações de uso do banco de dados 03/03._x000a_26/02 - Aguardando OG CSE e avaliação de BD do ambietne NGR._x000a_18/02 - Definido que não será necessário utilizar ICR._x000a_16/02 - Solicitado à área de URAS o encaminhamento das chamadas para avaliação com planejamento. (19/02)._x000a_11/02 - Enviado questionamento de utilização de ICR para área de roteamento.(Julio)_x000a_27/01 -Disponibilizada EF e inserida no chamado._x000a_26/01 - Mesmo status _x000a_14/01 - Agurando confecção da EF. _x000a_20/01/2016 - Insumos de Telecom já disponibilizados. Continuamos aguardando EF."/>
    <s v="Engenharia "/>
    <s v="Eder Herrero"/>
    <d v="2016-03-28T00:00:00"/>
    <s v="Na Fila"/>
    <m/>
    <m/>
  </r>
  <r>
    <s v="CTXFORBM-291757"/>
    <s v="Projeto - Projeto - SISGO"/>
    <s v="Borges de Melo/Ce"/>
    <s v="Operações que não estão no Plano de Recuperação"/>
    <x v="4"/>
    <s v="Ana Coelho"/>
    <s v="Ana Sosa"/>
    <x v="8"/>
    <s v="Não tem"/>
    <s v="Desenvolvimento"/>
    <d v="2015-05-18T00:00:00"/>
    <n v="369"/>
    <d v="2016-01-14T00:00:00"/>
    <s v="Não"/>
    <s v="TBD"/>
    <s v="TBD"/>
    <s v="TBD"/>
    <m/>
    <s v="17/05: Aguardando retorno Sterlaine desde 13/05 com a homologação para encerramento do projeto_x000a_10/05: Mesmo Status._x000a_03/05: Foram apontadas novas falhas e o time de APP está atuando para solucionar. _x000a_26/04: Aguardando retorno da operação quanto as pendências solucionadas._x000a_19/04: Permanece pendente a liberação de rede e algumas dúvidas que são enviadas diariamente pela operação._x000a_12/04: Rollout concluído em 08/04, porém a operação sinalizou em 11/04 algumas pendências a serem tratadas, como por exemplo dúvida sobre o processo de tratamento de tickets e liberação de rede._x000a_05/04: Em 01/04 foi alterado o escopo do projeto para implantar o SISGO na operação toda. Foram feitas reuniões para validação do escopo e recebido o ok da homologação. Esta em validação o cronograma do Rollout._x000a_28/03: Mesmo status_x000a_21/03: Aguardando negócio enviar o hostname das PA´s para iniciar o piloto._x000a_17/03 - Os testes hoje ou amanhã serão acompanhados pela equipe de APP com a operação, pois não estavam conseguindo gerar tickets._x000a_08/03: Aguardando conclusão dos testes de 2º nível _x000a_01/03/16 Aguardando os testes da área de negócio com as PA´s do Nascente e definição do hostnamento para o Borges de Melo. Data do piloto indefinida._x000a_22/02/16: Liberação de rede realizada em 22/02, pendete testes e instalação da aplicação no site._x000a_01/02: Previsto para 03/02 apresentação sobre a ferramenta._x000a_26/01 - Mesmo status _x000a_14/01 - Em setembro: EF aprovada e aprovação enviada para Dalton e Fornecedor. Aguardando aprovação de proposta comercial pelo cliente. "/>
    <s v="Operação"/>
    <s v="Sterlaine Priscila"/>
    <s v="TBD"/>
    <s v="Pós-rollout"/>
    <m/>
    <n v="1825"/>
  </r>
  <r>
    <s v="CTXNITSP-172566"/>
    <s v="Implantação do BO Strategy - Retenção Empresarial "/>
    <s v="Niterói/RJ"/>
    <s v="Operações que não estão no Plano de Recuperação"/>
    <x v="4"/>
    <s v="Ana Coelho"/>
    <s v="Ana Sosa"/>
    <x v="7"/>
    <m/>
    <s v="Desenvolvimento"/>
    <d v="2015-11-09T00:00:00"/>
    <n v="194"/>
    <d v="2016-01-14T00:00:00"/>
    <s v="Não"/>
    <s v="TBD"/>
    <s v="TBD"/>
    <s v="TBD"/>
    <m/>
    <s v="17/ 05 - Mesmo Status_x000a_10/05 - Mesmo status._x000a_29/03 - Mesmo status._x000a_15/03 - Solicitado pela Tatiane que o Projeto seja colocado em hold pois o cliente não tem ainda o layout do mailing para a confecção da EF._x000a_08/03 - Aguardando EF_x000a_03/03 - Aguardando EF._x000a_22/02 - Faltam ainda informações que estão sendo levantadas pela Tatiane._x000a_16/02 - Anderson enviará os custos no dia 16/02._x000a_11/02 - Anderson enviará a EF com o entendimento da necessidade e após validação será gerado o custo._x000a_04/02 - Enviadas as informações faltantes solicitadas pelo fornecedor para a precificação. (Julio)_x000a_- em avaliação a possibilidade de utilizar o tBPM._x000a_02/02/2016 - Realização de conferência com o Fornecedor;_x000a_- Tatiane providenciará a criação das árvores de perfilamento;_x000a_29/01/2016 - Fornecedor enviou dúvidas com relação a EF, já respondidas pela Elaine._x000a_26/01/2016 - Verificado com Fabiana Carla e há a ncessidade de acionamento de fornecedor para verificação do desenvolvimento._x000a_Fabiana informou que o acionamento não é feito por ela._x000a_Enviada EF para o fornecedor avaliar, data estimada de devolução 28/01/2016._x000a_21/01/2016 - Verificado com o Luiz Washington o acionamento e ele verificará e retornará no dia 22/01/2016._x000a_22/01/2016 - Luiz retornou que não tem histórico nem recurso que conhece aplicação para dar andamento._x000a_26/01/2016 - envio da EF para o Fornecedor avaliar."/>
    <s v="Negócios"/>
    <s v="Tatiane Dallecrode"/>
    <s v="Sem data"/>
    <s v="Na Fila"/>
    <m/>
    <m/>
  </r>
  <r>
    <s v="CTXFORBM-344418"/>
    <s v="Projeto - Reestruturação BO Strategy"/>
    <s v="Borges de Melo/Ce"/>
    <s v="Operações que não estão no Plano de Recuperação"/>
    <x v="4"/>
    <s v="Ana Coelho"/>
    <s v="Ana Sosa"/>
    <x v="7"/>
    <s v="Lucas Ribeiro"/>
    <s v="Desenvolvimento"/>
    <d v="2015-12-30T00:00:00"/>
    <n v="143"/>
    <d v="2016-01-14T00:00:00"/>
    <s v="Não"/>
    <s v="TBD"/>
    <s v="TBD"/>
    <s v="TBD"/>
    <m/>
    <s v="17/05 - Fornecedor fez um alinhamento com relação à solução que deve ser repassado à cliente_x000a_10/05 - Cliente solicitou mudanças. Alinhamento a ser realizado com o fornecedor 11/05._x000a_26/04 - EF confeccionada. Aguardando aprovação do cliente._x000a_19/04 - aguardando confecção EF fornecedor. _x000a_12/04 - Mesmo status_x000a_28/03 - Fornecedor realizaou as alterações. Em validação pelo Lucas Lourenço._x000a_22/03 - Lucas enviou as alterações a serem feitas. Aguardando atuação do fornecedor._x000a_10/03 - EF enviada pelo fornecedor. Aguardando validação Lucas Lourenço._x000a_08/03 - Fornecedor enviou alguns questionamentos que Lucas está buscando._x000a_01/03 - Lucas enviou as informações para fornecedor. Aguardando proposta. Sem data._x000a_16/02 - Mesmo Status_x000a_01/02/2016 - Em revisão das especificações pelo demandante. (Lucas Lorencato)_x000a_28/01/2016 - Verificando responsável pelo projeto por parte de operações._x000a_26/01/2016 - Verificado com Fabiana Carla e há a ncessidade de acionamento de fornecedor para verificação do desenvolvimento._x000a_Fabiana informou que o acionamento não é feito por ela._x000a_Enviada EF para o fornecedor avaliar, data estimada de devolução_x000a_21/01/2016 - Verificado com o Luiz Washington o acionamento e ele verificará e retornará no dia 22/01/2016."/>
    <s v="Negócios"/>
    <s v="Lucas Lorenco"/>
    <d v="2016-03-31T00:00:00"/>
    <s v="Na Fila"/>
    <m/>
    <m/>
  </r>
  <r>
    <s v="CTXFORBM-348261"/>
    <s v="Projeto - Implantação Retenção Involuntária R2"/>
    <s v="Borges de Melo/Ce"/>
    <s v="S&amp;OP"/>
    <x v="4"/>
    <s v="Ana Coelho"/>
    <s v="Ana Sosa"/>
    <x v="0"/>
    <s v="Jonas Divino"/>
    <s v="Implantação de PA (crescimento, migração ou nova operação)"/>
    <d v="2016-01-13T00:00:00"/>
    <n v="129"/>
    <d v="2016-01-14T00:00:00"/>
    <s v="Sim"/>
    <s v="-"/>
    <d v="2016-05-20T00:00:00"/>
    <s v="Risco"/>
    <m/>
    <s v="17/05 - A operação entrou em produção ontem. Tivemos três quedas de operação na data de ontem, porém, nenhuma das quedas teve relação com a Ret Invol R2.  Estamos analisando através do chamado FORBM-492948 e com a equipe de planejamento.  Devemos ter um retorno até o final da semana para identificar a causa raiz e atuação em cima do problema._x000a_11/05 - Aplicações está terminando até hoje as cargas de mailing.  Aguardando algumas definições da equipe de operações para realização dos testes amanhã._x000a_04/05 - Projeto está em desenvolvimento pela equipe de aplicações com previsão de término dia 16/mai. Após isso, o site atuará para entrega das posições_x000a_26/04 - Definido em 19/04 qu iremos utilizar o polo aspect MG para implantar essas posições. no momento estamos aguardando a configrações dos servidores que esta prevista para ser entregue no dia 03/04. após isso continua-se os desenvolvimentos (estou buscando datas). Jasolicitado ao LW a criação de OU/AD e os usuários que precisam ter acesso as essa estrutura;_x000a_19/04 - Aguardando Definição de qual polo aspect utilizar. Definição Corporativa. sem prazo. Rico alto de atraso._x000a_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_x000a_23/02 - Realizado em 19/02 uma reunião de alinhamento entre solicitante, desenvolvimento, PMOs. Estamos em processo de To Be;_x000a_16/02 - Aguardando, desde 20/01, a EF para analises de Desenvolvimentos  e Engenharia. Sem Previsão._x000a_26/02 - Aguardando agenda com a Accenture;_x000a_20/01 - Em analise de engenharia e plataforma de TI, já acionado Equipe de NGR - Desenvolvimento;_x000a_14/01 - Favor preencher o formulário de crescimento anexo. _x000a__x000a_Favor enviar o layout aprovado pela equipe de planejamento. "/>
    <s v="CSE"/>
    <s v="LW"/>
    <d v="2016-05-19T00:00:00"/>
    <s v="Desenvolvimento/Execução"/>
    <m/>
    <n v="15"/>
  </r>
  <r>
    <s v="CTXNITSP-164460"/>
    <s v="URA Oi Total"/>
    <s v="Niterói/RJ"/>
    <s v="Operações que não estão no Plano de Recuperação"/>
    <x v="4"/>
    <s v="Ana Coelho"/>
    <s v="Ana Sosa"/>
    <x v="7"/>
    <s v="Jill Ortiz"/>
    <s v="Desenvolvimento"/>
    <d v="2015-07-20T00:00:00"/>
    <n v="306"/>
    <d v="2016-01-14T00:00:00"/>
    <s v="Sim"/>
    <m/>
    <d v="2016-08-01T00:00:00"/>
    <s v="Sim"/>
    <m/>
    <s v="17/ 05 - Mesmo Status_x000a_10/05 - Em desenvolvimento. Data entrega 30/06._x000a_19/04 - Mesmo status._x000a_12/04 - Aprovada SC Avaya. Avaya criando cronograma._x000a_04/04 - Mesmo status_x000a_08/03 - Mesmo status_x000a_03/02 - Finalizada documentação Telecom para implantação._x000a_Em aprovação proposta Avaya para configuração da URA._x000a_26/02 - Nova data de validação por Engenharia e CSE - 26/02._x000a_22/02 - Em aprovação proposta Avaya,_x000a_Em valiação por CSE da parte Telecom (25/02)_x000a_16/02 - Mesmo status_x000a_11/02 - Rodrigo verificou demandas no mesmo ambiente e não há concomitância de especificações técnicas entre demandas._x000a_Solictei volume para estudo pela área de URA. (Rodrigo)_x000a_10/02 - Em avaliação._x000a_03/02 - Rodrigo avaliará a real necessidade da demanda em comparação com outras 2 demandas para a mesma URA (CO)._x000a_02/02/2016 - Dificuldade de contato com Rodrigo, demandante._x000a_01/02/2016 - Em conversa com o Gerson verifiquei a necessidade de levantar mais informações para darmos andamento. FAlar com Rodrigo._x000a_27/01/2016 - aguardando retorno Avaya._x000a_26/01/2016 - Início do tratamento da demanda._x000a_21/02/2016 - Solicitada à Avaya a atualização da proposta de desenvolvimento que é de 16/09/2015 e tinha validade de 60 dias."/>
    <s v="Suporte a negócio"/>
    <s v="Jill Ortiz"/>
    <s v="Pedido em criação. Sem previsão."/>
    <s v="Na Fila"/>
    <m/>
    <n v="9"/>
  </r>
  <r>
    <s v="CTXSPOAP407-14854"/>
    <s v="MIGRAÇÃO TAM SP PARA JP"/>
    <s v="João Pessoa"/>
    <s v="S&amp;OP"/>
    <x v="5"/>
    <s v="Rodrigo Zambon"/>
    <s v="Leonardo Pelegrino"/>
    <x v="0"/>
    <s v="Luciana Cardoso"/>
    <s v="Implantação de PA (crescimento, migração ou nova operação)"/>
    <d v="2016-01-20T00:00:00"/>
    <n v="122"/>
    <d v="2016-01-26T00:00:00"/>
    <s v="Sim"/>
    <s v="-"/>
    <d v="2016-05-12T00:00:00"/>
    <s v="Risco"/>
    <m/>
    <s v="17/05 - A operação entrou em produção ontem.Tivemos alguns problemas nos CIDs (responsável: TAM) , porém estamos atuando normalmente. Para A 3º onda (28 recursos) o treinamento terá inicio em 19/5. _x000a_Em relação aos aparelhos AVAYA, foram bloqueados pela SEFAZ de JP e o nosso Jurídico está verificando para liberação_x000a_11/05 - Aparelhos AVAYA chegarão até amanhã de manhã no site. E, após isso, iniciará a configuração e implantação das PAs para homologação_x000a_03/05 - Aparelhos AVAYA Estão no site Lapa reservados para transporte para JPA. SC foi aprovada 28/abr e PC precisa ser imediato.  Aparelhos devem chegar até dia 05/mai. Em paralelo, TI site está atuando nas demais configurações_x000a_26/04 - 110 Heads enviadosde PL407 para site JPA via Malote. 105 Avayas 9608 devem ser enviados de site Lapa - SP para site JPA, estamos em processo de SC/PC (precisam chegar até dia 05/05 em JPA). Estamos solicitando criação de CDIs, Ofice ID, Ramais, etc para essa ampliação;_x000a_19/04 - Buscando Saving de insumos para implantação da 2° onda, prevista para 14/05. Treinamento em Andamento._x000a_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_x000a_29/03 - Realizado o transporte dos computadores , avayas e heads. teremos que refazer as imagens, devido a solicitação do cliente de trocar de win XP para win7. Iniciaremos em 30/03 até dia 04/04. Homologação de 05 à 07/04. Roll out em 08/04;_x000a_22/03 - Agendando transporte dos insumos, os mesmos devem chegar ate a proxima semana;_x000a_15/03 - Aguardando numero de PC para transportes de maquinas FOR/JPA e avayas de FOR/JPA;_x000a_08/03 - Entregamos o ambiente de treinamento com 3 salas. estamos aguardando numero de PC para transporte de maquinas FOR/JPS e avayas de FOR/JPA;_x000a_01/03 - Em Homologação do ambiente de trainamento pelo cliente. GMUD realizada com sucesso no dia 24/02 com sucesso. Configuração das maquinas de treinamento configuradas no periodo de 25 à 29/02 ._x000a_23/02 - Realizando algumas configurações nas maquinas da sala de treinamento, realizando liberações de rota / rede. Previsão de configurações por parte do cliente é de 25/02 a partir da 23hs;_x000a_16/02 - roteadores entregues no sites JP (em 16/02 às 15h30min). iremos instalar no local e disponibilizar uma maquina remota para as configurações, que devem ir até dia 18/02 à 11h00min;_x000a_10/02 - Aguardando numero do PC para acionar a transportadora para poder realizar o trasnporte dos dois roteadores de Lapa p/ JPA. estamos dependendo desse trasnporte para poder acionar as equipes internas e do cliente para realizar as devidas liberações e configurações de redes;_x000a_02/02 - Há necessidade detransporte de roteadores de SP para JPA. Estamos buscando 25 Maquinas e heads para completar os insumos. Em paralelo estamos levantando informações para repassar ao cliente para liberação de acessos no site JPA;_x000a_26/01 - Realizando o entendimento do projeto;"/>
    <s v="Solicitante"/>
    <s v="Luciana Cardoso"/>
    <d v="2016-05-19T00:00:00"/>
    <s v="Roll Out"/>
    <m/>
    <n v="100"/>
  </r>
  <r>
    <s v="CTXSPOAP407-14745"/>
    <s v="IMPLANTAÇÃO TAM VIAGENS - INFRA - SITE AUGUSTA"/>
    <s v="Augusta"/>
    <s v="S&amp;OP"/>
    <x v="5"/>
    <s v="Rodrigo Zambon"/>
    <s v="Leonardo Pelegrino"/>
    <x v="0"/>
    <s v="Luciana Cardoso"/>
    <s v="Implantação de PA (crescimento, migração ou nova operação)"/>
    <d v="2016-01-14T00:00:00"/>
    <n v="128"/>
    <d v="2016-01-26T00:00:00"/>
    <s v="Sim"/>
    <s v="-"/>
    <s v="Sala Trein: 27/mai_x000a_Augusta: 10/mai"/>
    <s v="Risco_x000a_Risco"/>
    <m/>
    <s v="17/05 - Pedido gerado para transporte dos Switchs --&gt; Verificando a questão se será por transporte rodoviário (Pedido gerado já, porém sera entregue até 8 dias uteis) ou se por transprote áreo (adicional de cerca de R$500,00, qual deve passar por todas as aprovações pertinentes). Resp.: Thiago Fellipe_x000a_Pedido gerado para transporte das máquinas + aparelhos (Alegria para Alameda e Alegria para Augusta) --&gt; Marcando com o fornecedor para dia 24/05 o transporte desses insumos._x000a_2 roteadores --&gt; Será enviado na segunda-feira_x000a_Após a chegada no site, TI site deverá realizar as configurações_x000a_11/05 - Mesmo status_x000a_04/05 - Sala de Treinamento no Alameda Santos (27/mai): Dois roteadores serão transportados para o site AS ainda essa semana. Pendente geração de PC de transporte dos Switchs, Máquinas, Avayas do site Alegria para o Alameda Santos. Após chegada no site:_x000a_• Acionar LW para realizar as liberações e configurações de rede e Coordenador do site para instalar os roteadores e switches_x000a_• Cobrar a Zenailde de uma VLAN para colocar nessas posições_x000a_• Acionar o coordenador do site AS e Zenailde para apoiar nas configurações das máquinas e ramais_x000a__x000a_Entrada de 91PAs no Augusta (10/mai): Pendente geração de PC de transporte das Máquinas e Avayas do site Alegria para o Augusta (em conjunto com os da Sala de Treinamento). Após chegada no site: • Acionar a Zenailde para configurações das máquinas e ramais com as imagens já disponíveis e outras configurações que o cliente enviar_x000a__x000a_26/04 - Dois Roteadores localizado em SP (modelo 3800), iremos transportar via taxi para o site Alameda Santos. Dois Switch localizado no site Santo Amaro, Luciana Cardoso esta cobrando processo de SC/PC para transportar para o site Alameda Santos. com os insumos no site As, necessario realizar as devidas configurações junto a Redes / Microsoft. Necessario levantar a rede a ser utilizada no site AS, Zenailde esta verificando disponibilidade._x000a_19/04 - Aguardando definições das atividades para os movimentos 8, 9 e10. Faremos uma reunião em 19 e 20/04 para definições das proximas fazes. Cobrando Controle de Ativos sobre os insumos necesarios (Switches e Roteadores) para implantar as salas de treinamemnto no site Alameda Santos, entretanto o cliente quer uma reunião para esse tema , pois diz não estar ciente. estamos agendando._x000a_12/04 - Analisando atividades para os proximos movimentos (8, 9 e 10);_x000a_29/03 - Migrado Mazanino para 4° andar. fazermos movimentações entre o 5°andar e o 3° andar do grupos Reserva e Cargo, e voltaremos o Planejamento para o Mezanino, no periodo de 01 à 04/04;_x000a_22/03 - Em execução de movimentações entre andares, e analisando as necessidades das salas de treinamentos no site AS;_x000a_15/03 -  Em execução das movimentações entre andares para execuções das obras. validando insumos para o crescimeto;_x000a_01/03 - Realizamos algumas reuniões na ultima semana, e foi definido o cronograma com base na data alvo a ser atingida em 10/05;_x000a_23/02 - realizado alguns alinhamentos, e no momento estamos aguardando definição de cronograma de obras e de ordem para as atividades nos andares;_x000a_16/02 - Aguardando cliente disponibilizar links e aplicações a serm utilizadas na operação (desde 28/01). Em paralelo estamos analisando o layout proposto, infra, insumos, etc. Precisamos tambem que seja definida a data de liberação do ambiente para TI trabalhar;_x000a_10/02 - Aguardando cliente disponibilizar links e aplicações a serm utilizadas na operação (desde 28/01). Em paralelo estamos analisando o layout proposto, infra, insumos, etc;_x000a_26/01 - Realizando o entendimento do projeto;"/>
    <s v="CC Brasil_x000a_Site Campo"/>
    <s v="Luciana Cardoso_x000a_Zenailde Santana"/>
    <d v="2016-05-10T00:00:00"/>
    <s v="Roll Out"/>
    <m/>
    <n v="200"/>
  </r>
  <r>
    <s v="CTXFORBM-348606"/>
    <s v="Simulador OI Total"/>
    <s v="Borges de Melo/CE"/>
    <s v="Operações que não estão no Plano de Recuperação"/>
    <x v="4"/>
    <s v="Ana Coelho"/>
    <s v="Ana Sosa"/>
    <x v="5"/>
    <s v="Lisandra"/>
    <s v="Desenvolvimento"/>
    <d v="2016-01-14T00:00:00"/>
    <n v="128"/>
    <d v="2016-01-22T00:00:00"/>
    <s v="Não"/>
    <s v="TBD"/>
    <s v="TBD"/>
    <s v="TBD"/>
    <m/>
    <s v="17/05 - Aguardando homologação_x000a_12/05 - Proposta já foi aceita pelo cliente, já foi aberta SC e o pedido já foi gerado. Simulador em fase de homologação pelo cliente._x000a_11/05 - Sem retorno do solicitante_x000a_02/05 - Sem retorno do solicitante_x000a_12/04 - Aguardando contato do solicitante_x000a_06/04 - Mesmo status_x000a_29/03 - Mesmo status_x000a_14/03 - Aguardando solicitação de compra por parte da operação_x000a_08/03 - Mesmo status_x000a_01/03 - EF não aprovada. Solicitado ao fornecedor novo desenho._x000a_23/02 - Aguardando aprovação do solicitante quanto a EF _x000a_10/02 - Em fase de definição de EF com a Lisandra_x000a_02/02 - Aguardando proposta comercial até amanhã (03/02)_x000a_29/01 - Enviado e-mail ao fornecedor solicitando proposta comercial_x000a_22/01 - Projeto novo em 22/01"/>
    <s v="Solicitante"/>
    <s v="Lisandra"/>
    <s v="Sem previsão"/>
    <s v="Homologação"/>
    <m/>
    <m/>
  </r>
  <r>
    <s v="CTXSPOBF-135040"/>
    <s v="Implantar Ferramenta Whisbi - Ticket B2B Infra"/>
    <s v="Antártica/SP"/>
    <s v="Plano Recuperação"/>
    <x v="0"/>
    <s v="Noemia Ferro"/>
    <s v="Maurício Perez"/>
    <x v="8"/>
    <s v="Não tem"/>
    <s v="Desenvolvimento"/>
    <d v="2016-01-27T00:00:00"/>
    <n v="115"/>
    <d v="2016-02-01T00:00:00"/>
    <s v="Sim"/>
    <d v="2016-05-10T00:00:00"/>
    <s v="TBD"/>
    <s v="TBD"/>
    <m/>
    <s v="17/05: NDA assinado e Matris RACCI preenchida. Em fase de verificação co capacity do site para implantar o projeto. _x000a_10/05: Mesmo Status, cronograma elaborado porém aguardamos o NDA e a Matriz RACCIX serem concluídos._x000a_03/05: Mesmo Status, em paralelo o projeto foi alocado na fila de CSE em 29/04. Aguardo retorno, para construir um cronograma._x000a_26/04: Mesmo Status_x000a_19/04: Mesmo Status_x000a_12/04: Mesmo Status,por isso este projeto ficará em hold até termos o NDA assinado_x000a_05/04: Mesmo Status_x000a_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_x000a_21/03: Após avaliação de SI será necessário: • Utilização do Protocolo HTTPS entre o sistema e a PA;_x000a_• Alteração de contrato com inclusão da Whisbi ou NDA entre as empresas TICKET x WHISBI X CONTAX, onde o escopo é o vazamento de informação e indisponibilidade da aplicação (somente para esta célula);_x000a_• Criação de uma matriz RACCIX de papéis e responsabilidades para o cenário desta célula;_x000a_Além disso será necessário realizar a contratação de link de acordo com Eduardo Ávila (Comercial) , pois a proposta não considera link de internet. _x000a_08/03: Aguardando o recebimento do contrato para SI analisar a aplicabilidade e os  requisitos técnicos ds ferramenta Whisbi._x000a_01/03/16: Foi alterada a prioridade do projeto na reunião do Giulio em 26/02 pelo Giuseppe. Nova data será definida._x000a_22/02/16: Projeto está previsto para terminar a parte de rede (Villa) em 11/03."/>
    <s v="PMO TI"/>
    <s v="Débora Gercke"/>
    <s v="TBD"/>
    <s v="Em andamento"/>
    <m/>
    <n v="9"/>
  </r>
  <r>
    <s v="CTXSPOAP407-14651"/>
    <s v="Projeto - ACL Analytics – Workstation"/>
    <m/>
    <s v="Corporativo"/>
    <x v="2"/>
    <s v="Giuseppe"/>
    <s v="Mauricio Lustosa"/>
    <x v="8"/>
    <m/>
    <s v="Desenvolvimento"/>
    <d v="2016-01-07T00:00:00"/>
    <n v="135"/>
    <d v="2016-02-01T00:00:00"/>
    <s v="Não"/>
    <s v="TBD"/>
    <s v="TBD"/>
    <s v="TBD"/>
    <m/>
    <s v="17/05: Mesmo Status_x000a_10/05: Mesmo Status_x000a_03/05: Mesmo Status_x000a_26/04: Mesmo Status_x000a_19/04: Mesmo Status_x000a_12/04: Aguardando o número do pedido a ser enviado para o fornecedor. Solicitado em 12/02 à auditoria interna abrir SC. Portanto projeto estará em hold até recebermos o número do pedido._x000a_05/04: Controle de Ativos está cotando o valor das licenças Windows 8.1. _x000a_29/03: Verificar com o Toscani a possibilidade de alterar o escopo do projeto, pois de acordo com ele a aplicação deve ficar em um Servidor, porém o ACL não é homologado para o Windows 2008 R2, sendo assim criaríamos uma VM com Windows 8.1 ou 7 para atender está demanda._x000a_22/03: Será necessário adquirir licenças de windows professional 8.1._x000a_08/03/16: Chamado continua em aberto, aguardando autorização de SI._x000a_01/03/16: Aguardando o autorização de acesso ao ftp por SI. Chamado aberto em 01/03/16._x000a_22/02/16: Engenheria terminou a construção do desenho e o projeto foi incluído na fila de CSE em 19/02 para criar um ambiente de infra."/>
    <s v="Solicitante"/>
    <s v="Anselmo"/>
    <s v="TBD"/>
    <s v="Em Hold"/>
    <m/>
    <m/>
  </r>
  <r>
    <s v="CTXRECSA-456620"/>
    <s v="Projeto - Implantar ferramenta Evalyze no BO Fixa"/>
    <s v="PE - Site Santo Amaro"/>
    <s v="Operações que não estão no Plano de Recuperação"/>
    <x v="4"/>
    <s v="Ana Coelho"/>
    <s v="Ana Sosa"/>
    <x v="4"/>
    <m/>
    <s v="Desenvolvimento"/>
    <d v="2016-01-26T00:00:00"/>
    <n v="116"/>
    <d v="2016-02-01T00:00:00"/>
    <s v="Não "/>
    <d v="2016-05-15T00:00:00"/>
    <s v="TBD"/>
    <s v="TBD"/>
    <m/>
    <s v="17/05 - Solicitante solicitou estender o prazo até p dia 20/05_x000a__x000a_10/05 - Mesmo Status. Prazo 15/05_x000a__x000a_03/05 -  Mesmo Status._x000a__x000a_25/04 - Conforme interação com a Fernanda Nazario, demanda em hold até 15/05. _x000a__x000a_19/04 - Conforme interação com a Fernanda Nazario, demanda em hold até 15/05. _x000a__x000a_12/04 - Mesmo Status_x000a__x000a_04/04 - Conforme interação com a Fernanda Nazario, demanda em hold até 15/05. _x000a__x000a_28/03 - Mesmo status, aguardando retorno da operação._x000a__x000a_21/03 - Mesmo status, aguardando retorno da operação._x000a__x000a_15/03 - Mesmo status, aguardando retorno da operação._x000a__x000a_07/03 - Conforme a análise de Engenharia é necessário que a operação realize um alinhamento com a área de Segurança da informação OI e Contax, por que não podemos rotear este IP 10.81.8.7  dentro do nosso ambiente, a  OI precisa criar um NAT com o range 10.173 _x000a__x000a_01/03 - Interação com o solicitante pois conforme retorno de Engenharia, é necessário o alinhamento com área de segurança da informação OI e Contax, por que não podemos rotear este IP 10.81.8.7  dentro do nosso ambiente, a  OI precisa criar um NAT com o range 10.173_x000a__x000a_23/02 - Conforme históricos de “bloqueio” em ambos os lados Oi e CSE, esta demanda está com Análise e Estudo de Viabilidade da Equipe de Engenharia . Prazo : 23/02 à 29/02_x000a__x000a_15/02 - Mesmo Status._x000a__x000a_10/02 - Pendência de abertura de ARS com a Oi,. Em paralelo, colocamos na Fila do Morais para verificar a possibilidade de disponibilizar  a base de dados do Frevo, ao menos em uma única versão, para testes e validação pela Closer dentro do Evalyze._x000a__x000a_Verificarmos possibilidade de uma contingencia manual para que o mesmo acesso que o analista de TI de PE utiliza hoje seja utilizado para pegar o arquivo do Frevo e colocar no ftp da Closer._x000a_---------------------------------------------_x000a_Resumo do último status._x000a_Hoje existe pendência de liberação de acesso pela Oi para a Contax acessar o ambiente do BD do Frevo a partir de Alphaville(regra 2). E nesse momento já temos o contato de Ti da Oi que diz que só vai nos atender, após alguém da OI abrir uma ARS(chamado), com as devidas liberações de Seg Inf da OI, para criação do Nat de acesso. _x000a_A Contax ainda não conseguiu essa ajuda com produtos da Oi na abertura da ARS pois esse é um projeto da Contax, que na sua concepção não envolvia a Oi na sua execução. E está sendo necessário explicar e negociar a respeito._x000a_A equipe de aplicações está aguardando esse retorno da liberação de acesso para configurar a aplicação e realizar testes com o robô desenvolvido. _x000a_A fornecedoara da Closer já desenvolveu a parte deles  mas ainda não consegue fazer testes por não ter recebido dados através da interface de sistema desenhada_x000a__x000a__x000a_02/02 - Acionado a Cris Sasaki (Em estimativa de OG)"/>
    <s v="Operação "/>
    <s v="Fernanda Nazário"/>
    <d v="2016-05-20T00:00:00"/>
    <s v="Hold"/>
    <m/>
    <n v="240"/>
  </r>
  <r>
    <s v="CTXSPOAP407-12306"/>
    <s v="LATAMCC - Contax SIP Trunk -Integração TAM com rede SITA"/>
    <s v="Alegria/SP"/>
    <s v="Operações que não estão no Plano de Recuperação"/>
    <x v="5"/>
    <s v="Rodrigo Zambon"/>
    <s v="Leonardo Pelegrino"/>
    <x v="1"/>
    <s v="Cleonice"/>
    <s v="Desenvolvimento"/>
    <d v="2015-09-02T00:00:00"/>
    <n v="262"/>
    <d v="2016-02-03T00:00:00"/>
    <s v="Não"/>
    <s v="TBD"/>
    <s v="TBD"/>
    <s v="TBD"/>
    <m/>
    <s v="[17/05] - Aguardando direcionamento da Diretoria TI, para seguirmos com solução desenhada por Engenharia, sem custos para Cliente._x000a_Pendente estimativas e diefinição de custos para repasse para cliente ( Infra já disponivel, não necessário investimento Contax)_x000a__x000a_[03/05] - Aguardando definição Koreeda (Email Villa) Escalar Milene._x000a__x000a_[26/04] - Aguardando definição Koreeda (Email Villa) _x000a__x000a_[19/04] - Aguardando definição Koreeda (Email Villa) _x000a__x000a_[12/04] - Aguardando definição da Diretoria TI. (Direcionamento Gestor Engenharia)_x000a__x000a_[05/04] -  Aguardando esclarecimentos tecnicos entre  Engenharia e  Comercial Contax, para prosseguimento do projeto._x000a__x000a_[2903] -  Aguardando esclarecimentos tecnicos entre  Engenharia e  Comercial._x000a__x000a_[22/03] -  Aguardando esclarecimentos Engenharia e direcionamento Comercial._x000a__x000a_[15/03] - Aguardando retorno de Engenharia  para os questionamento realizados pelo Comercial._x000a__x000a_[08/03] -  Em 08/03 recebemos alguns questionamento enviados  pelo Comercial, referente as respostas do cliente TAM , para itens contidos na RFP. Será necessário avaliação equipe tecnica._x000a__x000a_[29/02] - Aguardando Retorno Comercial. Custos encaminhados para equipe Projetos e Comercial . Aguardando direcionamento, para iniciar execução._x000a__x000a_[23/02] - Custos encaminhados para equipe Projetos e Comercial . Aguardando direcionamento, para iniciar execução._x000a__x000a_[16/02] - Necessário esclarecer qustão comercial Contax ._x000a_Equipe de Engenharia levantando os custos de TI para a Infra DAC (SM) que será utilizada neste projeto, para encaminhar para Comercial Contax. Passível de repasse custos para Cliente. Previsão : 17/02_x000a__x000a_[10/02] - Em analise e aprovação da solução tecnica, pela Diretoria TI._x000a__x000a_[02/02] - Desenho arquitetura e solução finalizado por Engenharia._x000a_Direcionado para Equipe Implantação CSE._x000a_Necessário a aprovação da diretoria, para utilização da Plataforma o Avaya Session Manager  no data center. Já encaminhado ."/>
    <s v="ENG"/>
    <s v="Koreeda/ Villa"/>
    <s v="ND"/>
    <s v="Desenho Solução"/>
    <m/>
    <m/>
  </r>
  <r>
    <s v="CTXBHZRP-217559"/>
    <s v="RTI - ABERTURA E FECHAMENTO DE CONTESTAÇÃO (G1)"/>
    <s v="Santo Amaro"/>
    <s v="Plano Recuperação"/>
    <x v="4"/>
    <s v="Ana Coelho"/>
    <s v="Ana Sosa"/>
    <x v="2"/>
    <s v="Luiz Matheus"/>
    <s v="RTI"/>
    <d v="2016-02-03T00:00:00"/>
    <n v="108"/>
    <d v="2016-02-03T00:00:00"/>
    <s v="Sim"/>
    <d v="2016-03-28T00:00:00"/>
    <d v="2016-05-11T00:00:00"/>
    <s v="Sim"/>
    <m/>
    <s v="[16/05] - Inicio do piloto programado para 17/05. _x000a_[09/05] - UAT iniciada. Prorrogada para 11/05. _x000a_[02/05] - UAT iniciada. Termino dia 06/05._x000a_[26/4] - em desenvolvimento_x000a_[19/04] - Em desenvolvimento_x000a_[12/4] - Em desenvolvimento_x000a_[04/04] Em desenvolvimento. Atraso devido à demora na liberação de usuário pela operação. _x000a_Risco de atraso também devido a montagem do ambiente de desenvolvimento. Novo prazo de entrega 29/04/16._x000a_[29/03] -  Usuários de sistemas envolvidos não foram enviados, portanto, haverá atraso. Aguardando previsão de envio para analisar impactos._x000a_[22/03] - To Be validado._x000a_[14/03] -  TO BE enviado para aprovação em 09/03/16. Em 11/03, negócios solicitou alteração no desenho. Previsão de envio para aprovação em 14/03/16. _x000a_Não há impacto nas outras datas. _x000a_[08/03] - Na execução do TO BE, identificamos falhas na EF. Aguardando envio de EF complementar para gerar cronograma.                                             01/03/16: Pendente desenho do TO BE._x000a_22/02/16: PMO Negócios solicitou alteração no cronograma enviado no documento de OG no dia 19/02. Nova OG será enviada até 23/02._x000a_12/02/16 - EF recebida , será enviada OG no dia 19/02/16_x000a_10/02 - Mesmo status_x000a_05/02 - EF em análise. Agendada sala de guerra para retirada de duvidas e fechamento da EF em 12/02_x000a_03/02 - A iniciar"/>
    <s v="Aplicações"/>
    <s v="Mariana"/>
    <d v="2016-04-29T00:00:00"/>
    <s v="Em Desenvolvimento"/>
    <m/>
    <m/>
  </r>
  <r>
    <s v="CTXSALLM-120345"/>
    <s v="Crescimento de 30 PV´s de Televendas Out Pós"/>
    <s v="BA - Site Comércio"/>
    <s v="S&amp;OP"/>
    <x v="4"/>
    <s v="Ana Coelho"/>
    <s v="Ana Sosa"/>
    <x v="4"/>
    <s v="Jonas Divino"/>
    <s v="Implantação de PA (crescimento, migração ou nova operação)"/>
    <d v="2016-02-03T00:00:00"/>
    <n v="108"/>
    <d v="2016-02-03T00:00:00"/>
    <s v="Sim"/>
    <m/>
    <d v="2016-05-06T00:00:00"/>
    <s v="Não"/>
    <m/>
    <s v="17/05 - Pedido de transporte foi aprovado hoje, solicitando verificando com Suprimentos._x000a__x000a_10/05 - Em Comitê, para aprovação do transporte do Servidor para gravação_x000a__x000a_03/05 - Em Comitê, para aprovação do transporte do Servidor para gravação. Lembrando que são 15 pas para gravação._x000a__x000a_25/04 - Mesmo Status._x000a__x000a_19/04 - Em Comitê, para aprovação do transporte do Servidor para gravação. Lembrando que são 15 pas para gravação._x000a__x000a_12/04 - Aguardando status do CC Brasil quanto a cotação de transporte para remanejamento do Servidor para gravação. _x000a__x000a_04/04 - Mesmo status. _x000a__x000a_28/03 - Foi repassado a cotação de Transporte ao recurso de Negócios (Jonas), para seguimento de abertura de SC. Ressaltando que apenas 15 pas estão sem gravação._x000a__x000a_21/03 - Servidor de gravação encontrado. Em cotação de transporte para posterior abertura de SC._x000a__x000a_15/03 - Aguardando retorno de Controle de Ativos._x000a__x000a_07/03 - Mesmo Status._x000a__x000a_01/03 - Ainda temos apenas pendência de gravação em 15 pas. CSE está estudando um upgrade no Nice 2.0 para que possamos resolver este &quot;problema&quot; de gravação._x000a__x000a_23/02 - 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quot;problema&quot; de gravação._x000a__x000a_15/02 - Mesmo Status._x000a__x000a_10/02 - Acionamento Site para os pré-requisitos de Dac e Imagem das pas. Em paralelo aguardando retorno de Engenharia para as verificações do Discador. Única ação da Equipe do Morais é no final da demanda com o cadastro do novo range de Hostname._x000a__x000a_03/02 - A iniciar"/>
    <s v="CC Brasil_x000a_"/>
    <s v="Jonas Divino"/>
    <s v="TBD"/>
    <s v="Desenvolvimento"/>
    <m/>
    <n v="30"/>
  </r>
  <r>
    <s v="CTXBHZRI-97664"/>
    <s v="Novos Arquivos de Atualização R1 Fixa"/>
    <s v="Prado II"/>
    <s v="Operações que não estão no Plano de Recuperação"/>
    <x v="4"/>
    <s v="Ana Coelho"/>
    <s v="Sterlaine Priscila"/>
    <x v="1"/>
    <s v="Tatiane Rodrigues Dallecrode "/>
    <s v="Desenvolvimento"/>
    <d v="2016-01-28T00:00:00"/>
    <n v="114"/>
    <d v="2016-02-04T00:00:00"/>
    <s v="Não"/>
    <s v="TBD"/>
    <s v="TBD"/>
    <s v="TBD"/>
    <m/>
    <s v="[17/05] - Testes e homologações realizadas com solicitante e Oi.. Gmud programada para 16/05._x000a_Check de validação do ambiente produção, proposto para  18/05_x000a__x000a_[10/05] O arquivo exemplo foi disponibilizado está em desenvolvimento, está sendo confirmado nova data para implantação._x000a__x000a_[03/05] Arquivos entregues em 28/04. Pegar posição de aplicações._x000a__x000a_[26/04] Vamos fechar chamado se arquivo não vier até 30/04._x000a__x000a_[19/04] Pendência do Solicitante. [  arquivo de mailing exemplo ]_x000a_Informado ao solicitante o impacto direto no início do Desenvolvimento. Uma nova expectativa  esforço Deesenvolvimento será realizada, quando recebermos o arquivo de mailing _x000a__x000a_[12/04] - Pendência do Solicitante. [  arquivo de mailing exemplo ]_x000a_Informado ao solicitante o impacto direto no início do Desenvolvimento. Uma nova expectativa  esforço Deesenvolvimento será realizada, quando recebermos o arquivo de mailing exemplo. _x000a_Obs: Solicitante ainda sem data para entrega do arquivo_x000a__x000a_[05/04] - Pendência Solicitante. Informado ao solicitante o impacto direto no início do Desenvolvimento. Uma nova expectativa será realizada quando recebermos o arquivo de mailing exemplo. Obs: Solicitante ainda sem data para entrega do arquivo_x000a__x000a_[29/03] - Pendência Solicitante  - Aguardando retorno solicitante. _x000a_Obs: Impacto direto no inicio desenvolvimento e entrega._x000a__x000a_[22/03] - Pend~encia  do solicitante, na entrega do arquivo de exemplo do mailing até 23/03/2016._x000a_Essa entrega é premissa para garantir a o inicio do desenvolvimento e a data de entrega do projeto.(15/04)_x000a__x000a__x000a__x000a_[15/03] - Aguardando retorno solicitante. ( Modelo arquivo mailing). Limite 23/03_x000a__x000a_08/03] - Aguardando o envio arquivo exemplo mailing. ( Jeane (02/03)_x000a__x000a_[03/03] - Para priorizarmos este ultimo projeto para inicio de desenvolvimento no dia 29 Mar, precisamos de entrega do arquivo de exemplo do mailing até 23/03/2016 e alinhar convosco que afetaremos as demais solicitações prioritárias da fila  em mais ou menos 14 dias úteis._x000a__x000a_[02/03] - Aguardando &quot; de acordo &quot;  Admilson par areorganização da Fila de Projetos par apodermos Priorizar o projeto para atender  a data  esperada pelo Cliente._x000a__x000a_ [29/02] - Ponto de Atenção: O lay out do Arquivo mailing será alterado pela Oi em  05/05/16._x000a_Previsão de execução por Aplicações  - Desenvolvimento entre 06 e 27/12/12016_x000a__x000a_[23/02] - Projeto em analise por Aplicações . Data prevista retorno de esforço e prazo execução - 29/02._x000a__x000a_[16/02] - Fase inicial.  Entendimento do escopo com solicitante _x000a__x000a_[10/02] - Fase Inicial - Esclarecer entendimento escopo com Solicitante_x000a__x000a_04/02 - Aguardando Briefing do projeto"/>
    <s v="Solicitante"/>
    <s v="Tatiane Dallecrode"/>
    <d v="2016-02-29T00:00:00"/>
    <s v="Desenho Solução"/>
    <d v="2016-04-15T00:00:00"/>
    <m/>
  </r>
  <r>
    <s v="CTXSALSM-87479"/>
    <s v="Alteração URA OI Internet Conexão Sáude"/>
    <s v="Fonte Nova/BA"/>
    <s v="Operações que não estão no Plano de Recuperação"/>
    <x v="4"/>
    <s v="Ana Coelho"/>
    <s v="Ana Sosa"/>
    <x v="5"/>
    <s v="Tiago Fialho"/>
    <s v="URA"/>
    <d v="2016-02-01T00:00:00"/>
    <n v="110"/>
    <d v="2016-02-04T00:00:00"/>
    <s v="Sim"/>
    <s v="-"/>
    <s v="Fase 1: 06/mai_x000a_20/mai_x000a_Fase 2: TBD"/>
    <s v="Risco"/>
    <m/>
    <s v="17/05 - Apenas hoje foi liberada a rede. Estamos aguardando os testes da equipe de URA para finalização da primeira fase do projeto._x000a_11/05 - Call marcada com o solicitante para hoje, definição de próximos passos_x000a_04/05 - Chamado de liberação das URLs aprovado por SI. Na fila de CSE Redes para atuação e, assim, continuação de testes pela equipe de desenvolvimento de URA_x000a_02/05 - Chamado com CSE Microsoft sem atuação desde 28/04_x000a_27/04 - Ocorreu erros no link, CSE Redes foi acionado. Está em análise desde 25/04, aguardando retorno._x000a_19/04 - A partir da segunda-feira (18/04)_x000a_Desenvolvimento: 3 dias_x000a_Testes Unitários e funcionais: 2 dias_x000a_Previsão para homologação: 27/abr_x000a__x000a_12/04 - Mesmo status_x000a_06/04 - Estamos aguardando a liberação de proxy para iniciar os testes e retomar o cronograma. Ficamos parados grande parte do tempo aguardando a resposta do Cliente em relação a porta, proxy, envio de novo URL. _x000a_29/03 - Aguardando informação do Tiago com a Oi para liberação da porta para prosseguirmos com os testes e homologação. _x000a_&quot;Bruno,_x000a_ _x000a_Tive retorno a pouco do Rubens da OI onde os mesmo irão criar “um novo acesso com IP público e assim que estiver disponível vamos informá-lo para que você solicite a liberação no seu proxy e possa executar os testes”._x000a_&quot;_x000a_14/03 - Alinhamento realizado. Aguardando retorno da equipe de desenvolvimento de URA quanto aos prazos para Base Fixa e Base Móvel_x000a_08/03 - Foram realizados os alinhamentos com engenharia. Hoje será realizado o alinhamento total (URA + ENG + Planejamento)_x000a_01/03 - Projeto aprovado pelo cliente em questão do desenvolvimento. Porém existem alguns custos adicionais que estão sendo verificados com a equipe de URA se é possível a redução. Em paralelo, os links estão sendo analisados pela equipe de Telecom_x000a_24/02 - Infelizmente na fila de Engenharia só conseguiremos iniciar a análise no dia 01/03.  _x000a_As primeiras demandas da fila de Engenharia são crescimentos, expansões, migrações e desmobilizações._x000a__x000a_17/02 - Proposta da equipe de URA enviada à Cristiane Kuzuhara para aprovação. Com prazo em dias de 15 dias para implantação_x000a_10/02 - Aguardando resposta da equipe de URA_x000a_03/02 - A iniciar"/>
    <s v="URA"/>
    <s v="Lucas Gil"/>
    <d v="2016-05-20T00:00:00"/>
    <s v="Desenvolvimento/Execução"/>
    <m/>
    <m/>
  </r>
  <r>
    <s v="CTXRJOMA-78044"/>
    <s v="RTI - AUTOMAÇÃO CONSULTA HISTÓRICO TERMINAL"/>
    <m/>
    <s v="Plano Recuperação"/>
    <x v="4"/>
    <s v="Ana Coelho"/>
    <s v="Ana Sosa"/>
    <x v="2"/>
    <s v="Luiz Matheus"/>
    <s v="RTI"/>
    <d v="2016-02-11T00:00:00"/>
    <n v="100"/>
    <d v="2016-02-11T00:00:00"/>
    <s v="Sim"/>
    <d v="2016-03-28T00:00:00"/>
    <d v="2016-05-11T00:00:00"/>
    <s v="Sim"/>
    <m/>
    <s v="[16/05] - Inicio do piloto programado para 17/05. _x000a_[09/05] - UAT iniciada. Prorrogada para 11/05. _x000a_[02/05] - Em desenvolvimento. Inicio da UAT dia 04/05. _x000a_[25/4] - Em desenvolvimento_x000a_[19/04] - Em desenvolvimento_x000a_[12/4] - Em desenvolvimento. Prazo de conclusão 3/5_x000a_[04/04] Em desenvolvimento_x000a_[29/03] - Em desenvolvimento_x000a_[22/03] - To Be ajustado pela equipe de desenvolvimento._x000a_[14/03] TO BE em andamento _x000a_[08/03] - Mesmo status_x000a_01/03/16: Pendente aprovação de OG._x000a_22/02/16: Pendente revisão de EF._x000a_12/02/2016  Primeira analise da EF concluída no dia 12/02  solicitado sala de guerra para retirada de dúvidas da EF. _x000a_12/02 - A iniciar"/>
    <s v="Aplicações"/>
    <s v="Mariana"/>
    <d v="2016-05-03T00:00:00"/>
    <s v="Em Desenvolvimento"/>
    <m/>
    <m/>
  </r>
  <r>
    <s v="CTXRJOMA-78043"/>
    <s v="Projeto - Playground - Otimização da distribuição de chamadas"/>
    <s v="Cabula"/>
    <s v="Plano Recuperação"/>
    <x v="4"/>
    <s v="Ana Coelho"/>
    <s v="Ana Sosa"/>
    <x v="2"/>
    <s v="Fabrício Peixoto"/>
    <s v="Desenvolvimento"/>
    <d v="2016-02-11T00:00:00"/>
    <n v="100"/>
    <d v="2016-02-12T00:00:00"/>
    <s v="Sim"/>
    <d v="2016-04-15T00:00:00"/>
    <d v="2016-07-19T00:00:00"/>
    <s v="Sim"/>
    <m/>
    <s v="[16/05] - Heitor solicitou uma nova reunião com a Information. Aguardando ok do fornecedor para dia 17/05._x000a_[10/05] - Mesmo status_x000a_[03/05] - Projeto em andamento conforme planejado no cronograma._x000a_[25/4] - Information esta avaliando as datas do cronograma e checar a viabilidade de alocação de recurso. Prazo de retorno 27/4._x000a_[19/04] - Recebimento da Information EF e cronograma.  Elaboração e envio do cronograma de TI._x000a_[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_x000a_[29/03] - Pendente envio do cronograma. Prazo 31/03._x000a_[22/3] - Aguardando aprovação da Ana Coelho para a regra de negócios _x000a_[15/03] - Solicitado cronograma para Information - Prazo de entrega 18/03. _x000a_[08/03] - Realizada a reunião com o fornecedor Information para explicação da topologia. Aguardando envio das documentões para fornecedor desenhar EF. _x000a_[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
    <s v="Fornecedor"/>
    <s v="Marcel"/>
    <d v="2016-04-27T00:00:00"/>
    <s v="Levantamento de informações"/>
    <s v="TDB"/>
    <n v="20"/>
  </r>
  <r>
    <s v="CTXBHZRI-98065"/>
    <s v="Migrar a operação Escob R2 para a plataforma de cobrança TCollect + discador Aspect. situado ao Site Prado2 (complemento ao chamado principal CTXBHZRI-94859)"/>
    <s v="Prado/MG"/>
    <s v="Plano Recuperação"/>
    <x v="4"/>
    <s v="Ana Coelho"/>
    <s v="Ana Sosa"/>
    <x v="7"/>
    <s v="Fabrício Peixoto"/>
    <s v="Desenvolvimento"/>
    <d v="2016-02-11T00:00:00"/>
    <n v="100"/>
    <d v="2016-02-17T00:00:00"/>
    <s v="Sim"/>
    <d v="2016-04-26T00:00:00"/>
    <d v="2016-08-24T00:00:00"/>
    <s v="Risco"/>
    <m/>
    <s v="17/05 - Avaliando disponibilidade de licenças em outro Polo. Data 19/05_x000a_10/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3/03 - Data de entrega aplicações 29/06. Aguardando redefinição de filas de prioridade para montar cronograma.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Aplicações"/>
    <s v="Alexandre Morais"/>
    <s v="29/06 - data atual"/>
    <s v="Na Fila"/>
    <m/>
    <m/>
  </r>
  <r>
    <s v="CTXBHZRI-98066"/>
    <s v="Projeto - Implantar tCollect!+Aspect Operação - CD R2 (complemento ao chamado principal CTXBHZRI-94859)"/>
    <s v="Prado/MG"/>
    <s v="Plano Recuperação"/>
    <x v="4"/>
    <s v="Ana Coelho"/>
    <s v="Ana Sosa"/>
    <x v="7"/>
    <s v="Fabrício Peixoto"/>
    <s v="Desenvolvimento"/>
    <d v="2016-02-11T00:00:00"/>
    <n v="100"/>
    <d v="2016-02-17T00:00:00"/>
    <s v="Sim"/>
    <d v="2016-04-26T00:00:00"/>
    <d v="2016-01-05T00:00:00"/>
    <s v="Risco"/>
    <m/>
    <s v="17/05 - Avaliando disponibilidade de licenças em outro Polo. Data 19/05_x000a_10/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1/03 - Ef será entregue dia 25/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Inovação e Inteligência CRM"/>
    <s v="Neilor Márcio"/>
    <d v="2016-03-25T00:00:00"/>
    <s v="Na Fila"/>
    <m/>
    <m/>
  </r>
  <r>
    <s v="CTXBHZRI-98067"/>
    <s v="Projeto - Implantar tCollect!+Aspect Operação - Escob OI TV (complemento ao chamado principal CTXBHZRI-94859)"/>
    <s v="Prado/MG"/>
    <s v="Plano Recuperação"/>
    <x v="4"/>
    <s v="Ana Coelho"/>
    <s v="Ana Sosa"/>
    <x v="7"/>
    <s v="Fabrício Peixoto"/>
    <s v="Desenvolvimento"/>
    <d v="2016-02-11T00:00:00"/>
    <n v="100"/>
    <d v="2016-02-17T00:00:00"/>
    <s v="Sim"/>
    <d v="2016-04-26T00:00:00"/>
    <d v="2016-09-08T00:00:00"/>
    <s v="Risco"/>
    <m/>
    <s v="17/05 - Avaliando disponibilidade de licenças em outro Polo. Data 19/05_x000a_10/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1/03 EF será entegue dia 01/04.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Inovação e Inteligência CRM"/>
    <s v="Neilor Márcio"/>
    <d v="2016-04-01T00:00:00"/>
    <s v="Na Fila"/>
    <m/>
    <m/>
  </r>
  <r>
    <s v="CTXSALPB-55659"/>
    <s v="Crescimento de 20 pas do Outbound Velox"/>
    <s v="BA - Site Boa Viagem"/>
    <s v="S&amp;OP"/>
    <x v="4"/>
    <s v="Ana Coelho"/>
    <s v="Ana Sosa"/>
    <x v="4"/>
    <s v="Jonas Divino"/>
    <s v="Implantação de PA (crescimento, migração ou nova operação)"/>
    <d v="2016-02-03T00:00:00"/>
    <n v="108"/>
    <d v="2016-02-03T00:00:00"/>
    <s v="Sim"/>
    <m/>
    <d v="2016-05-06T00:00:00"/>
    <s v="Não "/>
    <m/>
    <s v="17/05 - Pedido de transporte foi aprovado hoje, solicitando verificando com Suprimentos._x000a__x000a_10/05 - Em Comitê, para aprovação do transporte do Servidor para gravação._x000a__x000a_03/05 - Em Comitê, para aprovação do transporte do Servidor para gravação. Lembrando que são 15 pas para gravação._x000a__x000a_25/04 - Mesmo Status._x000a__x000a_19/04 - Em Comitê, para aprovação do transporte do Servidor para gravação._x000a__x000a_12/04 - Aguardando status do CC Brasil quanto a cotação de transporte para remanejamento do Servidor para gravação. _x000a__x000a_04/04 - Mesmo Status._x000a__x000a_28/03 - Foi repassado a cotação de Transporte ao recurso de Negócios, para seguimento de abertura de SC._x000a__x000a_21/03 - Servidor de gravação encontrado. Em cotação de transporte para posterior abertura de SC._x000a__x000a_15/03 -Aguardando retorno de Controle de Ativos._x000a__x000a_07/03 - Mesmo status._x000a__x000a_01/03 - Headsets ok. _x000a_Ainda temos  pendência de gravação  nas pas. CSE está estudando um upgrade no Nice 2.0 para que possamos resolver este &quot;problema&quot; de gravação._x000a__x000a_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_x000a_10/02 - Em análise._x000a_03/02 - A iniciar"/>
    <s v="CC Brasil"/>
    <s v="Jonas Divino"/>
    <s v="TBD"/>
    <s v="Desenvolvimento"/>
    <m/>
    <n v="20"/>
  </r>
  <r>
    <s v="CTXSPOAS-4528"/>
    <s v="Migração Perfcall"/>
    <s v="Santo Amaro/PE"/>
    <s v="BI Corporativo"/>
    <x v="2"/>
    <s v="Giuseppe"/>
    <s v="Mauricio Lustosa"/>
    <x v="5"/>
    <s v="Tatiana Barbosa"/>
    <s v="Desenvolvimento"/>
    <d v="2015-09-14T00:00:00"/>
    <n v="250"/>
    <d v="2016-01-04T00:00:00"/>
    <s v="Não"/>
    <s v="TBD"/>
    <s v="TBD"/>
    <s v="TBD"/>
    <m/>
    <s v="17/05 -  Aguardando envio do IP Nat de destino pelo solicitante_x000a_11/05 - Mesmo status_x000a_02/05 - Mesmo status_x000a_27/04 - Aguardando envio do IP Nat de destino pelo solicitante_x000a_20/04 - Mesmo status_x000a_12/04 - Aguardando retorno do CSE_x000a_06/04 - Não estamos conseguindo a criação de NAT por parte da Oi_x000a_29/03 - Mesmo status_x000a_14/03 - Foi identificado uma pendência no projeto. E será necessário a criação de NAT por parte da Oi_x000a_09/03 - Projeto entregue. Aguardando homologação do cliente_x000a_01/03 - Entrega prevista para hoje: VMs e Banco de dados. Após isso será passado para o solicitante homologar._x000a_19/01 - Necessidade de Migração dos servidores do sistema Perficall para o Datacenter. "/>
    <s v="Solicitante"/>
    <s v="Tatiana Barbosa"/>
    <s v="Sem previsão"/>
    <s v="Desenvolvimento/Execução"/>
    <m/>
    <m/>
  </r>
  <r>
    <s v="CTXRECSA-455203"/>
    <s v="TLS: Protocolo de criptografia TLS 1.2"/>
    <s v="Sto Amaro"/>
    <s v="Plano Recuperação"/>
    <x v="3"/>
    <s v="Ricardo Araújo"/>
    <s v="Celso Miranda"/>
    <x v="3"/>
    <s v="José Pedro"/>
    <s v="Infraestrutura"/>
    <d v="2016-01-20T00:00:00"/>
    <n v="122"/>
    <d v="2016-03-01T00:00:00"/>
    <s v="Não"/>
    <s v="TBD"/>
    <s v="TBD"/>
    <s v="TBD"/>
    <m/>
    <s v="Edison Nei Siqueira added a comment - 10/Mai/16 18:44_x000a_Aguardando retorno do comercial para fechar a demanda junto a PMO TI._x000a__x000a_Edison Nei Siqueira added a comment - 03/Mai/16 18:08_x000a_Estamos aguardando o retorno do fornecedor MicroFocus com a proposta para upgrade de versão do emulador, em paralelo estamos providenciando a homologação do software no site Site Amaro._x000a__x000a_Edison Nei Siqueira added a comment - 26/Abr/16 20:17_x000a_Entramos em contato com o fornecedor do software e nos foi solicitado o serial do mesmo, pelo que foi visto o Rumba 8.0 ainda não suportava TLS 1.2 só 1.1 logo a versão que está instalada na operação possivelmente também não deve suportar tal criptografia. A demanda ainda continua em analise junto a engenharia._x000a__x000a_Edison Nei Siqueira added a comment - 20/Abr/16 08:35_x000a_Realizada a áudio junto o cliente ITAÚ, porém estamos buscando internamente junto ao site as informações se o emulador suporta ou não tal tipo de criptografia, o fornecedor nos solicitou o serial do do software para verificação, tal solicitação ja´feita ao site para auxiliar no levantamento da informação._x000a__x000a_Edison Nei Siqueira added a comment - 12/Abr/16 18:10_x000a_Agendada audio junto ao cliente para entendimento da demanda, pois precisamos de maiores detalhes para que engenharia consiga evoluir na analise._x000a__x000a_Edison Nei Siqueira added a comment - 15/Mar/16 12:10_x000a_Demanda em analise na área de engenharia com previsão de retorno para o dia 22/03/2016. _x000a__x000a_01/03 - A Iniciar"/>
    <s v="Engenhariia"/>
    <s v="Benedito Silva (Villa)"/>
    <m/>
    <s v="Na Fila"/>
    <m/>
    <m/>
  </r>
  <r>
    <s v="CTXRECSA-461808"/>
    <s v="Projeto - Projeto - Implantação de licenças COTI - Monitoramento do NET SMS"/>
    <s v="Sto Amaro"/>
    <s v="Operações que não estão no Plano de Recuperação"/>
    <x v="5"/>
    <s v="Rodrigo Zambon"/>
    <m/>
    <x v="3"/>
    <s v="Cleonice"/>
    <s v="Desenvolvimento"/>
    <d v="2016-02-12T00:00:00"/>
    <n v="99"/>
    <d v="2016-03-01T00:00:00"/>
    <m/>
    <s v="TBD"/>
    <s v="TBD"/>
    <s v="TBD"/>
    <m/>
    <s v="Edison Nei Siqueira added a comment - 26/Abr/16 20:03_x000a_Continuamos aguardando retorno com relação a homologação da instalação._x000a__x000a_Edison Nei Siqueira added a comment - 12/Abr/16 18:09_x000a_Realizamos a reinstalação da aplicação e estamos aguardando a validação por parte do cliente._x000a__x000a_Edison Nei Siqueira added a comment - 15/Mar/16 12:12_x000a_Demanda em analise junto a equipe de engenharia com previsão de retorno para o dia 22/03/2016._x000a__x000a_01/03 - A Iniciar"/>
    <s v="Engenharia "/>
    <s v="Benedito Silva (Villa)"/>
    <m/>
    <s v="Na Fila"/>
    <m/>
    <m/>
  </r>
  <r>
    <s v="CTXRECSA-457626"/>
    <s v="Projeto - Substituição do front end Ayty pelo Tguidance - Operação Santander Cartões"/>
    <s v="Santo Amaro/PE"/>
    <s v="Plano Recuperação"/>
    <x v="6"/>
    <s v="Noemia Ferro"/>
    <s v="Carlos Batista"/>
    <x v="1"/>
    <s v="George Dimitrov"/>
    <s v="Desenvolvimento"/>
    <d v="2016-01-29T00:00:00"/>
    <n v="113"/>
    <d v="2016-03-04T00:00:00"/>
    <s v="Não"/>
    <s v="TBD"/>
    <s v="TBD"/>
    <s v="TBD"/>
    <m/>
    <s v="[17/05] - Equipe App avaliando localmemente a consistencia das informações enviadas pelo solicitante  (APP FE )._x000a_Frente (Desenvolvimento Relatórios ) - Viviane,_x000a_Avaliar ultimos email recebifods Fabio, George, Fabiana_x000a__x000a_[10/05] Pendente entrega de engenharia. EF de Relatórios sendo refeita._x000a__x000a_[03/05] Pendente entrega de engenharia._x000a__x000a_[26/04] Falta retorno de Engenhatia sobre infra para Time de App. Previsto para 27/04._x000a__x000a_[12/04] - Fase de esclarecimento de Pendências na EF com equipe Aplicações, Negócios e TI. Nova Verão de EF atualizada sendo anexada ao Tprocess._x000a_Pendente: Envio de informações e detalhamento dos  Relatórios que deverão ser contamplados no Projeto ( Projetos /Operações - George)_x000a__x000a_[05/04] - Avaliação tecnica da EF pela equipe de Aplicações. Estimativas previta : 07/04_x000a__x000a_[29/03] - Recebida EF. Fase de analise e entendimento escopo._x000a_Direcionado  para fila de analise tecnica /priorizações de Aplicações. _x000a__x000a_[22/03]  - Fase de entendimento do escopo e validação da documentação enviada pelo solicitante. Estruturação da EF (PMO Negócios)_x000a__x000a_[15/03] - Detalhamento Funcional anexado ao Tprocess em 15/03. _x000a_Em fase de avaliação da documentação e posterior direcionamento para Fila de Aplicações._x000a__x000a_[08/03] - Aguardando envio da EF preenchida e resposta ao questionamento disponibilizados no Tprocess._x000a__x000a_01/03 - Aguardando EF"/>
    <s v="APP/Solicitante"/>
    <s v="Cristiane Sasaki/Luciana"/>
    <m/>
    <s v="Desenho Solução"/>
    <s v="ND"/>
    <m/>
  </r>
  <r>
    <s v="CTXSALSM-85211"/>
    <s v="Aplicação - Desenvolvimento Tabulador de Proposta para a Operação CAC"/>
    <s v="Cabula/BA e Santo Amaro/PE"/>
    <s v="Plano Recuperação"/>
    <x v="3"/>
    <s v="Ricardo Araújo"/>
    <s v="Rogerio Silva"/>
    <x v="1"/>
    <s v="Mariana Mello"/>
    <s v="Desenvolvimento"/>
    <d v="2015-12-10T00:00:00"/>
    <n v="163"/>
    <d v="2016-03-04T00:00:00"/>
    <s v="Não"/>
    <s v="TBD"/>
    <s v="TBD"/>
    <s v="TBD"/>
    <m/>
    <s v="[17/05] - Novos entendimentos com cliente sobre a solução que será apresentada para projeto. Proposta é apresentar a mesma solução que está sendo desenvolvida para Itau ( Projeto da Juliana ). Infra necessária sendo avaliada por Engenharia_x000a_EF para adequação da solução para CAC sendo avaliada pela equipe APP. _x000a_Necessário Mariana atualizar EF para Juliana APP estimar prazos de desenvolvimento._x000a__x000a__x000a_[10/05] Pendente entrega de engenharia. Previsão 15/05. App definiu nova solução, sugerida pelo cliente. em fase final de entendimento, para então dar OG._x000a__x000a_[03/05] Pendente entrega de engenharia. Solicitaram informações sobre escopo. App fez apresentaçao em 28/04 sobre proposta de implamentação negada pelo solicitante. Estudo de adequação em andamento._x000a__x000a_[26/04] - Aguardando retorno Aplicações com data de precvisão conclução e de Eng Sobre estudo de infra._x000a__x000a_[19/04] - Aguardando retorno Aplicações ccom precvisão conclução da Analise OG_x000a__x000a_[12/04] - Projeto direcionado para avaliação tecnica da equipe Aplicações.._x000a_EF recebida em 07/04._x000a__x000a_[04/04] - Aguardando envio da EF preenchida e resposta ao questionamento disponibilizados no Tprocess._x000a__x000a_[29/03] - Aguardando envio da EF preenchida e resposta ao questionamento disponibilizados no Tprocess._x000a__x000a_[22/03]  - Aguardando envio da EF preenchida e resposta ao questionamento disponibilizados no Tprocess._x000a__x000a_[15/03] - Aguardando envio da EF preenchida e resposta ao questionamento disponibilizados no Tprocess._x000a__x000a_[08/03] - Aguardando envio da EF preenchida e resposta ao questionamento disponibilizados no Tprocess._x000a__x000a_01/03 - Aguardando EF"/>
    <s v="APP"/>
    <s v="Cristiane"/>
    <s v="ND"/>
    <s v="Construção EF"/>
    <s v="ND"/>
    <m/>
  </r>
  <r>
    <s v="CTXRJOSC-15278"/>
    <s v="Gestão de Demandas e Projetos - Eng.TI - Redes (dados)"/>
    <s v="São Cristovão/RJ"/>
    <s v="Plano Recuperação"/>
    <x v="0"/>
    <m/>
    <m/>
    <x v="1"/>
    <s v="Bruno Batista de Souza"/>
    <m/>
    <d v="2016-01-26T00:00:00"/>
    <n v="116"/>
    <d v="2016-03-04T00:00:00"/>
    <s v="Não"/>
    <s v="TBD"/>
    <s v="TBD"/>
    <s v="TBD"/>
    <m/>
    <s v="[17/05] - Sem retorno do Cliente. Avaliando possibilidade de cancelamento da solicitação, devido a falta de retorno do solicitante._x000a__x000a_[26/04] Sem retorno do cliente. Tratar o pedido de cancelamento._x000a__x000a_[19/04]  Mesmo status anterior._x000a__x000a_[12/04] -  Aguardando retorno do soliicitante  (Cheuin)  - (Esclarecer escopo com Cliente BBMapfre)._x000a__x000a_[04/04] -  Aguardando retorno do soliicitante  (Cheuin)  - (Esclarecer escopo com Cliente BBMapfre),. _x000a__x000a_[29/03] -  Aguardando retorno do soliicitante (Esclarecer escopo com Cliente BBMapfre),_x000a__x000a_[22/03] - Aguardando retorno do soliicitante (Esclarecer escopo com Cliente BBMapfre),. _x000a__x000a_[15/03] - Projeto sendo analisado por Engenharia TI . Recomendado agendamento de call tecnico com TI Cliente para esclarecimentos escopo.Contato (Fabio Pinheiro - BBMapfre)._x000a_ _x000a_[08/03] - Aguardando mapeamento TI Site._x000a_Direcionando projeto para fila de projetos de Engenharia (Redes) ._x000a__x000a_[04/03] - Detalhamento escopo projeto._x000a_Acionamento equipe TI Site para mapeamento das ações locais._x000a__x000a_[08/02)01/03 - Aguardando formulário de abertura de projeto "/>
    <s v="Solicitante"/>
    <s v="José Pedro"/>
    <m/>
    <s v="Desenho Solução"/>
    <s v="ND"/>
    <m/>
  </r>
  <r>
    <s v="CTXSPOAL-109109"/>
    <s v="Migração dos links da BV (Do Lapa para Alegria)"/>
    <s v="Alegria/SP"/>
    <s v="Plano Recuperação"/>
    <x v="0"/>
    <s v="Ricardo Araújo"/>
    <s v="Celso Miranda"/>
    <x v="8"/>
    <s v="Luciana Cardoso"/>
    <s v="Infraestrutura"/>
    <d v="2016-03-04T00:00:00"/>
    <n v="78"/>
    <d v="2016-03-09T00:00:00"/>
    <s v="Não"/>
    <s v="TBD"/>
    <s v="TBD"/>
    <s v="TBD"/>
    <m/>
    <s v="17/05: Mesmo Status_x000a_10/05: Mesmo Status._x000a_03/05: Rogério Luiz enviou as informações dos links de voz e dados ontem, 02/05. Aguardo o retorno de ENG para verificar os próximos passos._x000a_26/04: Mesmo Status_x000a_19/04: Mesmo status, por isso o status do projeto altera-se para em hold._x000a_12/04: Aguardando o cliente enviar as informações sobre o link. _x000a_05/04: Aguardando o site retornar com as dúvidas gerada pelo Rogério Veloso_x000a_29/03: Acionada a equipe responsável para analisar a migração desta operação._x000a_09/03 - A iniciar"/>
    <s v="ENG"/>
    <s v="Rogério Veloso"/>
    <s v="TBD"/>
    <s v="Em andamento"/>
    <m/>
    <n v="106"/>
  </r>
  <r>
    <s v="CTXSPOAL-108115"/>
    <s v="Outros - N/A - Migração de equipe madrugada Ticket"/>
    <s v="Alegria/SP"/>
    <s v="S&amp;OP"/>
    <x v="0"/>
    <s v="Noemia Ferro"/>
    <s v="Maurício Perez"/>
    <x v="8"/>
    <s v="Jonas Divino"/>
    <s v="Implantação de PA (crescimento, migração ou nova operação)"/>
    <d v="2016-02-25T00:00:00"/>
    <n v="86"/>
    <d v="2016-03-09T00:00:00"/>
    <s v="Não"/>
    <s v="TBD"/>
    <s v="TBD"/>
    <s v="TBD"/>
    <m/>
    <s v="17/05: Mesmo Status_x000a_10/05: Mesmo Status._x000a_03/05: Aguardando retorono da Zenailde para iniciar o processo de contratação de cabeamento._x000a_26/04: Operação e planejamento autorizaram a contratação da empresa de cabeamento, pois a rede no site Alegria é do santander. _x000a_19/04: Foi realizado um levantamento pelo TI Site, sendo necessário contratar o cabeamento, pois a rede disponível é do Santander._x000a_12/04: Mesmo status _x000a_05/04: Mesmo status_x000a_29/03: Aguarda uma data para agendar o kick-off_x000a_21/03: A iniciar_x000a_09/03 - A iniciar"/>
    <s v="PMO TI"/>
    <s v="Débora Gercke"/>
    <s v="TBD"/>
    <s v="Em andamento"/>
    <m/>
    <n v="15"/>
  </r>
  <r>
    <s v="CTXNITSP-179559"/>
    <s v="Crescimento SAV Entrega ( CRV FIXO ATIVO, OI TOTAL. DEALER, PAP)"/>
    <s v="RJ - Site Niterói"/>
    <s v="S&amp;OP"/>
    <x v="4"/>
    <s v="Ana Coelho"/>
    <s v="Ana Sosa"/>
    <x v="4"/>
    <s v="Jonas Divino"/>
    <s v="Implantação de PA (crescimento, migração ou nova operação)"/>
    <d v="2016-02-03T00:00:00"/>
    <n v="108"/>
    <d v="2016-02-03T00:00:00"/>
    <s v="Sim"/>
    <m/>
    <d v="2016-05-06T00:00:00"/>
    <s v="Não"/>
    <m/>
    <s v="17/05 - Já finalizamos a alteração do SO na operação. No momento implantações TI está retornando com as correções do térreo que foram sinalizadas na última homologação._x000a__x000a_10/05 - Suporte TI, finalizando os últimos ajustes da alteração do SO para finalizar a demanda._x000a__x000a_03/05 - Gravação - homologado _x000a_SO foi alterado neste final de semana., aguardando homologação._x000a_A questão das licenças do Tlv ainda estão em análise._x000a__x000a_25/04 - Em pendência das licenças do Tlv, não sendo necessário abri SC sendo anallisado a partir do contrato._x000a_Alteração do SO, área de Implantações verificando questões de GPO, previsão de alteração neste final de semana._x000a__x000a__x000a__x000a__x000a_19/04 - 5  Onda em homologação, incluindo a parte de gravação._x000a_Conforme contato com CC Brasil, a SC foi aprovada, porém estava com erro em um formulário . Aguardando definição com Financeiro._x000a__x000a_12/04 - 4 Onda homologada. Definindo de escopo na 5 Onda._x000a__x000a_Gravação - Ramais cadastrados hoje, solicitado a operação, a hpmologação.  _x000a_Tlv 5  -  Aberto SC para as licenças do Tlv , em comitê com o Jonas (Negócios)_x000a__x000a_04/04 -Homologação da 4 Onda no Térreo, em andamento. _x000a_Gravação -   Portas ainda disponíveis, informado os IP´s dos ramais para o CSE cadastrar, aguardando retorno._x000a_Tlv 5  -  Aberto SC para as alicenças do Tlv , em comitê com o Jonas (Negócios)_x000a_*Aguardando  o final da homologação da 4 onda para fechamento de escopo da 5 Onda._x000a__x000a__x000a_28/03 - Layout do Térreo em homologação._x000a_21/03 - Layout do 9 andar e 11 andar entregues. Sendo revisado a lista de insumos necessárias para entrega do Térreo. Em paralelo, estamos analisando questões de licenças de Tlv 5, portas de gravação e afins._x000a__x000a_15/03 - Dentro das 5 Ondas, estamos entregando a 2 Onda. Aguardando DA de licenças do TLV 5 (+84)  e Desenho de Engenharia  referente a Migração do a migração de licenças do Polo Aspect de CE para PE ._x000a__x000a_07/03 - Crescimento sendo dividido em 5 Ondas. Estamos na 2 Fase em Homologação."/>
    <s v="Implantações Site / Negócios (Licença TLV 5) "/>
    <s v="Diego Pacatuba / Jonas Santos"/>
    <d v="2016-05-20T00:00:00"/>
    <s v="Homologação"/>
    <m/>
    <n v="300"/>
  </r>
  <r>
    <s v="CTXRJOED-57427"/>
    <s v="Implantação Gas Natural Fenosa"/>
    <s v="Rio Comprido"/>
    <s v="S&amp;OP"/>
    <x v="7"/>
    <s v="Ricardo Araújo"/>
    <s v="Celso Miranda"/>
    <x v="3"/>
    <s v="Flavio Reto"/>
    <s v="Implantação de PA (crescimento, migração ou nova operação)"/>
    <d v="2015-11-30T00:00:00"/>
    <n v="173"/>
    <d v="2015-11-30T00:00:00"/>
    <s v="Sim"/>
    <s v="-"/>
    <d v="2016-05-30T00:00:00"/>
    <s v="Risco"/>
    <m/>
    <s v="Edison Nei Siqueira added a comment - 18/Mai/16 11:35_x000a_Todas as posições no site Rio Comprido já foram montadas e serão homologadas pelo cliente GNF. _x000a__x000a_Estamos com as seguintes necessidades ainda para o projeto: _x000a__x000a_Prover um servidor SNTP para o acerto do fuso horário dos aparelhos telefônicos que estão pegando o horário da Espanha. _x000a_Estamos com a situação critica relacionado aos links: _x000a_Link de Contingência RC X GNF _x000a_Link de Interligação RC X MCK - para atendimento da madrugada _x000a_Link de contingência RC x MCK - para o atendimento da madrugada _x000a__x000a_Edison Nei Siqueira added a comment - 10/Mai/16 18:50_x000a_Aguardando retorno da Hit Telecom com relação a ativação do link de contingência entre GNF e o site Rio Comprido. _x000a_Refazendo todas as imagens da operação para atender a necessidade do cliente GNF. _x000a_Aguardando validação da URA de contingência por parte do cliente GNF. _x000a__x000a_Edison Nei Siqueira added a comment - 26/Abr/16 20:00_x000a_Estamos realizando a homologação junto ao cliente e identificando falhas nas configurações da parte voz do SBC do cliente. _x000a_Pedente entrega de aparelhos telefônicos ainda pendente, suprimentos buscando a priorização junto ao fornecedor. _x000a_Link ponto a ponto Rio Comprido x Mackenzie da Hit Telecom, essa solicitação chegou ontem para equipe de implantação da operadora. Já foi solicitado urgência no agendamento das atividades, mas ainda estamos sem visibilidade de cronograma. _x000a_Link ponto a ponto Rio Comprido x Mackenzie da Unitelco, as vistorias nas pontas já foram executadas e o alinhamento com a Oi visando a liberação para instalação da antena no site Mackenzie, também estamos aguardando o projeto para que a Oi formalize o de acordo para instalação._x000a__x000a_Edison Nei Siqueira added a comment - 20/Abr/16 08:40_x000a_Todos os insumos referente a topologia de redes já foram transportados. _x000a_Vistoria realizada para instalação do link de contingência, recebemos ontem o de acordo do cliente GNF para seguir com o projeto apresentado pela operadora HIT. _x000a_Homologação do ambiente junto ao cliente, acesso aos aplicativos que eram escopo do projeto validado junto ao cliente, demais aplicativos solicitados para serem instalados nas PAs que não eram escopo da demanda estão em analise junto ao site. _x000a_Aparelhos telefônicos chegando chegando conforme esperado e a ultima remessa prevista para o dia 25/04. _x000a_Ajustes nas configurações de voz sendo realizado em conjunto com o cliente na Espanha. _x000a__x000a_Edison Nei Siqueira added a comment - 12/Abr/16 18:06_x000a_Estamos realizando o transporte dos insumos e realizando as configurações dos links de interligação entre a Contax e o Cliente GNF._x000a__x000a_Edison Nei Siqueira added a comment - 05/Abr/16 17:16_x000a_Treinamento dos colaboradores inciado. _x000a_Link de interligação em processo de instalação, foi identificado a necessidade de passagem de fibra no ambiente do cliente GNF pela operadora. _x000a_SC000385 Transporte de Insumos - Continua aguardando a aprovação no comitê de caixa._x000a__x000a_Edison Nei Siqueira added a comment - 23/Mar_x000a_Link de dados,  a Oi informou o prazo de 08/ 04 devido a investimento em um equipamento em uma das pontas._x000a_Estamos tentando negociar esse prazo já escalado internamente._x000a_Em paralelo vamos tentar um prazo menor com a hit, que seria a contigencia._x000a__x000a_Edison Nei Siqueira added a comment - 15/Mar/16 12:19_x000a_Treinamento dos multiplicadores teve início no dia 14/03 no site MCK em uma sala, demais salas aguardando a liberação de T&amp;D prevista para o dia 21/03."/>
    <s v="Negócios"/>
    <s v="Flavio Reto"/>
    <m/>
    <s v="Em andamento"/>
    <m/>
    <m/>
  </r>
  <r>
    <s v="CTXPOARB-104174"/>
    <s v="Projeto - Implantar tGuidance na Retenção NET"/>
    <s v="Navegantes"/>
    <s v="Plano Recuperação"/>
    <x v="5"/>
    <s v="Rodrigo Zambon"/>
    <s v="Leonardo Pelegrino"/>
    <x v="8"/>
    <s v="Luciana Andrade"/>
    <s v="Desenvolvimento"/>
    <d v="2016-03-16T00:00:00"/>
    <n v="66"/>
    <d v="2016-03-22T00:00:00"/>
    <s v="Sim"/>
    <d v="2016-04-12T00:00:00"/>
    <d v="2016-06-09T00:00:00"/>
    <s v="Sim"/>
    <m/>
    <s v="17/05: Aguardando OK da operação para seguir com o rollout._x000a_10/05: Mesmo Status_x000a_03/05: Mesmo Status_x000a_26/04: Mesmo Status_x000a_19/04: Cronograma definido. Piloto está previsto de 12/05 à 18/05 e o roll out de 19/05 à 09/06._x000a_12/04: Em definição de cronograma. Sugestão de TI enviado a operação e o mesmo não foi aceito._x000a_05/04: Aguardando a atualização da EF e planilha de insumos pela operação._x000a_29/03: Realizada uma call com o solicitante para entendimento da demanda. Pendente o envio de VDN e atualização da EF._x000a_22/03 - A iniciar"/>
    <s v="Solicitante"/>
    <s v="Juliano"/>
    <d v="2016-05-17T00:00:00"/>
    <s v="Em andamento"/>
    <m/>
    <n v="205"/>
  </r>
  <r>
    <s v="CTXRJOMA-78346"/>
    <s v="Contratação das licenças atualizadas do Windows Server "/>
    <m/>
    <s v="Operações que não estão no Plano de Recuperação"/>
    <x v="2"/>
    <s v="Giuseppe"/>
    <s v="Mauricio Lustosa"/>
    <x v="8"/>
    <s v="Marcio José"/>
    <s v="Upgrade de Tecnologia"/>
    <d v="2016-02-22T00:00:00"/>
    <n v="89"/>
    <d v="2016-03-22T00:00:00"/>
    <s v="Não"/>
    <s v="TBD"/>
    <s v="TBD"/>
    <s v="TBD"/>
    <m/>
    <s v="17/05: Mesmo Status_x000a_10/05: Aguarda negociação com fornecedor para aquisição das licenças Windows Server CAL 2012, e posterior alinhamento com o cliente Oi comprovando a compra e aderência aos requisitos Microsoft._x000a_03/05: Levantamento usuários do Siebel, Exchange e Click, a Validação de usuários ativos da lista Oi e o Levantamento de máquinas que acessam Siebel e Click foi realizado. Aguardando o retorno de negócio para os próximos passos._x000a_26/04: Aguardando a validação dos usuários que acessam o sistema click._x000a_19/04: Mesmo status._x000a_12/04: Mesmo status. _x000a_05/04: Aguardando a validação dos usuários ativos no Ecadop para fazer a cotação de licenças._x000a_29/03: Enviado e-mail para controle de ativos verificar a aquisição de licenças._x000a_22/03 - A iniciar"/>
    <s v="TBD"/>
    <s v="TBD"/>
    <s v="TBD"/>
    <s v="Em andamento"/>
    <m/>
    <n v="35498"/>
  </r>
  <r>
    <s v="CTXRJOMA-78585"/>
    <s v="Projeto BI -  Meu MIS  ( Operações Itau  ) - Santo Amaro"/>
    <s v="Santo Amaro/PE"/>
    <s v="BI Corporativo"/>
    <x v="8"/>
    <m/>
    <s v="Mauricio Lustosa"/>
    <x v="1"/>
    <s v="Pedro Bazzarella"/>
    <s v="Desenvolvimento"/>
    <d v="2016-03-21T00:00:00"/>
    <n v="61"/>
    <d v="2016-03-22T00:00:00"/>
    <s v="Não"/>
    <s v="TBD"/>
    <s v="TBD"/>
    <s v="TBD"/>
    <m/>
    <s v="[17/05] - Necessário definição de proximos passos sobre a analise / execução dessa solicitação ( Adalto )_x000a__x000a_[10/05]Pendente entrega de Aplicações.Alinhamento com Rivaldo._x000a_[03/05]Pendente entrega de Aplicações._x000a__x000a_[26/04] No aguardo da OG._x000a__x000a_[19/04] Projeto encaminhado para analise tecnica equipe Adalto. (Recomendação (Koreeda e Rivaldo). Email Klaus._x000a_Retorno Aplicações previsto 26/04._x000a__x000a_[12/04] - Fase de entendimento Tecnico e direcionamento para Equipe Especialista._x000a__x000a_[04/04] - Consulta de Saving com Gestão Ativos._x000a__x000a_[29/03] - Não identificado saving. Direcionar para Analise tecnica._x000a__x000a_[22/03] - Avaliando com equipe TI Recife se procede a disponibilidade de servidores, coforme informado pelo do saving de servidor, conforme sinalizado pelo Solicitante._x000a__x000a_"/>
    <s v="ENG/APP"/>
    <s v="Adalto"/>
    <d v="2016-04-26T00:00:00"/>
    <s v="Desenho Solução"/>
    <s v="ND"/>
    <m/>
  </r>
  <r>
    <s v="CTXSPOAP407-16016"/>
    <s v="PROJETO ADEQUAÇÃO URA MULTIPLUS CONTAX P/ ORBITAL "/>
    <s v="Alegria/SP"/>
    <s v="Operações que não estão no Plano de Recuperação"/>
    <x v="5"/>
    <s v="Rodrigo Zambon"/>
    <s v="Leonardo Pelegrino"/>
    <x v="1"/>
    <s v="Cleonice"/>
    <s v="URA"/>
    <d v="2016-03-21T00:00:00"/>
    <n v="61"/>
    <d v="2016-03-28T00:00:00"/>
    <s v="Sim"/>
    <s v="TBD"/>
    <d v="2016-05-07T00:00:00"/>
    <s v="Não"/>
    <m/>
    <s v="[17/05] - RollOut previsto para iniciar as 23hs de 18/05 até as 03hs. GOnoGO determinado para 03:30hs. Sala de Guerra agendada para 23hs_x000a__x000a_[10/05] Virada de ligações feita em 01/05. Pendente migração de URA, apresentando errros na homologação. Sem nova previsão de virada. Solicitado avisoo com 24h de antecedencia._x000a__x000a_[03/05] Virada de ligações feita em 01/05. Pendente migração de URA, Call em 04/05 para plano de migração._x000a__x000a_[26/04] Aguardando ok do cliente para alinhar virada, inicialmente para 27/04._x000a__x000a_[19/04] - Testes de transbordo ligação URA para DAC Orbitall ( 01 VDN) realizado em 18/04 com sucesso. _x000a_Aguardando proximos passos (Cliente Multiplus) e confimação data Virada ambiente._x000a_Homologação: [ VDN: 20251 Multiplus Grupo A]_x000a_- Transbordo realizado com Sucesso (Túnel Contax e Orbitall)._x000a_- Transferência URA Multiplus ( Realizada com sucesso)_x000a__x000a__x000a_[12/04] - Solução de Contingência para trasnbordo e transferencias das Ligações da  atual URA Multiplus para DAC Orbital em andamento. Em paralelo ações de configuração de DAC sendo realizadas pelo Fornecedor Orbital._x000a__x000a_[04/04] - Projeto direcionado para avaliação tecnica da equipe de Engenharia. Expectativa de retorno com  Alocação de Recurso tecnico para  avaliação e tratativa da solicitação - 06/04_x000a__x000a_28/03 - A iniciar"/>
    <s v="CSE"/>
    <s v="LW"/>
    <s v="ND"/>
    <s v="Desenvolvimento/Execução"/>
    <m/>
    <m/>
  </r>
  <r>
    <s v="CTXSPOBF-126487"/>
    <s v="Projeto: Alteração do Arquivo RAW - Operação Serasa Cobrança"/>
    <s v="Antártica/SP"/>
    <s v="Operações que não estão no Plano de Recuperação"/>
    <x v="6"/>
    <s v="Noemia Ferro"/>
    <s v="Maurício Perez"/>
    <x v="5"/>
    <s v="Priscila"/>
    <s v="Desenvolvimento"/>
    <d v="2016-09-30T00:00:00"/>
    <s v="N/A"/>
    <d v="2016-01-19T00:00:00"/>
    <s v="Sim"/>
    <s v="-"/>
    <d v="2016-05-20T00:00:00"/>
    <s v="Sim"/>
    <m/>
    <s v="17/05 - projeto programado para implantação no dia 19/05._x000a_11/05 - Testes realizados e OK.  Aguardando virada para produção._x000a_02/05 - Equipe de CSE já disponibilizou o arquivo e os testes foram OK pro planejamento. Aguardando retorno da operação quanto a homolgoação_x000a_27/04 - Hoje teremos um retorno da equipe de CSE com a disponibilização do arquivo em ambiente de homologação para homologação da operação_x000a_20/04 - Projeto entregue pelo fornecedor em 15/abr. Foi aberto um chamado para equipe de produção para disponibilizar o pacote no ambiente para validação da operação. Previsão: 25/abr_x000a_29/03 - Projeto será entregue pelo fornecedor em 14/04"/>
    <s v="CSE"/>
    <s v="Marcio Nakaya"/>
    <d v="2016-05-19T00:00:00"/>
    <s v="Roll Out"/>
    <m/>
    <m/>
  </r>
  <r>
    <s v="CTXSPOAP407-15967"/>
    <s v="Navegação de Dados "/>
    <s v="Acre"/>
    <s v="Plano Recuperação"/>
    <x v="5"/>
    <s v="Rodrigo Zambon"/>
    <s v="Leonardo Pelegrino"/>
    <x v="2"/>
    <s v="Cleonice"/>
    <s v="RTI"/>
    <d v="2016-03-11T00:00:00"/>
    <n v="71"/>
    <d v="2016-03-24T00:00:00"/>
    <s v="Não"/>
    <s v="TBD"/>
    <s v="TBD"/>
    <s v="TBD"/>
    <m/>
    <s v="[16/05] - Em levantamento de processos para a construção da EF_x000a_ [10/05] - Equipe de Negócio precisa abrir um chamado para cada solicitação e elaborar EF._x000a_[03/05] - Demanda desmembrada da original 1478. Equipe de Negocio precisa abrir um chamado para cada solicitação_x000a_[25/04] - Aguardando priorização dos projetos_x000a_ [18/04] - Não será possível cumprir o planejadmento devido ao atraso na aprovação e a necessidade de ajustes, dos POPs 1601 e 1689. O novo replanejamento será publicado até o dia 25/04/16. _x000a_[11/04] Data de TO BE replanejada devido ao atraso na entrega e validação dos TO BEs das outras demandas de Claro. Novo prazo 9/5_x000a_ [04/04] Replanejamento de datas devido à disponibilidade de recursos. Aguardando recurso para iniciar. _x000a_[29/03] - Em fase de desenho de solução. _x000a_Previsão de datas será publicado em 04/04/16. Aguradando Recurso"/>
    <s v="Solicitante"/>
    <s v="Cleonice"/>
    <s v="TDB"/>
    <s v="Análise"/>
    <m/>
    <m/>
  </r>
  <r>
    <s v="CTXSPOAP407-15966 "/>
    <s v="Pacotes de Internet "/>
    <s v="Acre"/>
    <s v="Plano Recuperação"/>
    <x v="5"/>
    <s v="Rodrigo Zambon"/>
    <s v="Leonardo Pelegrino"/>
    <x v="2"/>
    <s v="Cleonice"/>
    <s v="RTI"/>
    <d v="2016-03-11T00:00:00"/>
    <n v="71"/>
    <d v="2016-03-24T00:00:00"/>
    <s v="Sim"/>
    <d v="2016-03-15T00:00:00"/>
    <d v="2016-03-15T00:00:00"/>
    <s v="Sim"/>
    <m/>
    <s v="[16/05] - Em piloto até 25/05._x000a_[09/05] - Testes internos e ajustes finalizados com sucesso. Ambiente e usuários estão ok para inicio do piloto em 11/05/16. _x000a_[02/05] - Iniciamos os testes internos e idenficamos necessidade de fazer ajustes. Cronograma será estendido em 1 semana. _x000a_[25/04] - Solicitado a equipe de negócios layout das PAs para o piloto. Prazo de envio TDB - Desenvolvimento concluído. Teste de conectividade será realizado nesta semana. Prazo de conclusão 29/04._x000a_[18/04] - TO BE avaliado pela operação, ajustado e enviado para aprovação em 14/04/16. Desenvolvimento conforme cronograma._x000a_[12/04] - TO BE enviado para aprovação em 08/04/16; previsão de retorno em 12/04/16. Em desenvolvimento conforme datas reprogramadas._x000a_[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_x000a_[29/03] - Pendente de envio do desenho do processo por parte de Negócios. Foi solicitada a sala de guerra para esclarecimento de dúvidas, ainda a ser agendada. "/>
    <s v="Aplicações"/>
    <s v="Mariana"/>
    <d v="2016-05-09T00:00:00"/>
    <s v="Em Desenvolvimento"/>
    <d v="2016-05-10T00:00:00"/>
    <m/>
  </r>
  <r>
    <s v="CTXSPOAP407-15965"/>
    <s v="Agregadores e Serviços"/>
    <s v="Acre"/>
    <s v="Plano Recuperação"/>
    <x v="5"/>
    <s v="Rodrigo Zambon"/>
    <s v="Leonardo Pelegrino"/>
    <x v="2"/>
    <s v="Cleonice"/>
    <s v="RTI"/>
    <d v="2016-03-11T00:00:00"/>
    <n v="71"/>
    <d v="2016-03-24T00:00:00"/>
    <s v="Sim"/>
    <d v="2016-03-15T00:00:00"/>
    <d v="2016-03-15T00:00:00"/>
    <s v="Sim"/>
    <m/>
    <s v="[16/05] - Em piloto até 25/05. _x000a_[09/05] - Testes internos e ajustes finalizados com sucesso. Ambiente e usuários estão ok para inicio do piloto em 11/05/16. _x000a_[02/05] - Iniciamos os testes internos e identificamos necessidade de fazer ajustes. Cronograma será estendido em 1 semana. _x000a_[25/04] - Solicitado a equipe de negócios layout das PAs para o piloto. Prazo de envio TDB - Desenvolvimento concluído. Teste de conectividade será realizado nesta semana. Prazo de conclusão 29/04._x000a_[18/04] - TO BE avaliado pela operação, ajustado e enviado para aprovação em 14/04/16. Desenvolvimento conforme cronograma._x000a_[11/04] TO BE ainda não validado pela operação; previsão 11/04/16. Em desenvolvimento conforme datas reprogramadas._x000a_[04/04] Aguardando validação do TO BE pela operação. Previsto para 04/04/16. Desenvolvimento em andamento e estendido devido à complexidade encontrada. Data de UAT precisa ser validada pela operação._x000a_[29/03] - Em desenvolvimento"/>
    <s v="Aplicações"/>
    <s v="Mariana"/>
    <d v="2016-05-09T00:00:00"/>
    <s v="Em Desenvolvimento"/>
    <d v="2016-05-10T00:00:00"/>
    <m/>
  </r>
  <r>
    <s v="CTXSPOAP407-15853"/>
    <s v=" Rede e Cobertura"/>
    <s v="Acre"/>
    <s v="Plano Recuperação"/>
    <x v="5"/>
    <s v="Rodrigo Zambon"/>
    <s v="Leonardo Pelegrino"/>
    <x v="2"/>
    <s v="Cleonice"/>
    <s v="RTI"/>
    <d v="2016-03-11T00:00:00"/>
    <n v="71"/>
    <d v="2016-03-24T00:00:00"/>
    <s v="Não"/>
    <s v="TBD"/>
    <s v="TBD"/>
    <s v="TBD"/>
    <m/>
    <s v="[16/05] - Em levantamento de processos para a construção da EF_x000a_[10/05] - Equipe de Negócio precisa abrir um chamado para cada solicitação e elaborar EF._x000a_[03/05] - Demanda desmembrada da original 1478. Equipe de Negocio precisa abrir um chamado para cada solicitação_x000a_[25/04] - Aguardando priorização dos projetos_x000a_[18/04] - TO BE não iniciado devido ao atraso na validação, e a necessidade de ajustes, dos POPs 1601 e 1689. O novo replanejamento será publicado até o dia 25/04/16. _x000a_[11/04] Data de TO BE replanejada devido ao atraso na entrega e validação dos TO BEs das outras demandas de Claro. Novo prazo 27/4._x000a_[04/04] Replanejamento de datas devido à disponibilidade de recursos. Aguardando recurso para iniciar. _x000a_[29/03] - Em fase de desenho de solução. _x000a_Previsão de datas será publicado em 04/04/16. Aguradando Recurso"/>
    <s v="Solicitante"/>
    <s v="Cleonice"/>
    <s v="TDB"/>
    <s v="Análise"/>
    <m/>
    <m/>
  </r>
  <r>
    <s v="CTXRJOMA-78594"/>
    <s v="Projeto Monitoria de Call Center Oi "/>
    <m/>
    <s v="Operações que não estão no Plano de Recuperação"/>
    <x v="4"/>
    <s v="Ana Coelho"/>
    <s v="Marcel Garcia"/>
    <x v="9"/>
    <s v="Fabio Prazeres"/>
    <s v="Desenvolvimento"/>
    <d v="2016-02-26T00:00:00"/>
    <n v="85"/>
    <d v="2016-03-30T00:00:00"/>
    <s v="Não"/>
    <s v="TBD"/>
    <s v="TBD"/>
    <s v="Não existe data fechada"/>
    <m/>
    <s v="17/05 _x000a_a- Pendente acionar Eng para desenho de Controle de Ativos. _x000a_b-Parte do RTSocket já foi entregue em Desenho de Telecom._x000a__x000a_10/05 - Acionar Eng para desenho de Controle de Ativos. Parte do RTSocket está em Desenho de Telecom._x000a__x000a_03/05- Em fase de entendimento com solcitante. Muitos pontos em aberto, com necessidade de colocar em estudo com Engenharia. Preciso fechar escopo antes._x000a__x000a_26/04 - Alinhamento feito comn FAbiana C arla de que projeto estaria entregue. Acionada a Avaya para dar posicionamento._x000a_12/04: Projeto está na fase de entendimento entre  Lustosa e Marcel/Fabio, pois as infomações solicitadas na EF já são disponobilizadas para a Oi através do RTI._x000a_05/04: Projeto alocado na fila dos executores em 01/04._x000a_30/03 - A iniciar"/>
    <s v="Engenharia"/>
    <s v="Villa"/>
    <d v="2016-05-25T00:00:00"/>
    <s v="Desenho Solução"/>
    <d v="2016-05-25T00:00:00"/>
    <m/>
  </r>
  <r>
    <s v="CTXSPOBF-125921"/>
    <s v="Projeto - Instalação do Tsupervisor na Operação Santander nos Sites Antártica e Mackenzie"/>
    <s v="Antártica/SP_x000a_Mackenzie/RJ"/>
    <s v="Plano Recuperação"/>
    <x v="6"/>
    <s v="Noemia Ferro"/>
    <s v="Maurício Perez"/>
    <x v="8"/>
    <s v="Luciana Andrade"/>
    <s v="Desenvolvimento"/>
    <d v="2015-09-22T00:00:00"/>
    <n v="242"/>
    <d v="2016-03-30T00:00:00"/>
    <s v="Não"/>
    <s v="TBD"/>
    <s v="TBD"/>
    <s v="TBD"/>
    <m/>
    <s v="17/05: Mesmo Status_x000a_10/05: Mesmo Status_x000a_03/05: Mesmo Status_x000a_26/04: Mesmo Status_x000a_19/04: Mesmo status. Solicitado em paralelo o preenchimento da planilha Cadastro da Operação e até o momento não houve retorno._x000a_12/04: Mesmo status. _x000a_04/04: Projeto em hold, pois a compra de licenças da Nice e a troca do Windows XP para a versão 8 são premissas para implantar o t-supervisor._x000a_30/03 - A iniciar"/>
    <s v="Negócio"/>
    <s v="Luciana Mattos"/>
    <s v="TBD"/>
    <s v="Em Hold"/>
    <m/>
    <n v="390"/>
  </r>
  <r>
    <s v="CTXRECSA-466020"/>
    <s v="Projeto - &quot;VDSL na Sinergia&quot;"/>
    <m/>
    <s v="Operações que não estão no Plano de Recuperação"/>
    <x v="4"/>
    <s v="Ana Coelho"/>
    <s v="Ana Sosa"/>
    <x v="8"/>
    <s v="Jill Ortiz"/>
    <m/>
    <d v="2016-02-25T00:00:00"/>
    <n v="86"/>
    <d v="2016-03-30T00:00:00"/>
    <s v="Não"/>
    <s v="TBD"/>
    <s v="TBD"/>
    <s v="TBD"/>
    <m/>
    <s v="17/05: Mesmo Status_x000a_10/05: Mesmo Status_x000a_03/05: Mesmo Status_x000a_26/04: Mesmo Status_x000a_19/04: Mesmo Status, por isso o status do projeto será alterado para em hold._x000a_12/04: Aguardando DA do cliente para seguir com a alteração da URA. _x000a_05/04: Cotação do valor para a alteração da freseologia da URA R$1250,00. Aguarda proposta formal da Avaya._x000a_30/03 - A iniciar"/>
    <s v="Solicitante"/>
    <s v="Jill Ortiz"/>
    <s v="TBD"/>
    <s v="Em Hold"/>
    <m/>
    <s v="TBD"/>
  </r>
  <r>
    <s v="CTXFORBM-361881 "/>
    <s v="Projeto - Gravação de chamadas Oi Total - BTCC"/>
    <s v="Borges de Melo/CE"/>
    <s v="Operações que não estão no Plano de Recuperação"/>
    <x v="4"/>
    <s v="Ana Coelho"/>
    <s v="Ana Sosa"/>
    <x v="8"/>
    <s v="Lucas Ribeiro"/>
    <m/>
    <d v="2016-03-01T00:00:00"/>
    <n v="81"/>
    <d v="2016-03-30T00:00:00"/>
    <s v="Não"/>
    <s v="TBD"/>
    <s v="TBD"/>
    <s v="TBD"/>
    <m/>
    <s v="17/05: Mesmo Status_x000a_10/05: Mesmo Status_x000a_03/05: Aguardando retorno da operação quanto ao cancelamento do projeto._x000a_26/04: Viabilidade não foi aprovada por ENG devido a outro projeto em paralelo já contemplar essa alteração. E-mail enviado a operação com este posicionamento. _x000a_19/04: Aguardando análise de ENG para verificar a viabilidade deste projeto._x000a_04/04: Realizado entendimento do projeto junto ao solicitante e alocado na fila dos executores em 01/04._x000a_30/03 - A iniciar"/>
    <s v="Solicitante"/>
    <s v="Sterlaine"/>
    <s v="TBD"/>
    <s v="Em andamento"/>
    <m/>
    <n v="70"/>
  </r>
  <r>
    <s v="CTXSPOAL-110390"/>
    <s v="PROJETO - ARQUITETURA LINK TAM (ALMAVIVA)"/>
    <s v="Alegria/SP"/>
    <s v="Operações que não estão no Plano de Recuperação"/>
    <x v="5"/>
    <s v="Rodrigo Zambon"/>
    <s v="Leonardo Pelegrino"/>
    <x v="1"/>
    <s v="Cleonice"/>
    <m/>
    <d v="2016-03-15T00:00:00"/>
    <n v="67"/>
    <d v="2016-03-30T00:00:00"/>
    <s v="Não"/>
    <s v="TBD"/>
    <s v="TBD"/>
    <s v="TBD"/>
    <m/>
    <s v="[17/05] - Realizando avaliação de Infra dos links entregues pela Operadora. Problema com um dos circuitos entregue._x000a_Necessário realizar Gmud para concluir configurações de redes dos Links, previsto para 18/05._x000a_Proximos passos &gt; configurações de Telecom e testes com Almaviva._x000a_Entrada em produção  - 23/05_x000a__x000a_ [10/05] Vistoria da Oi esperada para essa data, para viabilizar instalação dos links. desenho e plano de GMUD fechados e enviados para CSE.._x000a__x000a_[03/05] Reunião com cliente realizada com sucesso. desenho da solução aprovado com o cliente. Em fase de montagem de cronograma._x000a__x000a_[26/04] Reunião com cliente marcada para 02/05._x000a__x000a_[19/04] - Em fase de entendimento escopo. Reunião tecnica entre TAM e ENG (Antônio) , agendada para 18/04 as 16hs_x000a__x000a_[12/04] - Projeto direcionado para  fila de Engenharia TI, previsão de conclusão da analise tecnica em 04/05._x000a__x000a_[04/04] - Projeto direcionado para avaliação tecnica da equipe de Engenharia. Expectativa de retorno com  Alocação de Recurso tecnico para  avaliação e tratativa da solicitação - 06/04_x000a__x000a_30/03 - A iniciar"/>
    <s v="ENG"/>
    <s v="LW"/>
    <m/>
    <s v="Desenvolvimento/Execução"/>
    <m/>
    <m/>
  </r>
  <r>
    <s v="CTXSPOAL-96495"/>
    <s v="Projeto - Precificação de novo hardware para servidor de banco de dados"/>
    <s v="São Cristóvão"/>
    <s v="Plano Recuperação"/>
    <x v="9"/>
    <m/>
    <s v="Rogerio Silva"/>
    <x v="1"/>
    <s v="Rogerio Silva"/>
    <s v="Upgrade de Tecnologia"/>
    <d v="2015-10-20T00:00:00"/>
    <n v="214"/>
    <d v="2016-03-30T00:00:00"/>
    <s v="Não"/>
    <s v="TBD"/>
    <s v="TBD"/>
    <s v="TBD"/>
    <m/>
    <s v="[17/05] - call com fornecedor TQS realizado. Fornecedor recomendou realizar as ações faseadas, e não garantiu ganho de performance._x000a_Proposta - Avaliar com solicitante se seguiremos com testes ou cotação direto._x000a__x000a_[10/05] Para essa data call do CSE com a TQS. Cliente estressado com a demora._x000a__x000a_[26/05] Sem evolução. Necessário fazer call com TQS._x000a__x000a_[19/04] - Direcionado para Fila CSE. Assunto esclarecido com LW ee direcionado para DBA. Ainda sem retorno da avaliação tecnica. Será necessário envolver fornecedor TQS._x000a__x000a_[12/04] -  Avaliação tecnica realizada pela Equipe Engenharia. Foram recomendadas melhorias como Criação de indices para as tabelas, Alarmes criticos de Storage e Back up, e posteriormente avaliar a performance da máquina._x000a_Projeto direcionado para Avaliação equipe Execução._x000a__x000a_[04/04] - Projeto direcionado para avaliação tecnica da equipe de Arquitetura. Expectativa de retorno com  Alocação de Recurso tecnico para  avaliação e tratativa da solicitação - 06/04_x000a__x000a_30/03 - A iniciar"/>
    <s v="ENG/CSE"/>
    <s v="LW"/>
    <m/>
    <s v="Desenho Solução"/>
    <m/>
    <m/>
  </r>
  <r>
    <s v="CTXSPOBF-140238"/>
    <s v="Projeto - Substituição do Sistema Operacional das máquinas de Back Office e Supervisores"/>
    <m/>
    <s v="Operações que não estão no Plano de Recuperação"/>
    <x v="6"/>
    <s v="Noemia Ferro"/>
    <s v="Carlos Batista"/>
    <x v="8"/>
    <s v="George Dimitrov"/>
    <s v="Upgrade de Tecnologia"/>
    <d v="2016-03-21T00:00:00"/>
    <n v="61"/>
    <d v="2016-03-30T00:00:00"/>
    <s v="Não"/>
    <s v="TBD"/>
    <s v="TBD"/>
    <s v="TBD"/>
    <m/>
    <s v="17/05: Mesmo Status_x000a_11/05: Alinhar necessidade do projeto de acordo com o retorno do projeto CTXSPOBF-138261, pois é uma premissa para este projeto._x000a_[03/05] Assunto escalado  no dia de hoje. Eng fez analise inicial sobre real necessidade de se migrar versão da NIce, como desnecessaria. Projeto passado para Debora._x000a_[26/04] MESMO STATUS ANTERIOR._x000a_[12/04] - Aguardando conclusão da avaliação tecnica no Projeto CTXSPOBF-138261_x000a_Em paralelo, foi realizado mapeamento de modelo de máquinas no site Antartica e Mck, e encaminhado para analise de Gestão de ativos , para avaliar se será necessário aquisição de licenças W8, para esse Upgrade. _x000a_[04/04] - Aguardando analise técnica do projeto CTXSPOBF-138261 - Atualização da Versão do Nice compatível com Windows 8.1,para darmos prosseguimento com essa solicitação. _x000a_Em paralelo, realizar consulta Gestão Ativos. (disponibilidade Licenças ). _x000a_ 30/03 - A iniciar"/>
    <s v="PMO TI"/>
    <s v="Débora Gercke"/>
    <s v="TBD"/>
    <s v="Em andamento"/>
    <m/>
    <m/>
  </r>
  <r>
    <s v="CTXFORBM-362407"/>
    <s v="Projeto - Implantação do NBA + APC para os Propensos OCT e PÒS"/>
    <s v="Nascente"/>
    <s v="Operações que não estão no Plano de Recuperação"/>
    <x v="4"/>
    <s v="Ana Coelho"/>
    <s v="Ana Sosa"/>
    <x v="3"/>
    <s v="Lisandra"/>
    <s v="Desenvolvimento"/>
    <d v="2016-03-02T00:00:00"/>
    <n v="80"/>
    <d v="2016-03-30T00:00:00"/>
    <s v="Não"/>
    <s v="TBD"/>
    <s v="TBD"/>
    <s v="TBD"/>
    <m/>
    <s v="Edison Nei Siqueira added a comment - 18/Mai/16 11:48_x000a_cliente OI solicitou o replanejamento da entrada dessa demanda, pois eles precisam internamente discutir a EF com a Accenture, nova data solicitada para implantação é para a segunda quinzena de Julho._x000a__x000a_Edison Nei Siqueira added a comment - 10/Mai/16 18:54_x000a_Cronograma em elaboração, aguardando retorno do cliente OI com relação aos questionamentos feitos na EF pelo time de aplicações, também estamos aguardando o de acordo para movimentar os links de voz do aspect para o APC._x000a__x000a_Edison Nei Siqueira added a comment - 03/Mai/16 18:11_x000a_Demanda inserida na fila de CSE para levantamento de OG. Estamos aguardando a planilha de cadastro de operação na plataforma tGuidance para evoluir junto a equipe de aplicações._x000a__x000a_Edison Nei Siqueira added a comment - 26/Abr/16 19:36_x000a_Estamos aguardando o retorno da área de projetos com a informação de qual campanha no Aspect é utilizada pela operação, com essa informação será possível verificar se os links utilizados são compartilhados ou não._x000a__x000a_Edison Nei Siqueira added a comment - 12/Abr/16 18:00_x000a_Demanda na fila de engenharia com previsão de conclusão de analise para o dia 20/04._x000a__x000a_Edison Nei Siqueira added a comment - 05/Abr/16 17:21_x000a_Demanda inserida no pipe de engenharia e aplicações, previsão de retorno com o recurso que vai realizar a analise para o dia 06/04._x000a__x000a_30/03 - A iniciar"/>
    <m/>
    <m/>
    <m/>
    <s v="Analise de CSE"/>
    <m/>
    <m/>
  </r>
  <r>
    <s v="CTXNITSP-172611"/>
    <s v="Projeto - Alteração da regra de carga do Mailing no TLV (SAV ENTREGA)"/>
    <s v="RJ - Site Niterói"/>
    <s v="Operações que não estão no Plano de Recuperação"/>
    <x v="4"/>
    <s v="Ana Coelho"/>
    <s v="Ana Sosa"/>
    <x v="4"/>
    <s v="Leonardo Pellegrini"/>
    <s v="Desenvolvimento"/>
    <d v="2015-11-09T00:00:00"/>
    <n v="194"/>
    <d v="2016-03-30T00:00:00"/>
    <s v="Não "/>
    <s v="TBD"/>
    <s v="TBD"/>
    <s v="TBD"/>
    <m/>
    <s v="17/05 - Solicitante confirmando a suposta alteração de escopo para reenvio a TQS._x000a__x000a_10/05 - Aguardando retorno da TQS perante análise da EF._x000a__x000a_03/05 - Aguardando EF atualizada  para seguimento da Demanda._x000a__x000a_25/04 - Mesmo status, aguardando retorno da operação com a definição de escopo._x000a__x000a_19/04 - Conforme alinhado em conferência, a TQS vai considerar esta demanda como chamado, assim não é preciso fazer proposta comercial._x000a_Solicitado a operação, o documento atualizado com o escopo da demanda._x000a__x000a_12/04 - Delegado a Engenharia Telecom - Antonio, prazo amanhã 13/04_x000a__x000a_04/04 - Em análise_x000a__x000a_30/03 - A iniciar"/>
    <s v="Aplicaçoes / Fornecedor "/>
    <s v="Raphael Marcandier / Jairo TQS"/>
    <s v="TBD"/>
    <s v="Análise"/>
    <m/>
    <n v="81"/>
  </r>
  <r>
    <s v="CTXSPOAL-110826"/>
    <s v="Projeto - Substituir sistema de telefonia da operação Intermédica"/>
    <s v="Alegria/SP"/>
    <s v="Operações que não estão no Plano de Recuperação"/>
    <x v="0"/>
    <s v="Ricardo Araújo"/>
    <s v="Celso Miranda"/>
    <x v="0"/>
    <s v="Rogério Luiz"/>
    <s v="Infraestrutura"/>
    <d v="2016-03-18T00:00:00"/>
    <n v="64"/>
    <d v="2016-03-30T00:00:00"/>
    <s v="TBD"/>
    <s v="TBD"/>
    <s v="TBD"/>
    <s v="TBD"/>
    <m/>
    <s v="19/05 - Na fila_x000a_11/05 - Na fila_x000a_04/05 - Na fila_x000a_30/03 - A iniciar"/>
    <s v="PMO TI"/>
    <s v="Bruno Ribeiro"/>
    <m/>
    <s v="Na Fila"/>
    <m/>
    <m/>
  </r>
  <r>
    <s v="CTXRECSA-476612"/>
    <s v="Item Base do CLICK_CRV"/>
    <s v="PE - Site Santo Amaro"/>
    <s v="Operações que não estão no Plano de Recuperação"/>
    <x v="4"/>
    <s v="Ana Coelho"/>
    <s v="Ana Sosa"/>
    <x v="4"/>
    <s v="Marcel Garcia"/>
    <s v="Desenvolvimento"/>
    <d v="2016-03-28T00:00:00"/>
    <n v="23"/>
    <d v="2016-04-01T00:00:00"/>
    <s v="Sim"/>
    <m/>
    <d v="2016-06-06T00:00:00"/>
    <s v="Não "/>
    <m/>
    <s v="17/05 - Envio de homologação para o solicitante no dia 16/05, aguardando retorno da operação._x000a__x000a_10/05 - Desenvolvimento ocorrendo. Probabilidade de Início de Homologação no período de 16 à 18/05. _x000a__x000a_03/05 - Em Desenvolvimento de Aplicações TI._x000a_Anthonny, irá atualizar a EF com o novo escopo, totalizando 4 itens. _x000a_ O último item “novo” envolve a outra área de TI , sendo Aplicações TI (Viviane Rodriguez). Iremos realizar uma conferência após recebimento da EF atualizada,  para verificar viabilidade de Desenvolvimento. Lembrando que não tem dependência com o desenvolvimento anterior._x000a_Em paralelo, precisamos de um apoio com a Oi para a criação deste NAT (Motivo: Nosso servidor acessar o STC ), não impactando no cronograma deste projeto._x000a_O servidor atual fica em Santo Amaro, estamos realizando um upgrade de infra  e colocando servidores novos no Data Center em São Paulo._x000a__x000a_25/04 - O prazo de Aplicações para  o Desenvolvimento são 25 dias úteis a partir desta liberação de acesso ao FTP. _x000a_Esta liberação já está com o CSE através do chamado RECSA-362778._x000a__x000a_19/04 - Aberto chamado para a liberação do FTP da Oi para seguimento do Desenv de TI. _x000a__x000a_12/04 - Demanda já priorizada e sendo analisada a EF. _x000a__x000a_05/04: Projeto alocado na fila dos executores em 01/04._x000a_01/04 - A iniciar"/>
    <s v="Aplicações TI "/>
    <s v="Tatiana Barbosa"/>
    <d v="2016-05-13T00:00:00"/>
    <s v="Análise"/>
    <m/>
    <n v="100"/>
  </r>
  <r>
    <s v="CTXRECSA-472258"/>
    <s v="Projeto - &quot;SMS no Masssivo&quot;"/>
    <m/>
    <s v="Operações que não estão no Plano de Recuperação"/>
    <x v="4"/>
    <s v="Ana Coelho"/>
    <s v="Ana Sosa"/>
    <x v="8"/>
    <s v="Jill Ortiz"/>
    <s v="Desenvolvimento"/>
    <d v="2016-03-11T00:00:00"/>
    <n v="71"/>
    <d v="2016-04-01T00:00:00"/>
    <s v="Não"/>
    <s v="TBD"/>
    <s v="TBD"/>
    <s v="TBD"/>
    <m/>
    <s v="17/05: Mesmo Status_x000a_10/05: Aguarda requisitos funcionais/básicos da ferramenta_x000a_03/05: Após a realização da call foram levantadas algumas dúvidas e aguardamos o preenchimento da EF e os requisitos técnicos da ferramenta para seguirmos com o projeto. Solicitação enviada ontem, 02/05._x000a_26/04: Ferramenta é gerenciada pelo fornecedor Oi. Call agendada com ENG para esta tratativa._x000a_19/04: Aguardando retorno sobre o questinamento da ferramenta SENDMAKER. _x000a_12/04 - A iniciar_x000a_04/04 - A iniciar"/>
    <s v="Operação"/>
    <s v="Jill Ortiz"/>
    <s v="TBD"/>
    <s v="Em andamento"/>
    <m/>
    <m/>
  </r>
  <r>
    <s v="CTXSPOAL-111810"/>
    <s v="Projeto Customer Care Volkswagen - Fase II"/>
    <s v="Alegria/SP"/>
    <s v="Operações que não estão no Plano de Recuperação"/>
    <x v="6"/>
    <s v="Noemia Ferro"/>
    <s v="Maurício Perez"/>
    <x v="7"/>
    <s v="Priscila"/>
    <s v="Infraestrutura"/>
    <d v="2016-03-29T00:00:00"/>
    <n v="53"/>
    <d v="2016-04-01T00:00:00"/>
    <s v="Não"/>
    <s v="TBD"/>
    <s v="TBD"/>
    <s v="TBD"/>
    <m/>
    <s v="17/05 - Mesmo status_x000a_10/05 - Mesmo status._x000a_03/05 - Mesmo status._x000a_26/04 - Realizada reunião com o cliente. Alinhados alguns pontos e enviadas informações para início de desenvolvimento por parte da MS._x000a_Aguardando discussão VW para alinhamento do &quot;modus operandi&quot; com relação ao chat. _x000a_12/04 - VW solicita reunião para 20/04. Buscando recursos._x000a_05/04 - Agendado kickoff para 06/04._x000a_01/04 - A iniciar"/>
    <s v="NA"/>
    <s v="N/A"/>
    <s v="N/A"/>
    <s v="Na Fila"/>
    <m/>
    <m/>
  </r>
  <r>
    <s v="CTXSPOBF-139773"/>
    <s v="Projeto - Demanda Fraseologias - autocompara"/>
    <s v="Antártica/SP"/>
    <s v="Operações que não estão no Plano de Recuperação"/>
    <x v="6"/>
    <s v="Noemia Ferro"/>
    <s v="Maurício Perez"/>
    <x v="5"/>
    <s v="George Dimitrov"/>
    <s v="URA"/>
    <d v="2016-03-15T00:00:00"/>
    <n v="67"/>
    <d v="2016-03-15T00:00:00"/>
    <s v="Não"/>
    <s v="TBD"/>
    <s v="TBD"/>
    <s v="TBD"/>
    <m/>
    <s v="19/05 - Proposta enviada. Aguardando aceite do solicitante_x000a_11/05 - Mesmo status_x000a_27/04 - Mesmo status_x000a_20/04 - Mesmo status_x000a_12/04 - Mesmo status_x000a_06/04 - Mesmo status_x000a_01/04 - Proposta enviada. Aguardando aceite do solicitante"/>
    <s v="Solicitante"/>
    <s v="Santander"/>
    <s v="N/A"/>
    <s v="Análise"/>
    <m/>
    <m/>
  </r>
  <r>
    <s v="CTXSPOBF-141219"/>
    <s v="Projeto - Aplicação/URA Transbordo Contax -&gt; URA Autocompara (4004-4495)"/>
    <s v="Antártica/SP"/>
    <s v="Operações que não estão no Plano de Recuperação"/>
    <x v="6"/>
    <s v="Noemia Ferro"/>
    <s v="Maurício Perez"/>
    <x v="5"/>
    <s v="George Dimitrov"/>
    <s v="URA"/>
    <d v="2016-04-01T00:00:00"/>
    <n v="50"/>
    <d v="2016-04-06T00:00:00"/>
    <s v="TBD"/>
    <s v="TBD"/>
    <s v="TBD"/>
    <s v="TBD"/>
    <m/>
    <s v="04/05 - Proposta enviada pelo fornecedor. Aguardando aprovação da proposta pelo solicitante_x000a_27/04 - Mesmo status_x000a_20/04 - Mesmo status_x000a_06/04 - Aguardando proposta comercial"/>
    <s v="Solicitante"/>
    <s v="George Dimitrov"/>
    <s v="N/A"/>
    <s v="Análise"/>
    <m/>
    <m/>
  </r>
  <r>
    <s v="CTXSPOBF-141470"/>
    <s v="Projeto - Aplicação/URA - Opção Não ClienteNova Fraseologia"/>
    <s v="Antártica/SP"/>
    <s v="Operações que não estão no Plano de Recuperação"/>
    <x v="6"/>
    <s v="Noemia Ferro"/>
    <s v="Maurício Perez"/>
    <x v="5"/>
    <s v="George Dimitrov"/>
    <s v="URA"/>
    <d v="2016-04-06T00:00:00"/>
    <n v="45"/>
    <d v="2016-04-06T00:00:00"/>
    <s v="TBD"/>
    <s v="TBD"/>
    <s v="TBD"/>
    <s v="TBD"/>
    <m/>
    <s v="29/04 - Proposta comercial enviada. Aguardando aprovação do cliente._x000a_27/04 - Mesmo status_x000a_20/04 - Mesmo status_x000a_06/04 - Aguardando proposta comercial"/>
    <s v="Solicitante"/>
    <s v="George Dimitrov"/>
    <s v="N/A"/>
    <s v="Análise"/>
    <m/>
    <m/>
  </r>
  <r>
    <s v="CTXSALSM-89880"/>
    <s v="Implantação Front Fácil  TLV Residencial "/>
    <m/>
    <s v="Plano Recuperação"/>
    <x v="4"/>
    <s v="Ana Coelho"/>
    <s v="Ana Sosa"/>
    <x v="8"/>
    <s v="Luciana Andrade"/>
    <s v="Desenvolvimento"/>
    <d v="2016-04-06T00:00:00"/>
    <n v="45"/>
    <d v="2016-04-08T00:00:00"/>
    <s v="Sim"/>
    <d v="2016-05-02T00:00:00"/>
    <d v="2016-05-23T00:00:00"/>
    <s v="Sim"/>
    <m/>
    <s v="17/05: Alteração do login realizada com sucesso. Aguardando validação de Tiago Fialho_x000a_10/05: O rollout foi feito com sucesso, está pendente a alteração dos logins programada para 12/05._x000a_03/05: Piloto realizado com sucesso e iniciamos o rollout hoje, 03/05. Previsão de conclusão 23/05, total de 247 PA´s. Cronograma: _x000a_Data            Atividade    Premissa_x000a_02/mai       Piloto              -_x000a_03/mai       Rollout 1        Ok Homolg Piloto_x000a_04/mai       Rollout 2       Ok Homolg Rollout 1_x000a_05/mai       Rollout 3       Ok Homolg Rollout 2_x000a_09/mai       Rollout 4       Ok Homolg Rollout 3_x000a_10/mai        Rollout 5       Ok Homolg Rollout 4_x000a_11/mai         Rollout 6       Ok Homolg Rollout 5_x000a_12/mai        Rollout 7       Ok Homolg Rollout 6_x000a_16/mai        Rollout 8       Ok Homolg Rollout 7_x000a_17/mai        Rollout 9       Ok Homolg Rollout 8_x000a_18/mai        Rollout 10     Ok Homolg Rollout 9_x000a_19/mai        Rollout 11      Ok Homolg Rollout 10_x000a_23/mai       Rollout 12     Ok Homolg Rollout 11_x000a_26/04: Cronograma enviado a operaçã, porém o mesmo não foi aceito e estamos em fase de rever as datas. Cronograma inicial: _x000a_Desenvolvimento 26/abr a 09/mai_x000a_Liberação de Rede 26/abr a 04/mai_x000a_Homologação 09/mai a11/mai_x000a_Instalação 250 Máquinas 12/mai a 31/mai_x000a_19/04: Dúvidas sobre a operação foram enviadas ao solictante. Aguardando retorno._x000a_08/04 - A iniciar"/>
    <s v="Solicitante"/>
    <s v="Tiago Fialho"/>
    <d v="2016-05-11T00:00:00"/>
    <s v="Pós-rollout"/>
    <m/>
    <n v="247"/>
  </r>
  <r>
    <s v="CTXNITSP-181582"/>
    <s v="Front SAC – TLV "/>
    <m/>
    <s v="Plano Recuperação"/>
    <x v="4"/>
    <s v="Ana Coelho"/>
    <s v="Ana Sosa"/>
    <x v="8"/>
    <s v="Luciana Andrade"/>
    <s v="Desenvolvimento"/>
    <d v="2016-04-06T00:00:00"/>
    <n v="45"/>
    <d v="2016-04-08T00:00:00"/>
    <s v="Não"/>
    <s v="TBD"/>
    <s v="TBD"/>
    <s v="TBD"/>
    <m/>
    <s v="17/05: Aguardando aprovação da diretoria para seguir com TQS._x000a_10/05: Está pendente o OK da Diretora Ana Coelho para seguir com a compra das licenças do TLV, além disso as súvidas geradas por aplicações foram esclarecidas hoje, 10/05. Aguarda uma definição da diretoria para seguir com o TLV ou seguir com o tGuidance._x000a_03/05: Está pendente o OK da Diretora Ana Coelho para seguir com a compra das licenças do TLV._x000a_26/04: Retorno da confirmação no número de PA´s recebido em 25/04. Em verificação dos próximos passos para iniciar a compra._x000a_19/04: Para implantar o TLV nesses dois projetos, será necessário iniciar o processo de solicitação de compra junto ao fornecedor, portanto solicitado ao Rodrigo a confirmação do número de PA´s por operação._x000a_08/04 - A iniciar"/>
    <s v="Solicitante"/>
    <s v="Rodrigo Ribeiro"/>
    <s v="TBD"/>
    <s v="Em andamento"/>
    <m/>
    <n v="233"/>
  </r>
  <r>
    <s v="CTXNITSP-181834"/>
    <s v="Front BO- TLV "/>
    <m/>
    <s v="Plano Recuperação"/>
    <x v="4"/>
    <s v="Ana Coelho"/>
    <s v="Ana Sosa"/>
    <x v="8"/>
    <s v="Luciana Andrade"/>
    <s v="Desenvolvimento"/>
    <d v="2016-04-06T00:00:00"/>
    <n v="45"/>
    <d v="2016-04-08T00:00:00"/>
    <s v="Não"/>
    <s v="TBD"/>
    <s v="TBD"/>
    <s v="TBD"/>
    <m/>
    <s v="17/05: Aguardando aprovação da diretoria para seguir com TQS._x000a_10/05: Está pendente o OK da Diretora Ana Coelho para seguir com a compra das licenças do TLV, além disso as súvidas geradas por aplicações foram esclarecidas hoje, 10/05. Aguarda uma definição da diretoria para seguir com o TLV ou seguir com o tGuidance._x000a_03/05: Está pendente o OK da Diretora Ana Coelho para seguir com a compra das licenças do TLV._x000a_26/04: Retorno da confirmação no número de PA´s recebido em 25/04. Em verificação dos próximos passos para iniciar a compra._x000a_19/04: Para implantar o TLV nesses dois projetos, será necessário iniciar o processo de solicitação de compra junto ao fornecedor, portanto solicitado ao Rodrigo a confirmação do número de PA´s por operação._x000a_08/04 - A iniciar"/>
    <s v="Solicitante"/>
    <s v="Rodrigo Ribeiro"/>
    <s v="TBD"/>
    <s v="Em andamento"/>
    <m/>
    <n v="80"/>
  </r>
  <r>
    <s v="CTXNITSP-177717"/>
    <s v="Projeto - Gravação do BO DADOS e BO NBA "/>
    <s v="RJ - Site Niterói"/>
    <s v="Operações que não estão no Plano de Recuperação"/>
    <x v="4"/>
    <s v="Ana Coelho"/>
    <s v="Ana Sosa"/>
    <x v="4"/>
    <s v="Rodrigo Ribeiro"/>
    <s v="Desenvolvimento"/>
    <d v="2016-04-06T00:00:00"/>
    <n v="45"/>
    <d v="2016-04-08T00:00:00"/>
    <s v="Não"/>
    <s v="TBD"/>
    <s v="TBD"/>
    <s v="TBD"/>
    <m/>
    <s v="17/05 - Headset - on site_x000a_SW - Site Niterói está recebendo 9 sw que acabam atendendo esta demanda, aguardando retorno._x000a_Aparelhos Voip - Sendo verificado Transporte com Controle de Ativos._x000a__x000a__x000a_10/05 - Verificando insumos (SW , Headset, Aparelhos Voip)_x000a__x000a_03/05 - Mesmo Status_x000a__x000a_25/04 - Prazo Engenharia:_x000a_Redes ( Carlos Herdeiro)  = Início  Seg 25/04/16 /  Término Ter 03/05/16_x000a_Telecom (Antônio Júnior) =  Início  Seg 25/04/16 /  Término Ter 03/05/16_x000a__x000a_19/04 - Aguardando retorno do CSE _x000a__x000a_12/04 - Enviado para Engenharia TI - E-mail de Inclusão de 15/04._x000a_Verificação de licenças Nice e Aquisição de SWIT POE 48 portas_x000a__x000a_08/04 - A iniciar"/>
    <s v="Engenharia Redes e Telecom / CSE"/>
    <s v="Redes Carlos Herdeiro_x000a_Telecom Antonio Junior"/>
    <d v="2016-05-03T00:00:00"/>
    <s v="Análise "/>
    <m/>
    <n v="24"/>
  </r>
  <r>
    <s v="CTXNITSP-178203"/>
    <s v="Projeto - Instalar uma ferramenta que seja capaz de gravar chamadas de voz e telas de atendimento. _x000a_"/>
    <s v="RJ - Site Niterói"/>
    <s v="Operações que não estão no Plano de Recuperação"/>
    <x v="4"/>
    <s v="Ana Coelho"/>
    <s v="Ana Sosa"/>
    <x v="4"/>
    <s v="Rodrigo Ribeiro"/>
    <s v="Desenvolvimento"/>
    <d v="2016-04-06T00:00:00"/>
    <n v="45"/>
    <d v="2016-04-08T00:00:00"/>
    <s v="Não "/>
    <d v="2016-05-13T00:00:00"/>
    <s v="TBD"/>
    <s v="TBD"/>
    <m/>
    <s v="17/05 -  Aguardando algumas informações da operação para Engenharia Telecom dar seguimento a interação com o fornecedor Nice._x000a_Prazo de Engenharia Telecom (Antonio Junior) = 03/05 à 03/06/2016_x000a__x000a_10/05 - Aguardando algumas informações da operação para Engenharia Telecom dar seguimento a interação com o fornecedor Nice._x000a_Prazo de Engenharia Telecom (Antonio Junior) = 03/05 à 03/06/2016_x000a__x000a_03/05 - A demanda foi analisada por CSE e Engenharia e atualmente no parque da Contax não temos licenças de gravação de tela tanto para o Aspect quanto para o Nice. Para que isto seja feito é necessário o envolvimento de Fornecedores para que eles façam uma análise de nosso ambiente e façam uma proposta de instalação._x000a_Está sendo avaliado este escopo de acionamento._x000a__x000a__x000a_25/04 - Demanda foi encaminhada para Engenharia Villa(Telecom/Gravadores) no dia 20/04. Retorno dos mesmos será 27/04._x000a__x000a_19/04 - Demanda foi encaminhada a Aplicações TI, porém a Cris Sasaki  informou que não condiz com o escopo. _x000a_Foi redirecionado a Equipe de Felipe Villa e Silvio Vial._x000a__x000a_12/04 - Enviado para Aplicações TI  -  E-mail de Inclusão de 15/04._x000a_Verificação de um sistema capaz de gravar chamadas de voz e telas de atendimento e se possível tenha integração com Tlv By Contax. _x000a_-----------------------------------------------------------------_x000a_Operações: CRV _x000a_Site: NIterói _x000a_Rede: Contax-br _x000a_DAC:Niterói _x000a_08/04 - A iniciar"/>
    <s v="Operação / Engenharia Telecom "/>
    <s v="Rodrigo Ribeiro / Antonio Junior"/>
    <d v="2016-06-03T00:00:00"/>
    <s v="Análise "/>
    <m/>
    <n v="444"/>
  </r>
  <r>
    <s v="CTXSALSM-89607"/>
    <s v="Integração direct Call x Avaya"/>
    <m/>
    <s v="Operações que não estão no Plano de Recuperação"/>
    <x v="4"/>
    <s v="Ana Coelho"/>
    <s v="Ana Sosa"/>
    <x v="8"/>
    <s v="Cristiane Kuzuhara"/>
    <s v="Desenvolvimento"/>
    <d v="2016-04-06T00:00:00"/>
    <n v="45"/>
    <d v="2016-04-08T00:00:00"/>
    <s v="Não"/>
    <s v="TBD"/>
    <s v="TBD"/>
    <s v="TBD"/>
    <m/>
    <s v="17/05: EF está incompleta. Foi realizado um call e sugerida uma POC, portant está em análise a estratégia de atuação do projeto._x000a_10/05: EF recebida em 06/05 e esta em análise para verificar se atende as necessidades dos executores. EF enviada para ENG em 09/05._x000a_03/05: Após a realização da call foram levantadas algumas dúvidas e aguardamos o preenchimento da EF e os requisitos técnicos da ferramenta para seguirmos com o projeto. Solicitação enviada ontem, 02/05._x000a_26/04: Mesmo status_x000a_19/04: O projeto não contem EF e o solicitante exigiu uma call com a área de ENG para esclarecimento de dúvidas. _x000a_08/04 - A iniciar"/>
    <s v="Solicitante"/>
    <s v="Cristiane Kuzuhara"/>
    <s v="TBD"/>
    <s v="Em andamento"/>
    <m/>
    <m/>
  </r>
  <r>
    <s v="CTXSALSM-88005"/>
    <s v="Click To Call Ferramenta TI Contax (Piloto Ferramenta CTC)"/>
    <m/>
    <s v="Operações que não estão no Plano de Recuperação"/>
    <x v="4"/>
    <s v="Ana Coelho"/>
    <s v="Ana Sosa"/>
    <x v="8"/>
    <s v="Cristiane Kuzuhara"/>
    <s v="Desenvolvimento"/>
    <d v="2016-04-06T00:00:00"/>
    <n v="44"/>
    <d v="2016-04-08T00:00:00"/>
    <s v="Não"/>
    <s v="TBD"/>
    <s v="TBD"/>
    <s v="TBD"/>
    <m/>
    <s v="20/05 - Projeto cancelado_x000a_17/05: Mesmo Status_x000a_10/05: Mesmo Status_x000a_03/05: Projeto consiste em três partes, ENG, CL e APP. Para concluir a análise do projeto e fornecer um cronograma, precisamos receber o retorno das 3 áreas. Até o momento não recebemos a confirmação das informações do cliente._x000a_26/04: Retorno de ENG recebido hoje, aguardo retorno do cliente e informações do solicitante._x000a_19/04: Aguarda retorno de ENG, retorno do cliente e informações do solicitante._x000a_08/04 - A iniciar"/>
    <s v="Solicitante"/>
    <s v="Cristiane Kuzuhara"/>
    <s v="TBD"/>
    <s v="Cancelado"/>
    <d v="2016-05-20T00:00:00"/>
    <m/>
  </r>
  <r>
    <s v="CTXMLTREG-6041"/>
    <s v="Projeto - Migração das URAs de Cadastro para o IPCC/NGR"/>
    <s v="Niterói/RJ"/>
    <s v="Operações que não estão no Plano de Recuperação"/>
    <x v="4"/>
    <s v="Ana Coelho"/>
    <s v="Ana Sosa"/>
    <x v="7"/>
    <s v="Jill Ortiz"/>
    <s v="URA"/>
    <d v="2016-04-11T00:00:00"/>
    <n v="40"/>
    <d v="2016-04-11T00:00:00"/>
    <s v="Não"/>
    <s v="TBD"/>
    <s v="TBD"/>
    <s v="TBD"/>
    <m/>
    <s v="17/05 - Avaliando disponibilidade de licenças em outro Polo. Data 19/05_x000a_10/05 - Mesmo status._x000a_03/05 - Confirmada a disponibilidade de ICR. Em andamento aquisição de memória._x000a_26/04 - Em estudo disponibilidade de ICR e Infra._x000a_19/04 - Avaliação de ambiente ICR em andamento._x000a_11/04 - A iniciar"/>
    <m/>
    <m/>
    <m/>
    <s v="Na Fila"/>
    <m/>
    <m/>
  </r>
  <r>
    <s v="CTXSPOBF-137613"/>
    <s v="Fraseologia Detalhamento da Divida - URA CONTAX"/>
    <s v="Antártica/SP"/>
    <s v="Operações que não estão no Plano de Recuperação"/>
    <x v="6"/>
    <s v="Noemia Ferro"/>
    <s v="Maurício Perez"/>
    <x v="5"/>
    <s v="George Dimitrov"/>
    <s v="URA"/>
    <d v="2016-04-06T00:00:00"/>
    <n v="45"/>
    <d v="2016-04-08T00:00:00"/>
    <s v="Não"/>
    <s v="TBD"/>
    <s v="TBD"/>
    <s v="TBD"/>
    <m/>
    <s v="11/05 - Mesmo status_x000a_04/05 - Proposta aguardando suprimentos gerar o pedido_x000a_27/04 - Mesmo status_x000a_20/04 - Aguardando aprovação da proposta pelo solicitante_x000a_01/04 - Solicitada proposta ao fornecedor. Aguardando envio"/>
    <s v="Solicitante"/>
    <s v="George Dimitrov"/>
    <s v="N/A"/>
    <s v="Análise"/>
    <m/>
    <m/>
  </r>
  <r>
    <s v="CTXSPOBF-123499"/>
    <s v="Projeto - Configurar Infraestrutura de DAC Contax para Integração do SACL (Automatização de Protocolo)"/>
    <m/>
    <s v="Operações que não estão no Plano de Recuperação"/>
    <x v="6"/>
    <s v="Noemia Ferro"/>
    <s v="Maurício Perez"/>
    <x v="8"/>
    <s v="Carlos Batista"/>
    <s v="URA"/>
    <d v="2015-08-10T00:00:00"/>
    <n v="285"/>
    <d v="2016-04-14T00:00:00"/>
    <s v="Não"/>
    <s v="TBD"/>
    <s v="TBD"/>
    <s v="TBD"/>
    <m/>
    <s v="17/05: Mesmo Status_x000a_10/05: Mesmo Status_x000a_03/05: ENG enviou desenho e o esforço para implantar o projeto. Estamos aguardando o levantamento dos custos para repassar ao cliente._x000a_26/04: Aguarda retorno da operação quanto a dúvida sobre a quantidade de PA´s._x000a_19/04: Alocado na fila dos executores hoje._x000a_14/04 - A iniciar"/>
    <s v="PMO TI"/>
    <s v="Thiago Augusto"/>
    <s v="TBD"/>
    <s v="Em andamento"/>
    <m/>
    <m/>
  </r>
  <r>
    <s v="CTXPOARB-105144"/>
    <s v="Projeto - Implantar tGuidance na operação Retenção PME - NET"/>
    <s v="Navegantes"/>
    <s v="Plano Recuperação"/>
    <x v="5"/>
    <s v="Rodrigo Zambon"/>
    <s v="Leonardo Pelegrino"/>
    <x v="8"/>
    <s v="Luciana Andrade"/>
    <s v="Desenvolvimento"/>
    <d v="2016-04-13T00:00:00"/>
    <n v="38"/>
    <d v="2016-04-14T00:00:00"/>
    <s v="Sim"/>
    <d v="2016-05-11T00:00:00"/>
    <d v="2016-06-14T00:00:00"/>
    <s v="TBD"/>
    <m/>
    <s v="17/05: Cronograma entregue, a virada está planejada para ocorrer de 13 à 14/06 com 20 PA´s por dia._x000a_10/05: Aguardando um alinhamento com Juliano Molina para definir o cronograma de rollout._x000a_03/05: Alinharei as atividades de execução em relação ao G4 com Juliano para veririficar se é possível incluir esta virada em conjunto com o projeto CTXPOARB-104174._x000a_26/04: Em estimativa de OG._x000a_19/04: Alocado na fila dos executores hoje._x000a_14/04 - A iniciar"/>
    <s v="Solicitante"/>
    <s v="Juliano"/>
    <d v="2016-06-14T00:00:00"/>
    <s v="Em andamento"/>
    <m/>
    <n v="40"/>
  </r>
  <r>
    <s v="CTXRECSA-482222"/>
    <s v="Projeto - Replicar Tabulador de Vendas das operações Financeiras e CAE na operação ItauCred"/>
    <s v="Santo Amaro"/>
    <s v="Plano Recuperação"/>
    <x v="3"/>
    <s v="Ricardo Araújo"/>
    <s v="Celso Miranda"/>
    <x v="2"/>
    <s v="Marco Brandão"/>
    <s v="Desenvolvimento"/>
    <d v="2016-04-08T00:00:00"/>
    <n v="43"/>
    <d v="2016-04-14T00:00:00"/>
    <s v="Não"/>
    <s v="TBD"/>
    <s v="TBD"/>
    <s v="TBD"/>
    <m/>
    <s v="[16/05] - Documento de TI entregue. Alinhar com CSE data da entrega da Infra._x000a_[10/05] - Negocios encaminhou documento com os prints de tela da ferramenta. Realizado reunião de kickoff com a equipe de Ti. Aguardando documento de engenharia 11/5_x000a_[03/05] - Solicitado documento com o detalhamento da solicitação. Prazo TDB_x000a_[26/4] - Aguardando envio da OG. Prazo 27/4._x000a_[19/04] - Projeto encaminhado para a fila da equipe de aplicações. Aguardando retorno da OG. Prazo 20/4.14/04 - A iniciar"/>
    <s v="CSE"/>
    <m/>
    <s v="TDB"/>
    <s v="Em Desenvolvimento"/>
    <m/>
    <m/>
  </r>
  <r>
    <s v="CTXRECSA-461984"/>
    <s v="Migrar 80 PAs do Site Navegantes para o Sto Amaro"/>
    <s v="Santo Amaro/PE"/>
    <s v="S&amp;OP"/>
    <x v="5"/>
    <s v="Rodrigo Zambon"/>
    <s v="Leonardo Pelegrino"/>
    <x v="8"/>
    <s v="Cristina Rey"/>
    <s v="Implantação de PA (crescimento, migração ou nova operação)"/>
    <d v="2016-04-20T00:00:00"/>
    <n v="31"/>
    <d v="2016-04-20T00:00:00"/>
    <s v="Não"/>
    <d v="2016-05-20T00:00:00"/>
    <s v="TBD"/>
    <s v="TBD"/>
    <m/>
    <s v="17/05: Recebemos a confirmação para utilizar os equipamentos da desmobilização Vivo a partir de 01/06. Amanhã, 18/05 esta agendada uma reunião com a equipe de TI para alinhar as atividades._x000a_10/05: ENG informou que podemos seguir com esse projeto. Esta pendente a análise dos insumos físicos, se poderemos utilizar as máquinas da desmobilização da Vivo, decisão que depende de negócio. _x000a_03/05: Aguardando o retorno de ENG para verificar a se a infra de Santo Amaro suporta esta migração. Área de negócio informou que tem inclusive 2 aparelhos para deficiente auditivo para serem configurados no site. _x000a_26/04: Projeto em hold, aguardando documentação EF e layout para alocar o projeto na fila dos executores._x000a_20/04 - A iniciar"/>
    <s v="PMO TI"/>
    <s v="Débora Gercke"/>
    <d v="2016-05-19T00:00:00"/>
    <s v="Em andamento"/>
    <m/>
    <n v="114"/>
  </r>
  <r>
    <s v=" CTXRECSA-482954"/>
    <s v="Criar SFTP para troca de arquivos entre Contax e Banco Itaú"/>
    <s v="Paulista 407"/>
    <s v="Plano Recuperação"/>
    <x v="3"/>
    <s v="Ricardo Araújo"/>
    <s v="Celso Miranda"/>
    <x v="2"/>
    <s v="Marco Brandão"/>
    <s v="Implantação de PA (crescimento, migração ou nova operação)"/>
    <d v="2016-04-11T00:00:00"/>
    <n v="40"/>
    <d v="2016-04-14T00:00:00"/>
    <s v="Não"/>
    <s v="TBD"/>
    <s v="TBD"/>
    <s v="TBD"/>
    <m/>
    <s v="[16/05] - Mesmo status_x000a_[10/05] - Aguardando retorno do cliente_x000a_[03/05] - Realizado reunião de alinhamento com Negocio e Engenharia e ficou de agendar uma reunião com o cliente para maiores esclarecimentos. Prazo TDB_x000a_[25/4] - A iniciar"/>
    <s v="Solicitante"/>
    <s v="Mariana Mello"/>
    <s v="TDB"/>
    <s v="Levantamento de informações"/>
    <m/>
    <m/>
  </r>
  <r>
    <s v="CTXBHZRI-101275"/>
    <s v="Projeto - &quot;URA Oi TV&quot;"/>
    <s v="Niterói/RJ"/>
    <s v="Operações que não estão no Plano de Recuperação"/>
    <x v="4"/>
    <s v="Ana Coelho"/>
    <s v="Ana Sosa"/>
    <x v="7"/>
    <s v="Jill Ortiz"/>
    <s v="URA"/>
    <d v="2016-04-27T00:00:00"/>
    <n v="24"/>
    <d v="2016-04-27T00:00:00"/>
    <s v="Não"/>
    <d v="2016-05-13T00:00:00"/>
    <s v="TBD"/>
    <s v="Sim"/>
    <m/>
    <s v="17/05 - Mesmo status._x000a_10/05 - Data prevista de execução: 26/05._x000a_03/05 - Na fila de CSE para execução. Aguardando andamento do Projeto Ura OI Total._x000a_27/04 - A iniciar"/>
    <s v="CSE"/>
    <s v="Luiz Washington"/>
    <s v="N/A"/>
    <s v="Na Fila"/>
    <m/>
    <m/>
  </r>
  <r>
    <s v="CTXNITSP-182475"/>
    <s v="TLV Auditorias"/>
    <s v="RJ - Site Niterói"/>
    <s v="Operações que não estão no Plano de Recuperação"/>
    <x v="4"/>
    <s v="Ana Coelho"/>
    <s v="Ana Sosa"/>
    <x v="4"/>
    <s v="Jill Ortiz"/>
    <s v="Desenvolvimento"/>
    <d v="2016-04-14T00:00:00"/>
    <n v="37"/>
    <d v="2016-04-28T00:00:00"/>
    <s v="Não "/>
    <s v="TBD"/>
    <s v="TBD"/>
    <s v="TBD"/>
    <m/>
    <s v="17/05 - Em OG. Sendo avaliado inserir o tGuidance dentro do escopo solicitado._x000a__x000a_10/05 - Enviado a área de Aplicações TI._x000a__x000a_03/05 - Call com o solicitante, porém foi cancelada a pedido do mesmo. Remarcando kick off._x000a__x000a_28/04 - A iniciar"/>
    <s v="Aplicações TI / Fornecedor TQS"/>
    <s v="Cris Sasaki"/>
    <s v="/05/2016"/>
    <s v="Análise "/>
    <m/>
    <n v="102"/>
  </r>
  <r>
    <s v="CTXFORBM-376441"/>
    <s v="Novos Campos Mailing de Ofertas Retenção Invol Móvel"/>
    <s v="Borges de Melo/CE"/>
    <s v="Operações que não estão no Plano de Recuperação"/>
    <x v="4"/>
    <s v="Ana Coelho"/>
    <s v="Ana Sosa"/>
    <x v="2"/>
    <s v="Cristiano Fernandes Melo"/>
    <s v="Desenvolvimento"/>
    <d v="2016-04-13T00:00:00"/>
    <n v="38"/>
    <d v="2016-04-28T00:00:00"/>
    <s v="Sim"/>
    <d v="2016-05-16T00:00:00"/>
    <d v="2016-05-04T00:00:00"/>
    <s v="Sim"/>
    <m/>
    <s v="[16/05] - Entregue cronograma dia 16/5_x000a_[10/05] Pendente envio da OG. Prazo Após alinhamento de priorização._x000a_28/04 - A iniciar"/>
    <s v="Aplicações"/>
    <s v="Camilla Fermiano"/>
    <d v="2016-06-02T00:00:00"/>
    <s v="Em Desenvolvimento"/>
    <d v="2016-09-09T00:00:00"/>
    <m/>
  </r>
  <r>
    <s v="CTXSPOAL-115788"/>
    <s v="Projeto - Analise em servidor de URA atual para operação Intermédica"/>
    <s v="Alegria/SP"/>
    <s v="Operações que não estão no Plano de Recuperação"/>
    <x v="0"/>
    <s v="Ricardo Araújo"/>
    <s v="Celso Miranda"/>
    <x v="5"/>
    <s v="Rogério Luiz"/>
    <s v="URA"/>
    <d v="2016-04-29T00:00:00"/>
    <n v="22"/>
    <d v="2016-04-29T00:00:00"/>
    <s v="Não"/>
    <s v="TBD"/>
    <s v="TBD"/>
    <s v="TBD"/>
    <m/>
    <s v="17/05 - Aguardando retorno de Engenharia_x000a_02/05 - Incluído na fila de Engenharia para análise_x000a_29/04 - A iniciar"/>
    <s v="ENG"/>
    <m/>
    <m/>
    <s v="Na Fila"/>
    <m/>
    <m/>
  </r>
  <r>
    <s v="CTXNITSP-179086"/>
    <s v="Voicer com Menu (CRV Ativo)"/>
    <s v="RJ - Site Niterói"/>
    <s v="Operações que não estão no Plano de Recuperação"/>
    <x v="4"/>
    <s v="Ana Coelho"/>
    <s v="Ana Sosa"/>
    <x v="4"/>
    <s v="Leonardo Pellegrini"/>
    <s v="Desenvolvimento"/>
    <d v="2016-02-25T00:00:00"/>
    <n v="86"/>
    <d v="2016-04-29T00:00:00"/>
    <s v="Não "/>
    <s v="TBD"/>
    <s v="TBD"/>
    <s v="TBD"/>
    <m/>
    <s v="17/05 - Reenviado ao Thiago Souza a análise de Engenharia para acionamento ao Fornecedor ITIN._x000a__x000a_10/05 - A ferramenta chama-se plataforma de voz ITIN, do fornecedor ITIN.  Hoje a Contax não paga mais a manutenção desse fornecedor, por isso fica inviável a utilização dela no projeto. _x000a_Prazo Engenharia Telecom  (Antonio Junior) = 10/05 à 27/05/2016_x000a__x000a_03/05 - A iniciar_x000a__x000a_29/04 - A iniciar"/>
    <s v="Controle de Demandas TI / Fornecedor"/>
    <s v="Thiago Souza / ITIN"/>
    <d v="2016-05-27T00:00:00"/>
    <s v="Análise "/>
    <m/>
    <n v="82"/>
  </r>
  <r>
    <s v="CTXFORBM-356388  "/>
    <s v="Processamento Mailing Carga de Débitos Retenção Invol - TCollect"/>
    <s v="CE- Site Borges de Melo"/>
    <s v="Operações que não estão no Plano de Recuperação"/>
    <x v="4"/>
    <s v="Ana Coelho"/>
    <s v="Ana Sosa"/>
    <x v="4"/>
    <s v="Sterlaine Priscila"/>
    <s v="Desenvolvimento"/>
    <d v="2016-02-11T00:00:00"/>
    <n v="100"/>
    <d v="2016-05-09T00:00:00"/>
    <s v="Não "/>
    <s v="TBD"/>
    <s v="TBD"/>
    <s v="TBD"/>
    <m/>
    <s v="17/05 - Conforme conferência nesta Quinta 12/05, fizemos o entendimento da EF e aguardamos o retorno da operação/cliente atualizando a mesma e anexando ao chamado,  para darmos seguimento com a Estimativa de Desenvolvimento de Aplicações TI / TCollect._x000a__x000a_10/05 - Em OG_x000a__x000a_03/05 - A iniciar_x000a__x000a_29/04 - A iniciar"/>
    <s v="Aplicações TI "/>
    <s v="Camilla Fermiano"/>
    <d v="2016-05-20T00:00:00"/>
    <s v="Análise"/>
    <m/>
    <n v="104"/>
  </r>
  <r>
    <s v="CTXSPOAP407-16863"/>
    <s v="Projeto - Implantação de nova operação - MAPIDEA"/>
    <s v="Antártica/SP"/>
    <s v="S&amp;OP"/>
    <x v="0"/>
    <s v="Reginaldo"/>
    <s v="José Maria"/>
    <x v="6"/>
    <s v="Thiago Felippe"/>
    <s v="Implantação de PA (crescimento"/>
    <d v="2016-05-04T00:00:00"/>
    <n v="17"/>
    <d v="2016-05-04T00:00:00"/>
    <s v="Sim"/>
    <d v="2016-05-04T00:00:00"/>
    <d v="2016-06-06T00:00:00"/>
    <s v="Risco"/>
    <m/>
    <s v="12/5 - Pendente EF tGuidance!_x000a__x000a_10/5 - Questões sobre conectividade e outras enviadas para área de Negócios. Aguardando retorno para fechar cenário com Engenharia TI_x000a__x000a_05/05 - A iniciar"/>
    <s v="Operação"/>
    <s v="Luciana Cardoso"/>
    <d v="2016-05-17T00:00:00"/>
    <s v="Especificação Funcional"/>
    <d v="2016-05-17T00:00:00"/>
    <n v="26"/>
  </r>
  <r>
    <s v="CTXSPOAP407-16864"/>
    <s v="IMPLANTAÇÃO DO WEBSTATION / TTV CLARO"/>
    <s v="Boa Viagem/BA_x000a_Rio Branco/AC"/>
    <s v="Operações que não estão no Plano de Recuperação"/>
    <x v="5"/>
    <s v="Rodrigo Zambon"/>
    <s v="Leonardo Pelegrino"/>
    <x v="2"/>
    <s v="Cleonice"/>
    <s v="Infraestrutura"/>
    <d v="2016-05-04T00:00:00"/>
    <n v="17"/>
    <d v="2016-05-06T00:00:00"/>
    <s v="Não"/>
    <s v="-"/>
    <d v="2016-05-17T00:00:00"/>
    <s v="Risco"/>
    <m/>
    <s v="[16/05] - Agendado kickoff com as áreas de TI_x000a_[10/05] - Encaminhado projeto para a equipe de CSE_x000a_06/05 - A iniciar"/>
    <s v="CSE"/>
    <m/>
    <m/>
    <s v="Levantamento de informações"/>
    <m/>
    <m/>
  </r>
  <r>
    <s v="CTXSPOAP407-16852"/>
    <s v="PROJETO - NOVA ESTRUTURA DE TI LATAM "/>
    <s v="Alegria, Augusta e João Pessoa"/>
    <s v="Operações que não estão no Plano de Recuperação"/>
    <x v="5"/>
    <s v="Rodrigo Zambon"/>
    <s v="Leonardo Pelegrino"/>
    <x v="8"/>
    <s v="Cleonice"/>
    <s v="Infraestrutura"/>
    <d v="2016-05-04T00:00:00"/>
    <n v="17"/>
    <d v="2016-05-06T00:00:00"/>
    <s v="TBD"/>
    <s v="TBD"/>
    <s v="TBD"/>
    <s v="TBD"/>
    <m/>
    <s v="17/05: Projeto está em análise._x000a_10/05: Alinhamento do projeto realizado hoje com a Cleonice. Próximos passos, aguardar retorno dos executores quanto a esse projeto."/>
    <s v="PMO TI"/>
    <s v="TBD"/>
    <s v="TBD"/>
    <s v="Em andamento"/>
    <m/>
    <s v="Toda a operação"/>
  </r>
  <r>
    <s v="CTXSPOAP407-16862"/>
    <s v="TROCA DE SERVIDORES CLARO - IMPACT 360"/>
    <s v="Boa Viagem / Rio Branco"/>
    <s v="Operações que não estão no Plano de Recuperação"/>
    <x v="5"/>
    <s v="Rodrigo Zambon"/>
    <s v="Leonardo Pelegrino"/>
    <x v="10"/>
    <s v="Cleonice"/>
    <s v="Infraestrutura"/>
    <d v="2016-05-04T00:00:00"/>
    <n v="17"/>
    <d v="2016-05-06T00:00:00"/>
    <s v="TBD"/>
    <s v="TBD"/>
    <s v="TBD"/>
    <s v="TBD"/>
    <m/>
    <s v="11/05 - Aguardando o DA do contrato de comodato pelo jurídico_x000a_06/05 - A iniciar"/>
    <s v="Solicitante"/>
    <s v="Cleonice"/>
    <s v="TBD"/>
    <s v="Análise"/>
    <m/>
    <m/>
  </r>
  <r>
    <s v="CTXMLTREG-7370"/>
    <s v="SERVICE TO SALE PARA O PRÉ-PAGO"/>
    <s v="Salvador/BA e Recife/PE"/>
    <s v="Operações que não estão no Plano de Recuperação"/>
    <x v="4"/>
    <s v="Ana Coelho"/>
    <s v="Ana Sosa"/>
    <x v="3"/>
    <s v="Ana Sosa"/>
    <s v="Implantação de PA (crescimento, migração ou nova operação)"/>
    <d v="2016-04-20T00:00:00"/>
    <n v="31"/>
    <d v="2016-05-06T00:00:00"/>
    <s v="TBD"/>
    <s v="TBD"/>
    <s v="TBD"/>
    <s v="TBD"/>
    <m/>
    <s v="Edison Nei Siqueira added a comment - 18/Mai/16 11:52_x000a_Realizada reunião junto ao fornecedor, estamos aguardando retorno das informações solicitadas por engenharia para que seja concluído o levantamento de requisitos internos, precisamos também que a EF seja revisada e adequada ao escopo do projeto, pois a mesma encontra-se com um nível de detalhe superficial levando em consideração as colocações feitas na reunião de kick off. _x000a__x000a__x000a_Ficam pendentes algumas informações para iniciarmos a análise por parte de plataforma. _x000a__x000a_Webserver _x000a_ - Memória, Processadores, Disco _x000a__x000a_Escalabilidade/HA _x000a_ - Possibilidade de utilizar Docker _x000a_ - Possibilidade de utilizar balanceamento de carga _x000a_ - Possibilidade de utilizar Cache _x000a__x000a_Banco _x000a_ - Memória, Processadores, Disco, IOPS _x000a_ - Estimativa de crescimento06/05 - A iniciar"/>
    <m/>
    <m/>
    <m/>
    <s v="Na Fila"/>
    <m/>
    <m/>
  </r>
  <r>
    <s v="CTXNITSP-178541"/>
    <s v="BO NBA - FRONT TLV"/>
    <m/>
    <s v="Operações que não estão no Plano de Recuperação"/>
    <x v="4"/>
    <s v="Ana Coelho"/>
    <s v="Ana Sosa"/>
    <x v="8"/>
    <s v="Ana Sosa"/>
    <s v="Desenvolvimento"/>
    <d v="2016-02-18T00:00:00"/>
    <n v="93"/>
    <d v="2016-05-06T00:00:00"/>
    <s v="TBD"/>
    <s v="TBD"/>
    <s v="TBD"/>
    <s v="TBD"/>
    <m/>
    <s v="17/05: kick-off agendado para amanhã, 18/05. _x000a_05 - A iniciar"/>
    <m/>
    <m/>
    <m/>
    <s v="Em andamento"/>
    <m/>
    <m/>
  </r>
  <r>
    <s v="CTXRECSA-484480"/>
    <s v="Automatizações CO + obrigatoriedade RFP."/>
    <s v="Rio de Janeiro / Santo Amaro"/>
    <s v="S&amp;OP"/>
    <x v="4"/>
    <s v="Ana Coelho"/>
    <s v="Ana Sosa"/>
    <x v="6"/>
    <s v="Ana Sosa"/>
    <s v="migração ou nova operação)"/>
    <d v="2016-04-14T00:00:00"/>
    <n v="37"/>
    <d v="2016-05-06T00:00:00"/>
    <s v="TBD"/>
    <s v="TBD"/>
    <s v="TBD"/>
    <s v="TBD"/>
    <m/>
    <s v="12/5 - EFs em confecção._x000a_Direcionar escopo para filas das áreas TI para análise_x000a_Pendente definição Site Destino_x000a__x000a_10/5 - Início entendimento escopo com Operações_x000a_06/05 - A iniciar"/>
    <s v="Controle de Projetos de TI"/>
    <s v="Leonardo Marques"/>
    <d v="2016-05-20T00:00:00"/>
    <s v="Análise"/>
    <d v="2016-05-20T00:00:00"/>
    <n v="498"/>
  </r>
  <r>
    <s v="CTXFORBM-377932"/>
    <s v="Base análitica Voicer (MG)"/>
    <s v="Prado II - Térreo "/>
    <s v="Operações que não estão no Plano de Recuperação"/>
    <x v="4"/>
    <s v="Ana Coelho"/>
    <s v="Ana Sosa"/>
    <x v="3"/>
    <s v="Ana Sosa"/>
    <s v="Desenvolvimento"/>
    <d v="2016-04-18T00:00:00"/>
    <n v="33"/>
    <d v="2016-05-06T00:00:00"/>
    <s v="TBD"/>
    <s v="TBD"/>
    <s v="TBD"/>
    <s v="TBD"/>
    <m/>
    <s v="Edison Nei Siqueira added a comment - 18/Mai/16 12:21_x000a_Demanda inserida na fila da equipe de aplicações para estimativa de OG."/>
    <m/>
    <m/>
    <m/>
    <s v="Na Fila"/>
    <m/>
    <m/>
  </r>
  <r>
    <s v="CTXBHZRI-100960"/>
    <s v="Projeto Arquivo de Retorno_x000a_Desenvolver um arquivo de retorno com as criticas de todo o mailing enviado para a cobrança._x000a_Operação = Retenção Empresarial - Cobrança PJ - Ativo e Receptivo"/>
    <s v="MG - Site Prado II"/>
    <s v="Operações que não estão no Plano de Recuperação"/>
    <x v="4"/>
    <s v="Ana Coelho"/>
    <s v="Ana Sosa"/>
    <x v="4"/>
    <s v="Ana Sosa"/>
    <s v="Desenvolvimento"/>
    <d v="2016-04-18T00:00:00"/>
    <n v="33"/>
    <d v="2016-05-06T00:00:00"/>
    <s v="TBD"/>
    <s v="TBD"/>
    <s v="TBD"/>
    <s v="TBD"/>
    <m/>
    <s v="17/05 - Em OG_x000a__x000a_13/05 - Demanda foi designada ao analista de Controle de Demandas TI._x000a__x000a_06/05 - A iniciar"/>
    <s v="Aplicações TI / Operação"/>
    <s v="Camilla Fermiano/ Tatiane Delacrode"/>
    <d v="2016-05-27T00:00:00"/>
    <s v="Análise"/>
    <m/>
    <n v="50"/>
  </r>
  <r>
    <s v="CTXBHZRI-98120"/>
    <s v="Implantação de Front Fácil na célula de Fraude (1º nível)"/>
    <s v="Prado II - Térreo "/>
    <s v="Operações que não estão no Plano de Recuperação"/>
    <x v="4"/>
    <s v="Ana Coelho"/>
    <s v="Ana Sosa"/>
    <x v="7"/>
    <s v="Ana Sosa"/>
    <s v="Desenvolvimento"/>
    <d v="2016-02-12T00:00:00"/>
    <n v="99"/>
    <d v="2016-05-06T00:00:00"/>
    <s v="TBD"/>
    <s v="TBD"/>
    <s v="TBD"/>
    <s v="TBD"/>
    <m/>
    <s v="17/05 - Em avaliação áreas técnicas._x000a_06/05 - A iniciar"/>
    <m/>
    <m/>
    <m/>
    <s v="Na Fila"/>
    <m/>
    <m/>
  </r>
  <r>
    <s v="CTXFORBM-378418"/>
    <s v="Implantação de Front end Célula Fraude  "/>
    <s v="Prado I e II"/>
    <s v="Operações que não estão no Plano de Recuperação"/>
    <x v="4"/>
    <s v="Ana Coelho"/>
    <s v="Ana Sosa"/>
    <x v="7"/>
    <s v="Ana Sosa"/>
    <s v="Desenvolvimento"/>
    <d v="2016-04-19T00:00:00"/>
    <n v="32"/>
    <d v="2016-05-06T00:00:00"/>
    <s v="TBD"/>
    <s v="TBD"/>
    <s v="TBD"/>
    <s v="TBD"/>
    <m/>
    <s v="17/05 - Em avaliação áreas técnicas._x000a_06/05 - A iniciar"/>
    <m/>
    <m/>
    <m/>
    <s v="Na Fila"/>
    <m/>
    <m/>
  </r>
  <r>
    <s v="CTXFORBM-356388"/>
    <s v="Processamento Mailing Carga Retenção Invol"/>
    <s v="Borges de Melo/CE"/>
    <s v="Operações que não estão no Plano de Recuperação"/>
    <x v="4"/>
    <s v="Ana Coelho"/>
    <s v="Ana Sosa"/>
    <x v="4"/>
    <s v="Ana Sosa"/>
    <s v="Desenvolvimento"/>
    <d v="2016-02-11T00:00:00"/>
    <n v="100"/>
    <d v="2016-05-06T00:00:00"/>
    <s v="TBD"/>
    <s v="TBD"/>
    <s v="TBD"/>
    <s v="TBD"/>
    <m/>
    <s v="06/05 - A iniciar"/>
    <m/>
    <m/>
    <m/>
    <s v="Na Fila"/>
    <m/>
    <m/>
  </r>
  <r>
    <s v="CTXSPOAL-116446"/>
    <s v="Projeto - &quot;Implantar Tabulador Ativo Whirlpool&quot;"/>
    <m/>
    <s v="Operações que não estão no Plano de Recuperação"/>
    <x v="6"/>
    <s v="Noemia Ferro"/>
    <s v="Maurício Perez"/>
    <x v="7"/>
    <s v="Carlos Batista"/>
    <s v="Desenvolvimento"/>
    <d v="2016-05-02T00:00:00"/>
    <n v="19"/>
    <d v="2016-05-06T00:00:00"/>
    <s v="TBD"/>
    <s v="TBD"/>
    <s v="TBD"/>
    <s v="TBD"/>
    <m/>
    <s v="17/05 - Em avaliação áreas técnicas._x000a_06/05 - A iniciar"/>
    <m/>
    <m/>
    <m/>
    <s v="Na Fila"/>
    <m/>
    <m/>
  </r>
  <r>
    <s v="CTXNITSP-178545"/>
    <s v="Projeto - TLV - BO NBA"/>
    <m/>
    <s v="Operações que não estão no Plano de Recuperação"/>
    <x v="4"/>
    <s v="Ana Coelho"/>
    <s v="Ana Sosa"/>
    <x v="8"/>
    <s v="Ana Sosa"/>
    <s v="Desenvolvimento"/>
    <d v="2016-02-18T00:00:00"/>
    <n v="93"/>
    <d v="2016-05-06T00:00:00"/>
    <s v="TBD"/>
    <s v="TBD"/>
    <s v="TBD"/>
    <s v="TBD"/>
    <m/>
    <s v="17/05: kick-off agendado para amanhã, 18/05. _x000a_06/05 - A iniciar"/>
    <m/>
    <m/>
    <m/>
    <s v="Em andamento"/>
    <m/>
    <m/>
  </r>
  <r>
    <s v="CTXSPOBF-142812"/>
    <s v="Projeto - &quot;Implantar Solução De Discador Automático - Ticket B2B&quot;"/>
    <s v="Antártica/SP"/>
    <s v="Operações que não estão no Plano de Recuperação"/>
    <x v="6"/>
    <s v="Noemia Ferro"/>
    <s v="Maurício Perez"/>
    <x v="7"/>
    <s v="Carlos Batista"/>
    <s v="Desenvolvimento"/>
    <d v="2016-04-18T00:00:00"/>
    <n v="33"/>
    <d v="2016-05-10T00:00:00"/>
    <s v="TBD"/>
    <s v="TBD"/>
    <s v="TBD"/>
    <s v="TBD"/>
    <m/>
    <s v="17/05 - EF em confeccção._x000a_06/05 - A iniciar"/>
    <m/>
    <m/>
    <m/>
    <s v="Na Fila"/>
    <m/>
    <m/>
  </r>
  <r>
    <s v="CTXSALPB-65939"/>
    <s v="Projeto de migração da SAC Fixo (60 PAs)"/>
    <s v="Borges de Melo/CE e Boa Viagem/BA"/>
    <s v="S&amp;OP"/>
    <x v="4"/>
    <s v="Ana Coelho"/>
    <s v="Ana Sosa"/>
    <x v="10"/>
    <s v="Ana Sosa"/>
    <s v="Implantação de PA (crescimento, migração ou nova operação)"/>
    <d v="2016-05-03T00:00:00"/>
    <n v="18"/>
    <d v="2016-05-09T00:00:00"/>
    <s v="TBD"/>
    <s v="TBD"/>
    <s v="TBD"/>
    <s v="TBD"/>
    <m/>
    <s v="11/05 - Em análise pela Engenharia. Em paralelo, TI site está adiantando as atividades_x000a_10/05 - A iniciar"/>
    <s v="PMO TI"/>
    <s v="Marcelo Siqueira"/>
    <s v="TBD"/>
    <s v="Análise"/>
    <m/>
    <n v="60"/>
  </r>
  <r>
    <s v="CTXSALPB-66053"/>
    <s v="Projeto de migração da Televendas Auditoria e SAC Fixo (4 PAs)"/>
    <s v="Borges de Melo/CE e Boa Viagem/BA"/>
    <s v="S&amp;OP"/>
    <x v="4"/>
    <s v="Ana Coelho"/>
    <s v="Ana Sosa"/>
    <x v="10"/>
    <s v="Ana Sosa"/>
    <s v="Implantação de PA (crescimento, migração ou nova operação)"/>
    <d v="2016-05-03T00:00:00"/>
    <n v="18"/>
    <d v="2016-05-09T00:00:00"/>
    <s v="TBD"/>
    <s v="TBD"/>
    <s v="TBD"/>
    <s v="TBD"/>
    <m/>
    <s v="11/05 - Em análise pela Engenharia. Em paralelo, TI site está adiantando as atividades_x000a_10/05 - A iniciar"/>
    <s v="PMO TI"/>
    <s v="Marcelo Siqueira"/>
    <s v="TBD"/>
    <s v="Análise"/>
    <m/>
    <n v="4"/>
  </r>
  <r>
    <s v="CTXRJOMA-79959"/>
    <s v="Ampliar a infra do cliente Lafe"/>
    <s v="TIjuca/RJ"/>
    <m/>
    <x v="0"/>
    <s v="Ricardo Araújo"/>
    <s v="Cristiani Girardin Pimentel Furtado"/>
    <x v="8"/>
    <s v="Cristina Rey"/>
    <s v="Crescimento"/>
    <d v="2016-04-13T00:00:00"/>
    <n v="38"/>
    <d v="2016-04-27T00:00:00"/>
    <s v="Não"/>
    <s v="TBD"/>
    <s v="TBD"/>
    <s v="TBD"/>
    <m/>
    <s v="17/05: Mesmo Status._x000a_10/05: Aguarda uma solução para o transporte dos equipamentos. "/>
    <s v="Cliente"/>
    <s v="Victor Lahr"/>
    <s v="TBD"/>
    <s v="Em andamento"/>
    <m/>
    <n v="10"/>
  </r>
  <r>
    <s v="CTXJPASA-7778"/>
    <s v="Atendimento Convergente Empresarial"/>
    <s v="Niterói/João Pessoa"/>
    <m/>
    <x v="4"/>
    <s v="Ana Coelho"/>
    <s v="Ana Sosa"/>
    <x v="8"/>
    <s v="Cristina Rey"/>
    <s v="Migração"/>
    <d v="2016-04-27T00:00:00"/>
    <n v="24"/>
    <d v="2016-04-28T00:00:00"/>
    <s v="Não"/>
    <s v="TBD"/>
    <s v="TBD"/>
    <s v="TBD"/>
    <m/>
    <s v="17/05: Recebemos a confirmação para utilizar os equipamentos da desmobilização Vivo a partir de 01/06. Amanhã, 18/05 esta agendada uma reunião com a equipe de TI para alinhar as atividades._x000a_10/05: Aguarda confirmação de insumos físicos"/>
    <s v="PMO TI"/>
    <s v="Débora Gercke"/>
    <d v="2016-05-19T00:00:00"/>
    <s v="Em andamento"/>
    <m/>
    <n v="75"/>
  </r>
  <r>
    <s v="CTXSALPB-46921"/>
    <s v="Integração NBA x Front Fácil"/>
    <s v="Boa Viagem/BA"/>
    <s v="Operações que não estão no Plano de Recuperação"/>
    <x v="4"/>
    <s v="Ana Coelho"/>
    <s v="Ana Sosa"/>
    <x v="7"/>
    <s v="Marcio José"/>
    <s v="Desenvolvimento"/>
    <d v="2015-11-12T00:00:00"/>
    <n v="191"/>
    <d v="2016-01-14T00:00:00"/>
    <s v="Não"/>
    <s v="TBD"/>
    <s v="TBD"/>
    <s v="TBD"/>
    <m/>
    <s v="17/05 - Mesmo Status._x000a_10/05 - Reaberto. Aguardando accenture._x000a_03/05 - Concluído._x000a_19/04 - Mesmo status._x000a_08/03 - Mesmo status_x000a_01/02 - Piloto em andamento com atuação da accenture para resolver problemas de integração. _x000a_22/02 - Operação tem espectativa de fechar Piloto até 26/02_x000a_11/02 - Piloto em andamento._x000a_01/02/2016 - Houve problemas em formatos de campos esperados na integração. Testes a serem realizados hoje e início do Piloto agendado para amanhã, 02/03/2016._x000a_26/01/2016 - Realizando configurações para realização do Piloto."/>
    <s v="Cliente"/>
    <s v="accenture"/>
    <s v="Sem data"/>
    <s v="Em andamento"/>
    <m/>
    <n v="100"/>
  </r>
  <r>
    <s v="CTXSPOAP407-16933"/>
    <s v="Projeto -Implantação de 2 links de telecom da I360 na operação Leader Cobrança"/>
    <m/>
    <s v="Operações que não estão no Plano de Recuperação"/>
    <x v="0"/>
    <s v="Reginaldo"/>
    <s v="José Maria"/>
    <x v="0"/>
    <s v="José Maria"/>
    <s v="Infraestrutura"/>
    <d v="2016-05-11T00:00:00"/>
    <n v="10"/>
    <d v="2016-05-12T00:00:00"/>
    <s v="Não"/>
    <s v="TBD"/>
    <s v="TBD"/>
    <s v="TBD"/>
    <m/>
    <s v="17/05 - Aguardando retorno da Engenharia_x000a_10/05 - A iniciar"/>
    <m/>
    <m/>
    <m/>
    <s v="Na Fila"/>
    <m/>
    <m/>
  </r>
  <r>
    <s v="CTXSALLM-125322"/>
    <s v="Projeto - Crescimento e implementação do serviço 0800 na op. Mega Ilha"/>
    <s v="Comércio/BA"/>
    <s v="S&amp;OP"/>
    <x v="3"/>
    <s v="Ricardo Araújo"/>
    <s v="Celso Miranda"/>
    <x v="10"/>
    <s v="Thiago Felippe"/>
    <s v="Implantação de PA (crescimento, migração ou nova operação)"/>
    <d v="2016-05-11T00:00:00"/>
    <n v="10"/>
    <d v="2016-05-16T00:00:00"/>
    <s v="TBD"/>
    <s v="TBD"/>
    <s v="TBD"/>
    <s v="TBD"/>
    <m/>
    <s v="16/05 - A iniciar"/>
    <m/>
    <m/>
    <m/>
    <s v="Na Fila"/>
    <m/>
    <n v="7"/>
  </r>
  <r>
    <s v="CTXRECSA-488096"/>
    <s v="Projeto - Crescimento/Forecast"/>
    <s v="Santo Amaro/PE"/>
    <s v="S&amp;OP"/>
    <x v="4"/>
    <s v="Ana Coelho"/>
    <s v="Ana Sosa"/>
    <x v="5"/>
    <s v="Jonas Divino"/>
    <s v="Implantação de PA (crescimento, migração ou nova operação)"/>
    <d v="2016-04-26T00:00:00"/>
    <n v="25"/>
    <d v="2016-05-04T00:00:00"/>
    <s v="Sim"/>
    <d v="2016-05-11T00:00:00"/>
    <d v="2016-05-23T00:00:00"/>
    <s v="Sim"/>
    <m/>
    <s v="16/05 - Insumos mapeados e solicitados. Licenças de TLV disponibilizadas para o crescimento._x000a_Execução programada para 20/05"/>
    <s v="TI Site"/>
    <s v="João Ramos"/>
    <d v="2016-05-20T00:00:00"/>
    <s v="Desenvolvimento/Execução"/>
    <m/>
    <n v="20"/>
  </r>
  <r>
    <s v="CTXRECSA-493516"/>
    <s v="Mudança de Perfil nas maquinas"/>
    <m/>
    <m/>
    <x v="10"/>
    <m/>
    <m/>
    <x v="10"/>
    <m/>
    <m/>
    <m/>
    <m/>
    <m/>
    <m/>
    <m/>
    <m/>
    <m/>
    <m/>
    <s v="20/05 - A iniciar"/>
    <m/>
    <m/>
    <m/>
    <s v="Na Fila"/>
    <m/>
    <m/>
  </r>
  <r>
    <s v="CTXRECSA-492902"/>
    <s v="Mudança de DAC"/>
    <m/>
    <m/>
    <x v="10"/>
    <m/>
    <m/>
    <x v="10"/>
    <m/>
    <m/>
    <m/>
    <m/>
    <m/>
    <m/>
    <m/>
    <m/>
    <m/>
    <m/>
    <s v="20/05 - A iniciar"/>
    <m/>
    <m/>
    <m/>
    <s v="Na Fila"/>
    <m/>
    <m/>
  </r>
  <r>
    <s v="CTXRECAU-71109"/>
    <s v="PROJETO - Substituição de 430 máquinas na operação NET"/>
    <m/>
    <s v="Operações que não estão no Plano de Recuperação"/>
    <x v="5"/>
    <m/>
    <m/>
    <x v="1"/>
    <m/>
    <m/>
    <m/>
    <m/>
    <m/>
    <m/>
    <m/>
    <m/>
    <m/>
    <m/>
    <s v="20/05 - A iniciar"/>
    <m/>
    <m/>
    <m/>
    <s v="Na Fila"/>
    <m/>
    <m/>
  </r>
  <r>
    <s v="CTXRECSA-495150"/>
    <s v="Crescimento SAC Pós + OCT"/>
    <s v="SANTO AMARO"/>
    <s v="S&amp;OP"/>
    <x v="4"/>
    <m/>
    <m/>
    <x v="10"/>
    <s v="Jonas Divino"/>
    <s v="Implantação de PA (crescimento, migração ou nova operação)"/>
    <d v="2016-05-19T00:00:00"/>
    <n v="2"/>
    <d v="2016-05-20T00:00:00"/>
    <s v="TBD"/>
    <s v="TBD"/>
    <d v="2016-06-01T00:00:00"/>
    <s v="Risco"/>
    <m/>
    <s v="20/05 - A iniciar"/>
    <m/>
    <m/>
    <m/>
    <s v="Na Fila"/>
    <m/>
    <n v="16"/>
  </r>
  <r>
    <s v="CTXRECSA-495802"/>
    <s v="Crescimento Quality Pós + OCT"/>
    <s v="SANTO AMARO"/>
    <s v="S&amp;OP"/>
    <x v="4"/>
    <m/>
    <m/>
    <x v="10"/>
    <s v="Jonas Divino"/>
    <s v="Implantação de PA (crescimento, migração ou nova operação)"/>
    <d v="2016-05-19T00:00:00"/>
    <n v="2"/>
    <d v="2016-05-20T00:00:00"/>
    <s v="TBD"/>
    <s v="TBD"/>
    <d v="2016-06-01T00:00:00"/>
    <s v="Risco"/>
    <m/>
    <s v="20/05 - A iniciar"/>
    <m/>
    <m/>
    <m/>
    <s v="Na Fila"/>
    <m/>
    <n v="3"/>
  </r>
  <r>
    <s v="CTXRECSA-495803"/>
    <s v="Crescimento Contas Móvel"/>
    <s v="SANTO AMARO"/>
    <s v="S&amp;OP"/>
    <x v="4"/>
    <m/>
    <m/>
    <x v="10"/>
    <s v="Jonas Divino"/>
    <s v="Implantação de PA (crescimento, migração ou nova operação)"/>
    <d v="2016-05-19T00:00:00"/>
    <n v="2"/>
    <d v="2016-05-20T00:00:00"/>
    <s v="TBD"/>
    <s v="TBD"/>
    <d v="2016-06-01T00:00:00"/>
    <s v="Risco"/>
    <m/>
    <s v="20/05 - A iniciar"/>
    <m/>
    <m/>
    <m/>
    <s v="Na Fila"/>
    <m/>
    <n v="30"/>
  </r>
  <r>
    <s v="CTXNITSP-184403"/>
    <s v="Crescimento Suporte Técnico Pós-Pago"/>
    <s v="NITERÓI"/>
    <s v="S&amp;OP"/>
    <x v="4"/>
    <m/>
    <m/>
    <x v="10"/>
    <s v="Jonas Divino"/>
    <s v="Implantação de PA (crescimento, migração ou nova operação)"/>
    <d v="2016-05-19T00:00:00"/>
    <n v="2"/>
    <d v="2016-05-20T00:00:00"/>
    <s v="TBD"/>
    <s v="TBD"/>
    <d v="2016-06-01T00:00:00"/>
    <s v="Risco"/>
    <m/>
    <s v="20/05 - A iniciar"/>
    <m/>
    <m/>
    <m/>
    <s v="Na Fila"/>
    <m/>
    <n v="4"/>
  </r>
  <r>
    <s v="CTXJPASA-8302"/>
    <s v="CRESCIMENTO EMPRESARIAL FIXO"/>
    <s v="JOAO PESSOA"/>
    <s v="S&amp;OP"/>
    <x v="4"/>
    <m/>
    <m/>
    <x v="10"/>
    <s v="Jonas Divino"/>
    <s v="Implantação de PA (crescimento, migração ou nova operação)"/>
    <d v="2016-05-19T00:00:00"/>
    <n v="2"/>
    <d v="2016-05-20T00:00:00"/>
    <s v="TBD"/>
    <s v="TBD"/>
    <d v="2016-06-01T00:00:00"/>
    <s v="Risco"/>
    <m/>
    <s v="20/05 - A iniciar"/>
    <m/>
    <m/>
    <m/>
    <s v="Na Fila"/>
    <m/>
    <n v="6"/>
  </r>
  <r>
    <s v="CTXSALPB-67517"/>
    <s v="CRESCIMENTO SAC OI TV"/>
    <s v="BOA VIAGEM"/>
    <s v="S&amp;OP"/>
    <x v="4"/>
    <m/>
    <m/>
    <x v="10"/>
    <s v="Jonas Divino"/>
    <s v="Implantação de PA (crescimento, migração ou nova operação)"/>
    <d v="2016-05-19T00:00:00"/>
    <n v="2"/>
    <d v="2016-05-20T00:00:00"/>
    <s v="TBD"/>
    <s v="TBD"/>
    <d v="2016-06-01T00:00:00"/>
    <s v="Risco"/>
    <m/>
    <s v="20/05 - A iniciar"/>
    <m/>
    <m/>
    <m/>
    <s v="Na Fila"/>
    <m/>
    <n v="8"/>
  </r>
  <r>
    <s v="CTXSPOBF-145645"/>
    <s v="Projeto - Gravação de frase - Santander Financiamentos"/>
    <s v="Antártica/SP"/>
    <s v="Operações que não estão no Plano de Recuperação"/>
    <x v="6"/>
    <s v="Noemia Ferro"/>
    <s v="Mauricio Perez"/>
    <x v="5"/>
    <s v="George Dimitrov"/>
    <s v="URA"/>
    <d v="2016-05-19T00:00:00"/>
    <n v="2"/>
    <d v="2016-05-20T00:00:00"/>
    <s v="TBD"/>
    <s v="TBD"/>
    <s v="TBD"/>
    <s v="TBD"/>
    <m/>
    <s v="20/05 - Aguardando aprovação de proposta pelo solicitante"/>
    <s v="Solicitante"/>
    <s v="George Dimitrov"/>
    <s v="TBD"/>
    <s v="Análise"/>
    <m/>
    <m/>
  </r>
</pivotCacheRecords>
</file>

<file path=xl/pivotCache/pivotCacheRecords4.xml><?xml version="1.0" encoding="utf-8"?>
<pivotCacheRecords xmlns="http://schemas.openxmlformats.org/spreadsheetml/2006/main" xmlns:r="http://schemas.openxmlformats.org/officeDocument/2006/relationships" count="179">
  <r>
    <s v="CTXFORNA-25436"/>
    <s v="Implantar Front End e discador"/>
    <s v="Borges de Melo/Ce"/>
    <s v="Plano Recuperação"/>
    <x v="0"/>
    <s v="Reginaldo"/>
    <s v="José Maria"/>
    <s v="Bruno Ribeiro"/>
    <s v="José Pedro"/>
    <x v="0"/>
    <d v="2015-08-18T00:00:00"/>
    <n v="277"/>
    <d v="2015-09-25T00:00:00"/>
    <s v="Não"/>
    <s v="TBD"/>
    <s v="TBD"/>
    <s v="TBD"/>
    <m/>
    <s v="17/05 - Novo desenho de engenharia já realizado.  Aguardando análise e próximos passos da equipe de CSE para avançarmos com o projeto_x000a_11/05 - Verificando com Engenharia qual o prazo para novo desenho, uma vez que o polo aspect a ser usado será o do Alegria. Previsão de retorno até 13/05_x000a_04/05 - Tivemos algumas definições que impactaram o cronograma de desenvolvimento (Polo Aspect, outras demandas, etc). Novo cronograma em análise com previsão de elaboração até dia 06/05_x000a_26/04 - Aguardando Definição de qual polo aspect utilizar. Definição Corporativa. sem prazo. Rico alto de atraso. Desenvolvimento Parcial..._x000a_22/03 - Em Desenvolvimento...previsão de conclusão do desenvolvimento em Maio/2016;_x000a_15/03 - Recebemos o layout do arquivo raw, equipe de desenvolvimento irá analisar ate amanhã. Desenvolvimento continua...._x000a_01/03 - Foram disponibilizados os Servidores em 26/02. Estamos em fase de desenvolvimento. Evoluindo..._x000a_23/02 - Disponibilizanod os servidores de BD, APP e D-1, até dia 26/02. Em paralelo as confirgurações da aplicação;_x000a_16/02 - Fase 1 de Desenvolvimento concluida. fase 2 em andamento. Em paralelo estamos analisando o espaço de Oracle (servidor) para a aplicação, com data limite até dia 22/02;_x000a_10/02 - Realisando ajustes na topologia para iniciar atividades com CSE. Em Paralelo estamos iniciando as atividades com equipe de desenvolvimento;_x000a_02/02 - Avaliações entre as equipes de Telecom, Discadores e Plataforma;_x000a_26/01 - Equipe de Plataforma esta revendo espaço do Storage pata liberar À equipe de Desenvolvimento. Desenvolvimento em andamento;_x000a_20/01 - devido a necessidade de investimento para upo grade do storage, e os debitos junto a não renovação de contrato com a DELL., estamos buscando 'limpar' o storage atual para tentar assim disponibilizar espaço. Sem Previsão, sendo tratado por Nelsom Klaus._x000a_04/01 - Inicio de ENG em 04/01 e previsão de término em 15/01_x000a_25/11 - Cobrando disponibilização de Servidores para disponibilizar para desenvolvimentos. ainda sem data;_x000a_17/11 - Levantando insumos necessarios para desenvolvimento (servidor de desenvolvimento e Aplicação e BD);_x000a_03/11 - Aguardando avaliação da euiqpe do Rivaldo; sem previsão._x000a_27/10 - Conforme alinhado no ultima reunião de Up Data de Projetos, será avaliado pela equipe do Rivaldo a real necessidade dessa solicitação, se farão correções no By Contax ou outro FF. Ainda sem data;_x000a_Enviado posteriormente/ encaminhar para priorização"/>
    <s v="CSE"/>
    <s v="LW"/>
    <d v="2016-05-20T00:00:00"/>
    <s v="Desenvolvimento/Execução"/>
    <m/>
    <n v="40"/>
  </r>
  <r>
    <s v="CTXSPOAP407-13150"/>
    <s v="2a.fase do TTV "/>
    <s v="Antártica"/>
    <s v="Plano Recuperação"/>
    <x v="1"/>
    <s v="Bruno Vasconcellos"/>
    <m/>
    <s v="Bruno Ribeiro"/>
    <s v="Wagner Mattos"/>
    <x v="0"/>
    <d v="2015-10-15T15:34:00"/>
    <n v="218.35138888889196"/>
    <d v="2015-08-01T00:00:00"/>
    <s v="Não"/>
    <s v="TBD"/>
    <s v="TBD"/>
    <s v="TBD"/>
    <m/>
    <s v="11/05 - Mesmo status_x000a_04/05 - Mesmo status_x000a_26/04 - Aguardando proposta do Fornecedor que fará a intregraçãentre o TTV e posições da VIVO Fixa; sem previsão;_x000a_18/12 - Aguardando proposta do Fornecedor que fará a intregraçãentre o TTV e posições da VIVO Fixa; sem previsão;_x000a_25/11 - Aguardando proposta de terceiros para desenvolvimento de solução para capturar informações dos 8% de posições restantes (que utilizam InterGrall e Genesys do segmento da FIXA);_x000a_17/11 - TTV implantado em 92% das posiçoes da VIVO (Movel em 100%, fixa 82%, restando vizualizar 258 PAs que são Intergrall e 'Genesys' a definir estratégia);_x000a_03/11 - Realizando algumas configurações de SKILL junto as equipe de Planejamento, Avaya e NICE;_x000a_27/10 - Configurações finalizadas. em fase de homologação. No momento estamos aguardando as correções a serem realizadas pela equipe do Antonio Carlos - Planejamento VIVO, sem prazo informado;_x000a_20/10 - Periodo de configurações entre Contax e NICE. Previsão de conclusão das confgurações de TI, é 28/10;_x000a_06/10 - Aguardando emissão do PC para acionar a NICE, prazo para emissão até 08/10;_x000a_29/09 - Processo de Aprovação de SC e após, gerar pedidos;_x000a_29/09 - ja realizada aprovação do valor (U$34.794,54) em Comitê, sem data;_x000a_22/09 - Já temos a proposta da NICE, e estamos em processo de SC / Aprovações / PC. Após termos os pedido aguardaremos a disponibilização das licenças (em processo normal, o tempo é de até 60 dias, mas vamos trabalhar para ser disponibilizado o mais breve possivel;_x000a_16/09 - Estamos aguardando definição do Rivaldo Barbosa sobre a configuração e licenças da NICE para realizarmos testes (conf. Avaya já Ok desde 04/09). Milene ciente da necessidade de cobrar o Rivaldo._x000a_"/>
    <s v="Aplicações"/>
    <s v="Cristiane Sasaki"/>
    <s v="N/A"/>
    <s v="Desenvolvimento/Execução"/>
    <m/>
    <n v="258"/>
  </r>
  <r>
    <s v="CTXMTZPB-300"/>
    <s v="Migração de 02 servidores para o Azure (Nuvem)"/>
    <s v="DataCenter"/>
    <s v="BI Corporativo"/>
    <x v="2"/>
    <m/>
    <s v="Mauricio Lustosa"/>
    <s v="Paulo Cavalcante"/>
    <s v="Pedro Bazzarella"/>
    <x v="1"/>
    <d v="2015-09-03T00:00:00"/>
    <n v="261"/>
    <d v="2015-10-07T00:00:00"/>
    <s v="Não"/>
    <s v="TBD"/>
    <s v="TBD"/>
    <s v="TBD"/>
    <m/>
    <s v="[17/05] - Necessário definição de proximos passos sobre a analise / execução dessa solicitação ( Adalto )_x000a__x000a_[10/05]Pendente entrega de Aplicações.Alinhamento com Rivaldo._x000a__x000a_[03/05]Pendente entrega de Aplicações._x000a__x000a_[26/04]Respondido por time de aplicações que OG será entrege até 26/04._x000a__x000a_[19/04] - Projeto encaminhadopara analise tecnica equipe Adalto. (Recomendação (Koreeda e Rivaldo). Email Klaus._x000a_Retorno Aplicações previsto 26/04._x000a__x000a_[12/04] - Aguardando retorno do solicitante , se prosseguiremos como projeto, a partir das cotações apresentadas apara Upgrade._x000a__x000a_[05/04] - Mesmo status _x000a_[29/03] - Mesmo status.[22/03] mesmo status._x000a_Aguardando agenda do solicitante para call tecnico (redução cistos x risco ambiente ) _x000a__x000a_[15/03] - Aguardand o agenda do solicitante para call tecnico (redução cistos x risco ambiente ) ._x000a__x000a_[08/03] - Solicitante pediu revisão de solução ( possibilidade redução custos)._x000a__x000a_[29/02] - Custos encaminhados para analise do Solicitante._x000a__x000a_[23/02] - Aguardando retorno Engenharia._x000a__x000a_[16/02] -  Em  Processo de cotação de insumo de TI para upgrage servidores (em andamento por Engenharia)_x000a__x000a_[10/02] - Processo de cotação de insumo de TI para upgrage servidores está em andamento por Engenharia._x000a__x000a_03/02 -Projeto já Inserido na Fila Klaus. Estava sendo tratado diretamente entre Lustosa e Klaus_x000a__x000a_Status  atual: Equipe de Engenharia está fazendo a cotação de Insumos para Upgrade servidores._x000a__x000a_02/02 - Esclarecendo com Solicitante, pois nessa demanda solicita migração de 2 servidores sem contrato de suporte e alto risco falha, rodando faturamento, relatórios contratuais e informações de trafego do Itau, além sandbox. Projeto aberto Set/15;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08/Set/15 18:56 _x000a_Projeto encaminhado para a Fila de TI-ENG para Análise e estimativa. "/>
    <s v="ENG/APP"/>
    <s v="Adalto"/>
    <d v="2016-04-26T00:00:00"/>
    <s v="Desenho Solução"/>
    <s v="ND"/>
    <s v="N/A"/>
  </r>
  <r>
    <s v="CTXMTZPB-510"/>
    <s v="Criação de ambiente de produção - MS Azure ( DATAZEN )"/>
    <s v="DataCenter"/>
    <s v="BI Corporativo"/>
    <x v="2"/>
    <m/>
    <s v="Mauricio Lustosa"/>
    <s v="Paulo Cavalcante"/>
    <s v="Pedro Bazzarella"/>
    <x v="1"/>
    <d v="2015-09-22T00:00:00"/>
    <n v="242"/>
    <d v="2015-10-07T00:00:00"/>
    <s v="Não"/>
    <s v="TBD"/>
    <s v="TBD"/>
    <s v="TBD"/>
    <m/>
    <s v="[17/05] - Em andamento com equipe Arquitetura. _x000a_Aguardando lançamento de nova versão do SQL 2016. ( Previsão 1° sem 2016)_x000a__x000a_[03/05] - Em andamento com Arquitetura TI (Eder) Questionada nova previsão de  entrega para 13/05. Klaus citou que projeto vai ficar congelado até lançamento do SQL 2016._x000a__x000a_[03/05] - Em andamento com Arquitetura TI (Eder) previsão de _x000a_05/05._x000a__x000a_[26/04] - Em andamento com Arquitetura TI (Eder) previsão de entrega em 29/04._x000a__x000a_[19/04] - Em andamento com Arquitetura TI (Eder) _x000a__x000a_[12/04] - Ações tecnicas em andamento, sendo alinhadas diretamente com solicitante x TI ._x000a__x000a_[05/04] - Ações tecnicas sendo alinhadas diretamente com solicitante ._x000a__x000a_[29/03] - Em andamento . Alinhamento direto entre Engenharia e equipe BI_x000a__x000a_[22/03] - BP aprovado. Fase de desenho solução com Engenharia e BI._x000a__x000a_[15/03] - Aguradando retorno do solicitante (Lustosa) com a aprovação do BP no Comitê._x000a__x000a_[08/03 ] - devido ao parecer tecnico no projeto CTXRJOMA-78762   Projeto - DATAZEN &quot;On Premises&quot;, Mauricio Lustosa seguirá  com a apresentação do BP no comitê._x000a__x000a_[29/02] - BP avaliadopor Engenharia. EM Hold, aguardando avaliação de uma nova proposta de solução utilizando servidores fisicos na Contax. Sendo desenhada em outro projeto._x000a__x000a_[23/02] - Aguardando retorno Engenharia._x000a__x000a_[16/02] -  BP avaliado por  TI e  uma segunda proposta para solução  ( on premises) enviada pelo Solicitante, sendo avaliada por Engenharia TI._x000a__x000a_[10/02] - Solução tecnica sendo avaliada pela Diretoria e Engenharia._x000a__x000a_03/02 - Escopo desse projeto já estava sendo tratado pela equipe do Klaus, direto com equipe Lustosa._x000a__x000a_Klaus havia sinalizado a necessidade do Lustosa apresentar BP para comitê. A discussão desse tema está no email anexo._x000a__x000a_Ação:  esclarecer com Koreeda, se seguiremos sem apresentação BP (email anexo) ._x000a_Trata-se de utilização de Créditos “ já pagos “ pela Contax, para implementação deste Projeto na Nuvem._x000a__x000a_02/02 - Esclarecendo com solicitante. Necessário aprovação de BP (resp. Lustosa), para continuidade do porjeto, por Engenharia.  (+/- US$ 6.682,92)_x000a_Necessário retomar a prioridade deste projeto com Engenharia._x000a__x000a__x000a_26/01 - Mesmo status _x000a_Projeto está aguardando a execução da ENG. Débora 01/12_x000a_Projeto está aguardando a execução da ENG. Débora 23/11_x000a_Projeto está aguardando a execução da ENG. Débora 17/11_x000a_Projeto está aguardando a execução da ENG. Débora 10/11_x000a_Projeto está aguardando a execução da ENG. Débora 03/11_x000a_Projeto está aguardando a execução da ENG. Débora 27/10_x000a_Projeto ainda em fase de entendimento de requisitos. Débora 20/10/15_x000a_Projeto ainda em fase de entendimento de requisitos. Débora 13/10/15_x000a_Dalton Bondesan added a comment - 24/Set/15 15:44 _x000a_Projeto encaminhado para a Fila de TI-ENG para iniciar a Análise e estimativa. "/>
    <s v="ENG"/>
    <s v="Pedro / Eder "/>
    <s v="ND"/>
    <s v="Desenvolvimento/Execução"/>
    <s v="ND"/>
    <s v="N/A"/>
  </r>
  <r>
    <s v="CTXRECSA-419337"/>
    <s v="Projetos bolha - TROCA DO WIN7 - a criação da estrutura do tsupervisor, o SMPA não funciona com Win 7."/>
    <s v="Cabula/Santo Amaro"/>
    <s v="Plano Recuperação"/>
    <x v="3"/>
    <s v="Ricardo Araújo"/>
    <s v="Celso Miranda"/>
    <s v="Juliana Moraes"/>
    <s v="Marco Brandão"/>
    <x v="0"/>
    <d v="2015-09-03T00:00:00"/>
    <n v="261"/>
    <d v="2015-09-25T00:00:00"/>
    <s v="Sim"/>
    <d v="2016-02-02T00:00:00"/>
    <s v="28/04/2016_x000a_TBD"/>
    <s v="Risco - O Banco ainda não aprovou a utilização do tSupervisor"/>
    <m/>
    <s v="[16/05] - Aguardando aprovação do banco para a utilização do tSupervidor_x000a_ [10/05] - Banco solicita novamente uma call para tirar dúvidas do tSupervisor._x000a_[02/05] - Banco fez novamente questionamentos sobre a aplicação. Prazo de entrega 04/05_x000a_[25/04] - Mesmo status_x000a_[19/4] - Mesmo status_x000a_[12/4] - Aguardando aprovação do banco para a utilização do tSupervisor._x000a_[04/04] - Encaminhado ao banco as evidências de segurnaça do tSupervisor._x000a_[29/03] - Mesmo status_x000a_[22/03] - Mesmo status_x000a_[15/03] - Aguardando envio das evidências pela equipe de aplicações, Engenharia e site. _x000a_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_x000a_Aguardando apenas o de acordo para seguir com o projeto. Juliana 20/01_x000a_O banco informou que o De acordo leva em média 10 dias úteis e com este prazo não conseguiremos implantar o t-Supervisor. Ainda permancemos aguardando o De acordo do banco. Débora 23/11_x000a_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_x000a_Projeto previsto para ser concluído em 16/11. Estou aguardando um de acordo do banco para seguir com a execução do projeto. Débora 03/11_x000a_Projeto previsto para ser concluído em 16/11. Estou aguardando um de acordo do banco para seguir com a execução do projeto. Débora 27/10_x000a_Em levantamento com os executores a duração para configuração do t-Supervisor, pois é um pré-requisito para implantar o Win7 e ainda não foi definido um resposável por apresentar a solução ao banco. Débora 20/10._x000a_Ainda não foi definido um resposável por apresentar a solução ao banco. Débora 13/10._x000a_Demanda está em análise. O sistema tSupervisor será apresentado ao banco como uma solução alternativa ao SMPA que não é compatível com o win7. A equipe do Alexandre Morais está responsável por elaborar o material que será apresentado ao banco. Data TBD._x000a_[Fabiana 18/09] - BASE LINE ITAÚ (Windows 7) - Trata-se da análise do sistema T-Supervisor visto que nos testes realizados pelo Rosim há problemas de compatibilidade com o windows 7._x000a_"/>
    <s v="Solicitante"/>
    <s v="Marco Brandão"/>
    <s v="TDB"/>
    <s v="Análise "/>
    <d v="2016-04-28T00:00:00"/>
    <n v="3076"/>
  </r>
  <r>
    <s v="CTXRECSA-422212"/>
    <s v="Projetos bolha - CONTROLE DE ACESSO COM O PROTOCOLO 802.1x "/>
    <s v="Cabula/Santo Amaro"/>
    <s v="Plano Recuperação"/>
    <x v="3"/>
    <s v="Ricardo Araújo"/>
    <s v="Celso Miranda"/>
    <s v="Juliana Moraes"/>
    <s v="Marco Brandão"/>
    <x v="0"/>
    <d v="2015-09-14T00:00:00"/>
    <n v="250"/>
    <d v="2015-09-25T00:00:00"/>
    <s v="Sim"/>
    <d v="2016-02-02T00:00:00"/>
    <d v="2016-11-30T00:00:00"/>
    <s v="Sim"/>
    <m/>
    <s v="[16/05] - Em desenvolvimento_x000a_[10/05] - Aguardando a entrega das licenças_x000a_[02/05] - Gerado número do pedido. Aguardando o envio das licenças pelo fornecedor._x000a_[25/4] - Mesmo status_x000a_[19/4] - Mesmo status_x000a_[12/4] - Mesmo status_x000a_[4/4] - Mesmo Status_x000a_[29/03] Cotação com os fornecedores e aguardando geração de Pedido. _x000a_[22/03] - Mesmo status_x000a_[15/03] - Mesmo status_x000a_[08/03] - Aguardando geração de pedido                                                                                                                                                                                                                                                                            [29/02] - Aguardando aprovação da SC. _x000a_[22/02] - Aguardando abertura de SC                                                                                                                                                                                                                                                                                 [16/02] - Solicitado abertura de SC para contratação do fornecedor                                                                [10/02] Mesmo Status                                                                                                                                                                                                                                                                                                                [02/02] - No dia 28/01 foi solicitado a revisão da proposta do fornecedor, estamos aguardando para a criação de SC.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a migração do t-Supervisor, pois é um pré-requisito para a migração do win7. Débora 01/12_x000a_A solução sem custos não funcionou e será necessário a contratação de um fornecedor para executar este projeto. Proposta comercial em análise pelo Banco. Débora 23/11_x000a_A solução sem custos não funcionou e será necessário a contratação de um fornecedor para executar este projeto. Proposta comercial em análise pelo Banco. Débora 17/11_x000a_A solução sem custos não funcionou e será necessário a contratação de um fornecedor para executar este projeto. Proposta comercial em análise pelo Banco. Débora 10/11_x000a_A solução sem custos não funcionou e será necessário a contratação de um fornecedor para executar este projeto. Proposta comercial em análise pelo Banco. Débora 03/11_x000a_A solução sem custos não funcionou e será necessário a contratação de um fornecedor para executar este projeto. Proposta comercial em análise pelo Banco. Débora 27/10_x000a_O piloto está previsto para iniciar em 19/10 à 21/10 no site Mackenzie. Débora 13/10/15._x000a_O piloto está previsto para iniciar em 19/10 à 21/10 no site Mackenzie._x000a_Esse chamado se aplica ao site Santo Amaro. Débora 05/10/15_x000a_[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_x000a_Esse chamado se aplica ao site Santo Amaro."/>
    <s v="Fornecedor"/>
    <m/>
    <s v="TDB"/>
    <s v="Em andamento"/>
    <d v="2016-11-30T00:00:00"/>
    <n v="3076"/>
  </r>
  <r>
    <s v="CTXRECSA-430668"/>
    <s v="Projetos bolha - AUDITORIA REMOTA: (Coleta de Dados Automatizada) - PE-Santo Amaro"/>
    <s v="Cabula/Santo Amaro"/>
    <s v="Plano Recuperação"/>
    <x v="3"/>
    <s v="Ricardo Araújo"/>
    <s v="Celso Miranda"/>
    <s v="Juliana Moraes"/>
    <s v="Marco Brandão"/>
    <x v="0"/>
    <d v="2015-10-14T00:00:00"/>
    <n v="220"/>
    <d v="2015-10-22T00:00:00"/>
    <s v="Sim"/>
    <d v="2016-02-02T00:00:00"/>
    <d v="2016-07-22T00:00:00"/>
    <s v="Risco - A equipe técnica está com várias ações concorrentes "/>
    <m/>
    <s v="[16/05] - Mesmo status_x000a_[10/05] - Aguardando liberação de rede para instalação da aplicação do Protheus_x000a_[02/05] - Disponibilizado servidor. Aguardando o banco instalar a aplicação do Protheus. Prazo TDB_x000a_[25/4] - Mesmo status_x000a_[19/4] - Projeto em andamento_x000a_[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m/>
    <m/>
    <s v="TDB"/>
    <s v="Em andamento"/>
    <d v="2016-07-22T00:00:00"/>
    <n v="3076"/>
  </r>
  <r>
    <s v="CTXRECSA-430770"/>
    <s v="Projetos bolha - Aplicações de Hardenings : (Baseline Itaú) - PE-Santo Amaro"/>
    <s v="Cabula/Santo Amaro"/>
    <s v="Plano Recuperação"/>
    <x v="3"/>
    <s v="Ricardo Araújo"/>
    <s v="Celso Miranda"/>
    <s v="Juliana Moraes"/>
    <s v="Marco Brandão"/>
    <x v="0"/>
    <d v="2015-10-14T00:00:00"/>
    <n v="220"/>
    <d v="2015-10-22T00:00:00"/>
    <s v="Não"/>
    <d v="2016-05-13T00:00:00"/>
    <s v="TBD"/>
    <s v="Risco - Aguardando entrega de proposta de fornecedor"/>
    <m/>
    <s v="[16/05] - Aguardando avaliação de SI_x000a_[10/5] - Aguardando avaliação de TI e SI sobre as propostas._x000a_[02/05] - As consultorias retornou com as propostas comerciais, mas a equipe da Operação realizou vários questionamentos e teremos que realizar uma conferencia para tirar as dúvidas._x000a_[25/04] - Aguardando retorno da consultoria_x000a_[19/04] Consultorias enviou as propostas, porém havia solicitado que a proposta teria que ser dividida entre os sub-projetos do Bolha. Solicitado revisão da proposta._x000a_[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s v="SI "/>
    <s v="Rodrigo Marangoni"/>
    <s v="TDB"/>
    <s v="Levantamento de informações"/>
    <s v="TDB"/>
    <n v="3076"/>
  </r>
  <r>
    <s v="CTXSALSM-74754"/>
    <s v="Projetos bolha - Troca do sistema WinXP para Win7 em todas as operações do Itaú BA"/>
    <s v="Cabula/Santo Amaro"/>
    <s v="Plano Recuperação"/>
    <x v="3"/>
    <s v="Ricardo Araújo"/>
    <s v="Celso Miranda"/>
    <s v="Juliana Moraes"/>
    <s v="Marco Brandão"/>
    <x v="0"/>
    <d v="2015-09-03T00:00:00"/>
    <n v="261"/>
    <d v="2015-09-25T00:00:00"/>
    <s v="Sim"/>
    <d v="2016-02-02T00:00:00"/>
    <s v="28/04/2016_x000a_TBD"/>
    <s v="Risco - O Banco ainda não aprovou a utilização do tSupervisor"/>
    <m/>
    <s v="[16/05] - Aguardando aprovação do banco para a utilização do tSupervidor_x000a_[10/05] - Banco solicita novamente uma call para tirar dúvidas do tSupervisor._x000a_[02/05] - Banco fez novamente questionamentos sobre a aplicação. Prazo de entrega 04/05_x000a_[25/04] - Mesmo status_x000a_[19/4] - Mesmo status_x000a_[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s v="Solicitante"/>
    <s v="Marco Brandão"/>
    <s v="TDB"/>
    <s v="Análise "/>
    <d v="2016-04-28T00:00:00"/>
    <n v="3076"/>
  </r>
  <r>
    <s v="CTXSALSM-83016"/>
    <s v="Projetos bolha - AUDITORIA REMOTA: (Coleta de Dados Automatizada) - BA-Cabula"/>
    <s v="Cabula/Santo Amaro"/>
    <s v="Plano Recuperação"/>
    <x v="3"/>
    <s v="Ricardo Araújo"/>
    <s v="Celso Miranda"/>
    <s v="Juliana Moraes"/>
    <s v="Marco Brandão"/>
    <x v="0"/>
    <d v="2015-10-14T00:00:00"/>
    <n v="220"/>
    <d v="2015-10-22T00:00:00"/>
    <s v="Sim"/>
    <d v="2016-02-02T00:00:00"/>
    <d v="2016-07-22T00:00:00"/>
    <s v="Risco - A equipe técnica está com várias ações concorrentes "/>
    <m/>
    <s v="[16/05] - Mesmo status_x000a_[10/05] - Aguardando liberação de rede para instalação da aplicação do Protheus_x000a_[02/05] - Disponibilizado servidor. Aguardando o banco instalar a aplicação do Protheus. Prazo TDB_x000a_[25/4] - Mesmo status_x000a_[19/4] - Projeto em andamento_x000a_[12/4] - Solicitado apoio da equipe do Veloso para iniciar as atividades do projeto. _x000a_[4/4] - Aguardando data do cronograma para inicio das atividades_x000a_[29/03] - Mesmo status_x000a_[21/3] - Mesmo status_x000a_[15/03] - Mesmo status_x000a_[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_x000a_Aguardando apenas o de acordo para seguir com o projeto. Débora 01/12_x000a_Cronograma definido e aguardando a negociação comercial com o banco e a aquisição dos recursos. Débora 23/11._x000a_Cronograma definido e aguardando a negociação comercial com o banco e a aquisição dos recursos. Débora 17/11._x000a_Cronograma definido e aguardando a negociação comercial com o banco e a aquisição dos recursos. Débora 10/11._x000a_Em definição o cronograma de implantação da auditoria automatizada. Este projeto aguarda a implantação do Win7 para desenvolver o cronograma. Débora 03/11 _x000a_Em definição o cronograma de implantação da auditoria automatizada. Débora 27/10_x000a_22/10 - Auditoria Autómatica: Levantado o custo de implantação, porém está pendente o cronograma de implantação"/>
    <s v="CSE"/>
    <s v="Luiz Washington"/>
    <s v="TDB"/>
    <s v="Em andamento"/>
    <d v="2016-07-22T00:00:00"/>
    <n v="3076"/>
  </r>
  <r>
    <s v="CTXSALSM-83029"/>
    <s v="Projetos bolha - Aplicações de Hardenings : (Baseline Itaú) - BA-Cabula"/>
    <s v="Cabula/Santo Amaro"/>
    <s v="Plano Recuperação"/>
    <x v="3"/>
    <s v="Ricardo Araújo"/>
    <s v="Celso Miranda"/>
    <s v="Juliana Moraes"/>
    <s v="Marco Brandão"/>
    <x v="0"/>
    <d v="2015-10-14T00:00:00"/>
    <n v="220"/>
    <d v="2015-10-22T00:00:00"/>
    <s v="Não"/>
    <d v="2016-05-13T00:00:00"/>
    <s v="TBD"/>
    <s v="Risco - Aguardando entrega de proposta de fornecedor"/>
    <m/>
    <s v="[16/05] - Aguardando avaliação de SI_x000a_[10/5] - Aguardando avaliação de TI e SI sobre as propostas._x000a_[02/05] - As consultorias retornou com as propostas comerciais, mas a equipe da Operação realizou vários questionamentos e teremos que realizar uma conferencia para tirar as dúvidas._x000a_[25/04] - Aguardando retorno da consultoria_x000a_[19/04] Consultorias enviou as propostas, porém havia solicitado que a proposta teria que ser dividida entre os sub-projetos do Bolha. Solicitado revisão da proposta._x000a_[12/4] - Aguardando envio de proposta comercial das consultorias. O prazo era até dia 8/4. _x000a_[4/4] - Veloso entregou a lista de equipamentos e SI esta avaliando as informações. Prazo de avaliação 4/4_x000a_[29/03] - Mesmo status_x000a_[22/03] - Aguardando informações do Veloso _x000a_[15/03] - Mesmo status_x000a_[08/03] - Mesmo status                                                                                                                                                                                                                                                                                                              [29/02] - Consultoria analisando a solução.    _x000a_[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_x000a_Custos enviados pelo Veloso, R$581.768,16 e em análise se infra de TI tem algum custo. Débora 01/12_x000a_Custos enviados pelo Veloso, R$581.768,16 e em análise se infra de TI tem algum custo. Débora 23/11_x000a_Custos enviados pelo Veloso, R$581.768,16. Débora 17/11_x000a_Levantamento de custo e cronograma previsto para 13/11. Débora 10/11_x000a_Levantamento de custo e cronograma previsto para 13/11. Débora 03/11_x000a_Levantamento de custo e cronograma previsto para 13/11. Débora 27/10_x000a_22/10 - Baseline Itaú – Hardenings: Levantamento de custo e cronograma previsto para 13/11. "/>
    <s v="SI "/>
    <s v="Rodrigo Marangoni"/>
    <s v="TDB"/>
    <s v="Levantamento de informações"/>
    <s v="TDB"/>
    <n v="3076"/>
  </r>
  <r>
    <s v="CTXSPOAP407-10410"/>
    <s v="Projeto RTI Vivo - Integração TClock x Logon no vivo 360"/>
    <s v="Antártica/SP"/>
    <s v="Plano Recuperação"/>
    <x v="1"/>
    <s v="Bruno Vasconcellos"/>
    <m/>
    <s v="Juliana Moraes"/>
    <s v="Paloma Almeida"/>
    <x v="2"/>
    <d v="2015-05-27T12:40:00"/>
    <n v="359.47222222221899"/>
    <d v="2015-08-01T00:00:00"/>
    <s v="Sim"/>
    <d v="2016-04-04T00:00:00"/>
    <d v="2016-05-28T00:00:00"/>
    <s v="Sim"/>
    <m/>
    <s v="[16/05] - Piloto na operação Fixo foi cancelado devido a desmobilização da operação. Foi solicitado por Negócios o inicio do piloto na operação Renteção PF, porem só no inicio de Junho devido a movimentações e mudanças de layout. _x000a_[10/05 - Mesmo status_x000a_[03/05] - Mesmo status_x000a_[25/04] - Em piloto_x000a_[19/04] - Piloto iniciado em 18/4_x000a_[11/04] - Piloto programado para o dia 18/04/16, conforme solicitação da operação. _x000a_[4/4] - Aguardando validação do site para iniciarmos o piloto no dia 18/4_x000a_[29/03] - Operação aprovou iniciar o piloto e sugeriu data do dia 18/4._x000a_ [22/03] - Acompanhamento in loco feito entre os dias 15 e 18 de Março. Posicionamento será feito até o dia 23/03/16. _x000a_[15/03] -  Equipe de automações fará acompanhamento in loco na semana de 15 a 18/03. _x000a_[08/03] - Operação realizou novos testes e foram identificados que os erros não são relacionados ao RTI. Aguardando melhor data para o piloto e informações das 20 PAs para o piloto.                                                                                                                                                                                                                                                                                                                                          01/03/16: Pendente a verificação de erro apontado pela operação._x000a_22/02/16: Piloto será iniciado em 24/02. Data de rollout a ser validada com a operação._x000a_15/02/16 - nova versão corrigida será entregue em 16/02/16 - Data de Piloto e Rollout a ser validada com operação._x000a_10/02 - Mesmo status_x000a_05/02 - Encontrado problemas técnicos na aplicação durante período de testes. Em análise pela equipe de RTI. Nova data para início do piloto a ser informada no dia 12/02_x000a_01/02: Início do piloto alterado para 02/02 a pedido de negócio._x000a_26/01 - Mesmo status _x000a_18/01/16 - Aguardando formalização de quais os sites e operações deverão receber a solução. Pendência PMO Negócios. Mariana APP "/>
    <s v="Solicitante"/>
    <s v="Paloma Almeida"/>
    <d v="2016-05-18T00:00:00"/>
    <s v="Hold"/>
    <d v="2016-05-28T00:00:00"/>
    <m/>
  </r>
  <r>
    <s v="CTXSPOAP407-10425"/>
    <s v="Automação do Saldo de Recarga e Bônus"/>
    <s v="Antártica/SP"/>
    <s v="Plano Recuperação"/>
    <x v="1"/>
    <s v="Bruno Vasconcellos"/>
    <m/>
    <s v="Juliana Moraes"/>
    <s v="Paloma Almeida"/>
    <x v="2"/>
    <d v="2015-05-27T15:43:00"/>
    <n v="359.34513888888614"/>
    <d v="2015-08-01T00:00:00"/>
    <s v="Não"/>
    <s v="TBD"/>
    <s v="TBD"/>
    <s v="TBD"/>
    <m/>
    <s v="[16/05] - Testes feitos e o resultado não foi satisfatório. Erros persistem. Aguardando nova agenda com a Nice._x000a_ [09/05] - Mesmo status_x000a_[02/05] - Testes feitos e o resultado não foi satisfatório. Erros persistem. Aguardando nova agenda com a Nice. _x000a_[25/04] - Testes internos com solução ajustada previstos para finalizar em 29/04. Somente após resultado dos testes serão replanejados próximos passos._x000a_ [18/04] - Após testes realizados em conjunto com a NICE em 13/04, haverá necessidade de ajuste na solução. Testes internos com solução ajustada previstos para finalizar em 29/04. Somente após resultado dos testes serão replanejados próximos passos. _x000a_[11/04] - Análise realizada pela NICE. Feita alteração na solução. Testes internos até 15/04. _x000a_[4/4] - A avliação do erro esta sendo conduzida pela equipe de desnvolevimento e NICE. Análise com a NICE será feita no dia 04/04/16. _x000a_[29/03] - Aguardando recurso para elaboração de laudo. Previsto para 04/05/16 a 17/05/16 01/03/16: Pendente envio de OG._x000a_ [15/03] - Mesmo status_x000a_[08/03] - Aguardando recurso para elaboração de laudo. Previsto para 04/05/16 a 17/05/16 01/03/16: Pendente envio de OG._x000a_22/02/16: Pendente o envio do diagnóstico com análise dos problemas previsto para 04/03._x000a_15/02/16 - data da data para diagnóstico em 17/02/16 - Dificuldades de acesso aos sistemas da operação._x000a__x000a_10/02 - Em análise dos problemas com diagnoticos previstos para dia 12/02. Ainda sem previsão quanto ao rollout_x000a_01/02: Parecer dos testes será enviado em 02/02._x000a_26/01 – Agendado novos testes com a presença de TI e Negócios na operação para 27 e 28 /01._x000a_18/01/16 - Operação enviará até a data de 18/01 o resultado de novos testes de performance. Aguardando ok para seguir com rollout. _x000a_"/>
    <s v="Aplicações"/>
    <s v="Bruno"/>
    <d v="2016-05-17T00:00:00"/>
    <s v="Análise"/>
    <s v="TDB"/>
    <m/>
  </r>
  <r>
    <s v="CTXMTZRP-39707"/>
    <s v="DAC Único Fixa"/>
    <s v="Borges de Melo/Ce"/>
    <s v="Plano Recuperação"/>
    <x v="4"/>
    <s v="Ana Coelho"/>
    <s v="Ana Sosa"/>
    <s v="Edison Siqueira"/>
    <m/>
    <x v="3"/>
    <d v="2015-03-23T13:54:00"/>
    <n v="424.42083333332994"/>
    <d v="2015-08-01T00:00:00"/>
    <s v="Não"/>
    <s v="TBD"/>
    <s v="TBD"/>
    <s v="TBD"/>
    <m/>
    <s v="Edison Nei Siqueira added a comment - 10/Mai/16 17:55_x000a_Continua o mesmo status. _x000a__x000a_O projeto DAC Único está em freezing devido a possível indisponibilidade do DAC Minas A. As análises que está sendo realizadas pela diretoria TI são: _x000a__x000a_Fase 1: Migra todos os Insumos PRADO I para PRADO II (Aspect +Avaya) _x000a_Fase 2: Migra todos os Insumos PRADO I para PRADO II (Avaya) – Exceção Aspect (Migra para novo polo SPO) _x000a_Fase 3: Migra Aspect para nova plataforma SPO – Avaya Em analise_x000a__x000a_Edison Nei Siqueira added a comment - 03/Mai/16 10:53_x000a_Continua o mesmo status. _x000a__x000a_O projeto DAC Único está em freezing devido a possível indisponibilidade do DAC Minas A. As análises que está sendo realizadas pela diretoria TI são: _x000a__x000a_Fase 1: Migra todos os Insumos PRADO I para PRADO II (Aspect +Avaya) _x000a_Fase 2: Migra todos os Insumos PRADO I para PRADO II (Avaya) – Exceção Aspect (Migra para novo polo SPO) _x000a_Fase 3: Migra Aspect para nova plataforma SPO – Avaya Em analise_x000a__x000a_Edison Nei Siqueira added a comment - 26/Abr/16 11:42_x000a_O projeto DAC Único está em freezing devido a possível indisponibilidade do DAC Minas A. As análises que está sendo realizadas pela diretoria TI são: _x000a_Fase 1: Migra todos os Insumos PRADO I para PRADO II (Aspect +Avaya) _x000a_Fase 2: Migra todos os Insumos PRADO I para PRADO II (Avaya) – Exceção Aspect (Migra para novo polo SPO) _x000a_Fase 3: Migra Aspect para nova plataforma SPO – Avaya Em analise _x000a__x000a_Edison Nei Siqueira added a comment - 20/Abr/16 08:53_x000a_Aguardando retorno de engenharia Telecom, pois a demanda visa centralizar todo o DAC da Fixa utilizando o DAC Prado I, o site encontra-se em processo de desmobilização que está em analise por parte da diretoria._x000a__x000a_Edison Nei Siqueira added a comment - 12/Abr/16 17:41_x000a_Além da necessidade de insumos sinalizada por engenharia, hoje recebi o retorno de que a demanda estará Freezing até que seja definida a situação da regional BH com relação a desmobilização ou não do CPD._x000a__x000a_Edison Nei Siqueira added a comment - 05/Abr/16 16:47_x000a_Continuamos na busca de insumos junto a controle de ativos, conseguimos os gabinetes e agora estamos buscando 20 placas DS1._x000a__x000a_Edison Nei Siqueira added a comment - 29/Mar/16 15:12_x000a_Estamos buscando internamente junto a controle de ativos os insumos solicitados pela área de engenharia Telecom. _x000a_20 Placas DS1 e 02 Gabinetes Avaya._x000a__x000a_Edison Nei Siqueira added a comment - 08/Mar/16 17:01_x000a_Demanda reinserida na fila de engenharia para analise e desenho de solução, previsão de entrega entre 07/03/16 e 18/03/16. Após o retorno vamos agendar o kick off do projeto._x000a__x000a_[29/02] - Projeto na fila de execução. Aguardando priorização, para alocação de recurso Telecom _x000a_[16/02] - A equipe Telecom reavaliou o cenário e fez as respectivas considerações e ajustes na topologia. Seguiremos com a centralização dessa ultima onda de ramais para DAC MG A. Ramais sendo mapeados par a oanalise de esforço e criar plano de ação._x000a__x000a_Edison Nei Siqueira added a comment - 02/Fev/16 10:57_x000a_Recebemos ontem dia 01/02/2016 o retorno da quantidade de PAs envolvidas na demanda, agora vam+os aguardar a conclusão da analise de Engenharia._x000a__x000a_Edison Nei Siqueira added a comment - 26/Jan/16 08:13_x000a_Demanda em analise junto a engenharia com previsão de entrega da analise para o dia 29/01/2016._x000a__x000a_Edison Nei Siqueira added a comment - 21/Jan/16 10:18_x000a_Demanda na fila de Engenharia para analise._x000a__x000a_Edison Nei Siqueira added a comment - 01/Dez/15 11:34_x000a_Fabrício, por gentileza verificar se a demanda seguirá, visto que a mesma requer investimento._x000a__x000a_Edison Nei Siqueira added a comment - 03/Nov/15 12:11_x000a_Aguardando aprovação interna de investimentos para solicitar a abertura de contratação dos links junto a OI._x000a__x000a_Edison Nei Siqueira added a comment - 20/Out/15 17:58_x000a_Aguardando aprovação interna de investimentos para solicitar a abertura de contratação dos links junto a OI._x000a__x000a_Edison Nei Siqueira added a comment - 05/Out/15 08:39_x000a_Aguardando aprovação interna de investimentos para solicitar a abertura de contratação dos links junto a OI._x000a__x000a_Edison Nei Siqueira added a comment - 22/Set/15 18:44_x000a_Aguardando aprovação interna de investimentos para solicitar a abertura de contratação dos links junto a OI."/>
    <s v="Engenharia - Telecom"/>
    <s v="Gutenberg Bastos"/>
    <d v="2016-03-18T00:00:00"/>
    <s v="Analise de Engenharia"/>
    <m/>
    <n v="1174"/>
  </r>
  <r>
    <s v="CTXMTZRP-43360"/>
    <s v="Integração do discador Aspect com a ferramenta Evalyze "/>
    <s v="Rio Comprido"/>
    <s v="Plano Recuperação"/>
    <x v="4"/>
    <s v="Ana Coelho"/>
    <s v="Ana Sosa"/>
    <s v="Edison Siqueira"/>
    <s v="Fabrício Peixoto"/>
    <x v="0"/>
    <d v="2015-08-03T18:09:00"/>
    <n v="291.24375000000146"/>
    <d v="2015-08-01T00:00:00"/>
    <s v="Não"/>
    <s v="TBD"/>
    <s v="TBD"/>
    <s v="TBD"/>
    <m/>
    <s v="_x000a_Edison Nei Siqueira added a comment - 10/Mai/16 18:24_x000a_Estamos realizando reuniões internas de TI analisando cada requisito da EF a Closer, para identificar a melhor solução a ser aplicada para operação._x000a__x000a_Edison Nei Siqueira added a comment - 03/Mai/16 10:58_x000a_Foi enviado para o cliente OI validar a possibilidade de utilizar o POP da OI para a entrega dos 25 E1s. Estamos aguardando engenharia Contax entregar o desenho definitivo com a nova topologia para avaliação e aprovação da OI, previsão de entrega do desenho prevista para hoje dia 03/05. _x000a__x000a_Em analise junto a equipe de aplicações o retorno de operações com as informações dos RF e RFNs que foram esclarecidos._x000a__x000a_Edison Nei Siqueira added a comment - 26/Abr/16 11:50_x000a_Reunião realizada junto ao fornecedor Aspect, estamos internalizando novamente a demanda em engenharia para novo estudo e desenho da solução._x000a__x000a_Edison Nei Siqueira added a comment - 20/Abr/16 08:18_x000a_A reunião junto a Aspect e CSE não ocorreu na data acordada, estamos aguardando retorno hoje sobre a evolução do dia de ontem, só podemos evoluir com relação a topologia após ocorrer essa reunião. _x000a_Reunião entre a equipe de aplicações NGR e Closer, foi identificado a necessidade de maior detalhamento de alguma RF e RFN descritos na EF, tal necessidade foi encaminhada para o solicitante da demanda e operações para esclarecimentos, ficamos aguardando esse retorno para informar as respectivas OGs._x000a__x000a_Edison Nei Siqueira added a comment - 12/Abr/16 17:44_x000a_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_x000a__x000a_Edison Nei Siqueira added a comment - 05/Abr/16 16:51_x000a_Reunião de kick off planejada para a próxima semana junto a Closer, áreas especialistas e operações.._x000a__x000a_Edison Nei Siqueira added a comment - 29/Mar/16 15:32_x000a_SC aprovada e pedido gerado para o fornecedor, o Oi deu previsão de instalação dos links E1s para 18/05. _x000a__x000a_Aguardando reunião de kick off junto as áreas especialistas e o fornecedor Closer._x000a__x000a_Demanda será inserida no pipe das áreas especialistas para que seja agendada a reunião de kick off._x000a_Edison Nei Siqueira added a comment - 08/Mar/16 17:33_x000a_Aprovada a EF pela OI em 29/02 _x000a_Aguardando retorno da OI para a disponibilização dos 25 links.Prazo: TBD _x000a__x000a_Em levantamento das informações para preparação do material de defesa no comitê de caixa. Foi solicitado apoio para o Fábio Koreeda e Milene, pois não conseguimos identificar o valor da licença mensal do Aspect - Prazo: TBD_x000a__x000a_[16/02] - Custos do desenvolvimento aguardando aprovação do Comitê de Caixa._x000a__x000a_[10/02] - - EF encaminhada para fornecedor e custos de desenvolvimento estão aguardando aprovação comitê caixa_x000a__x000a_Edison Nei Siqueira added a comment - 02/Fev/16 11:36_x000a_aguardando retorno do fornecedor com relação a analise da EF._x000a__x000a_Edison Nei Siqueira added a comment - 26/Jan/16 11:52_x000a_EF anexada ao chamado de projeto, estamos aguardando o posicionamento com relação a plataforma a ser utilizada e a solicitação dos E1s junto a Oi._x000a__x000a_Edison Nei Siqueira added a comment - 21/Jan/16 13:0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18/Dez/15 11:50_x000a_Diante da indisponibilidade de polo Aspect para atender a demanda, estamos seguindo com a solução do APC como o discador da operação, em fase de analise de contratação de link de dados e infraestrutura local do site na regional CE._x000a__x000a_Edison Nei Siqueira added a comment - 01/Dez/15 14:44_x000a_Previsão de receber até o dia de amanhã 02/12 o desenho da solução por parte de ENG com a solução proposta para a implementação do discador._x000a__x000a_Edison Nei Siqueira added a comment - 24/Nov/15 17:02_x000a_Começamos a receber hoje as EFs com ajustes solicitados pela equipe de App, assim que for concluída a Análise estaremos dividindo com os envolvidos._x000a_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_x000a__x000a_Edison Nei Siqueira added a comment - 27/Out/15 18:09 _x000a_Em Análise de estudo de viabilidade junto a área de ENG para utilizar o polo Aspect SP. _x000a_Foi avaliado e não tem custo de licenças. _x000a_No entanto, este projeto necessita de vários insumos: _x000a_Link de voz _x000a_Customização do fonrt end evalyse _x000a_Carga de mailing _x000a_etc... _x000a_  _x000a_Assim, mesmo que não haja custos envolvidos temos que analisar as precedências para este projeto acontecer sem surpresas. _x000a__x000a_Edison Nei Siqueira added a comment - 20/Out/15 19:24_x000a_Aguardando retorno da área de negócios com relação ao levantamos de insumos para prover a aprovação da demanda no comitê de gastos._x000a__x000a_Edison Nei Siqueira added a comment - 06/Out/15 15:16_x000a_Aguardando retorno da área de negócios com relação ao levantamos de insumos para prover a aprovação da demanda no comitê de gastos_x000a__x000a_Edison Nei Siqueira added a comment - 09/Set/15 15:10 _x000a_Recebido e encaminhado para Análise de aplicações NGR, aguardando retorno da priorização. _x000a_+P22"/>
    <s v="Negócios"/>
    <s v="Livia Henriques"/>
    <s v="TBD"/>
    <s v="Análise"/>
    <s v="TBD"/>
    <n v="250"/>
  </r>
  <r>
    <s v="CTXMTZRP-43574"/>
    <s v="1- Plano de Recuperação - Projeto Rentabilização BO Anatel Automações (RTIs) - Direcionamento Automático para Área Sem SLOT_x000a_"/>
    <m/>
    <s v="Plano Recuperação"/>
    <x v="4"/>
    <s v="Ana Coelho"/>
    <s v="Ana Sosa"/>
    <s v="Juliana Moraes"/>
    <s v="Livia Rodrigues"/>
    <x v="2"/>
    <d v="2015-08-11T17:53:00"/>
    <n v="283.2548611111124"/>
    <d v="2015-08-01T00:00:00"/>
    <s v="Não"/>
    <s v="TBD"/>
    <s v="TBD"/>
    <s v="TBD"/>
    <m/>
    <s v="[16/05] - Iniciado o desenvolvimento da solução. _x000a_[10/05] - Aguardando desdenvolvimento_x000a_[02/05] - EF entregue. Analise até 04/05. _x000a_[25/04] - Mesmo status_x000a_[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_x000a_[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 [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_x000a_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22/01 – Pendente revisão da EF que foi entregue._x000a_18/01 - Em análise de EF. Até 26/01 para retorno OG/ pendências._x000a_Edison Nei Siqueira added a comment - 18/Dez/15 12:03_x000a_EF em analise pela área de desenvolvimento, aguardando retorno da operação.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31_x000a_Entrega das EFs atualizadas pela area de PMO Negócios prevista para o dia 19/11._x000a__x000a_dison Nei Siqueira added a comment - 03/Nov/15 14:49_x000a_Foi solicitada a revalidação das EFs, levando em consideração que não teremos mais o JIRA e nem identificamos a validação da rotina de carga do mailing e afins._x000a__x000a_Edison Nei Siqueira added a comment - 06/Out/15 15:18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s v="Aplicações"/>
    <s v="Bruno"/>
    <d v="2016-05-04T00:00:00"/>
    <s v="Em Desenvolvimento"/>
    <s v="TDB"/>
    <m/>
  </r>
  <r>
    <s v="CTXMTZRP-43575"/>
    <s v="2- Plano de Recuperação - Projeto Rentabilização BO Anatel Automações (RTIs) - Direcionamento Automático para Área Potes Não Agendáveis "/>
    <m/>
    <s v="Plano Recuperação"/>
    <x v="4"/>
    <s v="Ana Coelho"/>
    <s v="Ana Sosa"/>
    <s v="Juliana Moraes"/>
    <s v="Livia Rodrigues"/>
    <x v="2"/>
    <d v="2015-08-11T17:55:00"/>
    <n v="283.25347222221899"/>
    <d v="2015-08-01T00:00:00"/>
    <s v="Não"/>
    <s v="TBD"/>
    <s v="TBD"/>
    <s v="TBD"/>
    <m/>
    <s v="[16/05] - Iniciado o desenvolvimento da solução. _x000a_[09/05] - Aguardando inicio do desenvolvimento. _x000a_[02/05] - EF entregue. Analise até 04/05. _x000a_[25/04] - Mesmo status_x000a_[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_x000a_ [11/04] - Agendado teste de conectividade do aplicativo Click para os dias 11 e 12/04. Após o resultado do teste de conectividade, planejaremos as próximas atividades. Previsão de publicação das próximas atividades no dia 18/04/16. _x000a_[04/04] Acesso a aplicativo Click está OK, mas usuário aparentemente não tem perfil necessário. Pendente validação do usuário. _x000a_Necessário planejar execução dos testes de conectividade caso usuário esteja ok._x000a_[29/03] - Pendente acesso ao sistema Click. Foi solicitado a liberação de rede (NAT), porém o recurso de redes informou IP errado na GMUD e será necessário o ajuste na próxima janela (quinta-feira 31/03)._x000a_[22/3] - Mesmo status_x000a_[14/03] Aguardando resolver pendência de acesso ao sistema Click para a execução de teste de conectividade e planejamento do desenvolvimento da demanda. PMO Negócio informada sobre atraso no projeto em 10/03/16. _x000a_[08/03] - Aguardando liberação de acesso a pasta FTP da OI (Pendência OI)                                                   01/03/16: Mesmo status_x000a_22/02/16: Aguardando teste de conectividade para início do desenvolvimento. Pendência para o teste é o acesso ao sistema Click._x000a_15/02 - Mesmo status_x000a_11/02 - Responsável: TI_x000a_10/02 - Mesmo status_x000a_05/02 - Em estimativa de OGs a ser enviada em 15/02 (dentro do SLA). PONTO DE ATENÇÃO: pendente acesso ao sistema click (chamado aberto em 06/01 - impacto na próxima etapa - testes de conectividade_x000a_02/02 - Mesmo status_x000a_29/01: EF entregue porém faltam informações. Necessário alinhamento entre TI e Negócios previsto para 01/02._x000a_26/01 – Pendente revisão da EF que foi entregue._x000a_18/01 - Aguarda EF_x000a_Edison Nei Siqueira added a comment - 18/Dez/15 12:10_x000a_EF em analise pela área de desenvolvimento, aguardando retorno da operação. _x000a__x000a_Edison Nei Siqueira added a comment - 01/Dez/15 14:46_x000a_Agendada reunião de trabalho com relação aos RTIs, recebemos duas EFs que serão detalhadas na próxima reunião de trabalho. Pentende ainda receber as demais EFs._x000a__x000a_Edison Nei Siqueira added a comment - 24/Nov/15 17:02_x000a_Começamos a receber hoje as EFs com ajustes solicitados pela equipe de App, assim que for concluída a Análise estaremos dividindo com os envolvidos._x000a__x000a_Edison Nei Siqueira added a comment - 17/Nov/15 15:48_x000a_Entrega das EFs atualizadas pela area de PMO Negócios prevista para o dia 19/11. _x000a__x000a_Edison Nei Siqueira added a comment - 03/Nov/15 14:50_x000a_Foi solicitada a revalidação das EFs, levando em consideração que não teremos mais o JIRA e nem identificamos a validação da rotina de carga do mailing e afins. _x000a__x000a_Edison Nei Siqueira added a comment - 20/Out/15 19:25_x000a_Aguardando retorno da área de negócios com relação ao levantamos de insumos para prover a aprovação da demanda no comitê de gastos. _x000a__x000a_Edison Nei Siqueira added a comment - 06/Out/15 15:22_x000a_Aguardando retorno da área de negócios com relação ao levantamos de insumos para prover a aprovação da demanda no comitê de gastos._x000a__x000a_Edison Nei Siqueira added a comment - 09/Set/15 15:09 _x000a_recebido e encaminhado para Análise de aplicações NGR, aguardando retorno da priorização. _x000a_"/>
    <s v="Aplicações"/>
    <s v="Bruno"/>
    <d v="2016-05-04T00:00:00"/>
    <s v="Análise"/>
    <s v="TDB"/>
    <m/>
  </r>
  <r>
    <s v="CTXMTZRP-43579"/>
    <s v="Plano de Recuperação - Projeto Rentabilização BO Anatel Automações (RTIs) - Não recebimento de gravações de atendimento."/>
    <m/>
    <s v="Plano Recuperação"/>
    <x v="4"/>
    <s v="Ana Coelho"/>
    <s v="Ana Sosa"/>
    <s v="Juliana Moraes"/>
    <s v="Livia Rodrigues"/>
    <x v="2"/>
    <d v="2015-08-11T18:00:00"/>
    <n v="283.25"/>
    <d v="2015-08-01T00:00:00"/>
    <s v="Não"/>
    <s v="TBD"/>
    <s v="TBD"/>
    <s v="TBD"/>
    <m/>
    <s v="[16/05] - Por solicitação de Negócios, o piloto será adiado devido à não entrega da senha do usuário CHR. Nova data a ser confirmada. _x000a_[09/05] - Aguardando inicio dos testes integrados em 11/05. _x000a_[02/05] - Ambiente não foi entregue no dia 29/04, conforme previsão. Aguardando nova data. Pendente usuário CHR previsto para 28/04; e alinhamento com a Closer para testes integrados._x000a_[25/04] - Infra entregue, porém as liberações de redes não estão ok e precisamos aacionar a Closer para que a liberação seja realizada por eles. _x000a_[18/04] - Em validação de ambiente. PONTO DE ATENÇÃO: Aguardando liberação de acesso ao Banco de Dados por PMO TI. Previsão de entrega das aplicações configuradas até 29/04/16. _x000a_[12/4] - Infra entregue dia 11/4. Aguardando teste de liberação de rede. _x000a_[5/4] - A entrega da infra estava programada para dia 4/4, porém tivemos alguns problemas em produção e será reprogramado a entrega. Novo prazo de entrega da infra 11/4. _x000a_[29/03] - O ambiente de infra será entregue dia 4/4. Pendências: Equipe de desnvolvimento solicitou o usuário CHR especial pra executar macros. Prazo TDB /Necessário Planejamento para UAT, Piloto e Rollout. Prazo TDB_x000a_[22/03] Aguardando data para a entrega do ambiente de infra. Previsto 24/3_x000a_[14/03] - Nesta semana a solução de engenharia foi aprovada e vamos direcionar para a fila de CSE para a configuração do ambiente e replanejamento da data de UAT._x000a_[08/03] - Solução em desenvolvimento. Ponto de Atenção: está pendente a definição de fluxo para registro de transação no STC.                                                                                      01/03/16: Mesmo status_x000a_22/02/16: Em desenvolvimento, pendente criação do ambiente de testes_x000a_15/02/16 - OG aprovada em 10/02/16._x000a_15/02 - Início do piloto em 10/03_x000a_11/02 - Desenvolvimento até 04/03_x000a_10/02 - Mesmo status_x000a_05/02 - Enviada OG em 03/02. Aguardando aprovação de negócios_x000a_02/02 - Mesmo status_x000a_27/01: EF recebida. Em análise por TI para OG até 03/02._x000a_26/01 – Pendente revisão da EF que foi entregue._x000a_18/01 - Aguarda EF_x000a_Edison Nei Siqueira added a comment - 18/Dez/15 12:13_x000a_Aguardando a elaboração da EF por parte de operações para analise da equipe de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ntrega das EFs atualizadas pela area de PMO Negócios prevista para o dia 19/11. _x000a__x000a_Edison Nei Siqueira added a comment - 03/Nov/15 14:54_x000a_Foi solicitada a revalidação das EFs, levando em consideração que não teremos mais o JIRA e nem identificamos a validação da rotina de carga do mailing e afins._x000a__x000a_Edison Nei Siqueira added a comment - 20/Out/15 19:28_x000a_Recebido e encaminhado para Análise de aplicações NGR, aguardando retorno da priorização._x000a__x000a_Edison Nei Siqueira added a comment - 09/Set/15 15:15_x000a_Recebido e encaminhado para Análise de aplicações NGR, aguardando retorno da priorização."/>
    <s v="Solicitante"/>
    <s v="Livia Henriques"/>
    <d v="2016-05-09T00:00:00"/>
    <s v="Em Desenvolvimento"/>
    <m/>
    <m/>
  </r>
  <r>
    <s v="CTXMTZRP-43581"/>
    <s v="Plano de Recuperação - Projeto Rentabilização BO Anatel Automações (RTIs) - Serviço proteção ao crédito"/>
    <m/>
    <s v="Plano Recuperação"/>
    <x v="4"/>
    <s v="Ana Coelho"/>
    <s v="Ana Sosa"/>
    <s v="Juliana Moraes"/>
    <s v="Livia Rodrigues"/>
    <x v="2"/>
    <d v="2015-08-11T18:03:00"/>
    <n v="283.24791666666715"/>
    <d v="2015-08-01T00:00:00"/>
    <s v="Não"/>
    <s v="TBD"/>
    <s v="TBD"/>
    <s v="TBD"/>
    <m/>
    <s v="[16/05] - Aguardando inicio dos desenvolvimentos._x000a_ [10/05] - Aguardando inicio dos desenvolvimentos. _x000a_[03/05] - Mesmo status_x000a_[25/04] - Solicitado alteração na EF com as novas telas do site do SERASA.  Aguardando documento até 27/04/16._x000a_[18/04] - Procedimentos da EF estão desatualizados. Aguardando nova versão para realizar testes de acesso e conectividade. _x000a_[11/04] - Usuário do Serasa sem acesso as telas necessárias. Aguardando para dar continuidade nos testes de conectividade._x000a_ [04/04] Aguardando usuários SPC Serasa para iniciar a análise da EF. _x000a_[29/03] - Pendente usuário do SPC e Serasa para validar a EF. Após acesso, será analisado a EF. Prazo de 5 dias úteis._x000a_[22/03] Aguardando devolução da EF previsto para dia 21/03._x000a_[16/03] - Recebimento da EF dia 14/03. Prazo para devolução 21/03._x000a_08/03/16: Mesmo status  _x000a_ 01/03/16: Mesmo status_x000a_22/02/16: Pendente envio de EF_x000a_15/02 - Análise de EF_x000a_10/02 - Mesmo status_x000a_02/02 - Mesmo status_x000a_27/01: Aguarda o envio da EF._x000a_26/01 – Pendente revisão da EF que foi entregue._x000a_18/01 - Aguarda EF_x000a_Edison Nei Siqueira added a comment - 18/Dez/15 12:31_x000a_EF recebida em 08/12, foi concluída a analise pela equipe de aplicações e foi identificada a necessidade de ajustes, estamos aguardando o retorno da operação para prosseguir no desenvolvimento._x000a__x000a_Edison Nei Siqueira added a comment - 01/Dez/15 14:46_x000a_Agendada reunião de trabalho com relação aos RTIs, recebemos duas EFs que serão detalhadas na próxima reunião de trabalho. Pentende ainda receber as demais EFs._x000a__x000a__x000a_Edison Nei Siqueira added a comment - 24/Nov/15 17:02_x000a_Começamos a receber hoje as EFs com ajustes solicitados pela equipe de App, assim que for concluída a Análise estaremos dividindo com os envolvidos._x000a__x000a_Edison Nei Siqueira added a comment - 17/Nov/15 17:06_x000a_Entrega das EFs atualizadas pela area de PMO Negócios prevista para o dia 19/11._x000a__x000a_Edison Nei Siqueira added a comment - 03/Nov/15 15:01_x000a_Foi solicitada a revalidação das EFs, levando em consideração que não teremos mais o JIRA e nem identificamos a validação da rotina de carga do mailing e afins. _x000a__x000a_Edison Nei Siqueira added a comment - 20/Out/15 19:32_x000a_Aguardando retorno da área de negócios com relação ao levantamos de insumos para prover a aprovação da demanda no comitê de gastos._x000a__x000a_Edison Nei Siqueira added a comment - 06/Out/15 15:29_x000a_Aguardando retorno da área de negócios com relação ao levantamos de insumos para prover a aprovação da demanda no comitê de gastos._x000a__x000a_Edison Nei Siqueira added a comment - 09/Set/15 15:15_x000a_Recebido e encaminhado para Análise de aplicações NGR, aguardando retorno da priorização."/>
    <s v="Solicitante"/>
    <s v="Fernanda Nazário"/>
    <s v="TDB"/>
    <s v="Análise"/>
    <m/>
    <m/>
  </r>
  <r>
    <s v="CTXRECSA-403870"/>
    <s v="Disponibilizar Gravação NICE na Operação SOC GFE PE/RJ e SOC OffLines"/>
    <s v="Engenho/Mauá/Sto Amaro"/>
    <s v="Plano Recuperação"/>
    <x v="4"/>
    <s v="Ana Coelho"/>
    <s v="Ana Sosa"/>
    <s v="Edison Siqueira"/>
    <s v="José Pedro"/>
    <x v="4"/>
    <d v="2015-07-14T18:32:00"/>
    <n v="311.2277777777781"/>
    <d v="2015-08-01T00:00:00"/>
    <s v="Não"/>
    <s v="TBD"/>
    <s v="TBD"/>
    <s v="TBD"/>
    <m/>
    <s v="Edison Nei Siqueira added a comment - 03/Mai/16 11:05_x000a_Continuamos com a necessidade de validação de todos os ramais por parte de operações e CSE. _x000a__x000a_Edison Nei Siqueira added a comment - 26/Abr/16 20:43_x000a_Continuamos com a necessidade de validação de todos os ramais por parte de operações e CSE._x000a__x000a_Edison Nei Siqueira added a comment - 20/Abr/16 08:21_x000a_Realizado ajustes em alguns ramais junto a CSE, porém ainda existem inconsistências que estão sendo validadas pela operação, Elaine e Luiz Washington._x000a__x000a_Edison Nei Siqueira added a comment - 05/Abr/16 16:54_x000a_Pedido para aquisição dos HDs gerado e aguardando o prazo de entrega do fornecedor DELL._x000a__x000a_29/03 - Mesmo status_x000a_Edison Nei Siqueira added a comment - 08/Mar/16 17:36_x000a_SC aprovada aguardando a geração do pedido por parte de suprimentos._x000a__x000a_[29/02] -SCs aprovadas, aguardando  criação pedido._x000a__x000a_16/02] - SCs aprovadas, aguardando  criação pedido._x000a__x000a_[10/02] -  Aguardando Aprovação SC e criação pedidos: (Resp: Koreeda) _x000a_SC 38083_x000a_SC 38084_x000a__x000a_Edison Nei Siqueira added a comment - 26/Jan/16 12:06_x000a_SC para aquisição dos HDs lançada e aguardando aprovação._x000a__x000a_Edison Nei Siqueira added a comment - 21/Jan/16 13:03_x000a_Aguardando lançamento de SC para aquisição de discos e tratar GAPs da regional RJ._x000a__x000a_Edison Nei Siqueira added a comment - 18/Dez/15 12:39_x000a_Continuamos tratando GAPs pontuais com relação a alguns acessos e problemas de gravações em alguns ramais._x000a__x000a_Edison Nei Siqueira added a comment - 17/Nov/15 17:09_x000a_Continuamos tratando GAPs pontuais com relação a alguns acessos e problemas de gravações em alguns ramais._x000a__x000a_Edison Nei Siqueira added a comment - 20/Out/15 19:42_x000a_Em andamento a validação da instalação do NICE Perfomance nas posições de gestão da operação._x000a__x000a_Edison Nei Siqueira added a comment - 13/Out/15 14:57_x000a_Configuração de infraestrutura concluída e ambas as regionais sendo gravadas. _x000a_Regional CE - 100% configurada. Iniciamos a gravação das PAs da operação SOC PE no dia 02/10. _x000a_Regional RJ - 100% configurada, em andamento a instalação do NICE Perfomance nas posições de gestão da operação._x000a__x000a_Edison Nei Siqueira added a comment - 06/Out/15 16:16_x000a_Configuração de infraestrutura: _x000a_Regional CE - 100% configurada. Iniciamos a gravação das PAs da operação SOC PE no dia 02/10. _x000a_Regional RJ - 40% configurada, com dificuldade com relação ao Switch extreme, realizamos a instalação física, estamos em processo de configuração lógica._x000a__x000a_Edison Nei Siqueira added a comment - 29/Set/15 16:12_x000a_Configuração de infraestrutura: _x000a_Regional CE - 85% configurada. _x000a_Regional RJ - 40% configurada, com dificuldade com relação ao Switch extreme."/>
    <s v="Negócios"/>
    <s v="Elaine Fortunato"/>
    <s v="TBD"/>
    <s v="Roll Out"/>
    <m/>
    <n v="702"/>
  </r>
  <r>
    <s v="CTXRJOMA-72849"/>
    <s v="Evalyze Lista de Espera "/>
    <s v="Mauá"/>
    <s v="Operações que não estão no Plano de Recuperação"/>
    <x v="4"/>
    <s v="Ana Coelho"/>
    <s v="Ana Sosa"/>
    <s v="Edison Siqueira"/>
    <s v="Livia Rodrigues"/>
    <x v="0"/>
    <d v="2015-08-01T00:00:00"/>
    <n v="294"/>
    <d v="2015-09-25T00:00:00"/>
    <s v="Não"/>
    <s v="TBD"/>
    <s v="TBD"/>
    <s v="TBD"/>
    <m/>
    <s v="Edison Nei Siqueira added a comment - 10/Mai/16 18:36_x000a_Aguardando a aprovação da demanda no comitê de caixa._x000a__x000a_Continuamos aguardando ._x000a_Edison Nei Siqueira added a comment - 03/Mai/16 11:06_x000a_Aguardando aprovação no comitê de caixa, para que o fornecedor prossiga com a homologação junto a operação._x000a__x000a_Edison Nei Siqueira added a comment - 26/Abr/16 20:38_x000a_Aguardando aprovação no comitê de caixa, para que o fornecedor prossiga com a homologação junto a operação._x000a__x000a_Edison Nei Siqueira added a comment - 12/Abr/16 17:46_x000a_Aguardando verificação junto ao fornecedor Closer se teremos proposta comercial para o desenvolvimento ou se será diluído no pool de horas junto a Contax._x000a__x000a_29/03 - Mesmo status_x000a_Edison Nei Siqueira added a comment - 15/Mar/16 09:51_x000a_Aguardando posicionamento da área de negócios._x000a__x000a_[16/02] - Aguardando retorno Fornecedor. Closer._x000a__x000a_02/02 - Mesmo status_x000a_Edison Nei Siqueira added a comment - 26/Jan/16 12:09_x000a_Aguardando retorno do fornecedor Closer com relação a analise da EF._x000a__x000a_Edison Nei Siqueira added a comment - 18/Dez/15 12:55_x000a_Aguardando retorno do fornecedor Closer com relação a analise da EF. _x000a__x000a_Edison Nei Siqueira added a comment - 17/Nov/15 17:12_x000a_Recebida a EF e encaminhada para o fornecedor Close, aguardando posicionamento da área de GSEG para seguir com a abertura dos chamados de liberação e inserção da caixa de e-mail do fornecedor na mailbox da operação._x000a__x000a_Edison Nei Siqueira added a comment - 10/Nov/15 17:26_x000a_Conforme audio realizada junto a GSEG e o Fornecedor Close, ficamos aguardando a EF atualizada com as informações alinhadas na audio._x000a__x000a_Edison Nei Siqueira added a comment - 03/Nov/15 15:25_x000a_Aguardando o de acordo da gerente da operação para abertura de chamados de liberações._x000a__x000a_Edison Nei Siqueira added a comment - 20/Out/15 19:49_x000a_Realizado reunião com o fornecedor Close para entendimento e definição de modos operantes da operação._x000a__x000a_Edison Nei Siqueira added a comment - 06/Out/15 16:27_x000a_Continuamos aguardando um posicionamento da equipe de melhoria continua e projetos da operação para seguir com a demanda_x000a__x000a_Edison Nei Siqueira added a comment - 29/Set/15 16:05_x000a_Continuamos aguardando um posicionamento da equipe de melhoria continua e projetos da operação para seguir com a demanda_x000a__x000a_Edison Nei Siqueira added a comment - 16/Set/15 11:17_x000a_Continuamos aguardando um posicionamento da equipe de melhoria continua e projetos da operação para seguir com a demanda."/>
    <s v="Fornecedor"/>
    <s v="Daniel Closer"/>
    <s v="TBD"/>
    <s v="Na Fila"/>
    <m/>
    <n v="42"/>
  </r>
  <r>
    <s v="CTXRJOMA-73573"/>
    <s v="Front End do OFF Line - Melhoria TLV OFF Line"/>
    <s v="Mauá"/>
    <s v="Plano Recuperação"/>
    <x v="4"/>
    <s v="Ana Coelho"/>
    <s v="Ana Sosa"/>
    <s v="Edison Siqueira"/>
    <m/>
    <x v="0"/>
    <d v="2015-08-01T00:00:00"/>
    <n v="294"/>
    <d v="2015-08-01T00:00:00"/>
    <s v="Não"/>
    <s v="TBD"/>
    <s v="TBD"/>
    <s v="TBD"/>
    <m/>
    <s v="Edison Nei Siqueira added a comment - 03/Mai/16 11:25_x000a_Continuamos aguardando a renovação do contrato junto ao fornecedor TQS._x000a__x000a_Edison Nei Siqueira added a comment - 26/Abr/16 20:36_x000a_Demanda aguardando renovação do contrato junto ao fornecedor TQS._x000a__x000a_Edison Nei Siqueira added a comment - 20/Abr/16 08:23_x000a_Demanda aguardando a aprovação no comitê de caixa, pois foi solicitado ajustes na quantidade de licenças para essa demanda._x000a__x000a_Edison Nei Siqueira added a comment - 05/Abr/16 16:56_x000a_SC aprovada, aguardando geração de pedido para o fornecedor._x000a__x000a_29/03 - Mesmo status_x000a_[16/02] - Aguardando aprovação SCs_x000a__x000a_[10/02] - Aguardando Aprovação SC e criação pedidos: Resp: ( Marcos Barbosa e Koreeda)_x000a_SC 37750_x000a_SC 37751_x000a__x000a_Edison Nei Siqueira added a comment - 26/Jan/16 12:10_x000a_Aguardando aprovação da SC e geração do pedido para acionar o fornecedor._x000a__x000a_Edison Nei Siqueira added a comment - 21/Jan/16 14:27_x000a_Aguardando aprovação da SC e geração do pedido para acionar o fornecedor._x000a__x000a_Edison Nei Siqueira added a comment - 03/Nov/15 15:26_x000a_Aguardando posicionamento com relação ao comitê de gastos para prosseguir com o lançamento da SC._x000a__x000a_Edison Nei Siqueira added a comment - 20/Out/15 19:51_x000a_Aguardando posicionamento com relação ao comitê de gastos para prosseguir com o lançamento da SC._x000a__x000a_Edison Nei Siqueira added a comment - 06/Out/15 16:29_x000a_Aguardando posicionamento com relação ao comitê de gastos para prosseguir com o lançamento da SC._x000a__x000a_Edison Nei Siqueira added a comment - 29/Set/15 16:04_x000a_aguardando posicionamento com relação ao comitê de gastos para prosseguir com o lançamento da SC._x000a__x000a_Edison Nei Siqueira added a comment - 16/Set/15 11:19_x000a_Aguardando aprovação da diretoria para providenciar o lançamento da SC para o fornecedor."/>
    <m/>
    <m/>
    <m/>
    <s v="Na Fila"/>
    <m/>
    <m/>
  </r>
  <r>
    <s v="CTXSALAS-155279"/>
    <s v="Implantar 10 PV´s atendendo Televenas Outbound Empresarial em home office, utilizando o serviço pacote Smart Office fornecido pela OI."/>
    <s v="Boa Viagem/Niterói"/>
    <s v="Operações que não estão no Plano de Recuperação"/>
    <x v="4"/>
    <s v="Ana Coelho"/>
    <s v="Ana Sosa"/>
    <s v="Edison Siqueira"/>
    <s v="Fábio Prazeres"/>
    <x v="1"/>
    <d v="2015-07-02T16:18:00"/>
    <n v="323.32083333333139"/>
    <d v="2015-09-25T00:00:00"/>
    <s v="Não"/>
    <s v="TBD"/>
    <s v="TBD"/>
    <s v="TBD"/>
    <m/>
    <s v="Edison Nei Siqueira added a comment - 03/Mai/16 11:34_x000a_Projeto colocado em hold conforme orientação do solicitante, vale ressaltar que o projeto já vai para um ano e ainda não tem o seu escopo definitivo._x000a__x000a_Edison Nei Siqueira added a comment - 26/Abr/16 20:34_x000a_Estamos aguardando ajustes solicitados na EF para que a demanda seja inserida na fila de engenharia._x000a__x000a_29/03 - Mesmo status_x000a_Edison Nei Siqueira added a comment - 08/Mar/16 17:45_x000a_Estamos aguardando ajustes solicitados na EF para que a demanda seja inserida na fila de engenharia._x000a__x000a_[16/02] - Aguardando retorno Cliente Oi._x000a__x000a_02/02 - Mesmo status_x000a_Edison Nei Siqueira added a comment - 26/Jan/16 12:12_x000a_Aguardando posicionamento da OI com relação a solução que serrá seguida após o alinhamento com a Eleventhec._x000a__x000a_Edison Nei Siqueira added a comment - 18/Dez/15 13:02_x000a_Aguardando posicionamento da OI com relação a solução que serrá seguida após o alinhamento com a Eleventhec._x000a_[16/02] Aguardando Retorno Oi._x000a__x000a_Edison Nei Siqueira added a comment - 01/Dez/15 11:09_x000a_Realizada reunião de alinhamento junto a área de projetos das operações de SAC e áreas especialistas, ficou alinhado que precisamos do retorno da OI com a definição de qual cenário vai ser seguido para a solução Smart Office._x000a__x000a_Edison Nei Siqueira added a comment - 24/Nov/15 16:28_x000a_Continuamos aguardando que seja agendada a reunião junto ao cliente para alinhamento com a equipe de ENG._x000a__x000a_Edison Nei Siqueira added a comment - 17/Nov/15 14:53_x000a_Continuamos aguardando que seja agendada a reunião junto ao cliente para alinhamento com a equipe de ENG._x000a__x000a_Edison Nei Siqueira added a comment - 10/Nov/15 16:47_x000a_Continuamos aguardando que seja agendada a reunião junto ao cliente para alinhamento com a equipe de ENG._x000a__x000a_Edison Nei Siqueira added a comment - 03/Nov/15 11:28_x000a_Continuamos aguardando que seja agendada a reunião junto ao cliente para alinhamento com a equipe de ENG._x000a__x000a_Edison Nei Siqueira added a comment - 20/Out/15 16:43_x000a_Em estudo com ENG de TI: Implementação, Manutenção e Suporte de TI._x000a__x000a_Edison Nei Siqueira added a comment - 13/Out/15 14:39_x000a_Em estudo com ENG de TI: Implementação, Manutenção e Suporte de TI."/>
    <s v="Negócios"/>
    <s v="Fábio Prazeres"/>
    <s v="TBD"/>
    <s v="Análise"/>
    <m/>
    <n v="10"/>
  </r>
  <r>
    <s v="CTXSALPB-31209"/>
    <s v="Realizar implantação nas operações de Rentabilização do discador APC e Front End Front Fácil. "/>
    <s v="Boa Viagem "/>
    <s v="Operações que não estão no Plano de Recuperação"/>
    <x v="4"/>
    <s v="Ana Coelho"/>
    <s v="Ana Sosa"/>
    <s v="Edison Siqueira"/>
    <s v="Alexandre Teixeira Pinho"/>
    <x v="0"/>
    <d v="2015-04-28T10:41:00"/>
    <n v="388.55486111110804"/>
    <d v="2015-08-01T00:00:00"/>
    <s v="Não"/>
    <s v="TBD"/>
    <s v="TBD"/>
    <s v="TBD"/>
    <m/>
    <s v="Edison Nei Siqueira added a comment - 18/Mai/16 11:28_x000a_Iniciamos o piloto no dia 16/05 utilizando a solução do FF + Aspect, estamos com um daley com relação ao agendamento fidelizado x a plataforma Aspect, já foi aberto chamado junto ao fornecedor para analise, mesmo com essa situação a operação optou por iniciar o piloto com 40 PAs._x000a__x000a_Edison Nei Siqueira added a comment - 03/Mai/16 12:26_x000a_Homologada a versão versão 4.15009.205.1642 . O erro da janela de motivo de desligamento foi corrigido, porém o erro do número binado permaneceu. _x000a_Na segunda chamada de retorno de agendamento pessoal, o número binado que estava no Screenpop era o terminal da chamada anterior. Também, no momento de encerrar a chamada apareceu o erro de “Object reference no set to na instance of na object”: _x000a__x000a_Edison Nei Siqueira added a comment - 26/Abr/16 20:32_x000a_Em homologação junto a equipe de projetos, aplicações NGR e NID._x000a__x000a_29/03 - Mesmo status_x000a_Edison Nei Siqueira added a comment - 07/Mar/16 15:01_x000a_Aguardando retorno do teste dos 20 agendamentos para analise de CSE Discadores._x000a__x000a_[16/02] - Aguardando retorno cliente Oi._x000a__x000a_02/02 - Mesmo status_x000a_Edison Nei Siqueira added a comment - 26/Jan/16 13:29_x000a_Aguardando retorno com relação aos testes de agendamento solicitado pela equipe de discadores._x000a__x000a_Edison Nei Siqueira added a comment - 18/Dez/15 13:52_x000a_Continuamos em homologação , pois o agendamento fidelizado continua apresentando inconsistência. _x000a__x000a_Edison Nei Siqueira added a comment - 10/Nov/15 17:30_x000a_Em Análise a questão de agendamento x horário de verão._x000a__x000a_Edison Nei Siqueira added a comment - 03/Nov/15 15:28_x000a_Evoluímos, porém ainda precisamos da Análise com relação ao tratamento do horário de verão nos agendamentos. _x000a__x000a_Edison Nei Siqueira added a comment - 20/Out/15 19:54_x000a_Realizado audio hoje onde foi tratado o tom de ocupado após as chamadas para telefone fixo, amanhã será dado sequência no agendamento._x000a__x000a_Edison Nei Siqueira added a comment - 06/Out/15 17:00_x000a_Continuamos em homologação com relação a inconsistência no agendamento de contato no Aspect + FF, vamos retornar os testes essa semana ainda._x000a__x000a_Edison Nei Siqueira added a comment - 16/Set/15 11:22_x000a_Continuamos em homologação com relação a inconsistência no agendamento de contato no Aspect + FF."/>
    <s v="Operações"/>
    <s v="Alexandre Pinho"/>
    <s v="TBD"/>
    <s v="Piloto/Homologação"/>
    <m/>
    <n v="585"/>
  </r>
  <r>
    <s v="CTXBHZRI-82119"/>
    <s v="TLV Blended_Implantar na operação SAV (CRV) TLV da TQS com todas as funcionalidades do TLV 5.0 Ativo que está sendo implantando com as funcionalidades do Receptivo. "/>
    <s v="RJ - Site Niterói"/>
    <s v="Plano Recuperação"/>
    <x v="4"/>
    <s v="Ana Coelho"/>
    <s v="Ana Sosa"/>
    <s v="Erica Cotrim"/>
    <s v="Marcel Garcia"/>
    <x v="4"/>
    <d v="2015-01-26T17:39:00"/>
    <n v="480.26458333332994"/>
    <d v="2015-08-01T00:00:00"/>
    <s v="Não "/>
    <s v="TBD"/>
    <s v="TBD"/>
    <s v="TBD"/>
    <m/>
    <s v="17/05 - Desde: 04/03/2016 - Aguardando aprovação do comitê de Caixa para envio do Pedido de compra. Sendo verificado  renovação de contrato com a TQS._x000a__x000a_10/05 - Sendo incluso no fluxo de OG perante a última EF anexada no dia 09/05/2016 pelo solicitante Rodrigo Ribeiro. Em análise com TI / Fornecedor._x000a__x000a_03/05 - Conforme solicitante,  a EF do TLV Blended será revista e anexada até o dia 06/05. _x000a__x000a_25/04 - Solicitado a confirmação  da  importância/prioridade deste projeto e respectivo anexo no tprocess da documentação em falta: EF Revalidada e Aprovação de Comitê. Caso não tenhamos a EF/informação disponibilizada em 15 dias esse chamado será cancelado/fechado. _x000a__x000a_19/04 - Mesmo status_x000a__x000a_12/04 - Comitê, conforme interação com a analista de Projetos Contax - Sem previsão._x000a__x000a_04/04 - Comitê_x000a__x000a_28/03 - Comitê_x000a__x000a_15/03- Comitê_x000a__x000a_23/02 - Mesmo status em relação a TI pela análise de Engenharia, porém demanda está no momento em Comitê._x000a__x000a_15/02 - Solicitante Rodrigo não conseguiu participar da Conferência, aguardando o retorno da  operação perante esta definição desde o dia 21/01._x000a__x000a_10/02 - Mesmo Status_x000a__x000a_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s v="Comitê"/>
    <s v="Rodrigo Ribeiro"/>
    <d v="2016-05-06T00:00:00"/>
    <s v="Na Fila"/>
    <d v="2016-05-03T00:00:00"/>
    <n v="185"/>
  </r>
  <r>
    <s v="CTXNITSP-160928"/>
    <s v="Projeto Implantar Discador Aspect + TLV 5.0 no CRV Oi TV_20 pas_Modo Preview"/>
    <s v="RJ - Site Niterói"/>
    <s v="Plano Recuperação"/>
    <x v="4"/>
    <s v="Ana Coelho"/>
    <s v="Ana Sosa"/>
    <s v="Erica Cotrim"/>
    <s v="Marcel Garcia"/>
    <x v="0"/>
    <d v="2015-06-09T10:48:00"/>
    <n v="346.55000000000291"/>
    <d v="2015-08-01T00:00:00"/>
    <s v="Não "/>
    <s v="TBD"/>
    <s v="TBD"/>
    <s v="TBD"/>
    <m/>
    <s v="17/05 - Considerando a data de 27/06 para entrega do TLV Preview pela TQS._x000a__x000a_10/05 - Sendo analisado o escopo junto ao fornecedor pois a demanda já foi paga pelo cliente._x000a__x000a_03/05 - Sendo analisado a alteração  de escopo. Retirada do Preditivo, prevalecendo somente o Preview, sendo que neste caso o Tlv atende._x000a__x000a_25/04 - Solicitado a confirmação  da  importância/prioridade deste projeto e respectivo anexo no tprocess da documentação em falta: EF Revalidada e Aprovação de Comitê. Caso não tenhamos a EF/informação disponibilizada em 15 dias esse chamado será cancelado/fechado_x000a__x000a_19/04 - Mesmo Status._x000a__x000a_12/04 - Mesmo Status, aguardando definição do analista de projetos contax._x000a__x000a_04/04 - Aguardando a validação do escopo pelos stakeholders_x000a__x000a_28/03 - Foi solicitado ajuda a negócios para que o cliente defina o escopo desta demanda._x000a__x000a_21/03 - Foi solicitado ajuda a negócios para que o cliente defina o escopo desta demanda._x000a__x000a_15/03 - Mesmo Status_x000a__x000a_07/03 - Aguardando retorno da operação referente a alteração de Escopo_x000a__x000a_01/03 - Em discussão de alteração de escopo_x000a__x000a_23/02 - Mesmo status em relação a TI pela análise de Engenharia, porém em paralelo está sendo realizada a  interação com o Fornecedor referente a regras de negocio operacionais._x000a__x000a_15/02 - Solicitante Rodrigo não conseguiu participar da Conferência, aguardando o retorno da  operação perante esta definição desde o dia 21/01._x000a__x000a_10/02 - Mesmo Status_x000a__x000a_02/02 - A solução encontrada é migrar as 02 operações para o Polo Pernambuco onde poderemos efetuar tanto o crescimento do Velox e Fixo, além da implantação da OI TV, foram informadas as premissas para a operação, aguardando o retorno._x000a__x000a_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08/12 - Em Comitê_x000a__x000a_24/11 - Em Comitê_x000a__x000a_17/11 - Interação com o fornecedor referente as regras operacionais,_x000a__x000a_30/10 - Em processo de handover com analista de Projetos. Em paralelo interação com o fornecedor referente a proposta enviada._x000a_20/10 - Validação de algumas inf na operação em relação a proposta anterior que foram inclusos o Oi Tv._x000a_13/10 - Aguardando retorno do Fornecedor perante as documentações de regra de negócio operacional._x000a_06/10 - Em análise da árvore enviada pelo cliente._x000a_29/09 - Aguardando a árvore do Oi Tv_x000a_------------------------------------------------_x000a_22/09 - Já foi diagnosticado pelo fornecedor que temos uma demanda que tem o Oi Tv, com o recebendo do mailing e exibindo na tela os dados do contato, sem integração com o Sinn._x000a_Aguardando a operação enviar um arquivo do produto OiTV nesse layout, podendo ser um arquivo teste e também a árvore de marcação para esse produto, pois nesse projeto as marcações são liberadas conforme a campanha que se está trabalhando_x000a_16/09 - Verificando questões de quantidade de licença do Discador."/>
    <s v="Operação / CC Brasil"/>
    <s v="Rodrigo Ribeiro / José Pedro"/>
    <s v="TBD"/>
    <s v="Desenvolvimento/Execução"/>
    <m/>
    <n v="20"/>
  </r>
  <r>
    <s v="CTXRECSA-358319"/>
    <s v="Projetos CO - TLV e Discador Triagem Velox / Suporte Avançado velox  "/>
    <s v="PE - Site Santo Amaro"/>
    <s v="Plano Recuperação"/>
    <x v="4"/>
    <s v="Ana Coelho"/>
    <s v="Ana Sosa"/>
    <s v="Erica Cotrim"/>
    <s v="Marcel Garcia"/>
    <x v="0"/>
    <d v="2015-02-02T15:00:00"/>
    <n v="473.375"/>
    <d v="2015-08-01T00:00:00"/>
    <s v="Não"/>
    <s v="TBD"/>
    <s v="TBD"/>
    <s v="TBD"/>
    <m/>
    <s v="17/05 - Previsão de Piloto (10 pa´s) hoje na parte da tarde._x000a_Verificando algumas questões para sermos mais assertivos como:_x000a_Validação Riscos Processo de Tramitação, o arquivo ser disponibilizado _x000a_para tratamento em paralelo da operação não impactando o sla,_x000a_UF segregada pela Oi, processo na operação da tabela verdade,_x000a_Validação Riscos Regra Tramitação,Análise arquivo retorno _x000a__x000a_10/05 - Pré-Piloto em andamento com 2 pa´s_x000a_Piloto previsto com 10 pa´s para amanhã 11/05_x000a_Eventos sendo analisados no Pré- Piloto por Telecom e Oi:_x000a_Lig Muda_x000a_Numero não reconhecido._x000a__x000a_03/05 - Pré-Piloto iniciou ontem com 2 pa´s, dentro do processo manual de expurgo. Em paralelo está sendo verificado com Engenharia e CSE as questões da liberação para a Automatização do mesmo._x000a__x000a_25/04 - Alinhamentos sendo realizados internamente e com o cliente._x000a_Possibilidade de Retorno do Piloto 02/05._x000a_Processos sendo verificados abaixo:_x000a__x000a_1 - Cadastro de Operadores_x000a_2 - Alteração DAC na operação  10 PAs_x000a_3 - Atividades NID (48h):_x000a_    cadastramento campanhas_x000a_    configurações_x000a_    limpeza base, etc_x000a_4 - Validação configuração Discador_x000a_5 - Acesso Bco de Dados MIS (Automatização)_x000a_6 - Automatização processo expurgo (24h)_x000a_7 - Teste 2 PAs antes do Piloto_x000a_8 - Verificação senhas usuários STC com OI_x000a_9 - Alinhar junto a OI a UF que vamos Pilotar_x000a_10 - Criar rotina dos AGs abertos x tratamento (analisar possíveis  AGs vencidos e sem tratamento por falta de contato)_x000a_11 - Criar rotina para extração dos dados ( AG+ Data/hora abertura+ Data/hora View)_x000a__x000a_19/04 - Equipe de TI está analisando a solução referente ao Discador que se encaixa melhor nas regras de negocios operacionais da demanda_x000a__x000a__x000a_12/04 - Dentro do tópico crítico que é o tempo de carga de mailing,  foi analisado pelo NID quanto a possibilidade de diminuirmos esse tempo de carga, contudo de acordo com o laudo da AVAYA não é recomendado a carga menor que 30min para operação com mailing pequeno._x000a_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_x000a_*Sendo estudado esta possibilidade pela operação. Hoje faremos uma conferência com o cliente para detalhar esta solução. O piloto no momento está parado._x000a__x000a_04/04 - Stressando ao maximo um dos Itens em &quot;Pendência&quot; que é o Time da Carga de Mailing.Ti analisando o cenário atual, ainda esta semana faremos uma conferência interna Contax para alinhamento._x000a__x000a_28/03 - Piloto parado devido a solicitação do cliente. _x000a_Aguardando definições da área de NID, MIS e TI._x000a__x000a_21/03 - Foi enviado laudo detalhado aguardando definição da Oi, do retorno do Piloto. _x000a__x000a_15/03 - Piloto está parado devido aos 8 Itens, porém 5 estão ok, aguardando retorno do Piloto para homologação._x000a__x000a_07/03 -Ocorrências Piloto- 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_x000a_Em paralelo se faz necessário uma atualização na EF pela operação perante os processos de View da Oi e Processos de Expurgo._x000a__x000a_01/03 - Em  piloto_x000a__x000a_23/02 - Em piloto com 9 pas, segue abaixo  os detalhes: _x000a__x000a_1.View Com Problemas: _x000a_As 14h:00  - View da OI voltou a trazer dados da regional RNE (PE), porém a view trouxe a data de abertura com o formato errado, não está trazendo o horário._x000a_O processo de carga foi parado. _x000a_View voltou a funcionar por volta das 15:50h com formato correto._x000a_Os protocolos  enviados estão muito abaixo do padrão, o dia todo só foram carregados em torno de 354 registros._x000a__x000a_2.Carregamento do Raw no Discador no APC_x000a_Para resolver problema do Discador, além do Edson que tem nos apoiado, envolveremos o Bruno Cordeiro de Curitiba que acompanhou todo o processo junto a programação de atualização de tempo das cargas para verificar o tempo de cargas._x000a_Integração tGuidance com UNIFIC: já reportado pela Erica. Todos os casos estão com agendamento na base do UNIFIC, sendo assim a ferramenta só devolve no horário do agendamento._x000a__x000a_Estamos envolvendo os respectivos departamentos, pois somente com todos os processos em 100% é que TI poderá pilotar o processo final com apoio da operação._x000a__x000a_Estamos recebendo o arquivo da Oi, com dados tratados, para darmos sequência no piloto hoje._x000a_-------_x000a_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_x000a_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_x000a_Conforme conferência hoje 15/02 foi acordado, o início do Piloto 16/02._x000a_-----------_x000a_10/02 -  iniciaremos o Piloto no dia 11/02._x000a_-----------_x000a_26/01 - Conforme aprovação das áreas envolvidas (NID, CSE e Aplicações), foi enviado novo cronograma, no qual iniciaremos o Piloto no dia 11/02._x000a_----------_x000a_19/01 - O escopo do projeto foi alterado no dia 06/01 e por isso o Piloto não aumentou para 10 PAs e já nem está com 2 PAs (o Piloto parou)._x000a_Assim, o projeto necessita de ser replanejado, pois são necessárias atividades da equipe de desenvolvimento e CSE novamente. Como sabem os recursos estão 100% alocados e as filas das equipes vão se organizando com outros projetos prioritários._x000a__x000a_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_x000a__x000a__x000a_08/12 - Aumentamos o Piloto em 5 pas, estamos monitorando o comportamento para darmos sequencia._x000a__x000a_01/12 - Estamos em definição de aumento do Piloto, devido a alguns cenários ainda impeditivos._x000a_1. Número excessivo de motivos Telefonia: chamado aberto junto a Oi para solução do problema nos circuitos (Resp.: Wenderson);_x000a_2. Discagem Horizontal apenas até o 2° Telefone: análise junto ao especialista Avaya para que possamos, após atuação, monitorar a solução aplicada (Resp.: Adalton  - Início Monitoramento: 01/12);_x000a_3. Atualização do Mailing: solução já aplicada e em processo de monitoramento (Resp.: Adalton – Parecer sobre a solução: 30/12);_x000a_4. Eficiência das Macros: análise a respeito da informação foi realizada e está sendo afetada pelo Item 2. Após solução do mesmo, informações estarão consistentes (Resp.: Adalton);_x000a_5. Análise de Protocolo Telefone Único: este caso também está na dependência da solução do Item 2 (Responsável: Adalton)._x000a_24/11 - Conforme conferência realizada no dia 19/11 foram discutidos alguns cenários impeditivos para o aumento do Piloto, estes cenários _x000a_estão sendo verificados entre NID e Equipe de Desenvolvimento TI. Hoje 24/11, será realizado uma conferência para a análise da estratégia de discagem. Foram diagnosticadas ações na eficiência das macros quando não se utiliza o discador, sendo acompanhado os protocolos _x000a_para identificação no que se refere a distribuição._x000a_Foi criada uma nova campanha com novas configurações e iniciada dia 19/11 nas PA’s. Estamos acompanhando o comportamento _x000a_do discador nos momentos de atualização do mailing. _x000a_ Foi identificado na análise de Protocolo Telefone Único que alguns protocolos apresentam apenas um telefone, pela regra isso não deveria acontecer devido a análise do histórico, este assunto será discutido em detalhes hoje na reunião com o Wenderson NID._x000a__x000a_17/11 - Fase 1 - a UF de Pernambuco está sendo disponibilizada.  Ainda está sendo visto a questão da Telefonia, por esse motivo ainda não temos previsão de aumento do Piloto._x000a_Fase 2 - Foi informado o valor das licenças, prazo do fornecedor (2 meses). Foi solicitado:_x000a__x000a__Ok formalizado para iniciarmos a contratação do serviço (Lançamento de SC, Aprovações e geração de pedido)._x000a__Entrega de pedido gerado para contagem do prazo._x000a__Entrega do detalhamento do escopo do UNIFIC (Processo, telas e informações) ou a árvore de workflow que a Oi gostaria de desenvolver no Evalyze antes da data de início do desenvolvimento._x000a__x000a_Aguardando o retorno do solicitante com as devidas informações._x000a_-------------_x000a_10/11 - Constatados  casos de problemas que afetam a integração entre discador e UNIFIC e classificação erronea de status de chamadas, refletidas nos relatórios de produtividade. Ti contax e fornecedor atuando em conjunto. Piloto seguem com 2 PAs._x000a_03/11 -  Iniciaremos o piloto no dia de hoje com a UF PE, o discador fará processo em afim sem a geração da macro gerando do mailing, fechamento de AG e abertura de BD antes do vencimento do SLA._x000a_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_x000a__x000a_27/10- o Front-Fácil acaba de ser configurado para aguardar pelo perfilamento &quot;sem tempo limite&quot;._x000a__x000a_Desta forma, o operador poderá finalizar o perfilamento do UNIFIC com a garantia de que nenhuma outra chamada será entregue na PA enquanto o operador não preencher o “Motivo de Desligamento” no Front-Fácil._x000a__x000a_Com esta configuração, não será necessária qualquer alteração/melhoria em nenhuma das ferramentas para que o piloto seja iniciado. Porém, há alguns pontos de atenção que não podemos deixar de alertar:_x000a__x000a_• Os operadores terão a oportunidade de retardar o atendimento depois desta nova configuração. No nosso entendimento, trata-se de uma ação contraditória à implantação do discador automático de chamadas, que visa a máxima produtividade dos colaboradores;_x000a_•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_x000a_• A solução também ainda estará sujeita ao problema original (chegada de chamada sem o screen-pop no UNIFIC), se o operador enviar o “Motivo de Desligamento” pelo Front-Fácil e permanecer com o protocolo em tratamento no UNIFIC, o que impossibilitaria o pop-up do novo protocolo._x000a__x000a_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_x000a_Estamos verificando com a Wenderson para criar uma nova coluna no mailing, exclusivamente para o UNIFIC._x000a_---------------------_x000a_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_x000a_------------------------------_x000a_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_x000a_-----------------------------------------------_x000a_29/09 - Eventos de atraso na entrega dos links da Oi e Criação de login de STC impactaram no início do Piloto hoje 29/09, conforme cronograma. _x000a_ - Foi diagnosticado ontem pela área de Desenvolvimento a necessidade de liberação de IP por parte da Oi;_x000a_- Os logins STC foram encaminhado na sexta passada 25/09, mas estavam com problemas na senha de acesso. Prazo de retorno da operação Hoje 29/09._x000a_*Caso não tenhamos retorno das duas ações acima irá impactar novamente no início do Piloto, previsto para  o dia 05/10_x000a_-----------------------------------------------_x000a_22/09 - Validação de Mailing da Oi =  tivemos alterações de escopo sendo que a Oi já validou, estando em processo de desenvolvimento com risco de atraso, porém ainda não confirmado pelo Marquinhos._x000a__Atraso na entrega dos links da Oi =  a Entrega foi feita hoje dia 22/09, tendo impacto no cronograma das ações posteriores inserindo._x000a_"/>
    <s v="Aplicações TI / Operação/ Oi"/>
    <s v="Viviane Rodriguez e Adalton / Milane / Jaqueline"/>
    <s v="TBD"/>
    <s v="Piloto/Homologação"/>
    <m/>
    <n v="150"/>
  </r>
  <r>
    <s v="CTXRECSA-407337"/>
    <s v="Front Facil no CRV"/>
    <s v="PE - Site Santo Amaro"/>
    <s v="Plano Recuperação"/>
    <x v="4"/>
    <s v="Ana Coelho"/>
    <s v="Ana Sosa"/>
    <s v="Erica Cotrim"/>
    <s v="Marcel Garcia"/>
    <x v="0"/>
    <d v="2015-07-29T15:48:00"/>
    <n v="296.34166666666715"/>
    <d v="2015-08-01T00:00:00"/>
    <s v="Não "/>
    <s v="TBD"/>
    <s v="TBD"/>
    <s v="TBD"/>
    <m/>
    <s v="17/05 - Mesmo Status_x000a__x000a_10/05 - Devido a alteração de escopo o piloto parou, aguardando Desenvolvimento do Item Conferência (CTXRECSA-475951)_x000a__x000a_03/05 - Devido a alteração de escopo o piloto parou, aguardando Desenvolvimento do Item Conferência (CTXRECSA-475951)_x000a__x000a_25/04 -  Devido a alteração de escopo o piloto parou, aguardando Desenvolvimento do Item Conferência (CTXRECSA-475951)_x000a__x000a_19/04 - Piloto parado, aguardando Desenvolvimento do Item Conferência (CTXRECSA-475951)_x000a__x000a_12/04 - Piloto parado, aguardando Desenvolvimento do Item Conferência (CTXRECSA-475951)._x000a__x000a_04/04 - Mesmo status_x000a__x000a_28/03 - 1. Cenário de ação de Conferência na operação, no qual não foi solicitado na EF._x000a_      Ação: Operação abriu o chamado CTXRECSA-475951, com a EF atualizada. Em análise._x000a_ _x000a_2. Cenário da Base do Click, no qual, foi alinhado que seria aberto uma nova demanda devido a complexidade do Desenvolvimento._x000a_Ação: Solicitado a operação em conferência no dia 08/12 a abertura de um chamado no TProcess, no qual mencionasse esta necessidade que refere-se a Base do Click._x000a_          Demanda do CRV, hoje em Piloto, foi desenvolvida em cima do que foi exposto na última versão da EF em que não contemplava a Base do Click, somente no que refere-se a relatório._x000a_          Ressalto que em fórum paralelo foi solicitado ao Anthonny que abrisse um novo chamado para esta solicitação._x000a__x000a__x000a_21/03 - Piloto em andamento conforme cronograma (2 pas)._x000a__x000a_15/03 - Cronograma permanece o mesmo . Piloto Início: 17/03._x000a__x000a_07/03 - Conforme cronograma alinhado, o Piloto teria início no dia 17/03, porém tivemos atraso na homologação do Perficall._x000a_Aguardando retorno da operação._x000a__x000a_01/03 - O solicitante informou novamente sobre a alteração de Dac, _x000a_podendo assim retardar esta demanda. Aguardando definição  _x000a__x000a_23/02 - Ontem foi solicitado a Estimativa de esforço para o Site dentro das ações necessárias._x000a_Desenvolvimento Perficall -  OK_x000a_Desenvolvimento tGuidance - 15/02 à 29/02_x000a__x000a_15/02 - A operação informou hoje a questão do Dac e envio da planilha de Insumos. Devido ao atraso nas informações, temos um novo prazo para o Desenvolvimento do TGuidance fica do dia 15/02 à 29/02._x000a__x000a_10/02 - Mesmo Status_x000a__x000a_02/02 - Conforme conferência, devido ao problema do headset na operação iremos aguardar até o dia 12/02 (Início de Desenvolvimento) para confirmarmos esta migração de Dac._x000a__x000a_Sendo assim, seguimos com o Desenvolvimento em paralelo no período de 12/02 à 25/02._x000a__x000a_Abaixo algumas ações citadas:_x000a__x000a__Necessário o cadastro dos Insumos se houver migração até o dia 11/02;_x000a__Necessário a liberação de rede, instalação da aplicação do TGuidance com Suporte local, etc., se não houver migração;_x000a__o Item de relatório será priorizado com a outra área de TI._x000a__x000a__x000a_26/01 -  Enviado a EF no dia 13/01, Equipe de Aplicações está analisando a mesma. Em paralelo estamos vendo se há necessidade de liberações de rede, etc. na operação. Prazo de Cronograma de Desenv TI - 27/02_x000a__x000a_18/12 - Em definição de EF , aguardando retorno da operação_x000a__x000a_08/12 - Conforme conferência, estamos aguardando a EF com o escopo solicitado._x000a__x000a_01/12 - A Conferência hoje foi cancelada, reagendada para dia 03/12 Qui._x000a__x000a_24/11 - Aguardando o Doc solicitado no dia 27/11._x000a__x000a_17/11 - Foi solicitada o doc ao cliente com todo o processo detalhado do atendimento, com prints de tela do passo a passo do atendimento, prazo de recebimento anterior no dia 12/11, porém sem sucesso. Prazo atual no dia 27/11 Sext . _x000a__x000a_03/11 - Já foi solicitado  a EF  atualizada, e se possível uma conf com a operação só para entendimento de processo_x000a__x000a_27/10 - Aguardando a EF atualizada._x000a_20/10 - Conforme conferência estamos aguardando a EF. Em estimativa de OG._x000a__x000a_13/10 - Aguardando a árvore. Este Projeto esta em estimativa de OG_x000a_06/10 - Aguardando a árvore. Este Projeto esta em estimativa de OG _x000a_29/09 - Aguardando o envio da EF/ Em estimativa de OG_x000a_--------------------------------_x000a_22/09 - Aguardando o envio da EF."/>
    <s v="Operação /Aplicações TI "/>
    <s v="Anthonny Stallony/  Tatiana Barbosa"/>
    <s v="Devido a alteração de escopo , aguardando Término da Demanda CTXRECSA-475951,  previsto continuidade  de tratamento para o dia 02/06"/>
    <s v="Desenvolvimento"/>
    <m/>
    <n v="100"/>
  </r>
  <r>
    <s v="CTXRECSA-475951"/>
    <s v="Item Conferência_CRV"/>
    <s v="PE - Site Santo Amaro"/>
    <s v="Plano Recuperação"/>
    <x v="4"/>
    <s v="Ana Coelho"/>
    <s v="Marcel Garcia"/>
    <s v="Erica Cotrim"/>
    <s v="Luciana Andrade"/>
    <x v="0"/>
    <d v="2015-03-24T18:34:00"/>
    <n v="423.22638888889196"/>
    <d v="2015-03-24T00:00:00"/>
    <s v="Sim"/>
    <d v="2016-05-31T00:00:00"/>
    <d v="2016-06-10T00:00:00"/>
    <s v="Risco"/>
    <m/>
    <s v="17/05 - Em Desenvolvimento por Aplicações TI - Prazo Resp: TI - 31/05_x000a__x000a_10/05 - Em Desenvolvimento por Aplicações TI - Prazo Resp: TI - 31/05_x000a__x000a_03/05 - Mesmo Status_x000a__x000a_25/04 -  Em Desenvolvimento por Aplicações TI - Prazo Resp: TI - 31/05_x000a__x000a_19/04 - Em Desenvolvimento por Aplicações TI - Prazo Resp: TI - 31/05_x000a__x000a_12/04 - Necessidade de desenvolvimento do item conferência que não estava previsto na EF inicial, aberto chamado CTXRECSA-475951 para resolução._x000a_Necessária resolução do chamado CTXRECSA-475951 para continuidade do piloto  (Chamado CTXRECSA-407337)  - Resp: TI - Prazo: 31/05 "/>
    <s v="Aplicações TI "/>
    <s v="Tatiana Barbosa"/>
    <d v="2016-05-31T00:00:00"/>
    <s v="Desenvolvimento"/>
    <m/>
    <n v="100"/>
  </r>
  <r>
    <s v="CTXRECSA-407387"/>
    <s v="Implantar um discador para a célula Quality Voicer_x000a_"/>
    <s v="PE - Site Santo Amaro"/>
    <s v="Plano Recuperação"/>
    <x v="4"/>
    <s v="Ana Coelho"/>
    <s v="Marcel Garcia"/>
    <s v="Erica Cotrim"/>
    <s v="Fabrício Peixoto"/>
    <x v="0"/>
    <d v="2015-07-29T19:22:00"/>
    <n v="296.19305555555911"/>
    <d v="2015-08-01T00:00:00"/>
    <s v="Não "/>
    <s v="TBD"/>
    <s v="TBD"/>
    <s v="TBD"/>
    <m/>
    <s v="17/05 - Conforme retorno da Equipe de Aplicações (Morais), esta demanda só será tratada a partir da entrega das solicitações CTXRECSA-358319 – ( fase 1 e fase2)._x000a__x000a_10/05 - Mesmo Status_x000a__x000a_03/05 - Mesmo Status_x000a__x000a_25/04 - Conforme retorno da Equipe de Aplicações (Morais), esta demanda só será tratada a partir da entrega das solicitações CTXRECSA-358319 – ( fase 1 e fase2)._x000a__x000a_19/04 -  Mesmo status._x000a__x000a_12/04 - Conforme retorno da Equipe de Aplicações (Morais), esta demanda só será tratada a partir da entrega das solicitações CTXRECSA-358319 – ( fase 1 e fase2)._x000a__x000a_04/04 -  Conforme retorno da Equipe de Aplicações (Morais), esta demanda só será tratada a partir da entrega das solicitações CTXRECSA-358319 – ( fase 1 e fase2)._x000a__x000a_28/03 - Mesmo Status_x000a__x000a_21/03 - Mesmo Status_x000a__x000a_15/03 - Mesmo Status_x000a__x000a_07/03 -  Conforme retorno da Equipe de Aplicações (Morais), esta demanda só será tratada a partir da entrega das solicitações CTXRECSA-358319 – ( fase 1 e fase2):_x000a__x000a_01/03- Conforme retorno da Equipe de Aplicações (Morais), esta demanda só será tratada a partir da entrega das solicitações CTXRECSA-358319 – ( fase 1 e fase2):_x000a__x000a_23/02 - Mesmo Status_x000a__x000a_15/02 - Conforme retorno da Equipe de Aplicações (Morais), esta demanda só será tratada a partir da entrega das solicitações CTXRECSA-358319 – ( fase 1 e fase2):_x000a__x000a_10/02 -Solicitada a entrada na Fila da Equipe de Moraes devido a necessidade de Integração do sistema Perfiquality X TGuidance X Discador._x000a__x000a_02/02 - Conforme retorno hoje da operação o sistema Perfiquality é Oi , Infra na Oi e  é uma ferramenta para perfilamento e não tem vinculo com a telefonia. Sendo assim, iremos acionar a Equipe de Aplicações  para análise._x000a__x000a_26/01 - Desenho de Engenharia de Telecom já está feito. _x000a_Estamos aguardando retorno da operação verificar as informações da Infra do sistema com o José Nilton (Oi)._x000a__x000a_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_x000a__x000a_18/12 - Em Comitê._x000a__x000a_24/11 - Em Comitê._x000a_Em paralelo, está sendo realizado interações com o Fornecedor peraante as regras de Negócios, Infra , Discador._x000a__x000a_17/11 - Aguardando retorno do cliente perante a análise da proposta do fornecedor, interação referente as regras de negócio e verificando questões de licença_x000a__x000a_30/10 - Proposta enviada pelo Fornecedor. Em análise. Estimativa de OG. AGUARDANDO OK PARA CONTRATAÇÃO DA TQS. DISCUSSÃO DE LINKS LICENÇAS DISCADOR._x000a__x000a_13/10 - Em comitê_x000a_06/10 - Em Comitê_x000a_29/09 - Em fase de Aprovação da Proposta Comercial_x000a_----------------------------------------------_x000a_22/09 - 1) Não temos licenças de TLV disponível para este crescimento – Verificando com a operação orçamento disponível para abrir um processo de compra de Licenças_x000a_2) O Planejamento destas Operações precisa dimensionar o crescimento de troncos, com base nesta informação saberemos se temos espaço disponível nos DCPs para inclusão de novos troncos._x000a__x000a_"/>
    <s v="Aplicações TI "/>
    <s v="Alexandre  Morais"/>
    <s v="TBD"/>
    <s v="Na Fila"/>
    <m/>
    <n v="185"/>
  </r>
  <r>
    <s v="CTXRECSA-413131"/>
    <s v="Reestruturação da URA do CO Recife"/>
    <s v="PE - Site Santo Amaro"/>
    <s v="Operações que não estão no Plano de Recuperação"/>
    <x v="4"/>
    <s v="Ana Coelho"/>
    <s v="Ana Sosa"/>
    <s v="Erica Cotrim"/>
    <s v="Marcel Garcia"/>
    <x v="0"/>
    <d v="2015-08-14T00:00:00"/>
    <n v="281"/>
    <d v="2015-09-25T00:00:00"/>
    <s v="Não "/>
    <s v="TBD"/>
    <s v="TBD"/>
    <s v="TBD"/>
    <m/>
    <s v="17/05 - Em fase de Aprovação com o cliente, foi solicitado o prazo do mesmo._x000a__x000a_10/05 - Mesmo Status._x000a__x000a_03/05 - Mesmo Status._x000a__x000a_25/04 - Em fase de Aprovação com o cliente, foi solicitado o prazo do mesmo._x000a__x000a_19/04 - Mesmo status_x000a__x000a_12/04 - Em fase de Aprovação com o cliente, foi solicitado o prazo do mesmo._x000a__x000a_04/04 - Interação com a Equipe de Ura sobre esta demanda. _x000a_Ressaltando que essa restruturação não contempla a inclusão de novas consultas não relacionadas ao STC, apenas a melhorias dos menus e processos da aplicação de URA._x000a__x000a_28/03 - Mesmo status, cliente Oi analisando a última proposta enviada_x000a__x000a_21/03 - Mesmo status, cliente analisando a última proposta enviada._x000a__x000a_15/03 - Mesmo Status._x000a_ _x000a_07/03 - Mesmo Status._x000a__x000a_01/03 - Proposta renovada e enviada ao cliente. Aguardando definição._x000a__x000a_23/02 - Aguardando cronograma de Engenharia e em paralelo a Equipe de Ura está renovando a proposta._x000a__x000a_15/02 - Mesmo Status, acrescentando a solicitação da Equipe de Ura Contax, renovar a proposta interna devido a validade da mesma._x000a__x000a_10/02 - Solicitado o Estudo de Engenharia para o desenho desta solução, pois o valor  anterior da proposta da Equipe de Ura Contax  não contemplava infraestrutura e  sistema de monitoração._x000a__x000a_02/02 - Mesmo status._x000a__x000a_26/01 - Mesmo status, sem retorno da operação._x000a__x000a_18/12 - Proposta realizada pela Equipe Interna Contax de URA , enviada para o solicitante, aguardando retorno._x000a__x000a_08/12 - Proposta enviada para o solicitante, aguardando retorno._x000a__x000a_01/12 - Aguardando definição de valores da Proposta da Equipe de Ura Contax. Foi cobrado a área de Ura Contax sobre a Proposta._x000a__x000a_24/11 - Conforme alinhamento, a Equipe de Ura Contax enviará a proposta no dia 27/11 (Sext)_x000a__x000a_17/11 - Aguardando o aval do solicitante para que a Equipe de Ura Contax possa interagir e gerar uma nova proposta._x000a__x000a_09/11 - Equipe de URA Contax aceitou fazer estudo de custo e prazo como alternativa a Avaya. Fontes solicitados para a AVAYA, que ainda não retornou._x000a__x000a_30/10 - Acionado a área de Ura Produção para análise desta proposta._x000a_20/10 -  Sendo analisado a Proposta enviada pela Avaya._x000a_13/10 - Aguardando janela da operação para alinhamento sobre a proposta da avaya._x000a_06/10 - Aguardando aprovação_x000a_29/09-Encaminhado o orçamento em PDF para aprovação._x000a_16/09-Encaminhado orçamento para a area solicitante, estamos aguardando a proposta comercial em PDF, solicitada em 17/09."/>
    <s v="Operação "/>
    <s v="Anthonny "/>
    <s v="TBD"/>
    <s v="Análise"/>
    <m/>
    <n v="220"/>
  </r>
  <r>
    <s v="CTXSALAS-158599"/>
    <s v="Disponibilizar ferramenta do Carbon para as operações inbound e outbound do Televendas. Ti avaliar à integração com front/discador"/>
    <s v="Comércio / Boa Viagem"/>
    <s v="Operações que não estão no Plano de Recuperação"/>
    <x v="4"/>
    <s v="Ana Coelho"/>
    <s v="Ana Sosa"/>
    <s v="Edison Siqueira"/>
    <m/>
    <x v="4"/>
    <d v="2015-09-04T19:07:00"/>
    <n v="259.20347222222335"/>
    <d v="2015-09-25T00:00:00"/>
    <s v="Não"/>
    <s v="TBD"/>
    <s v="TBD"/>
    <s v="TBD"/>
    <m/>
    <s v="Edison Nei Siqueira added a comment - 18/Mai/16 11:30_x000a_Estamos realizando os ajustes nas aplicações junto ao fornecedor Telecom-PT para darmos inicio ao piloto das operações outbound._x000a__x000a_Edison Nei Siqueira added a comment - 03/Mai/16 12:36_x000a_Continuamos aguardando o posicionamento da Telecom-PT com relação a versão que vai tratar as chamadas da operação Outbound estava previsto para 27/04 e até o presente momento não recebemos um posicionamento._x000a__x000a_Edison Nei Siqueira added a comment - 26/Abr/16 20:24_x000a_Continuamos aguardando o posicionamento da Telecom-PT com relação a versão que vai tratar as chamadas da operação Outbound previsto para 26/04._x000a__x000a_Edison Nei Siqueira added a comment - 20/Abr/16 08:49_x000a_Realizada a carga do mailing do Outbound com sucesso, estamos aguardando agora a Telecom-PT disponibilizar a versão do Carbon que vai tratar o recebimento da chamada, previsão de liberação da versão por parte da Telecom-PT ficou para o dia 26/04._x000a__x000a_Edison Nei Siqueira added a comment - 12/Abr/16 18:22_x000a_Hoje foi concluído o rollout do Carbon para a operação Unificado. _x000a_Aguardando o versão da Telecom-PT para homologar as operações de Outbound ._x000a__x000a_Edison Nei Siqueira added a comment - 05/Abr/16 17:08_x000a_Iniciamos o rollout da integração tGuidance x Carbon nas operações Ountbound. _x000a_4P - rollout realizado em 04/04 para 100% da operação. _x000a_3P - rollout em andamento. _x000a__x000a_Edison Nei Siqueira added a comment - 29/Mar/16 15:40_x000a_Desenvolvimento tControl, tGuidance e Carbon, homologação concluída e validada junto a operação. _x000a_Instalação do Carbon nas posições de crescimento, 209 PAs site Comércio OCT e 164 no site Boa Viagem concluído e em homologação por parte de operações. _x000a_SCs com necessidade de ajuste de valores para aquisição dos demais insumos para a infraestrutura definitiva._x000a__x000a_15/03 - Mesmo status. Handover Finalizado com o Edson Siqueira _x000a__x000a_07/03 - Todo o Site Comércio (Célula 4P) e Site Boa Viagem (Célula 3P) estão com as operações com o Carbon instalado._x000a_Hoje estamos na Fase de Teste do tGuidance com Carbon ou usando um skill da operação ou VDN DDR._x000a_Em paralelo, temos uma Fase que envolve o TControl no qual foi alinhado uma EF no dia 03/03, com ambas as frentes. _x000a_Conforme retorno de TI, dentro do planejamento o período de desenvolvimento é no dia  09/03/2016 Quarta  à  21/03/2016 Segunda._x000a__x000a_01/03 - PTI - Terminando a validação da resolução dos monitores em relação ao Carbon; Início de testes em relação a Integração Tguidance x Carbon;_x000a_Interação sobre o Novo Escopo tControl x Carbon x TGuidance_x000a__x000a_23/02 - Sites Boa Viagem e Comercio estão preparados com o Carbon, no momento a operação está testando o mesmo junto ao fornecedor perante regras de negócios operacionais._x000a__x000a_15/02 - Fornecedor não conseguiu  completar a carga da base de clientes, mas já consegui subir parcialmente. Sobre os scripts, foi alterado a abordagem que realizamos o cadastro dos textos . _x000a_Em paralelo , estamos atuando on site perante a preparação do ambiente (Boa Viagem e Comércio)._x000a_Em última conferência , a fornecedora PT propôs que a integração do tControl seja com o Carbon e, após abertura do Carbon, o Carbon chame o tGuidance. Foi sinalizado esta necessidade a Equipe de Aplicações TI, aguardando retorno._x000a__x000a_10/02 - Fornecedor realizando algumas correções, no processo de upload da Base de clientes para os testes._x000a__x000a_02/02 - O fornecedor  PTI  verificou a  necessidade de alterações nas telas da campanha 3P Receptivo para adequar aos tamanhos dos monitores da Contax. Aguardando retorno da homologação._x000a__x000a_26/01 - Dentro da Demanda do Carbon temos 3 fases:_x000a_No momento estamos em  homologaçao:_x000a_FASE 1 - Sem Integração_x000a_Validação do Carbon (Operação inbound) _x000a__x000a_18/12 - Cronograma enviado no dia 02/12, sendo aceito pela solicitante._x000a_Fase: Instalação do Carbon pelo Fornecedor PTI e Início dos testes._x000a_Em paralelo está sendo Desenvolvimento a frente de Mailing pela Equipe de Aplicações._x000a_Foi avaliado que o Site Comercio não tem infraestrutura para o aceite de 32 pas, sendo avaliado possibilidade de colocar tudo no Site Boa Viagem ou em outro Site._x000a_Hoje temos o layout assertivo de 68 pas no Site Boa Viagem, já foi avaliado a premissa de desktops _x000a_dos agentes. _x000a__x000a_08/12 - ENG - Desenho da Solução enviado ao solicitante, retorno de aceite do mesmo.Cronograma sendo seguido_x000a_Site - Solicitação de layout para o solicitante para avaliação da infra dos desktops do agente, aguardando retorno do solicitante.Em paralelo, houve questionamento do Site pois o site comercio não tem link mpls direto com o DC, e migramos 300 pas para o mesmo nesta semana. _x000a_Questionamentos feitos a ENG (Villa) &quot;Houve avaliação do link? Suporta? Qual será a rota de saída?”_x000a__x000a_01/12 - Cronograma sendo alinhado com as áreas._x000a_Ações de CSE em andamento._x000a_Doc do Desenho da Solução sendo finalizado por ENG, em paralelo a Dell estará enviando as cotações dos servidores para a infra definitiva seguindo o processo de Suprimentos._x000a__x000a_24/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17/11 - Na frente de infra foi acionado o Klaus que somente vai poder nos atender entre 01 e 08/12. _x000a_Foi acionado o LW para fechar a implementação do ambiente após entrega do desenho do Klaus._x000a_O Alexandre Morais entrou em detalhe com Tiago da PT._x000a_A operação informa que a solução tem que entrar até 24/11, pois estava com Rivaldo e  etc. Já sinalizado que possivelmente só ano que vem estará apto para fornecedor poder atuar. Assunto já escalado._x000a__x000a_-------------------------_x000a_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_x000a__x000a_30/10 - Reunião de alinhamento sobre execução de integração do Carbon com tguidance realizada entre operação,  TI e OI._x000a__x000a_27/10 -  Análise e Entendimento do Escopo do Projeto, em defesa de prioridades por Diretoria._x000a_20/10 - Análise e Entendimento do Escopo do Projeto_x000a_13/10 - Análise e Entendimento do Escopo do Projeto_x000a_06/10 -Informado ao solicitante para preencher o formulário de detalhamento do projeto para podermos dar continuidade na Análise e estimativa do mesmo. _x000a_"/>
    <s v="Fornecedor/ Operação / Aplicações"/>
    <s v="Fornecedor/ Operação / Aplicações"/>
    <s v="TBD"/>
    <s v="Piloto/Homologação"/>
    <m/>
    <n v="15"/>
  </r>
  <r>
    <s v="CTXSALSM-78582"/>
    <s v="Projeto - Implantar Relatorio de Ura Oi Internet"/>
    <s v="BA- Site Fonte Nova"/>
    <s v="Operações que não estão no Plano de Recuperação"/>
    <x v="4"/>
    <s v="Ana Coelho"/>
    <s v="Ana Sosa"/>
    <s v="Erica Cotrim"/>
    <s v="Cris Kuzuhara"/>
    <x v="0"/>
    <d v="2015-07-03T18:15:00"/>
    <n v="322.23958333333576"/>
    <d v="2015-09-25T00:00:00"/>
    <s v="Sim"/>
    <m/>
    <d v="2016-05-06T00:00:00"/>
    <s v="Sim"/>
    <m/>
    <s v="17/05 - Temos duas ações que o cliente está solicitando para o fechamento desta demanda, conforme abaixo:_x000a__x000a_1. Acesso ao NGR Monitor ao cliente, fora do ambiente Contax_x000a_Nesta Quarta (disponibilidade do cliente) , será realizado uma conferência com Redes Oi e Redes Contax para verificação deste acesso, via NAT._x000a__x000a_2. Matriz de Acionamento_x000a_Foi enviado esta matriz conforme padrão da Empresa, porém a cliente solicita um 0800 exclusivo para acionamento, caso precise._x000a_Conforme última interação com o Ger. Jose Carlos de Ura , não temos este tipo de acionamento._x000a__x000a__x000a_10/05 - Estamos em processo de Homologação, porém o solicitante deseja._x000a__x000a_1 - Acesso externo para o cliente Oi, via Nat:_x000a_Aberto chamado SPOAS-12705, aguardando o DA do solicitante._x000a_2 - Acionamento direto do cliente Oi ao Suporte de Ura:_x000a_Sendo analisado os contratos de Ura Oi para verificar a viabilidade._x000a__x000a_03/05 - Cliente está solicitando uma liberação via web que não está dentro do escopo da demanda. Foi solicitado uma call amanhã 04/05 para esta definição._x000a__x000a_25/04 - Mesmo status._x000a__x000a_19/04 - Aguardando o retorno de Ura Contax com as pendências de finalização desta demanda._x000a__x000a_12/04 -Noc já treinado. a Matriz de Acionamento enviada._x000a_Aguardando retorno sobre os acessos e finalizando questões de relatórios._x000a__x000a_04/04 - Treinamento do Noc sendo realizado.Liberação do cliente, sendo realizado. _x000a_Conforme interação com Dennys Noc, o treinamento será finalizado no dia 11/04, no qual posteriormente será enviado a Matriz de Acionamento para o solicitante._x000a__x000a_28/03 - Treinamento do Noc sendo realizado.Liberação do cliente, sendo realizado._x000a__x000a_21/03 - Mesmo status._x000a__x000a_15/03 - Analisando a possibilidade dos acesso do cliente Oi ( Via Link de Internet ou Acesso Via Nat);_x000a_ - Matriz de Acionamento, estamos em treinamento do Noc  para que possamos enviá-la._x000a__x000a_07/03 - Definição de treinamento com NOC._x000a__x000a_01/03 - Aplicação em Produção, feito treinamento direto com o cliente._x000a_Homologado com sucesso._x000a_No momento estamos, tentando interação com o NOC para definição _x000a_de processos de Monitoração._x000a__x000a_23/02- A ferramenta está em Produção porém, para a Ura conseguir passar as informações de Produção é necessário a GMUD (dia 24/02)._x000a_Fase de Piloto com término no dia 26/02._x000a_Quanto a parte de Monitoração, estamos alinhando com as partes de TI para que o NOC entre em contato com o Manuel Botelho (Site), informando a indisponibilidade, caso haja._x000a_Ontem a Equipe de URA fez um over view com o cliente._x000a_Hoje teremos uma conferência para fechar este fluxo. _x000a__x000a_15/02 - Cronograma seguindo conforme acordado. Equipe de Ura atuando, conforme previsto._x000a__x000a_10/02 - Cronograma refeito com o dealine 24/02, amanhã daremos continuidade as ações de Ura._x000a__x000a_02/02 - Refeito o cronograma, a parte do CSE já está concluída. Estamos trabalhando com a Equipe de Ura para que possamos reduzir as ações do mesmo. Por enquanto dead line está em 29/02._x000a__x000a_26/01 - Encontramos um problema no switch onde o servidor está conectado perante a este cenário o cronograma está atrasado, aguardando retorno do LW para atualização._x000a__x000a_15/12 - CTXSALSM-78582 - Projeto entregue em: 15/12/2015 _x000a_18/12 - Conforme retorno de Engenharia, foi consolidado o cronograma de ações do CSE e Ura, enviados hoje ao solicitante._x000a_Prazo Homologação Final: 19/02/2016_x000a__x000a_08/12 - Apesar do solicitante pedir a homologação dentro do prazo do dia 09/12, devido as prioridades, o Prazo ENG foi 08/12 às 15/12._x000a__x000a_01/12 - a Equipe de Ura está andando com o processo. Porém, a Equipe de  ENG estão reprogramando a fila devido as solicitações da diretoria e não podiam definir um prazo no momento._x000a__x000a_24/11 - Interação entre a Equipe de Ura e Linux a fim de criar um script de limpeza dos logs.  Assim que recebermos as inf de Ura, o Analista Linux irá criar a rotina de expurgo de dados._x000a_17/11 - Aguardando retorno do cliente perante estas informações de Infra, verificando necessidade de uma redução nos requisitos da infra solicitada pelo Klaus._x000a_Foi solicitado um valor mínimo aceitável para o número de processadores e espaço em disco._x000a__x000a_05/11 - Conforme análise de Infra pelo Klaus:_x000a_-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_x000a__x000a_"/>
    <s v="Operação / Ura "/>
    <s v="Thiago Fialho / Daniel Farias "/>
    <d v="2016-05-20T00:00:00"/>
    <s v="Homologação"/>
    <m/>
    <m/>
  </r>
  <r>
    <s v="CTXSPOLP-115114"/>
    <s v="Projeto - Renovação de Servidores DNK - Ticket "/>
    <s v="SP - Operação Site Antártica_x000a_SP - Infra Site Lapa"/>
    <s v="Plano Recuperação"/>
    <x v="0"/>
    <s v="Noemia Ferro"/>
    <s v="Maurício Perez"/>
    <s v="Erica Cotrim"/>
    <s v="Carlos Batista"/>
    <x v="1"/>
    <d v="2015-11-18T15:30:00"/>
    <n v="184.35416666666424"/>
    <d v="2015-12-02T00:00:00"/>
    <s v="Sim"/>
    <d v="2016-05-15T00:00:00"/>
    <d v="2016-04-25T00:00:00"/>
    <s v="Não"/>
    <m/>
    <s v="17/05 - Prazo do solicitante expirado, foi solicitado novamente urgencia neste retorno._x000a__x000a_10/05 - A Ticket deverá retornar com previsão e cronograma para dia 15 de maio_x000a__x000a_03/05 - A troca dos equipamentos irá ser efetuada pela Ticket/DNK e a Ticket deverá retornar com previsão e cronograma para dia 15 de maio._x000a__x000a_19/04 - Mesmo status. Agendado reunião dia 25/04 sobre estes pontos da Ticket._x000a__x000a_12/04 - Conforme contato com o ponto focal de TI do Site Lapa, não tivemos retorno da DNK sobre os servidores._x000a_Contanto, o cronograma está defasado. Foi solicitado atualização._x000a__x000a_04/04 -  Mesmo Status. Cronograma sendo seguido._x000a__x000a_28/03 - Mesmo Status. Cronograma sendo seguido._x000a__x000a_21/03 - Mesmo status._x000a__x000a_15/03 - Cronograma da DNK recebido e alinhado com TI.  _x000a_Início 15/04_x000a__x000a_07/03 - Mesmo status, aguardando retorno da DNK._x000a__x000a_01/03 - DNK informou que irão enviar novo cronograma para sequencia da demanda. Foi solicitado por TI envio com 72 horas de antecendência, para organização de todas as frentes._x000a__x000a_23/02 - Carlos reportou que DNK e Cliente tiveram reunião na sexta 19/02 e fizeram um cronograma, aguardando o mesmo._x000a__x000a_15/02 - Mesmo Status. Cronograma realizado junto ao CSE e Suporte Site. Dead line 17/02_x000a__x000a_10/02 - Cronograma realizado junto ao CSE e Suporte Site. Dead line 17/02_x000a__x000a_02/02 - CSE já está atuando no sentido de preparar a Infra no ambiente, interação com Controle de Ativos para esta necessidade._x000a__x000a_26/01 - Aguardando cronograma do CSE  em relação a preparação de Infra para os servidores da DNK._x000a__x000a_21/01 - Definido as ações abaixo, ainda aguardando retorno do Item 1._x000a__x000a_1. O servidores serão disponibilizados pela própria DNK – Definição dos servidores nesta Seg 18/01._x000a_2. A instalação e configuração serão realizadas pela DNK_x000a_3. Precisamos informar para a  DNK os IPs dos servidores  10.51.0.83/23 e 10.51.84./23 (descritos na topologia)_x000a_4. Necessário a  passagem de cabeamento dos core ate os servidores_x000a_5. No firewall já existem uma regras,  para  validar o é necessário efetuar testes em conjunto com a DNK_x000a_-----------------------------------------------_x000a__x000a_18/12 - Prazo de Engenharia: _x000a_14/12 à 05/01/2016_x000a__x000a_08/12 - Conforme padrão, foi enviado para Fila de ENG com todo  o escopo detalhado da demanda. Aguardando Prazo para análise"/>
    <s v="Operação / Fornecedor Uranet"/>
    <s v="Carlos / Cibele"/>
    <d v="2016-05-20T00:00:00"/>
    <s v="Implantação"/>
    <m/>
    <n v="150"/>
  </r>
  <r>
    <s v="CTXSPOLP-115119"/>
    <s v="Projeto - URANET - Ticket "/>
    <s v="SP - Operação Site Antártica_x000a_SP - Infra Site Lapa"/>
    <s v="Plano Recuperação"/>
    <x v="0"/>
    <s v="Noemia Ferro"/>
    <s v="Maurício Perez"/>
    <s v="Erica Cotrim"/>
    <s v="Carlos Batista"/>
    <x v="1"/>
    <d v="2015-11-18T16:03:00"/>
    <n v="184.33125000000291"/>
    <d v="2015-12-02T00:00:00"/>
    <s v="Não "/>
    <s v="TBD"/>
    <s v="TBD"/>
    <s v="TBD"/>
    <m/>
    <s v="17/05 - Os testes na operação seriam no dia 12/05 porém devido ao atraso do treinamento, não ocorreu. Foi solicitado a atualização do cronograma._x000a__x000a_10/05 - Treinamento para administração do Mailing  está sendo realizado hoje. Posteriormente será o início da operação utilizando mailing de teste._x000a_Aguardando retorno da Uranet._x000a__x000a_03/05 - Sem retorno do fornecedor, aguardando._x000a__x000a_25/04 - Reunião a ser agendada por Cibele com o time de projeto do lado da Ticket, para levantar histórico e situação atual do projeto, para prover respostas pendentes para a Contax e demais atividades._x000a__x000a_19/04 - Aguardando retorno da operação, perante a homologação._x000a__x000a_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_x000a_Aguardando retorno do solicitante para os testes na operação._x000a__x000a_04/04 - Durante a segunda parte da conferência entre as áreas de TI Contax e URANET, foi identificada a necessidade de realizar uma configuração extra nos links para garantir a automatização da solução em caso de queda de um destes links._x000a_Engenharia TI atuando no novo desenho da solução_x000a__x000a_28/03 - Cronograma alterado: Início: 23/03 Seg  -  Fim: 01/04 Qua_x000a__x000a_21/03 - Cronograma alterado: Início: 28/03 Seg  -  Fim: 08/04 Qua_x000a__x000a_15/03 - Prazo TI _x000a_Início: 15/03 Seg  -  Fim: 08/04 Qua_x000a__x000a__x000a_07/03 - Solicitado a atualização do cronograma porTI Site._x000a__x000a_01/03 - Tivemos uma ativação de circuito Oi no site Lapa. Cronograma seguindo conforme previsto._x000a__x000a_23/02 - Cronograma de TI sendo seguido . Início: 15/02 Seg  -  Fim: 11/03 Qua.  _x000a__x000a_10/02 - Cronograma realizado junto ao CSE e Suporte Site. Dead line 11/03_x000a__x000a_02/02 - CSE já está atuando no sentido de preparar a Infra no ambiente, interação com Controle de Ativos para esta necessidade._x000a__x000a_26/01 - Aguardando o cronograma de CSE perante as preparações de Infra. Em paralelo estamos interagindo com  a operação perante algumas pendências de informações para análise de Engenharia Telecom._x000a__x000a_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_x000a__x000a_• Instalar um novo switch extranet     (Modelo sugerido 3560G 24portas )._x000a_• Dois roteadores ( 3845, 2811, 1841, 2851) ._x000a_• Passagem de cabo do firewall até o novo extranet, passagem de cabo do extranet até os novo roteadores, passagem de cabo dos nossos roteadores até o equipamento das operadoras Algar e Oi ._x000a_• Na topologia contem as informações para configurar o extranet e os dois roteadores,  segue também um txt com as regras de firewall e roteamento, as liberações também envolvem a comunicação do nosso PABX com o PABX da Uranet as regras estão no txt.  _x000a_• Verificar com Microsoft para  cadastrar os endereços no DNS._x000a_Foi solicitado cronograma ao CSE perante as ações acima._x000a_-----------------------------------------------------------_x000a_18/12 - Prazo de Engenharia: _x000a_14/12 à 05/01/2016_x000a__x000a_08/12 - Conforme padrão, foi enviado para Fila de ENG com todo  o escopo detalhado da demanda. Aguardando Prazo de ENG."/>
    <s v="Operação / Fornecedor Uranet"/>
    <s v="Carlos / Cibele"/>
    <d v="2016-04-29T00:00:00"/>
    <s v="Homologação"/>
    <m/>
    <n v="100"/>
  </r>
  <r>
    <s v="CTXPOARB-85984"/>
    <s v="Projeto RTI - Registro da Ocorrência de Callback"/>
    <s v="POA e Santo Amaro"/>
    <s v="Plano Recuperação"/>
    <x v="5"/>
    <s v="Rodrigo Zambon"/>
    <s v="Leonardo Pelegrino"/>
    <s v="Juliana Moraes"/>
    <s v="Juliano Molina"/>
    <x v="2"/>
    <d v="2015-03-27T00:00:00"/>
    <n v="421"/>
    <d v="2015-08-01T00:00:00"/>
    <s v="Sim"/>
    <s v="-"/>
    <d v="2016-08-01T00:00:00"/>
    <s v="Sim"/>
    <m/>
    <s v="[16/05] - UAT será iniciado no dia 16 para validação da funcionalidade e medição do TMA, no entanto, devido ao problema de conectividade do RTI com a tela de callback, a operação solicitou o congelamento do projeto até a que a Nice nos envie uma solução. _x000a_[09/05] - Em desenvolvimento. Há algumas questões encotradas durante o ajuste da solução que deverão ser tratadas pela NICE. Solicitamos um call em 09/05/16 para informar as questões e definir UAT. _x000a_[03/05] - Em desenvolvimento_x000a_[25/04] - Iniciado o desenvolvimento conforme previsto. _x000a_[18/04] - Aguardando desenvolvimento. Inicio em 25/04. _x000a_[11/04] - Aguardando desenvolvimento. _x000a_[04/04] Datas de desenvolvimento replanejada devido ao remanejamento de recursos para a execução das demandas de Claro. Datas de UAT precisam ser validadas com a operação._x000a_[29/03] - Terá impacto no desenvolvido, pois o recurso foi alocado no projeto da Claro. Prazo para novas datas de desnvolvimento  4/4_x000a_[22/03] Aguardando inicio dos desenvolvimentos, conforme cronograma publicado. _x000a_[15/03] Aguardando inicio do desenvolvimento. Data de UAT sugerida de 28/04 a 04/05/16. Aguardando confirmação de datas de piloto e rollout por PMO-Negócio. _x000a_Data fim de desenvolvimento agora está considerando testes internos. Não impacta as demais datas. _x000a_[08/03] - Desenvolvimento dos ajustes foram reagendados para 06/04/16 a 19/04/16. Sugestão de datas de Homologação de 29/04/16 a 07/06/16                                                   01/03/16: Pendente resposta do fornecedor. _x000a_22/02/16: Homologação do Callback não aprovada pela operação. Nos dias 24 e 25, TI fará análise técnica in loco para determinar as próximas ações e replanejamento. _x000a_10/02 - Piloto inconclusivo. Negócio deve confirmar o roll out... Aguardando_x000a_10/02 - Mesmo status_x000a_05/02 - Homologação &quot;Call Back&quot; não aprovada pela operação. Piloto estendido até 12/02. Demais OK_x000a_01/02: Aguarda a definição de negócio quanto a prioridade de projetos. Retrofit x RTI para definir a data do rollout.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Mariana APP_x000a_25/11 - • O projeto está previsto para ser tratado por ENG somente do dia 08/12 a 14/12 (quando a previsão inicial era para conclusão até o dia 27/11)_x000a_• Necessário rever atividades com CSE e site para novo cronograma de entrega_x000a_• Como a complexidade é alta, será realizado o projeto primeiramente no site de Navegantes para depois avançarmos para Santo Amaro e Aurora_x000a__x000a_24/11 – Encaminhamos ao PMO-TI um alerta de risco de atraso pois precisamos das atividades de ENG, CSE e Site prontos até dia 27/11_x000a_[17/11] Cronograma alinhado. Parte de desenvolvimento já concluída. Aguardando resposta de ENG com as datas de implantação._x000a_Como o projeto é de alta complexidade, ocorrerá o piloto no site de navegantes, onde já temos cronogramas.  Para os sites de Aurora-PE e Santo Amaro-PE serão realizados depois do Freezing e do piloto -&gt; Cronograma a ser realizado_x000a_[27/10 – Leandro] disponibilizado um login único provisório para continuidade da equipe de RTI em 27/10  / em paralelo suporte negócio continuará tentar viabilizanr com a NET um login definitivo para uso de RTI)_x000a__x000a_[20/10 – Leandro] Alteração dos logins que serão usados para os testes e desenvolvimentos. Suporte ao Negócio interagindo com com NET para habilitação dos logins.  (ainda aguardando)_x000a_[13/10 – Leandro] Alteração dos logins que serão usados para os testes e desenvolvimentos. Suporte ao Negócio interagindo com com NET para habilitação dos logins. _x000a__x000a_[5/10 – Leandro] Identificado a necessidade de abertura automática do registro.  Automação de processos aguardando passo a passo do processo de abertura de call-back pelo operador, para ajustar o desenho do TO BE e o desenho da solução. _x000a_[28/09 - Leandro] Automação de Processos está tocando o detalhamento do processo, os mesmos solicitaram o apoio de Juliano Molina para auxilia-los, o mesmo já retornou com documento._x000a_[17/09 – Cleonice] Aguardando recurso para realizar a análise da documentação e disponibilizar cronograma de desenvolvimento."/>
    <s v="Aplicações"/>
    <s v="Mariana"/>
    <d v="2016-04-27T00:00:00"/>
    <s v="Desenvolvimento"/>
    <d v="2015-08-01T00:00:00"/>
    <n v="1500"/>
  </r>
  <r>
    <s v="CTXPOARB-94401"/>
    <s v="RTI - Verificar e validar Lançamentos Futuros para Reembolso"/>
    <s v="POA e Santo Amaro"/>
    <s v="Plano Recuperação"/>
    <x v="5"/>
    <s v="Rodrigo Zambon"/>
    <s v="Leonardo Pelegrino"/>
    <s v="Juliana Moraes"/>
    <s v="Juliano Molina"/>
    <x v="2"/>
    <d v="2015-09-30T00:00:00"/>
    <n v="234"/>
    <d v="2015-10-07T00:00:00"/>
    <s v="Sim"/>
    <d v="2016-03-17T00:00:00"/>
    <d v="2016-06-24T00:00:00"/>
    <s v="Sim"/>
    <m/>
    <s v="[16/05] - Piloto iniciado em 16/5_x000a_[09/05] - UAT finalizado. Será realizado um call para definição do piloto em 10/05/16._x000a_[03/05] - Mesmo status_x000a_[25/04] - UAT em andamento._x000a_[18/04] - UAT em andamento._x000a_ [11/04] Desenvolvimento finalizado em 05/04/16. UAT iniciada em 07/04/16, conforme cronograma. _x000a_[04/04]  Solicitado à operação para informar hostname e responsável pelo UAT.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rocesso de assessment concluído, com entrega da solução a ser desenvolvida prevista para dia 26/01._x000a_18/01 - Início do assessment reagendado para 18/01 a pedido da Operação. Afetando demais datas do projeto_x000a_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
    <s v="Solicitante"/>
    <s v="Juliano Molina"/>
    <m/>
    <s v="Homologação"/>
    <d v="2016-06-24T00:00:00"/>
    <m/>
  </r>
  <r>
    <s v="CTXPOARB-94402"/>
    <s v="RTI - Aviso sobre abertura/geração de ocorrências duplicadas no N1"/>
    <s v="POA e Santo Amaro"/>
    <s v="Plano Recuperação"/>
    <x v="5"/>
    <s v="Rodrigo Zambon"/>
    <s v="Leonardo Pelegrino"/>
    <s v="Juliana Moraes"/>
    <s v="Juliano Molina"/>
    <x v="2"/>
    <d v="2015-09-30T00:00:00"/>
    <n v="234"/>
    <d v="2015-10-07T00:00:00"/>
    <s v="Sim"/>
    <d v="2016-03-17T00:00:00"/>
    <d v="2016-06-24T00:00:00"/>
    <s v="Sim"/>
    <m/>
    <s v="[16/05] - Piloto iniciado em 16/5_x000a_[09/05] - UAT finalizado. Será realizado um call para definição do piloto em 10/05/16._x000a_[03/05] - Mesmo status_x000a_[25/04] - UAT em andamento._x000a_[18/04] - UAT em andamento. _x000a_[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 _x000a_[15/03] - Mesmo status_x000a_[08/03 - Em desenvolvimento   _x000a_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10/02 - Mesmo status_x000a_05/02 - Recebida revisão do documento em 05/02 e está em avaliação pelo time interno. Nova data de início do desenvolvimento será definida até dia 12/02_x000a_01/02: Assessment realizado por terceiro não atendeu aos requisitos mínimos para desenvolvimento. Reunião para envio de complementos agendada para 01/02/16 com impacto na data inicial do desenvolvimento. Nova da data a ser definida até 05/02/16._x000a_26/01: Devido à incremento de escopo, tempo de desenvolvimento replanejado._x000a_18/01 - Devido à incremento de escopo, tempo de desenvolvimento replanejado._x000a_Solicitante respondeu EF ontem (dia 23/11) e no mesmo dia, após avaliação de TI, encaminhamos ao fornecedor para obter a proposta comercial_x000a_[23/11] EF encaminhada. O próximo passo agora é enviar os documentos recebidos na sexta-feira para o fornecedor, que nos enviará a proposta comercial para ser aprovada. O fornecedor está levando em média de 5 a 7 dias úteis para nos retornar._x000a_[16/11] Aguardando retorno do solicitante."/>
    <s v="Solicitante"/>
    <s v="Juliano Molina"/>
    <m/>
    <s v="Homologação"/>
    <d v="2016-06-24T00:00:00"/>
    <m/>
  </r>
  <r>
    <s v="CTXPOARB-94403"/>
    <s v="RTI - PopUP no momento da geração de Visita Técnica e abertura de IE"/>
    <s v="POA e Santo Amaro"/>
    <s v="Plano Recuperação"/>
    <x v="5"/>
    <s v="Rodrigo Zambon"/>
    <s v="Leonardo Pelegrino"/>
    <s v="Juliana Moraes"/>
    <s v="Juliano Molina"/>
    <x v="2"/>
    <d v="2015-09-30T00:00:00"/>
    <n v="234"/>
    <d v="2015-10-07T00:00:00"/>
    <s v="Sim"/>
    <d v="2016-03-17T00:00:00"/>
    <d v="2016-06-24T00:00:00"/>
    <s v="Sim"/>
    <m/>
    <s v="[16/5] - Piloto iniciado 16/5_x000a_[09/05] - UAT finalizado. Será realizado um call para definição do piloto em 10/05/16._x000a_[03/05] - Mesmo status_x000a_[25/04] - UAT em andamento._x000a_[19/04] - UAT em andamento_x000a_[11/04] Desenvolvimento finalizado em 05/04/16. UAT iniciada em 07/04/16, conforme cronograma. _x000a_[04/04] Solicitado à operação para informar hostname e responsável pelo UAT. _x000a_[29/03] - Mesmo status_x000a_[22/03] Em desenvolvimento. Datas de UAT, Piloto e Rollout confirmadas pela operação._x000a_[15/03] - Mesmo status_x000a_[08/03] - Em desenvolvimento   _x000a_ 01/03/16: Em desenvolvimento, não há pendências. TO BE aprovado em 23/02._x000a_22/02/16: Operação solicitou adequação no TO BE. Previsto para envio para aprovação até 26/02._x000a_15/02/16 - Betta enviou nova documentação em 12/02/16. Em avaliação até 16/02/16. Inicio do desenvolvimento em 17/02/16. _x000a_11/02 - Betta... Visão do cronograma pela Betta até dia 12/02... Seguidamente TI deve dar um status_x000a_01/02: Assessment realizado por terceiro não atendeu aos requisitos mínimos para desenvolvimento. Reunião para envio de complementos agendada para 01/02/16 com impacto na data inicial do desenvolvimento. Nova da data a ser definida até 05/02/16.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Fornecedor BETTA respondeu a proposta em 17/11, porém a proposta do fornecedor veio incompleta – Aguardando nova proposta 24/11_x000a_[16/11] Enviamos solicitação para proposta comercial de fornecedro BETTA – Aguardando proposta"/>
    <s v="Solicitante"/>
    <s v="Juliano Molina"/>
    <m/>
    <s v="Homologação"/>
    <d v="2016-06-24T00:00:00"/>
    <m/>
  </r>
  <r>
    <s v="CTXPOARB-95442"/>
    <s v="RTI - Preenchimento automático do Infomaker"/>
    <s v="POA e Santo Amaro"/>
    <s v="Plano Recuperação"/>
    <x v="5"/>
    <s v="Rodrigo Zambon"/>
    <s v="Leonardo Pelegrino"/>
    <s v="Juliana Moraes"/>
    <s v="Juliano Molina"/>
    <x v="2"/>
    <d v="2015-10-21T00:00:00"/>
    <n v="213"/>
    <d v="2015-10-22T00:00:00"/>
    <s v="Sim"/>
    <m/>
    <d v="2016-06-18T00:00:00"/>
    <s v="Sim"/>
    <m/>
    <s v="[16/05] - Desenvolvimento concluído. UAT será iniciado em 16/05. _x000a_[10/05] - Mesmo desenvolvimento_x000a_[03/05] - Mesmo status_x000a_[25/04] - Desenvolvimento em andamento_x000a_[18/04] - Desenvolvimento em andamento_x000a_ [11/04] - TO BE aprovado pela operação. Inicio do desenvolvimento em 11/04/16. _x000a_[04/04] TO BE enviado para aprovação da operação em 01/04/16; aguardando retorno da operação. Datas de desenvolvimento e UAT replanejadas devido ao remanejamento de recursos para a execução das demandas de Claro; datas de UAT precisam ser validadas._x000a_ [29/03] - To be iniciado. Previsto entrega dia 30/4. _x000a_[21/03] Aguardando inicio do desenho do TO BE, conforme cronograma publicado. _x000a_[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_x000a_ [08/03] - Operação retornou com EF complementar em 03/03/16. Novas datas de desenvolvimento e TO BE publicadas. Datas de Homologação 18/05/16 a 24/06/16 01/03/16: Mesmo status._x000a_22/02/16: Desenvolvimento da EF previamente enviada está concluído. Aguardando EF complementar ser enviada pela operação. _x000a_11/02 - Replanejado para dia 26/02_x000a_05/02 - Devido à incremento de escopo, tempo de desenvolvimento replanejado para 06/01 a 19/02_x000a_01/02: Piloto previsto para 25/02 à 07/03._x000a_26/01 – Piloto  em andamento sem problemas reportados no site Navegantes. Data  final estendida devido a necessidade  de testes nos sites de Recife, sem impacto no Rollout. _x000a_18/01 - Funcionalidade em  teste. Sugerida por operações a data de roll out com início em 16/02 em função do DMM. _x000a_24/11 - Juliano respondeu dia 19/11. Após avaliação de TI encaminhamos proposta para o fornecedor 24/11/15_x000a_[16/11] Aguardando retorno do solicitante."/>
    <s v="Aplicações"/>
    <s v="Mariana"/>
    <d v="2016-04-01T00:00:00"/>
    <s v="Em Desenvolvimento"/>
    <d v="2016-06-18T00:00:00"/>
    <m/>
  </r>
  <r>
    <s v="CTXPOARB-95467"/>
    <s v="RTI - Preenchimento automático texto padrão"/>
    <s v="POA e Santo Amaro"/>
    <s v="Plano Recuperação"/>
    <x v="5"/>
    <s v="Rodrigo Zambon"/>
    <s v="Leonardo Pelegrino"/>
    <s v="Juliana Moraes"/>
    <s v="Juliano Molina"/>
    <x v="2"/>
    <d v="2015-10-22T00:00:00"/>
    <n v="212"/>
    <d v="2015-10-22T00:00:00"/>
    <s v="Sim"/>
    <m/>
    <d v="2016-05-17T00:00:00"/>
    <s v="Sim"/>
    <m/>
    <s v="[16/05] - Mesmo status_x000a_[10/05] - Mesmo status_x000a_[03/05] - Em piloto_x000a_[25/04] - Iniciado piloto em 20/04_x000a_[19/04] - Piloto programado para iniciar dia 20/04_x000a_[11/04] UAT aprovado pela operação. Aguardando inicio do Piloto, de acordo com as datas definidas pela operação._x000a_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_x000a_[22/03] Inicio de UAT programado para as 14h do dia 22/03/16. Data de piloto confirmada pela operação._x000a_[14/03] Validar com os sites as datas para piloto e rollout._x000a_[08/03] - Rollout em Recife planejado do dia 08/03 a 18/03, porém a operação não aprovou as datas devido ao DMM. Aguardando novas datas para programarmos o rollout. 01/03/16: Pendente envio de cronograma. _x000a_22/01/16: Em desenvolvimento, não há pendências. Piloto antecipado em função do DMM da operação._x000a_05/02 - Em desenvolvimento até 19/02, porém o piloto foi antecipado para 29/02 a 09/03 devido ao DMM da operação_x000a_01/02: Piloto previsto para 29/02 à 09/03. Piloto foi antecipado a pedido de negócio devido ao DMM._x000a_26/01 - Mesmo status _x000a_18/01 - Devido à alteração da solução tecnico/operacional , necessário redesenho da solução técnica impactando início do desenvolvimento. _x000a_[16/11] Aguardando retorno do solicitante. EF com dados insuficientes para solicitar a Proposta Comercial."/>
    <s v="Solicitante"/>
    <s v="Juliano Molina"/>
    <m/>
    <s v="Piloto"/>
    <d v="2016-05-17T00:00:00"/>
    <s v="20 Pas"/>
  </r>
  <r>
    <s v="CTXSPOAP407-12333"/>
    <s v="TAM - Virtualização URA-BR   - (antigo: Ura Rec Voz )"/>
    <s v="Alegria/SP"/>
    <s v="Plano Recuperação"/>
    <x v="5"/>
    <s v="Rodrigo Zambon"/>
    <s v="Leonardo Pelegrino"/>
    <s v="Paulo Cavalcante"/>
    <s v="Fabrício Peixoto"/>
    <x v="5"/>
    <d v="2015-09-03T00:00:00"/>
    <n v="261"/>
    <d v="2015-08-01T00:00:00"/>
    <s v="Não"/>
    <s v="TBD"/>
    <s v="TBD"/>
    <s v="TBD"/>
    <m/>
    <s v="[17/05] - Liberações de redes executadas. Aguardando retorno do fornecedor ISYS, sobre testes de acesso ._x000a_Proximos passos: Fornecedor entregar plano de Ação para Validação (Testes e RollOut ) para novo ambinete URA._x000a__x000a_.[10/05] - Pendências de Liberações de redes executada. Necessario cobrar retorno do fornecedor; _x000a__x000a_[03/05] - Pendências de Liberações de redes executada. Necessario solicitar novos testes com o fornecedor; _x000a__x000a_[26/04] - Pendências de Liberações de redes para prosseguimento ações ISYS (Homologação Infra/Aplicação). Solicitado apoio CSE (emial em18/04, com informações)_x000a__x000a_[19/04] - Pendências de Liberações de redes para prosseguimento ações ISYS (Homologação Infra/Aplicação). Solicitado apoio CSE (emial em18/04, com informações)_x000a_[12/04] - Problemas de redes Contax,  inviabilizaram testes dia 06/04. _x000a_Nova data proposta para retomada dos testes com ISYS ( 13/04] ._x000a_Fase Atual - Homologação da Plataforma e da Nova Aplicação. [previsto até 25/04 ]_x000a_1) Plano de Ação para homologação Aplicação, será apresentado pela ISYS após homologação da nova plataforma._x000a__x000a_[05/04] - Agendado Teste de Homologação da Plataforma com Fornecedor ISYS ( 06/03 - 14HS ). _x000a_Proxima etapa - Plano de Açã opara testes de Homologação Aplicação na nova Plataforma._x000a__x000a_[29/03] -  Ambiente disponibilizado para testes . Solicitado esclarecimentos para fornecedor ISYS sobre Plano de ação para homologação (Login Agent) . Ag. retorno para dar inicio aos testes,_x000a__x000a_[22/03] -  Entrega ambnte para para testes tecnicos planejado para 23/03. O fornecedor enviará o plano de ação para a homologação da nova infra até 22/03._x000a_Fase de validação por Negócios, para as informações  solicitdas pelo Fornecedor YSYS, para configuração do novo ambinete URA  (Plano de rollout)  [Logins, vdns e skill, hostnames pa's ativas]_x000a__x000a_[15/03] - Desenvolvimento em andamento pela ISYS. Aguardando agendda do Cliente para alinharmos a criação do  plano de Ação para Rollout ambiente._x000a__x000a_ [11/03] - Problemas de redes e Infra CTX, resolvidos em 10/03. Solicitado testes e atualizaão do Cronograma, para fornecedor ISYS. Impacto estimado de 8 dias . Nova data entrega ambiente para homologação TAM - 23/03_x000a__x000a_[08/03] - Solucionados problemas de Infra (redes) no ambiente Contax._x000a_Fornecedor retomou a etapa de instalação componentes para prosseguir com desenvolvimento._x000a_Impacto no Cronograma  (Atraso) : +/-  15 dias_x000a__x000a_[29/02] - Ponto Atenção (Atraso) - Identificamos problemas Infra Contax e está sendo tratado pela equipe Tecnica. _x000a_Impacto direto no tempo de desenvolvimento do fornecedor URA ( 10 dias )_x000a_ até momento._x000a_Expectativa de Conclusão: até 04/03_x000a__x000a_[23/02] - Desenvolvimento URA sendo executado pelo fornecedor, conforme planejado. Data prevista para disponibilização da ferramenta para testes ( 15/03 )._x000a__x000a_[16/02] - Desenvolvimento URA sendo executado pelo fornecedor, conforme planejado. Data prevista para disponibilização da ferramenta para testes ( 15/03 )._x000a__x000a_[10/02] - Desenvolvimento URA sendo executado pelo fornecedor, conforme planejado. Data prevista para disponibilização da ferramenta para testes ( 15/03 )._x000a__x000a_02/02 - Desenvolvimento sendo realizado pelo fornecedor, conforme planejado. Data prevista para disponibilização da ferramenta é 15/03._x000a__x000a_[29/01] - Aguardando status atualizado do cronograma de desenvolvimento da URA (Fornecedor ISYS)_x000a__x000a_[26/01] - Em andamento Desenvolvimento._x000a__x000a_[21/01] - Em andamento. Fase de Desenvolvimento pelo Fornecedor ISYS até 15/03. Cronograma d eentrega replanejado, devido a imprevistos de Infra Contax. Nova data informada no status de 21/01._x000a_Proxima etapa será homologação TAM (30DIAS) _x000a__x000a_[18/12] - Aguardando conclusão de liberações de acesso para Fornecedor ISYS [ LW - CSE ], previsão conclusão 18/12._x000a_O fornecedor ISYS iniciará desenvolvimento dia 04/01. Previsão de disponibilização do ambiente para Homologação da TAM em 02/03/16._x000a__x000a_[01/12] Servidores OK. Previsão de liberação na rede em 2/12._x000a_Pendente informação dos logins dos analistas pela ISYS para liberação do acesso nos novos servidores._x000a_Pendente status da disponibilização do AES_x000a_Cronograma enviado para atualização pela ISYS._x000a__x000a_[25/11] Aguardando retorno do Marangoni (área de Segurança) quanto alguns questionamentos realizados_x000a_Cliente está cobrando posicionamento_x000a__x000a_[18/11] Projeto está com as filas executoras e cronograma já foi feito._x000a_Necessário cobrar atividades de CSE, as mesmas não estão sendo pontuadas por eles._x000a__x000a_[15/10 – Leandro] Cronograma enviado em 20/10_x000a__x000a_[5/10 – Leandro]  Novo call envolvendo áreas técnicas  e cliente realizado dia 5/10. Próximos passos: cada área enviar suas lista  de atividades para montagem do cronograma._x000a_[18/09 – Dalton] Cronograma disponibilizado pelo Thiago Ferreira em 16/Set, neste momento estamos aguardando a definição do range de IPs pela equipe do Felipe Villa. _x000a_[28/09 - Leandro] Retorno pendente de ENG. Faremos um follow-up e cobrança desse assunto para prosseguimento."/>
    <s v="Fornecedor ISYS"/>
    <s v="Marcel/Priscila"/>
    <s v="ND"/>
    <s v="Desenvolvimento/Execução"/>
    <d v="2016-03-30T00:00:00"/>
    <n v="600"/>
  </r>
  <r>
    <s v="CTXSPOAP407-12458"/>
    <s v="Pesquisa de Satisfação Eletrônica URA"/>
    <s v="Antártica/SP"/>
    <s v="Operações que não estão no Plano de Recuperação"/>
    <x v="6"/>
    <s v="Noemia Ferro"/>
    <s v="Maurício Perez"/>
    <s v="Bruno Guerra"/>
    <s v="George Dimitrov"/>
    <x v="5"/>
    <d v="2015-09-09T00:00:00"/>
    <n v="255"/>
    <d v="2015-08-01T00:00:00"/>
    <s v="TBD"/>
    <s v="TBD"/>
    <s v="TBD"/>
    <s v="TBD"/>
    <m/>
    <s v="17/05 - Mesmo status_x000a_11/05 - Mesmo status_x000a_04/05 - Aguardando aprovação do solicitante_x000a_27/04 - Aguardando aprovação_x000a_19/04 - Proposta enviada pela ISYS e necessário inclusão na fila de ENG (equipe de infra se é possível disponibilizar um Servidor de Banco de Dados ou se já temos um disponível sendo usado pela operação)_x000a_13/04 - Mesmo status_x000a_06/04 - Mesmo status_x000a_01/04 - Questionamentos enviados pela Information no dia 21/03. _x000a__x000a_Aguardando resposta do Santander_x000a__x000a_29/03 - Mesmo status_x000a_15/03 - Mesmo status_x000a_08/03 - Mesmo status_x000a_29/02 - Aguardando geração de pedido_x000a_22/02 - Mesmo status_x000a_16/02 - Aguardando DE ACORDO do solicitante em relação a proposta enviada pelo fornecedor_x000a_10/02 - Mesmo status_x000a_02/02 - Mesmo status_x000a_[28/01] - Aguardando aceite por parte do solicitante_x000a_[26/01] Aguardando proposta da ISYS_x000a_[26/11] Solicitação de proposta técnica/comercial para a Information. Aguardando retorno_x000a_[18/11] Pendente informações por parte de negócios (George / Veronica / Noemia)_x000a_14/10]] Análise de orçamento junto a Information Systems_x000a_[19/09 - Dalton] – encaminhado para George questionamentos levantados pela information, aguardando retorno._x000a_[18/09 - Dalton] Aguardando análise e orçamento da Information."/>
    <s v="Solicitante"/>
    <s v="George Dimitrov"/>
    <s v="Sem previsão"/>
    <s v="Desenvolvimento/Execução"/>
    <m/>
    <m/>
  </r>
  <r>
    <s v="CTXSPOBF-119863"/>
    <s v="Melhoria Relatório Screen Pop"/>
    <s v="Antártica/SP"/>
    <s v="Operações que não estão no Plano de Recuperação"/>
    <x v="6"/>
    <s v="Noemia Ferro"/>
    <s v="Maurício Perez"/>
    <s v="Bruno Guerra"/>
    <s v="George Dimitrov"/>
    <x v="0"/>
    <d v="2015-06-12T15:48:00"/>
    <n v="343.34166666666715"/>
    <d v="2015-08-01T00:00:00"/>
    <s v="Sim"/>
    <s v="-"/>
    <s v="06/05/2016_x000a_19/05/2016"/>
    <s v="Sim_x000a_Sim"/>
    <m/>
    <s v="17/05 - Mesmo status_x000a_11/05 - Reprogramado devido solicitação da operação. A homologação foi remarcada para dia 19/05, marcaremos a entrega de atualização da nova versão do SPOP em todas as PAS da operação no dia 31/05._x000a_04/05 - Homologação marcada para dia 06/05 para finalização do projeto._x000a_29/04 - Testes realizados e OK..._x000a_01/04 - Cronograma em andamento. Previsão de entrega - 13/05_x000a_29/02 - Desenvolvimento pela ISYS previsto para terminar em 15/04. Após isso será disponibilizado para testes e homologação. Depois de homologado, entrará as atividades do site TI prevista para início em 02/05_x000a_22/02 - Mesmo status_x000a_16/02 - Information repassou o Cronograma de desenvolvimeto da aplicação. Devido a complexibilidade, recebemos a previsão de implantação em produção em 13/05. Já alinhado com a operação (Veronica)._x000a__x000a_10/02 - Cronograma elaborado e andando conforme_x000a_02/02 - Aguardando elaboração de cronograma pela ISYS_x000a_[26/01] Pedido gerado. Aguardando cronograma da ISYS para execução_x000a_[17/11] Solicitações de compras geradas -&gt; Aguardando aprovações no fluig -&gt; Falta Ibrahim_x000a_[27/10– Bruno/Leandro] Em tratativa com controladoria  referente a SC, Information aguardando esse trâmite interno para dar inicio ao cronograma por parte deles._x000a__x000a_[05/10 – Dalton/Leandro] Aguardando o “de acordo” do Cliente referente à Proposta da Information Systems para prosseguir com o Projeto._x000a_[18/09 – Leandro] Aguardando o “de acordo” do Cliente referente à Pr Assim que se tiver esses usuários, se dará inicio nas movimentações.oposta da Information Systems para prosseguir com o Projeto."/>
    <s v="Solicitante"/>
    <s v="George Dimitrov"/>
    <d v="2016-05-06T00:00:00"/>
    <s v="Desenvolvimento/Execução"/>
    <m/>
    <m/>
  </r>
  <r>
    <s v="CTXSPOBF-124602"/>
    <s v="Discador para Ciclo de Vida e Finauto"/>
    <s v="Alegria/SP"/>
    <s v="Operações que não estão no Plano de Recuperação"/>
    <x v="6"/>
    <s v="Noemia Ferro"/>
    <s v="Carlos Batista"/>
    <s v="Paulo Cavalcante"/>
    <s v="George Dimitrov"/>
    <x v="0"/>
    <d v="2015-08-31T00:00:00"/>
    <n v="264"/>
    <d v="2015-08-01T00:00:00"/>
    <s v="Não"/>
    <s v="TBD"/>
    <s v="TBD"/>
    <s v="TBD"/>
    <m/>
    <s v="[17/05] - EF esta sendo validada pela equipe de Aplicações, retorno previsto 18/05._x000a__x000a_[03/05] Servidor a ser concluido por CSE ainda pendente. Cal realizada para tirar duvidas sobre EF._x000a__x000a_[03/05] Servidor a ser concluido por CSE em 04/05. Novas duvidas levantadas por aplicações a serem encaminhadas para solicitante._x000a__x000a_[26/04] A etapa de disponibilização da infra está em execução e terá seus servidores entregues no dia de terça-feira(27/04)._x000a_Ao consultar o cronograma do projeto, notei que ele ainda não existe data do desenvolvimento, por estar em analise do time de aplicações dos itens que estavam pendentes da EF. Ainda sem previsão de retorno. Email para Marcelo Guedes._x000a__x000a_[19/04] - Aguardando Cronograma CSE._x000a__x000a_[12/04] - Infra Servidores definida por Arquitetura e EF fase final de validação por Aplicações. Encaminhando para fila de Execução (CSE). Proximo passo avaliação e definição de  esforço, insumo e Cronograma de execução ( Criação Maquinas)_x000a__x000a_[05/04] - Esclarecimentos da EF ( solicitante) recebidos em 05/04 e encaminhados  para equipe Tecnica Aplicações. . Em paralelo , equipe Engenharia avaliando premissas de Infra TI par aatender a nova Aplicação._x000a__x000a_[29/03] -  Pendencia Solicitante  - Aguardando  retorno do solicitante para os esclarecimentos a EF._x000a__x000a_[22/03] - Aguardando  retorno do solicitante para os esclarecimentos a EF._x000a_Projeto direcionado para fila de Engenharia para validação de primissas de Infra estrutura solicitadas por Aplicações ._x000a__x000a_[15/03] - EF recebida em  10/03. Projeto encaminhado para fila de Aplicações. (Aguardando analise EF e mapeamento de esforço e necessidade insumos TI._x000a__x000a_[11/03] - EF recebida em 10/03. Considerações e questionamentos esclarecidos com Solicitando. Aguardando validação da EF com Operação . Proximo passo - encaminhar EF para analise da equipe de Aplicações._x000a_Solicitante informado que o projeto será encerrado em 09/03, pois ainda não consta EF. _x000a__x000a_[29/02] - Aguardando EF com escopo atualizado._x000a__x000a_[23/02] - Mudança de Escopo. Entendimento Escopo do projeto realizado com equipe Projeto Negocios (George) e GerOperação (Veronica). Aguardando EF atualizada para _x000a_direcionar projeto para fila de Aplicações. Necesidade: Front End integrada com discador com possibilidade de discagem manual. Mantendo mesmas funcionalidades da aplicação atual em produção._x000a__x000a_[16/02] - Avaliando proposta Tecnica TQS com equipe Aplicações._x000a__x000a_[10/02] - Avaliando proposta tecnica do fornecedor ._x000a__x000a_[02/02] - Necessário levantar maiores esclarecimentos com C. Sasaki e Engenharia (Telecom), para esclarecer escopo e como foi elaborada a proposta Comercial do fornecedor TQS._x000a_Avaliar com fornecedor a possibilidade de execução piloto sem custos._x000a__x000a_[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_x000a__x000a_[26/01] - sEM ALTERAÇÃO._x000a__x000a_[21/01] - Proposta Comercial Contax encaminhada para aprovação do cliente Santander em 02/12 ( Solução TQS). Ainda não obtivemos retorno sobre a aprovação. O cliente solicitou a realização de um Piloto antes da aprovação da Proposta._x000a_Solução FF descartada, pois o escopo contempla Operação Blended e o FF não foi customizado para operações Bended. (C. Sasaki - 21/01)_x000a__x000a_[17/11 - George] Solicitada nova proposta comercial para a Ayty. Finalizando documentação da operação para orçamento._x000a__x000a__x000a_[14/10 – Dalton/Leandro] Pontos de atenção:_x000a_-Aprovação proposta TQS pelo solicitante  Esclarecido dúvidas sobre TQS / aguardando decisão da possibilidade de um benck mark em outro cliente)_x000a_-Desenho da topologia (Pendente com ENG)._x000a_-Preenchimento Quadro TODO´s (George complementou itens referentes a ele.)._x000a__x000a_[05/10 – Dalton/Leandro] Pontos de atenção:_x000a_-Aprovação proposta TQS pelo solicitante (Pendente conversa entre Suporte ao Negócio/Projetos/Aplicações) para esclarecer a necessidade de se contratar a TQS._x000a_-Desenho da topologia (Pendente com ENG)._x000a_-Preenchimento Quadro TODO´s (Necessário apoio George)._x000a_[23/09 - Leandro] Washington realizou a análise do discador e decidiu-se pelo Aspect 7.1._x000a_Próximos passos antes da execução:_x000a_Orçamento TQS; _x000a_Desenho da topologia;_x000a_Saber-se se o Link é do cliente ou não._x000a__x000a_[18/09 – Leandro] Ainda encontra-se em análise pela equipe de CSE e aplicações_x000a_[16/09 - Leandro] Realizando levantamento com área de CSE sobre a viabilidade do uso das ferramentas APC ou Aspect para atender a demanda_x000a_"/>
    <s v="APP/CSE"/>
    <s v="Fernanda / LW"/>
    <s v="ND"/>
    <s v="Desenvolvimento/Execução"/>
    <s v="ND"/>
    <m/>
  </r>
  <r>
    <s v="CTXSPOBF-98975"/>
    <s v="Topologia tGuindance"/>
    <s v="Alegria/SP"/>
    <s v="Operações que não estão no Plano de Recuperação"/>
    <x v="6"/>
    <s v="Noemia Ferro"/>
    <s v="Carlos Batista"/>
    <s v="Juliana Moraes"/>
    <s v="George Dimitrov"/>
    <x v="0"/>
    <d v="2014-07-24T00:00:00"/>
    <n v="667"/>
    <d v="2015-08-01T00:00:00"/>
    <s v="Não"/>
    <s v="TBD"/>
    <s v="TBD"/>
    <s v="TBD"/>
    <m/>
    <s v="[16/05] - Mesmo status_x000a_[10/05] - Mesmo status_x000a_[03/05] - Mesmo status_x000a_[25/04] - Mesmo status_x000a_[19/03] - Mesmo status_x000a_[12/4] - Aguardando aprovação do cliente _x000a_[4/4] - Cliente solicita os logs em documento. Solicitado informações a equipe de MS. [29/03] - Mesmo status_x000a_[22/3] - Mesmo Status_x000a_[15/03] - Mesmo status_x000a_[08/03] - Encaminhado os logs dos servidores para George. Aguardando aprovação do cliente. _x000a_[29/02] - Solicitado o processo de log dos servidores para equipe de MS.    _x000a_[23/02] - Aguardando resposta da equipe de aplicações para o processo de log dos servidores do tGuidance.                                                                                                                                    [16/02] - Agendado reunião de alinhamento com George                                           [10/02] - Mesmo status                                                                                                                                                                                                                                                                                                               02/02 - Mesmo status_x000a_26/01 - Mesmo status _x000a_VERIFICAR COM O GEORGE_x000a_[05/10 – Dalton/Leandro] Aguardando Robson Costa com aceite do cliente para prosseguimento_x000a_[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_x000a_[18/09 – Leandro] faltando OK do cliente._x000a_[16/09 - Leandro] Realizado follow-up presencial com Robson Costa, os mesmos mencionaram não terem conseguido o de acordo do cliente ainda._x000a_"/>
    <s v="Solicitante"/>
    <m/>
    <s v="TDB"/>
    <s v="Levantamento de informações"/>
    <s v="TDB"/>
    <m/>
  </r>
  <r>
    <s v="CTXSPOLP-111956"/>
    <s v="Projeto - Monitoria da Qualidade "/>
    <s v="Todos das operações Oi, Claro, VIVO e NET"/>
    <s v="Plano Recuperação"/>
    <x v="2"/>
    <s v="Giuseppe"/>
    <s v="Mauricio Lustosa"/>
    <s v="Leonardo Marques"/>
    <s v="Brigida Gouveia"/>
    <x v="0"/>
    <d v="2015-09-23T00:00:00"/>
    <n v="241"/>
    <d v="2015-10-01T00:00:00"/>
    <s v="Não"/>
    <s v="TBD"/>
    <s v="TBD"/>
    <s v="TBD"/>
    <m/>
    <s v="16/5 - Liberação acesso TSA e Genesys em andamento. Equipes TI local enviou mapeamento dos IPs dos sites._x000a_MIS - Qualidade enviou escopo para análise._x000a__x000a_10/5 - Liberação acesso das aplicações TSA e Genesys nos Sites em andamento:_x000a_- TSA - Operação deve abrir chamado p/ liberação Proxy (em andamento);_x000a_- Genesys - Operação deve enviar IP das estações para enviarmos demanda para CSE (procedimento + planilha para extração do IP enviado para os supervisroes) - aguardando retorno da operação._x000a__x000a_MIS - Aguardando escopo Operação para análise e cronograma._x000a__x000a_12/04 - Fase 1 (Alegria): Em implantação/ajustes_x000a_Fase 2 (liberação outros sites): Na fila de Engenharia com previsão para entrega da análise em 15/04_x000a_Fase 3 (MIS): Em planejamento_x000a_29/03 - Dois dias de atraso em Claro e Net e um dia na Vivo e Oi._x000a_Em homologação_x000a_22/03 - Mesmo status_x000a_17/03:_x000a_Etapa concluída:_x000a_Liberação de acessos ao ambiente Oi, Vivo, Valro e NETa partir do site Alegria;_x000a_Criação da VPN TSA x Genesys_x000a__x000a_Pontos de atenção:_x000a_Homlogação do acesso aos sistemas a partir do Alegria;_x000a_Instabilidade VPN TSA_x000a_Acesso ambiente TSA e Genesys_x000a__x000a_Próximos passos:_x000a_Preparação máquinas para homologaç~dos acessos_x000a_Homologação dos acessos pela equipe de qualidade, TSA e Genesys - 21/03_x000a_Transporte e preparação das PAs no Site Alegria - 21/03 (Claro) 24/03 (NET) 28/03 (Oi e Vivo)_x000a__x000a_08/03 - Etapas concluídas:_x000a_Liberações de acesso CTC Dom Pedro para Oi, VIVO, Claro e Net_x000a_Separação de 55 estações com controle de ativos_x000a_Desenho da solução acesso para a operação no Site Alegria_x000a_Criação de servidores TS para Claro e VIVO_x000a_Criação de usuário TS_x000a__x000a_Pontos de atenção:_x000a_Liberação de acessos pelos clientes (Oi principalmente)_x000a_Homologação do acesso aos sistemas a partir do Alegria_x000a__x000a_Próximos passos: _x000a_Liberações de acessos ao site Alegria_x000a_Preparação das estações para homologação - 11/03_x000a_Homologação dos acessos pela equipe de qualidade - 16/03_x000a_Homologação dos acessos pela equipe Genesys e TSA - 18/03_x000a_Transporte e preparação das PAs no site alegria - 18/03 (Claro) , 21/03 (NET), 24/3 (Oi e VIVO)_x000a_16/02 - Etapas concluídas:_x000a_Separação de 55 estações com controle de ativos;_x000a_Mapeamento de 95% dos 130 sistemas;_x000a_Análise de banda WEB para acesso via VPN/Web;_x000a__x000a_Pontos de atenção:_x000a_Liberação de acesso para treianemnto CTC D.Pedro_x000a_Liberação de acesso pelos clientes (Oi principalmente)_x000a_Licenças terminal services (acessos Vivo e Claro)_x000a__x000a_Próximos passos:_x000a_Análise e liberação de acessos Rede Contax - CTC D. Pedro_x000a_Análise e liberação de acessos Rede Contax - Site Alegria_x000a_Transporte de estações Lapa &gt; Alegria_x000a_Homologar estação Alegria_x000a__x000a_Previsão: 20/mar_x000a__x000a__x000a_02/02 - Mesmo status_x000a_26/01 - Mesmo status _x000a_15/1 - projeto retomado. Kick off agendado com Genesys e TSA_x000a_15/10-Leandro] Projeto encaminhado a fila do site para Análise e estimativa / Acionamento de sites para estudo de mapeamento de sistemas atrelados - na fila._x000a__x000a_Dalton Bondesan added a comment - 29/Set/15 14:50 _x000a_Projeto encaminhado a fila do site para Análise e estimativa. "/>
    <s v="Projetos TI"/>
    <s v="Leonardo Marques"/>
    <d v="2016-05-20T00:00:00"/>
    <s v="Planejamento"/>
    <d v="2016-05-31T00:00:00"/>
    <n v="54"/>
  </r>
  <r>
    <s v="CTXFORBM-323275"/>
    <s v="Projeto para efetuarmos controle de pausas no tCollect! da Retenção Invol"/>
    <s v="Santo Amaro"/>
    <s v="Operações que não estão no Plano de Recuperação"/>
    <x v="4"/>
    <s v="Ana Coelho"/>
    <s v="Ana Sosa"/>
    <s v="Juliana Moraes"/>
    <s v="Tatiane Rodrigues Dallecrode "/>
    <x v="0"/>
    <d v="2015-09-29T00:00:00"/>
    <n v="235"/>
    <d v="2015-10-21T00:00:00"/>
    <s v="Não"/>
    <s v="TBD"/>
    <s v="TBD"/>
    <s v="Risco - A equipe técnica está com várias ações concorrentes "/>
    <m/>
    <s v="[16/05] - Mesmo status_x000a_[10/05] - Mesmo status_x000a_[03/05] - Mesmo status_x000a_[25/4] - mesmo status_x000a_[19/04] - Mesmo Status_x000a_[12/4] - Aguardando a conclusão do POP_x000a_[4/4] - Mesmo status_x000a_[29/03] Mesmo status_x000a_[22/03] Mesmo status_x000a_[15/03] - Mesmo status_x000a_08/03 - Em hold_x000a_[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
    <s v="Aplicações"/>
    <s v="Camilla Fermiano"/>
    <s v="TDB"/>
    <s v="Hold"/>
    <s v="TDB"/>
    <n v="384"/>
  </r>
  <r>
    <s v="CTXSPOAP407-13236"/>
    <s v="Projeto - Solução infraestrutura (servidor e link) para relatórios de Televendas"/>
    <s v="Corporativo"/>
    <s v="Operações que não estão no Plano de Recuperação"/>
    <x v="2"/>
    <s v="Giuseppe"/>
    <s v="José Maria"/>
    <s v="Bruno Guerra"/>
    <s v="Pedro Bazzarella"/>
    <x v="3"/>
    <d v="2015-11-11T00:00:00"/>
    <n v="192"/>
    <d v="2015-11-17T00:00:00"/>
    <s v="Não"/>
    <s v="TBD"/>
    <s v="TBD"/>
    <s v="TBD"/>
    <m/>
    <s v="17/05 - Mesmo status_x000a_11/05 - Aguardando desenvolvimento da equipe de informacional para validação._x000a_02/05 - Necessário o acesso da equipe de BI na base do aspect para extração de relatórios.  Já foi incluído na fila de aplicações, porém o Marcelo Caldeira entrará em contato para verificar se um desenvolvimento que eles estão fazendo pode ser aplicado para extração desses relatórios._x000a_27/04 - Liberações e bancos de dados liberados. Aguardando homologação_x000a_20/04 - Liberações foram feitas. Hoje teremos uma reunião para definição do projeto_x000a_12/04 - Mesmo status_x000a_06/04 - Aguardando retorno de CSE_x000a_29/03 - Não homologado. LW solicitado para identificar o problema. Aguardando_x000a_14/03 - Servidor piloto disponibilizado. Aguardando homologação_x000a_08/03 - Aguardando homologação_x000a_01/03 - Aguardando homologação por parte do solicitante, referente ao Servidor Piloto_x000a_10/02 - Servidor piloto já foi elaborado (CSE e ENG). Hoje a equipe de negócios passou a relação dos usuários que precisam ter acesso a esse servidor. LW irá cadastrar... Para o servidor definitivo, é necessário uma outra call e definição melhor do escopo_x000a_02/02 - No call houve a mudança de escopo, Engenharia está elaborando a documentação com previsão de término até amanhã (03/02)_x000a_[28/01] Proposta enviada por Engenharia e aguardando aprovação por parte do solicitante._x000a_[26/01] Tivemos uma call no início da semana com o José Maria, Eder e o Maurício Lustosa._x000a__x000a_Esse projeto tinha um escopo inicial e foi mudado totalmente o escopo:_x000a_• Requisitos funcionais com dimensões bem maiores;_x000a_• Dois servidores ao invés de um;_x000a_• Necessidade de piloto (o que não estava contemplado no escopo inicial)._x000a_"/>
    <s v="Solicitante"/>
    <s v="Pedro Bazzarela"/>
    <s v="Sem previsão"/>
    <s v="Desenvolvimento/Execução"/>
    <m/>
    <m/>
  </r>
  <r>
    <s v="CTXSPOAL-94230"/>
    <s v="Projeto - Desenvolvimento de tabulador Contax para substituição do DefyIT"/>
    <s v="Alegria/SP"/>
    <s v="Plano Recuperação"/>
    <x v="0"/>
    <s v="Noemia Ferro"/>
    <s v="Maurício Perez"/>
    <s v="Bruno Guerra"/>
    <s v="Carlos Batista"/>
    <x v="0"/>
    <d v="2015-09-22T00:00:00"/>
    <n v="242"/>
    <d v="2015-11-18T00:00:00"/>
    <s v="Não"/>
    <d v="2016-05-13T00:00:00"/>
    <d v="2016-05-20T00:00:00"/>
    <s v="TBD"/>
    <m/>
    <s v="17/05 - Aguardando a homologação do cliente quanto aos tReports default e solicitados para fechar o projeto_x000a_11/05 - tReports funcionando normalmente. Aguardando validação da operação para podermos iniciar os novos desenvolvimentos._x000a_02/05 - tReports default já foram disponibilizados. Aguardando homologação por parte do solicitante desde 29/abr.  Foram solicitados novos desenvolvimentos que estão em análise da previsão de entrega pela equipe de aplicações_x000a_27/04 - Hoje estamos nas fases de testes do tReports (visão default) para disponibilização à operação homologar.  A operação necessita de mais relatórios a serem enviados para o Cliente, estamos analisando o esforço para disponibilizarmos o BD para BI, conforme solicitado, pois será necessário novo desenvolvimento_x000a__x000a_20/04 - Sistema implantado. tReports (visão default) está previsto para ser implementado em 27/abr.  A operação necessita de mais relatórios a serem enviados para o Cliente, estamos analisando o esforço para disponibilizarmos o BD para BI, conforme solicitado, pois será necessário novo desenvolvimento_x000a_13/04 - Testes do tGuidance realizados com sucesso no dia 11/04 e dia 12/04. Homologação do cliente realizada no dia 12/04. _x000a_Entrada em produçã do tGuidance será realizada faseadamente. Já temos dois operadores utilizando, dia 14/04 subirão mais 4 operadores para produção e dia 15/04 tod aoperação entrará em produção_x000a_tSupervisor OK._x000a_Começaremos o desenvolvimento do tReports para implantar. Cronograma passaremos até o dia 15/abr_x000a_06/04 - Tivemos atrasos em algumas atividades devido a problemas no banco de dados do Tguidance. Sendo assim, foi reprogramada a entrega do FF para dia 11/04. Aguardando de acordo do cliente para homologação.  A instalação do ambiente tReports (relatórios) será iniciada após a homologação do cliente._x000a_28/03 - Mesmo status_x000a_22/03 - Cronograma já enviado À equipe de negócios e operação. Data prevista para conclusão é dia 07/abr"/>
    <s v="Solicitante"/>
    <s v="Carlos Batista"/>
    <s v="TBD"/>
    <s v="Desenvolvimento/Execução"/>
    <m/>
    <m/>
  </r>
  <r>
    <s v="CTXMTZPB-1118"/>
    <s v="Restrição de Transferência"/>
    <s v="Borges de Melo/CE_x000a_João Pessoa/PB_x000a_Mackenzie/RJ_x000a_Niterói/RJ_x000a_Santo Amaro/PE"/>
    <s v="Plano Recuperação"/>
    <x v="4"/>
    <s v="Ana Coelho"/>
    <s v="Ana Sosa"/>
    <s v="Julio Silva"/>
    <s v="Luiz Matheus"/>
    <x v="0"/>
    <d v="2015-12-03T00:00:00"/>
    <n v="170"/>
    <d v="2015-12-17T00:00:00"/>
    <s v="Sim"/>
    <s v="N/A"/>
    <d v="2016-05-31T00:00:00"/>
    <s v="Risco"/>
    <m/>
    <s v="17/05 - Rollout Site João Pessoa finalizado. Redefinido o cronograma e houve atraso de 15 dias._x000a_10/05 - Rollout Niterói finalizado. Iniciado Piloto em João Pessoa. _x000a_02/05 - Piloto Santo Amaro inciado. Rollout Niterói programado para 04/05._x000a_19/04 - Piloto Santo Amaro programado para início em 20/04._x000a_12/04 - Piloto em andamento._x000a_05/04 - Iniciado Piloto no Site Niterói _x000a_29/03 - Cronograma em linha._x000a_22/03 - Cronograma fechado. _x000a_15/03 - Definindo cronograma. Entrega 16/03._x000a_10/03 - Finalizada a EF. Aguardando data APP._x000a_08/03 - Necessário conferência entre aplicações e buscando agenda para quarta._x000a_02/03 - Ana fez a definição da solução a ser adotada;_x000a_Enviado para a área de aplicações para fazer entendimento e reprogramar cronograma._x000a_22/02 - Ana informou que alinhará com PH no dia 23/02 para definir a solução a ser adotada. _x000a_16/02 - Alinhado novo desenho de solução proposto pela área de APP. _x000a_Aguardando definição do cliente._x000a_11/02 - Ana informou à equipe q a solução desenhada não atende. _x000a_- Rivaldo avaliando com a equipe._x000a_10/02 - Em linha. _x000a_03/02/2016 - Alinhamento das necessidades de definição de layout com a operação;_x000a_- Alexandre ainda não enviou a EF final, FUP realizado; _x000a_- Operação já definiu mesagem a ser apresentada para o operador e aguarda EF para incluir;_x000a_- Operação já definiu &quot;última transferência&quot;, após recebimento da EF será inserida na mesma._x000a_28/01 - Fechamento do cronograma._x000a_27/01 - Kickoff com os Sites. Envio do cronograma para validação (SItes e Aplicações)_x000a_26/01 - Mesmo status _x000a_09/01/2016 - Início do tratamento do projeto._x000a_Definição das etapas macro e avaliação da EF._x000a_14/01/2016 - Kickoff com a participação da área de desenvolviemnto e operações para apresentação da solução desenhada._x000a_Mudança de escopo, acordada entrega de nova EF dia 15/01/2016._x000a_Envio do draft da solução para aprovação de operações._x000a_18/01/2016 - Entrega da nova EF com o detalhamento da alteração de escopo._x000a_Início da avaliação pela área de desenvolvimento."/>
    <s v="Projetos TI"/>
    <s v="Julio Silva"/>
    <s v="N/A"/>
    <s v="Desenvolvimento/Execução"/>
    <d v="2016-05-31T00:00:00"/>
    <n v="1200"/>
  </r>
  <r>
    <s v="CTXRECSA-371873"/>
    <s v="Projetos bolha - Troca do sistema WinXP para Win7 em todas as operações do Itaú nos estados de PE"/>
    <s v="Cabula/Santo Amaro"/>
    <s v="Plano Recuperação"/>
    <x v="3"/>
    <s v="Ricardo Araújo"/>
    <s v="Celso Miranda"/>
    <s v="Juliana Moraes"/>
    <s v="Marco Brandão"/>
    <x v="0"/>
    <d v="2015-09-03T00:00:00"/>
    <n v="261"/>
    <d v="2015-09-25T00:00:00"/>
    <s v="Sim"/>
    <d v="2016-02-02T00:00:00"/>
    <s v="28/04/2016_x000a_TBD"/>
    <s v="Risco - O Banco ainda não aprovou a utilização do tSupervisor"/>
    <m/>
    <s v="[16/05] - Aguardando aprovação do banco para a utilização do tSupervidor_x000a_[10/05] - Banco solicita novamente uma call para tirar dúvidas do tSupervisor._x000a_[02/05] - Banco fez novamente questionamentos sobre a aplicação. Prazo de entrega 04/05_x000a_[25/04] - Mesmo status_x000a_[19/4] - Mesmo status_x000a_[12/4] - Mesmo status_x000a_[4/4] - Aguardando aprovação do banco para utilização do tSupervior_x000a_[29/03] - Mesmo status_x000a_[22/03] Mesmo status_x000a_[15/03] - Aguardando envio das evidências pela equipe de aplicações, Engenharia e site._x000a_[08/03] - Aguardando envio das evidências pela equipe de aplicações e Engenharia.  _x000a_[29/02] - O banco retornou com alguns questionamentos sobre o tSupervisor e solicita evidências. Aguardando envio das evidências pela equipe de aplicações.    _x000a_[23/02] - Mesmo status anterior _x000a_[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_x000a_[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_x000a_Aguardando apenas o de acordo para seguir com a migração do t-Supervisor, pois é um pré-requisito para a migração do win7. Débora 01/12_x000a_Projeto previsto para iniciar em 17/11 no site e a migração tem duração de 22 dias. Aguardando apenas o de acordo para seguir com a migração do t-Supervisor, pois é um pré-requisito para a migração do win7. Débora 23/11_x000a_Projeto previsto para iniciar em 17/11 no site e a migração tem duração de 22 dias. Aguardando apenas o de acordo para seguir com a migração do t-Supervisor, pois é um pré-requisito para a migração do win7. Débora 17/11_x000a_Projeto previsto para iniciar em 17/11 no site e a migração tem duração de 22 dias. Aguardando apenas o de acordo para seguir com a migração do t-Supervisor, pois é um pré-requisito para a migração do win7. Débora 03/11_x000a_Projeto previsto para iniciar em 17/11 no site e a migração tem duração de 22 dias. Aguardando apenas o de acordo para seguir com a migração do t-Supervisor, pois é um pré-requisito para a migração do win7. Débora 27/10_x000a_Em levantamento com os executores a duração para configuração do t-Supervisor, pois é um pré-requisito para implantar o Win7. Débora 20/10/15_x000a_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Está pendende a compra das licenças windows7 enterprise (Resp.: Ricardo). Sem a compra dessas liçencas o projeto se torna inviável. Após a compra das liçencas será definido o cronograma e o mapeamento da 2ª e 3ª onda previstos para Jan/16._x000a_Esse chamado aplica-se a implantação no Site Santo Amaro. Débora 05/10/15_x000a_Windows 7 - Rosim concluiu a criação da imagem do Win 7 e iníciou os teste na operação em 25/09 com duração de uma semana  até a conclusão dos testes. Necessário realinhar o cronograma. _x000a_Ainda permanece em andamento a Negociação das Licenças com o Banco (Resp.: Ricardo) / Pendente Mapeamento Operações 2° e 3° onda de PE (Resp.: Rosim)._x000a_Esse chamado aplica-se a implantação no Site Santo Amaro. Débora 25/09/15"/>
    <s v="Solicitante"/>
    <s v="Marco Brandão"/>
    <s v="TDB"/>
    <s v="Análise "/>
    <d v="2016-04-28T00:00:00"/>
    <n v="3076"/>
  </r>
  <r>
    <s v="CTXPOARB-95971"/>
    <s v="Projeto - Melhoria no Discador Disca Fácil - Priorizar Contatos por horário (Souza Cruz)"/>
    <s v="Porto Alegre/RS"/>
    <s v="Plano Recuperação"/>
    <x v="0"/>
    <s v="Rodrigo Zambon"/>
    <s v="Maurício Cardoso Gomes"/>
    <s v="Julio Silva"/>
    <s v="Fabrício Peixoto"/>
    <x v="0"/>
    <d v="2015-11-04T00:00:00"/>
    <n v="199"/>
    <d v="2015-12-23T00:00:00"/>
    <s v="Sim"/>
    <d v="2016-01-19T00:00:00"/>
    <d v="2016-08-01T00:00:00"/>
    <s v="Risco"/>
    <m/>
    <s v="17/05 - Aguardando posição da Operação (Juliano) para início do desenvolvimento da segunda fase._x000a_10/05 - Aguardando finalização de homologação primeira fase projeto. Previsão 16/05._x000a_03/05 - Início do desenvolvimento previsto para 06/05._x000a_22/01/2016 - Desevolvimento se iniciará após entrega do Projeto CTXPOARB- 95971."/>
    <m/>
    <m/>
    <m/>
    <s v="Na Fila"/>
    <m/>
    <n v="75"/>
  </r>
  <r>
    <s v="CTXPOARB-91679"/>
    <s v="Projeto - Melhoria no discador da Operação Souza Cruz"/>
    <s v="Porto Alegre/RS"/>
    <s v="Plano Recuperação"/>
    <x v="0"/>
    <s v="Rodrigo Zambon"/>
    <s v="Maurício Cardoso Gomes"/>
    <s v="Julio Silva"/>
    <s v="Fabrício Peixoto"/>
    <x v="0"/>
    <d v="2015-07-29T00:00:00"/>
    <n v="297"/>
    <d v="2015-12-23T00:00:00"/>
    <s v="Sim"/>
    <d v="2016-01-19T00:00:00"/>
    <d v="2016-05-05T00:00:00"/>
    <s v="Sim"/>
    <m/>
    <s v="17/05 - Aguardando validação da operação._x000a_10/05 - Encontrado 2 problemas. Em tratamento. Previsão 16/05._x000a_03/05- Gmud realizada. Em acompanhamento de pós implantação._x000a_26/04 - GMUD reprogramada para 29/04._x000a_19/04 - GMUD cancelada a pedido da operação. Aguardando data de disponibilidade da área de desenvolvimento._x000a_21/03 - Cronograma em linha._x000a_14/03 - Finalizada a adequação do cronograma e disponibilizado o mesmo._x000a_11/03 - Operação solicitou adiamento de duas semanas na execução da GMUD, para 15/04. Validando com as áreas executoras._x000a_08/03 - Cronograma em validação pela área de aplicações. Finalização 10/03._x000a_02/03 - Para remarcação da GMUD foi estabelecido o pré-requisito de realização de backup do ambiente;_x000a_Infra do Site para backup tem data estimada de disponibilização 23/03;_x000a_Será enviado para a diretoria para verificação._x000a_23/02 - GMUD cancelada a pedido do cliente. Aguardando nova data de disponibilidade da área para reprogramação._x000a_22/02 - GMUD 19226 aberta para a implantação da nova versão da solução. Buscando aprovação da diretoria._x000a_16/02 - Em linha._x000a_10/02 - Em linha._x000a_03/02/2016 - Aprovada pela operação a nova versão de software. _x000a_- Em programação do Piloto._x000a_29/01/2016 - Agendado o teste na posição de atendimento para dia 03/02/2016, estava agendado para dia 01/02, porém o Site não teria como realizar._x000a_26/01/2016 - Em desenvolvimento pela área de aplicações._x000a_Cronograma disponibilizado para operações e TI Site._x000a_26/01/2016 - Liberação do ambiente remoto para aplicações._x000a_26/01/2016 - Em desenvolvimento pela área de aplicações._x000a_Cronograma disponibilizado para operações e TI Site._x000a_22/01/2012 - Finalizado o desenvolvimento."/>
    <s v="Aplicações"/>
    <s v="Alexandre Morais"/>
    <d v="2016-04-16T00:00:00"/>
    <s v="Na Fila"/>
    <m/>
    <n v="75"/>
  </r>
  <r>
    <s v="CTXMTZPB-1091"/>
    <s v="Projeto - PASSWORK - PILOTO"/>
    <s v="Acre/Boa Viagem"/>
    <s v="Plano Recuperação"/>
    <x v="2"/>
    <s v="Pedro Miranda"/>
    <s v="Nara Araujo"/>
    <s v="Juliana Moraes"/>
    <s v="Fabrício Peixoto"/>
    <x v="0"/>
    <d v="2015-11-27T00:00:00"/>
    <n v="176"/>
    <d v="2015-12-28T00:00:00"/>
    <s v="Sim"/>
    <s v="-"/>
    <s v="09/05/2016_x000a_20/05/2016"/>
    <s v="Risco - A equipe técnica está com várias ações concorrentes "/>
    <m/>
    <s v="[16/05] - Mesmo status_x000a_[10/05] - Nice soliictou uma reunião para uma avaliação das EFs. Data prevista 17/5_x000a_[03/05] - Atualizado EF da integração do Ecadop com TTV. Aguradando aprovação para envio a Nice._x000a_[25/04] - Aguardando aprovação das EFs (Negócio e Nice). _x000a_[19/04] - Aguardando Nice enviar cronograma. Prazo TDB [12/4] -Aguardando envio da EF. Prazo 11/4 _x000a_[5/4] - Realizado reunião hoje com a Nice para alinhamento das integrações e foi defindo que na sexta-feira Adalton irá encaminhar a EF e após o recebimento Nice encaminha o cronograma. [29/03] - Nice solicita reunião no dia 30/3 para tratar as integrações (tClock; Ecadop). _x000a_[22/03] Realizado reunião com Nice e alinhado as integrações que deveão ser realizadas. _x000a_[15/03] - Aguardando reunião do Rivaldo com a Nice dia 17/03._x000a_[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_x000a_[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
    <s v="Solicitante"/>
    <s v="Leandro Tauil"/>
    <d v="2016-05-04T00:00:00"/>
    <s v="Levantamento de informações"/>
    <s v="TDB"/>
    <n v="2000"/>
  </r>
  <r>
    <s v="CTXRECSA-440043"/>
    <s v="Discador SOC PE (GFE)"/>
    <s v="Santo Amaro/PE"/>
    <s v="Plano Recuperação"/>
    <x v="4"/>
    <s v="Ana Coelho"/>
    <s v="Ana Sosa"/>
    <s v="Julio Silva"/>
    <s v="Luciana Cardoso"/>
    <x v="0"/>
    <d v="2015-11-17T00:00:00"/>
    <n v="186"/>
    <d v="2016-01-11T00:00:00"/>
    <s v="Não"/>
    <s v="TBD"/>
    <s v="TBD"/>
    <s v="TBD"/>
    <m/>
    <s v="17/05 - TQS liberou a realização da atividade. Aguardando posicionamento de CSE para a disponibilizaçãodo ambiente. Data 19/05._x000a_10/05 - Mesmo status._x000a_03/05 - Mesmo status._x000a_19/04 - TQS informou que só pode dar andamento do Projeto após o fechamento do contrato. Suprimentos ainda em negociação. Sem data_x000a_12/04 - Aguardando agenda TQS._x000a_05/04 - Em aprovação pelo demandante._x000a_29/03 - Mesmo status_x000a_21/03 - Aguardando proposta fornecedor._x000a_11/03 - Enviadas as informações. Aguardando retorno APP._x000a_10/03 - Em levantamento de informações do discador para fechamento do escopo e solicitação de proposta ao fornecedor._x000a_08/03 - Definida a utilização de disca fácil+tGuidance. _x000a_Em verificação com engenharia de pré-requisitos informados pela área. 03/03 - Aplicações enviará as informações de definições do projeto dia 03/03._x000a_25/02 - Solicitado mais informações com relação ao ambiente Aspect._x000a_Em levantamento informações do Discador Aspect para fechamento da avaliação pelo fornecedor. Novo contato com Engenharia 02/03. _x000a_22/02 - Solicitado orçamento ao fornecedor TQS, sem data de envio._x000a_16/02 - EF enviada para avaliação da área de desenvolvimento. Resposta 19/02._x000a_10/02 - Providenciando EF - Elaine_x000a_02/01/2016 - Envio de solicitação de EF novamente._x000a_26/01 - Mesmo status _x000a_20/01/2016 - Em validação de EF._x000a_21/01/2016 - EF sendo corrigida de acordo com a demanda."/>
    <s v="Aplicações"/>
    <s v="Fabiana Carla"/>
    <s v="Sem previsão"/>
    <s v="Análise"/>
    <m/>
    <m/>
  </r>
  <r>
    <s v="CTXRJOMA-73888"/>
    <s v="Projeto - Projeto - Ferramenta de Automação OFF Line"/>
    <s v="Mackenzie/RJ"/>
    <s v="Operações que não estão no Plano de Recuperação"/>
    <x v="4"/>
    <s v="Ana Coelho"/>
    <s v="Ana Sosa"/>
    <s v="Julio Silva"/>
    <s v="Luciana"/>
    <x v="0"/>
    <d v="2015-08-10T00:00:00"/>
    <n v="285"/>
    <d v="2016-01-11T00:00:00"/>
    <s v="TBD"/>
    <s v="TBD"/>
    <s v="TBD"/>
    <s v="TBD"/>
    <m/>
    <s v="17/ 05 - Mesmo Status_x000a_0/05 - Mesmo status_x000a_19/04 - Mesmo status_x000a_29/03 - Mesmo status_x000a_10/03 - Orçamento finalizado. Aguardando aprovação do cliente._x000a_08/03 - respondidos os questionamentos da Elaine e com base na resposta ela solicitou que fosse realizada uma alteração no orçamento. 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 _x000a_TQS informa que ainda não houve uma definição pela Contax com relação ao contrato de manutenção, só será possível fazer orçamento após essa definição._x000a_10/02 - Conferência com fornecedor dia 11/02 para definir solução._x000a_04/02/2016 - Conferência será reagendada para 11/04/2016._x000a_03/02/2016 - Não foi possível realizar conferência. Agendada para o dia 04/02.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s v="Negócios"/>
    <s v="Elaine Fortunato"/>
    <s v="Sem previsão"/>
    <s v="Análise"/>
    <m/>
    <m/>
  </r>
  <r>
    <s v="CTXRJOED-56989"/>
    <s v="Projeto - Instalar Ferramenta de Automações Célula GFE - Engenho de Dentro"/>
    <s v="Niterói/RJ"/>
    <s v="Operações que não estão no Plano de Recuperação"/>
    <x v="4"/>
    <s v="Ana Coelho"/>
    <s v="Ana Sosa"/>
    <s v="Julio Silva"/>
    <s v="Luciana"/>
    <x v="0"/>
    <d v="2015-11-13T00:00:00"/>
    <n v="190"/>
    <d v="2016-01-11T00:00:00"/>
    <s v="TBD"/>
    <s v="TBD"/>
    <s v="TBD"/>
    <s v="TBD"/>
    <m/>
    <s v="17/ 05 - Mesmo Status _x000a_10/05 - Mesmo status_x000a_19/04 - Mesmo status_x000a_29/03 - Mesmo status_x000a_10/03 - Orçamento finalizado. Aguardando aprovação do cliente._x000a_08/03 - respondidos os questionamentos da Elaine e com base na resposta ela solicitou que fosse realizada uma alteração no orçamento._x000a_03/03 - Proposta enviada para área de negócios. Elaine enviou 2 questionamentos que estão sendo verificados por aplicações. Entrega 04/03._x000a_26/02 - Aguardando orçamento TQS, data era 24/02. Enviada nova cobrança hoje._x000a_18/02 - Liberado pela diretoria a precificação a ser realizada pela TQS. Sem data de entrega TQS._x000a_16/02 - Informado à Diretoria a questão financeira. Será verificada._x000a_TQS enviará a OG dia 18/02._x000a_11/02 - Fechada a solução em conferência. TQS apresentará proposta para desenvolvimento._x000a_TQS informa que ainda não houve uma definição pela Contax com relação ao contrato de manutenção, só será possível fazer orçamento após essa definição._x000a_10/02 - Idem._x000a_04/02/2016 - Conferência será reagendada para 11/04/2016._x000a_29/02/2016 - Feita nova rodada de negociação técnica para definição da solução a ser adotada. Nova conferênica agendada para 03/02/2016._x000a_26/01/2016 - Em validação de EF com fornecedor e negócios_x000a_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
    <s v="Negócios"/>
    <s v="Elaine Fortunato"/>
    <s v="Sem previsão"/>
    <s v="Análise"/>
    <m/>
    <m/>
  </r>
  <r>
    <s v="CTXRECSA-452887"/>
    <s v="Projeto - Integração URA CO x Ferramenta Automação"/>
    <s v="Santo Amaro/PE"/>
    <s v="Operações que não estão no Plano de Recuperação"/>
    <x v="4"/>
    <s v="Ana Coelho"/>
    <s v="Ana Sosa"/>
    <s v="Julio Silva"/>
    <s v="Anthonny"/>
    <x v="0"/>
    <d v="2016-01-11T00:00:00"/>
    <n v="131"/>
    <d v="2016-01-14T00:00:00"/>
    <s v="Sim"/>
    <s v="N/A"/>
    <d v="2016-07-08T00:00:00"/>
    <s v="Sim"/>
    <m/>
    <s v="17/ 05 - Mesmo Status_x000a_10/05 - Cronograma em linha._x000a_03/05 - Cronograma em linha._x000a_26/04 - Cronograma em linha._x000a_12/04 - Cronograma em linha._x000a_04/04 - Realizado Kickoff do Projeto. Em andamento._x000a_29/03 - Mesmo status_x000a_21/03 - Cronograma em criação pela área desenvolvimento. Data: 31/03_x000a_15/03 - Recebida aprovação do cliente. Cronograma em confecção. Data 17/03._x000a_08/03 - Aguardando resposta do Cliente_x000a_26/02 - Aguardando resposta cliente._x000a_18/02 - Respostas enviadas. Aguardando aprovação do cliente._x000a_16/02 - Negócios solicitou a informação da validade da proposta e tempo estimado de implantação. Encaminhado à área de URA._x000a_04/10 - Operação avaliando custos. (Anthonny)_x000a_02/02/2016 - Envio dos custos para operação, aguardando avaliação._x000a_27/01/2016 - Kickoff agendado para 01/02/2016._x000a_19/01/2016 - Verificado que a URA CO não está sob a tutela de nosso contrato de desenvolvimento OI. Será necessário criar proposta ou incluir a mesma no contrato._x000a_20/01/2016 - Anthonny verificará a possibilidade de propormos a inclusão dessa URA no pool de desenvolvimento de URAs da OI._x000a_26/01/2016 - Envio do status da operação para desenvolvimento; &quot;decisão da operação pela não inclusão dessa URA no Pool&quot;._x000a_Devolutiva para verificação de caminho a seguir, desenvolver, solicitar código à Avaya ou orçar com Avaya."/>
    <s v="Aplicações URAs"/>
    <s v="Daniel Farias"/>
    <d v="2016-03-31T00:00:00"/>
    <s v="Desenvolvimento"/>
    <m/>
    <m/>
  </r>
  <r>
    <s v="CTXBHZRI-94859"/>
    <s v="Projeto - Implantar TCollect / Aspect: Escob R2, CD R2 e CD Móvel"/>
    <s v="Prado/MG"/>
    <s v="Plano Recuperação"/>
    <x v="4"/>
    <s v="Ana Coelho"/>
    <s v="Ana Sosa"/>
    <s v="Julio Silva"/>
    <s v="Fabrício Peixoto"/>
    <x v="0"/>
    <d v="2015-11-10T00:00:00"/>
    <n v="193"/>
    <d v="2016-01-14T00:00:00"/>
    <s v="Sim"/>
    <s v="N/A"/>
    <d v="2016-10-31T00:00:00"/>
    <s v="Risco"/>
    <m/>
    <s v="17/05 - Avaliando disponibilidade de licenças em outro Polo. Data 19/05_x000a_10/05 - Mesmo status._x000a_03/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10/03 - Validado pela engenharia, operação será no Polo Prado. _x000a_08/03 - Em validação de possibilidade de colocar operação no Polo Aspect Prado._x000a_03/03 - EF será disponibilizada 18/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Estratégia_x000a_"/>
    <s v="Neilor Márcio"/>
    <s v="18/03_x000a_"/>
    <s v="Análise"/>
    <m/>
    <m/>
  </r>
  <r>
    <s v="CTXMTZRP-42203"/>
    <s v="Projeto - Integração Barra Atendimento ao OSvC (Novo CRM Oi)"/>
    <s v="Mackenzie/RJ_x000a_Niterói/RJ_x000a_Borges de Melo/CE_x000a_Santo Amaro/PE_x000a_Comércio/BA_x000a_Boa viagem/BA"/>
    <s v="Plano Recuperação"/>
    <x v="4"/>
    <s v="Ana Coelho"/>
    <s v="Ana Sosa"/>
    <s v="Bruno Guerra"/>
    <s v="Fernanda Nazário"/>
    <x v="0"/>
    <d v="2015-06-11T00:00:00"/>
    <n v="345"/>
    <d v="2016-01-14T00:00:00"/>
    <s v="Não"/>
    <s v="TBD"/>
    <s v="TBD"/>
    <s v="TBD"/>
    <m/>
    <s v="17/05 - A data da entrada de operação na Bahia foi reprogramada para meados de junho (falta equipe de negócio confirmar). Aguardando homologação_x000a_Necessário fazer novo levantamento do parque de máquinas de todas as operações ´para verificarmos quais são as PAs aptas para entrada do CRM e estratégia de implantação_x000a_Decomissionamento: Realizando definições para envio à equipe de aplicações_x000a_11/05 - Aguardando retorno da operação para homologar as PAs da Bahia desde 09/mai. Sem retorno_x000a_PE: Operação funcionando normalemnte. _x000a_Decomissionamento: Aguardando respostas do solicitante_x000a_02/05 - Mesmpo status para ambos estados, porém a soliciatção de entrada de nova operação não será possível._x000a_27/04 - PE: Operação assistida dos operadores previstos para essa semana.  Foi solicitado pela Brigida entrada de nova operação.  Aguardando plano de roll out alinhado com a Oi para que TI possa analisar a viabilidade_x000a_BA: Configurações sendo realizadas na sala de treinamento, porém é necessário passar o login de rede dos operadores que realizarão o treinamento. Aguardando time de negócios _x000a_Decomissionamento: Chamado em análise pela equipe de aplicações_x000a__x000a_20/04 - PE: Treinamento realizado pela operação, máquinas da operação configuradas, homologação prevista para hoje, operação inicia no dia 25. Disponibilização de rede para o cliente em andamento_x000a_BA: Configurações sendo realizadas na sala de treinamento, porém é necessário passar o login de rede dos operadores que realizarão o treinamento. Aguardando time de negócios _x000a_Testes OSVC: Desenvolvimento realizado em 18/abr, testes agendados para a próxima semana (26,27)_x000a_Decomissionamento: Chamado aberto, incluindo na fila da equipe de aplicações, porém será necessário envio da EF por parte de negócios_x000a_13/04 - Máquinas de treinamento de PE configuradas e homologadas pela operação._x000a_Treinamento sendo realizado até dia15/04._x000a_Em paralelo estamos realizando a adequação das máquinas da operação em PE_x000a__x000a_06/04 - Cronograma alinhado com a equipe de negócio._x000a_Pendências: _x000a_Resultado dos testes no CTC em PE [Bruno Guerra, 06/abr]_x000a_Previsão de instalação do CRM nas máquinas do CTC em PE [Bruno Guerra, 08/abr]_x000a_Envio do layout de PE e BA [Brigida, 06/abr]_x000a_29/03 - PE:_x000a_Definições:_x000a_ Conseguimos 31PAs com os requisitos mínimos para a fase de estabilização do projeto;_x000a_ Treinamento será nos dias 12 e 13/abril no ECC (anexo do Santo Amaro)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Riscos_x000a_ Não é viável a utilização das mesmas PAs da operação para treinamento. Sendo assim, fica o ponto de atenção de não termos PAs adequadas para realização dos treinamentos_x000a__x000a_BA:_x000a_Definições:_x000a_ 169 PAs na BA  (cenário é mais confortável já que o parque de maquinas é novo e o nosso prazo de implantação é 25/05)_x000a_ _x000a_Pendências:_x000a_1. Envio do layout com as PAs que serão utilizadas na operação para a fase de estabilização [Brígida]_x000a_2. Envio do plano de treinamento (salas, quantidade de PAs necessárias, etc) [Brígida]_x000a_Próximos passos:_x000a_o Após a resolução da pendência 1, conseguiremos elaborar um cronograma para troca das máquinas nas PAs solicitadas e instalação do CRM_x000a_o Após a resolução da pendência 2, conseguiremos elaborar estratégia para instalação do CRM nas PAs_x000a__x000a_14/03 - Mesmo status._x000a_08/03 - Foi definida uma &quot;Fase de estabilização&quot; para abril em PE e em maio em BA.  Estamos realizando os alinhamentos das atividades necessárias para adequação das salas de treinamento e máquinas disponibilizadas_x000a_01/03 - Configuração já efetuadas para realização dos testes nos dias 01/03 e 02/03._x000a_23/02 - . A Oi esta se planejando para realizar novos testes nos dias 01 e 02/03, precisaremos deixar nossa parte preparada para novos testes._x000a_ _x000a_ _x000a_OBJETIVO PRINCIPAL:_x000a_ _x000a_Verificar se as novas informações disponibilizadas no servidor de contexto da Contax seriam enviadas corretamente ao OSvC, através da string do Front Fácil. Para a realização dos testes, foi necessário:_x000a_ _x000a_1. Viabilizar a transferência de chamadas de testes da URA Fixa_x000a_2. Adequar o FrontFácil para “popular” os campos da string com as novas informações_x000a__x000a_19/02 - Máquinas levantadas. Já com comercial para realizar proposta comercial._x000a_A Oi fez os testes nas máquinas hoje com sucesso._x000a_Próximos passos em definição_x000a_10/02 - Estamos levantando a quantidade de máquinas para Upgrade_x000a_02/02 - Foram levantados os custos de adequações das máquinas para suportar a aplicação nas regionais. Está com a equipe de comercial realizar a precificação. Em paralelo estamos realizando testes nas máquinas, performance e conectividade_x000a_28/01 - Call realizada. Está pendente a adequação das máquinas para aceitar a ferramente do OsVC... Plano de rollout já disponibilziado pela Oi, onde a primeira onda será em Recife (nosso pior cenário de máquinas)_x000a_26/01 - Mesmo status _x000a_14/01 - Preencher o formulário de abertura de projeto"/>
    <s v="CC Brasil"/>
    <s v="Brigida"/>
    <s v="TBD"/>
    <s v="Desenvolvimento/Execução"/>
    <m/>
    <m/>
  </r>
  <r>
    <s v="CTXNITSP-164357"/>
    <s v="Projeto - Projeto: Migração da URA Dealer (*803) p/ NGR"/>
    <s v="Niterói/RJ"/>
    <s v="Operações que não estão no Plano de Recuperação"/>
    <x v="4"/>
    <s v="Ana Coelho"/>
    <s v="Ana Sosa"/>
    <s v="Julio Silva"/>
    <s v="Ricardo"/>
    <x v="0"/>
    <d v="2015-07-17T00:00:00"/>
    <n v="309"/>
    <d v="2016-01-14T00:00:00"/>
    <s v="Não"/>
    <s v="TBD"/>
    <s v="TBD"/>
    <s v="TBD"/>
    <m/>
    <s v="17/ 05 - Mesmo Status_x000a_10/05 - Mesmo status._x000a_03/05 - SC aprovada. Em tramitação para a geração de pedido para o fornecedor._x000a_19/04 - Mesmo status._x000a_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_x000a_03/03 - Área de URA entrega informações de uso do banco de dados 03/03._x000a_26/02 - Recebida OG de Telecom. Aguardando avaliação BD do ambiente NGR. Buscando data de entrega da avaliação pela engenharia._x000a_18/02 - Definido que não será necessário utilizar ICR._x000a_- OG de CSE em montagem (26/02)_x000a_16/02 - Solicitado à área de URAS o encaminhamento das chamadas para avaliação com planejamento. (19/02)._x000a_11/02 - Enviado questionamento de utilização de ICR para área de roteamento.(Julio)_x000a_05/02 - Disponibilizada EF - Àrea de aplicações avaliando_x000a_26/01 - Mesmo status _x000a_14/01 - Agurando confecção da EF"/>
    <s v="Engenharia "/>
    <s v="Eder Herrero"/>
    <d v="2016-03-28T00:00:00"/>
    <s v="Na Fila"/>
    <m/>
    <m/>
  </r>
  <r>
    <s v="CTXNITSP-172614"/>
    <s v="Projeto - Projeto: Migração da URA do PAP (0800 033 1140 e 0800 642 1431) p/ ambiente NGR"/>
    <s v="Niterói/RJ"/>
    <s v="Operações que não estão no Plano de Recuperação"/>
    <x v="4"/>
    <s v="Ana Coelho"/>
    <s v="Ana Sosa"/>
    <s v="Julio Silva"/>
    <s v="Ricardo"/>
    <x v="0"/>
    <d v="2015-11-09T00:00:00"/>
    <n v="194"/>
    <d v="2016-01-14T00:00:00"/>
    <s v="Não"/>
    <s v="TBD"/>
    <s v="TBD"/>
    <s v="TBD"/>
    <m/>
    <s v="17/ 05 - Mesmo Status_x000a_10/05 - Mesmo status._x000a_03/05 - SC aprovada. Em tramitação para a geração de pedido para o fornecedor._x000a_19/04 - Mesmo status._x000a_12/04 - Mesmo status_x000a_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23/02 - Aguardando informações área de negócios._x000a_16/02 - Solicitado à área de URAS o encaminhamento das chamadas para avaliação com planejamento. (19/02)._x000a_11/02 - Enviado questionamento de utilização de ICR para área de roteamento._x000a_05/02 - Disponibilizada EF - Àrea de aplicações avaliando_x000a_26/01 - Mesmo status _x000a_14/01 - Agurando confecção da EFc"/>
    <s v="Engenharia "/>
    <s v="Eder Herrero"/>
    <d v="2016-03-28T00:00:00"/>
    <s v="Na Fila"/>
    <m/>
    <m/>
  </r>
  <r>
    <s v="CTXBHZRI-94837"/>
    <s v="Projeto - Projeto: Migração da URA do Hotline Empresarial (0800 280 3120) p/ ambiente NGR"/>
    <s v="Prado/MG"/>
    <s v="Operações que não estão no Plano de Recuperação"/>
    <x v="4"/>
    <s v="Ana Coelho"/>
    <s v="Ana Sosa"/>
    <s v="Julio Silva"/>
    <s v="Ricardo"/>
    <x v="0"/>
    <d v="2015-11-10T00:00:00"/>
    <n v="193"/>
    <d v="2016-01-14T00:00:00"/>
    <s v="Não"/>
    <s v="TBD"/>
    <s v="TBD"/>
    <s v="TBD"/>
    <m/>
    <s v="17/ 05 - Mesmo Status_x000a_10/05 - Mesmo status._x000a_03/05 - SC aprovada. Em tramitação para a geração de pedido para o fornecedor._x000a_19/04 - Mesmo status._x000a_12/04 - Mesmo status_x000a_ 05/04 - Precificação recebida hoje em criação SC._x000a_28/03 - Necessário upgrade do ambiente de banco de dados NGR para receber URAS. Precificação prevista para 01/04._x000a_22/03 - Ainda em validação a infra de dados. _x000a_08/03 - Informações entregues, em validação pela Engenharia._x000a_03/03 - Área de URA entrega informações de uso do banco de dados 03/03._x000a_26/02 - Aguardando OG CSE e avaliação de BD do ambietne NGR._x000a_18/02 - Definido que não será necessário utilizar ICR._x000a_16/02 - Solicitado à área de URAS o encaminhamento das chamadas para avaliação com planejamento. (19/02)._x000a_11/02 - Enviado questionamento de utilização de ICR para área de roteamento.(Julio)_x000a_27/01 -Disponibilizada EF e inserida no chamado._x000a_26/01 - Mesmo status _x000a_14/01 - Agurando confecção da EF. _x000a_20/01/2016 - Insumos de Telecom já disponibilizados. Continuamos aguardando EF."/>
    <s v="Engenharia "/>
    <s v="Eder Herrero"/>
    <d v="2016-03-28T00:00:00"/>
    <s v="Na Fila"/>
    <m/>
    <m/>
  </r>
  <r>
    <s v="CTXFORBM-291757"/>
    <s v="Projeto - Projeto - SISGO"/>
    <s v="Borges de Melo/Ce"/>
    <s v="Operações que não estão no Plano de Recuperação"/>
    <x v="4"/>
    <s v="Ana Coelho"/>
    <s v="Ana Sosa"/>
    <s v="Debora Gercke Dominas"/>
    <s v="Não tem"/>
    <x v="0"/>
    <d v="2015-05-18T00:00:00"/>
    <n v="369"/>
    <d v="2016-01-14T00:00:00"/>
    <s v="Não"/>
    <s v="TBD"/>
    <s v="TBD"/>
    <s v="TBD"/>
    <m/>
    <s v="17/05: Aguardando retorno Sterlaine desde 13/05 com a homologação para encerramento do projeto_x000a_10/05: Mesmo Status._x000a_03/05: Foram apontadas novas falhas e o time de APP está atuando para solucionar. _x000a_26/04: Aguardando retorno da operação quanto as pendências solucionadas._x000a_19/04: Permanece pendente a liberação de rede e algumas dúvidas que são enviadas diariamente pela operação._x000a_12/04: Rollout concluído em 08/04, porém a operação sinalizou em 11/04 algumas pendências a serem tratadas, como por exemplo dúvida sobre o processo de tratamento de tickets e liberação de rede._x000a_05/04: Em 01/04 foi alterado o escopo do projeto para implantar o SISGO na operação toda. Foram feitas reuniões para validação do escopo e recebido o ok da homologação. Esta em validação o cronograma do Rollout._x000a_28/03: Mesmo status_x000a_21/03: Aguardando negócio enviar o hostname das PA´s para iniciar o piloto._x000a_17/03 - Os testes hoje ou amanhã serão acompanhados pela equipe de APP com a operação, pois não estavam conseguindo gerar tickets._x000a_08/03: Aguardando conclusão dos testes de 2º nível _x000a_01/03/16 Aguardando os testes da área de negócio com as PA´s do Nascente e definição do hostnamento para o Borges de Melo. Data do piloto indefinida._x000a_22/02/16: Liberação de rede realizada em 22/02, pendete testes e instalação da aplicação no site._x000a_01/02: Previsto para 03/02 apresentação sobre a ferramenta._x000a_26/01 - Mesmo status _x000a_14/01 - Em setembro: EF aprovada e aprovação enviada para Dalton e Fornecedor. Aguardando aprovação de proposta comercial pelo cliente. "/>
    <s v="Operação"/>
    <s v="Sterlaine Priscila"/>
    <s v="TBD"/>
    <s v="Pós-rollout"/>
    <m/>
    <n v="1825"/>
  </r>
  <r>
    <s v="CTXNITSP-172566"/>
    <s v="Implantação do BO Strategy - Retenção Empresarial "/>
    <s v="Niterói/RJ"/>
    <s v="Operações que não estão no Plano de Recuperação"/>
    <x v="4"/>
    <s v="Ana Coelho"/>
    <s v="Ana Sosa"/>
    <s v="Julio Silva"/>
    <m/>
    <x v="0"/>
    <d v="2015-11-09T00:00:00"/>
    <n v="194"/>
    <d v="2016-01-14T00:00:00"/>
    <s v="Não"/>
    <s v="TBD"/>
    <s v="TBD"/>
    <s v="TBD"/>
    <m/>
    <s v="17/ 05 - Mesmo Status_x000a_10/05 - Mesmo status._x000a_29/03 - Mesmo status._x000a_15/03 - Solicitado pela Tatiane que o Projeto seja colocado em hold pois o cliente não tem ainda o layout do mailing para a confecção da EF._x000a_08/03 - Aguardando EF_x000a_03/03 - Aguardando EF._x000a_22/02 - Faltam ainda informações que estão sendo levantadas pela Tatiane._x000a_16/02 - Anderson enviará os custos no dia 16/02._x000a_11/02 - Anderson enviará a EF com o entendimento da necessidade e após validação será gerado o custo._x000a_04/02 - Enviadas as informações faltantes solicitadas pelo fornecedor para a precificação. (Julio)_x000a_- em avaliação a possibilidade de utilizar o tBPM._x000a_02/02/2016 - Realização de conferência com o Fornecedor;_x000a_- Tatiane providenciará a criação das árvores de perfilamento;_x000a_29/01/2016 - Fornecedor enviou dúvidas com relação a EF, já respondidas pela Elaine._x000a_26/01/2016 - Verificado com Fabiana Carla e há a ncessidade de acionamento de fornecedor para verificação do desenvolvimento._x000a_Fabiana informou que o acionamento não é feito por ela._x000a_Enviada EF para o fornecedor avaliar, data estimada de devolução 28/01/2016._x000a_21/01/2016 - Verificado com o Luiz Washington o acionamento e ele verificará e retornará no dia 22/01/2016._x000a_22/01/2016 - Luiz retornou que não tem histórico nem recurso que conhece aplicação para dar andamento._x000a_26/01/2016 - envio da EF para o Fornecedor avaliar."/>
    <s v="Negócios"/>
    <s v="Tatiane Dallecrode"/>
    <s v="Sem data"/>
    <s v="Na Fila"/>
    <m/>
    <m/>
  </r>
  <r>
    <s v="CTXFORBM-344418"/>
    <s v="Projeto - Reestruturação BO Strategy"/>
    <s v="Borges de Melo/Ce"/>
    <s v="Operações que não estão no Plano de Recuperação"/>
    <x v="4"/>
    <s v="Ana Coelho"/>
    <s v="Ana Sosa"/>
    <s v="Julio Silva"/>
    <s v="Lucas Ribeiro"/>
    <x v="0"/>
    <d v="2015-12-30T00:00:00"/>
    <n v="143"/>
    <d v="2016-01-14T00:00:00"/>
    <s v="Não"/>
    <s v="TBD"/>
    <s v="TBD"/>
    <s v="TBD"/>
    <m/>
    <s v="17/05 - Fornecedor fez um alinhamento com relação à solução que deve ser repassado à cliente_x000a_10/05 - Cliente solicitou mudanças. Alinhamento a ser realizado com o fornecedor 11/05._x000a_26/04 - EF confeccionada. Aguardando aprovação do cliente._x000a_19/04 - aguardando confecção EF fornecedor. _x000a_12/04 - Mesmo status_x000a_28/03 - Fornecedor realizaou as alterações. Em validação pelo Lucas Lourenço._x000a_22/03 - Lucas enviou as alterações a serem feitas. Aguardando atuação do fornecedor._x000a_10/03 - EF enviada pelo fornecedor. Aguardando validação Lucas Lourenço._x000a_08/03 - Fornecedor enviou alguns questionamentos que Lucas está buscando._x000a_01/03 - Lucas enviou as informações para fornecedor. Aguardando proposta. Sem data._x000a_16/02 - Mesmo Status_x000a_01/02/2016 - Em revisão das especificações pelo demandante. (Lucas Lorencato)_x000a_28/01/2016 - Verificando responsável pelo projeto por parte de operações._x000a_26/01/2016 - Verificado com Fabiana Carla e há a ncessidade de acionamento de fornecedor para verificação do desenvolvimento._x000a_Fabiana informou que o acionamento não é feito por ela._x000a_Enviada EF para o fornecedor avaliar, data estimada de devolução_x000a_21/01/2016 - Verificado com o Luiz Washington o acionamento e ele verificará e retornará no dia 22/01/2016."/>
    <s v="Negócios"/>
    <s v="Lucas Lorenco"/>
    <d v="2016-03-31T00:00:00"/>
    <s v="Na Fila"/>
    <m/>
    <m/>
  </r>
  <r>
    <s v="CTXFORBM-348261"/>
    <s v="Projeto - Implantação Retenção Involuntária R2"/>
    <s v="Borges de Melo/Ce"/>
    <s v="S&amp;OP"/>
    <x v="4"/>
    <s v="Ana Coelho"/>
    <s v="Ana Sosa"/>
    <s v="Bruno Ribeiro"/>
    <s v="Jonas Divino"/>
    <x v="1"/>
    <d v="2016-01-13T00:00:00"/>
    <n v="129"/>
    <d v="2016-01-14T00:00:00"/>
    <s v="Sim"/>
    <s v="-"/>
    <d v="2016-05-20T00:00:00"/>
    <s v="Risco"/>
    <m/>
    <s v="17/05 - A operação entrou em produção ontem. Tivemos três quedas de operação na data de ontem, porém, nenhuma das quedas teve relação com a Ret Invol R2.  Estamos analisando através do chamado FORBM-492948 e com a equipe de planejamento.  Devemos ter um retorno até o final da semana para identificar a causa raiz e atuação em cima do problema._x000a_11/05 - Aplicações está terminando até hoje as cargas de mailing.  Aguardando algumas definições da equipe de operações para realização dos testes amanhã._x000a_04/05 - Projeto está em desenvolvimento pela equipe de aplicações com previsão de término dia 16/mai. Após isso, o site atuará para entrega das posições_x000a_26/04 - Definido em 19/04 qu iremos utilizar o polo aspect MG para implantar essas posições. no momento estamos aguardando a configrações dos servidores que esta prevista para ser entregue no dia 03/04. após isso continua-se os desenvolvimentos (estou buscando datas). Jasolicitado ao LW a criação de OU/AD e os usuários que precisam ter acesso as essa estrutura;_x000a_19/04 - Aguardando Definição de qual polo aspect utilizar. Definição Corporativa. sem prazo. Rico alto de atraso._x000a_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_x000a_23/02 - Realizado em 19/02 uma reunião de alinhamento entre solicitante, desenvolvimento, PMOs. Estamos em processo de To Be;_x000a_16/02 - Aguardando, desde 20/01, a EF para analises de Desenvolvimentos  e Engenharia. Sem Previsão._x000a_26/02 - Aguardando agenda com a Accenture;_x000a_20/01 - Em analise de engenharia e plataforma de TI, já acionado Equipe de NGR - Desenvolvimento;_x000a_14/01 - Favor preencher o formulário de crescimento anexo. _x000a__x000a_Favor enviar o layout aprovado pela equipe de planejamento. "/>
    <s v="CSE"/>
    <s v="LW"/>
    <d v="2016-05-19T00:00:00"/>
    <s v="Desenvolvimento/Execução"/>
    <m/>
    <n v="15"/>
  </r>
  <r>
    <s v="CTXNITSP-164460"/>
    <s v="URA Oi Total"/>
    <s v="Niterói/RJ"/>
    <s v="Operações que não estão no Plano de Recuperação"/>
    <x v="4"/>
    <s v="Ana Coelho"/>
    <s v="Ana Sosa"/>
    <s v="Julio Silva"/>
    <s v="Jill Ortiz"/>
    <x v="0"/>
    <d v="2015-07-20T00:00:00"/>
    <n v="306"/>
    <d v="2016-01-14T00:00:00"/>
    <s v="Sim"/>
    <m/>
    <d v="2016-08-01T00:00:00"/>
    <s v="Sim"/>
    <m/>
    <s v="17/ 05 - Mesmo Status_x000a_10/05 - Em desenvolvimento. Data entrega 30/06._x000a_19/04 - Mesmo status._x000a_12/04 - Aprovada SC Avaya. Avaya criando cronograma._x000a_04/04 - Mesmo status_x000a_08/03 - Mesmo status_x000a_03/02 - Finalizada documentação Telecom para implantação._x000a_Em aprovação proposta Avaya para configuração da URA._x000a_26/02 - Nova data de validação por Engenharia e CSE - 26/02._x000a_22/02 - Em aprovação proposta Avaya,_x000a_Em valiação por CSE da parte Telecom (25/02)_x000a_16/02 - Mesmo status_x000a_11/02 - Rodrigo verificou demandas no mesmo ambiente e não há concomitância de especificações técnicas entre demandas._x000a_Solictei volume para estudo pela área de URA. (Rodrigo)_x000a_10/02 - Em avaliação._x000a_03/02 - Rodrigo avaliará a real necessidade da demanda em comparação com outras 2 demandas para a mesma URA (CO)._x000a_02/02/2016 - Dificuldade de contato com Rodrigo, demandante._x000a_01/02/2016 - Em conversa com o Gerson verifiquei a necessidade de levantar mais informações para darmos andamento. FAlar com Rodrigo._x000a_27/01/2016 - aguardando retorno Avaya._x000a_26/01/2016 - Início do tratamento da demanda._x000a_21/02/2016 - Solicitada à Avaya a atualização da proposta de desenvolvimento que é de 16/09/2015 e tinha validade de 60 dias."/>
    <s v="Suporte a negócio"/>
    <s v="Jill Ortiz"/>
    <s v="Pedido em criação. Sem previsão."/>
    <s v="Na Fila"/>
    <m/>
    <n v="9"/>
  </r>
  <r>
    <s v="CTXSPOAP407-14854"/>
    <s v="MIGRAÇÃO TAM SP PARA JP"/>
    <s v="João Pessoa"/>
    <s v="S&amp;OP"/>
    <x v="5"/>
    <s v="Rodrigo Zambon"/>
    <s v="Leonardo Pelegrino"/>
    <s v="Bruno Ribeiro"/>
    <s v="Luciana Cardoso"/>
    <x v="1"/>
    <d v="2016-01-20T00:00:00"/>
    <n v="122"/>
    <d v="2016-01-26T00:00:00"/>
    <s v="Sim"/>
    <s v="-"/>
    <d v="2016-05-12T00:00:00"/>
    <s v="Risco"/>
    <m/>
    <s v="17/05 - A operação entrou em produção ontem.Tivemos alguns problemas nos CIDs (responsável: TAM) , porém estamos atuando normalmente. Para A 3º onda (28 recursos) o treinamento terá inicio em 19/5. _x000a_Em relação aos aparelhos AVAYA, foram bloqueados pela SEFAZ de JP e o nosso Jurídico está verificando para liberação_x000a_11/05 - Aparelhos AVAYA chegarão até amanhã de manhã no site. E, após isso, iniciará a configuração e implantação das PAs para homologação_x000a_03/05 - Aparelhos AVAYA Estão no site Lapa reservados para transporte para JPA. SC foi aprovada 28/abr e PC precisa ser imediato.  Aparelhos devem chegar até dia 05/mai. Em paralelo, TI site está atuando nas demais configurações_x000a_26/04 - 110 Heads enviadosde PL407 para site JPA via Malote. 105 Avayas 9608 devem ser enviados de site Lapa - SP para site JPA, estamos em processo de SC/PC (precisam chegar até dia 05/05 em JPA). Estamos solicitando criação de CDIs, Ofice ID, Ramais, etc para essa ampliação;_x000a_19/04 - Buscando Saving de insumos para implantação da 2° onda, prevista para 14/05. Treinamento em Andamento._x000a_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_x000a_29/03 - Realizado o transporte dos computadores , avayas e heads. teremos que refazer as imagens, devido a solicitação do cliente de trocar de win XP para win7. Iniciaremos em 30/03 até dia 04/04. Homologação de 05 à 07/04. Roll out em 08/04;_x000a_22/03 - Agendando transporte dos insumos, os mesmos devem chegar ate a proxima semana;_x000a_15/03 - Aguardando numero de PC para transportes de maquinas FOR/JPA e avayas de FOR/JPA;_x000a_08/03 - Entregamos o ambiente de treinamento com 3 salas. estamos aguardando numero de PC para transporte de maquinas FOR/JPS e avayas de FOR/JPA;_x000a_01/03 - Em Homologação do ambiente de trainamento pelo cliente. GMUD realizada com sucesso no dia 24/02 com sucesso. Configuração das maquinas de treinamento configuradas no periodo de 25 à 29/02 ._x000a_23/02 - Realizando algumas configurações nas maquinas da sala de treinamento, realizando liberações de rota / rede. Previsão de configurações por parte do cliente é de 25/02 a partir da 23hs;_x000a_16/02 - roteadores entregues no sites JP (em 16/02 às 15h30min). iremos instalar no local e disponibilizar uma maquina remota para as configurações, que devem ir até dia 18/02 à 11h00min;_x000a_10/02 - Aguardando numero do PC para acionar a transportadora para poder realizar o trasnporte dos dois roteadores de Lapa p/ JPA. estamos dependendo desse trasnporte para poder acionar as equipes internas e do cliente para realizar as devidas liberações e configurações de redes;_x000a_02/02 - Há necessidade detransporte de roteadores de SP para JPA. Estamos buscando 25 Maquinas e heads para completar os insumos. Em paralelo estamos levantando informações para repassar ao cliente para liberação de acessos no site JPA;_x000a_26/01 - Realizando o entendimento do projeto;"/>
    <s v="Solicitante"/>
    <s v="Luciana Cardoso"/>
    <d v="2016-05-19T00:00:00"/>
    <s v="Roll Out"/>
    <m/>
    <n v="100"/>
  </r>
  <r>
    <s v="CTXSPOAP407-14745"/>
    <s v="IMPLANTAÇÃO TAM VIAGENS - INFRA - SITE AUGUSTA"/>
    <s v="Augusta"/>
    <s v="S&amp;OP"/>
    <x v="5"/>
    <s v="Rodrigo Zambon"/>
    <s v="Leonardo Pelegrino"/>
    <s v="Bruno Ribeiro"/>
    <s v="Luciana Cardoso"/>
    <x v="1"/>
    <d v="2016-01-14T00:00:00"/>
    <n v="128"/>
    <d v="2016-01-26T00:00:00"/>
    <s v="Sim"/>
    <s v="-"/>
    <s v="Sala Trein: 27/mai_x000a_Augusta: 10/mai"/>
    <s v="Risco_x000a_Risco"/>
    <m/>
    <s v="17/05 - Pedido gerado para transporte dos Switchs --&gt; Verificando a questão se será por transporte rodoviário (Pedido gerado já, porém sera entregue até 8 dias uteis) ou se por transprote áreo (adicional de cerca de R$500,00, qual deve passar por todas as aprovações pertinentes). Resp.: Thiago Fellipe_x000a_Pedido gerado para transporte das máquinas + aparelhos (Alegria para Alameda e Alegria para Augusta) --&gt; Marcando com o fornecedor para dia 24/05 o transporte desses insumos._x000a_2 roteadores --&gt; Será enviado na segunda-feira_x000a_Após a chegada no site, TI site deverá realizar as configurações_x000a_11/05 - Mesmo status_x000a_04/05 - Sala de Treinamento no Alameda Santos (27/mai): Dois roteadores serão transportados para o site AS ainda essa semana. Pendente geração de PC de transporte dos Switchs, Máquinas, Avayas do site Alegria para o Alameda Santos. Após chegada no site:_x000a_• Acionar LW para realizar as liberações e configurações de rede e Coordenador do site para instalar os roteadores e switches_x000a_• Cobrar a Zenailde de uma VLAN para colocar nessas posições_x000a_• Acionar o coordenador do site AS e Zenailde para apoiar nas configurações das máquinas e ramais_x000a__x000a_Entrada de 91PAs no Augusta (10/mai): Pendente geração de PC de transporte das Máquinas e Avayas do site Alegria para o Augusta (em conjunto com os da Sala de Treinamento). Após chegada no site: • Acionar a Zenailde para configurações das máquinas e ramais com as imagens já disponíveis e outras configurações que o cliente enviar_x000a__x000a_26/04 - Dois Roteadores localizado em SP (modelo 3800), iremos transportar via taxi para o site Alameda Santos. Dois Switch localizado no site Santo Amaro, Luciana Cardoso esta cobrando processo de SC/PC para transportar para o site Alameda Santos. com os insumos no site As, necessario realizar as devidas configurações junto a Redes / Microsoft. Necessario levantar a rede a ser utilizada no site AS, Zenailde esta verificando disponibilidade._x000a_19/04 - Aguardando definições das atividades para os movimentos 8, 9 e10. Faremos uma reunião em 19 e 20/04 para definições das proximas fazes. Cobrando Controle de Ativos sobre os insumos necesarios (Switches e Roteadores) para implantar as salas de treinamemnto no site Alameda Santos, entretanto o cliente quer uma reunião para esse tema , pois diz não estar ciente. estamos agendando._x000a_12/04 - Analisando atividades para os proximos movimentos (8, 9 e 10);_x000a_29/03 - Migrado Mazanino para 4° andar. fazermos movimentações entre o 5°andar e o 3° andar do grupos Reserva e Cargo, e voltaremos o Planejamento para o Mezanino, no periodo de 01 à 04/04;_x000a_22/03 - Em execução de movimentações entre andares, e analisando as necessidades das salas de treinamentos no site AS;_x000a_15/03 -  Em execução das movimentações entre andares para execuções das obras. validando insumos para o crescimeto;_x000a_01/03 - Realizamos algumas reuniões na ultima semana, e foi definido o cronograma com base na data alvo a ser atingida em 10/05;_x000a_23/02 - realizado alguns alinhamentos, e no momento estamos aguardando definição de cronograma de obras e de ordem para as atividades nos andares;_x000a_16/02 - Aguardando cliente disponibilizar links e aplicações a serm utilizadas na operação (desde 28/01). Em paralelo estamos analisando o layout proposto, infra, insumos, etc. Precisamos tambem que seja definida a data de liberação do ambiente para TI trabalhar;_x000a_10/02 - Aguardando cliente disponibilizar links e aplicações a serm utilizadas na operação (desde 28/01). Em paralelo estamos analisando o layout proposto, infra, insumos, etc;_x000a_26/01 - Realizando o entendimento do projeto;"/>
    <s v="CC Brasil_x000a_Site Campo"/>
    <s v="Luciana Cardoso_x000a_Zenailde Santana"/>
    <d v="2016-05-10T00:00:00"/>
    <s v="Roll Out"/>
    <m/>
    <n v="200"/>
  </r>
  <r>
    <s v="CTXFORBM-348606"/>
    <s v="Simulador OI Total"/>
    <s v="Borges de Melo/CE"/>
    <s v="Operações que não estão no Plano de Recuperação"/>
    <x v="4"/>
    <s v="Ana Coelho"/>
    <s v="Ana Sosa"/>
    <s v="Bruno Guerra"/>
    <s v="Lisandra"/>
    <x v="0"/>
    <d v="2016-01-14T00:00:00"/>
    <n v="128"/>
    <d v="2016-01-22T00:00:00"/>
    <s v="Não"/>
    <s v="TBD"/>
    <s v="TBD"/>
    <s v="TBD"/>
    <m/>
    <s v="17/05 - Aguardando homologação_x000a_12/05 - Proposta já foi aceita pelo cliente, já foi aberta SC e o pedido já foi gerado. Simulador em fase de homologação pelo cliente._x000a_11/05 - Sem retorno do solicitante_x000a_02/05 - Sem retorno do solicitante_x000a_12/04 - Aguardando contato do solicitante_x000a_06/04 - Mesmo status_x000a_29/03 - Mesmo status_x000a_14/03 - Aguardando solicitação de compra por parte da operação_x000a_08/03 - Mesmo status_x000a_01/03 - EF não aprovada. Solicitado ao fornecedor novo desenho._x000a_23/02 - Aguardando aprovação do solicitante quanto a EF _x000a_10/02 - Em fase de definição de EF com a Lisandra_x000a_02/02 - Aguardando proposta comercial até amanhã (03/02)_x000a_29/01 - Enviado e-mail ao fornecedor solicitando proposta comercial_x000a_22/01 - Projeto novo em 22/01"/>
    <s v="Solicitante"/>
    <s v="Lisandra"/>
    <s v="Sem previsão"/>
    <s v="Homologação"/>
    <m/>
    <m/>
  </r>
  <r>
    <s v="CTXSPOBF-135040"/>
    <s v="Implantar Ferramenta Whisbi - Ticket B2B Infra"/>
    <s v="Antártica/SP"/>
    <s v="Plano Recuperação"/>
    <x v="0"/>
    <s v="Noemia Ferro"/>
    <s v="Maurício Perez"/>
    <s v="Debora Gercke Dominas"/>
    <s v="Não tem"/>
    <x v="0"/>
    <d v="2016-01-27T00:00:00"/>
    <n v="115"/>
    <d v="2016-02-01T00:00:00"/>
    <s v="Sim"/>
    <d v="2016-05-10T00:00:00"/>
    <s v="TBD"/>
    <s v="TBD"/>
    <m/>
    <s v="17/05: NDA assinado e Matris RACCI preenchida. Em fase de verificação co capacity do site para implantar o projeto. _x000a_10/05: Mesmo Status, cronograma elaborado porém aguardamos o NDA e a Matriz RACCIX serem concluídos._x000a_03/05: Mesmo Status, em paralelo o projeto foi alocado na fila de CSE em 29/04. Aguardo retorno, para construir um cronograma._x000a_26/04: Mesmo Status_x000a_19/04: Mesmo Status_x000a_12/04: Mesmo Status,por isso este projeto ficará em hold até termos o NDA assinado_x000a_05/04: Mesmo Status_x000a_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_x000a_21/03: Após avaliação de SI será necessário: • Utilização do Protocolo HTTPS entre o sistema e a PA;_x000a_• Alteração de contrato com inclusão da Whisbi ou NDA entre as empresas TICKET x WHISBI X CONTAX, onde o escopo é o vazamento de informação e indisponibilidade da aplicação (somente para esta célula);_x000a_• Criação de uma matriz RACCIX de papéis e responsabilidades para o cenário desta célula;_x000a_Além disso será necessário realizar a contratação de link de acordo com Eduardo Ávila (Comercial) , pois a proposta não considera link de internet. _x000a_08/03: Aguardando o recebimento do contrato para SI analisar a aplicabilidade e os  requisitos técnicos ds ferramenta Whisbi._x000a_01/03/16: Foi alterada a prioridade do projeto na reunião do Giulio em 26/02 pelo Giuseppe. Nova data será definida._x000a_22/02/16: Projeto está previsto para terminar a parte de rede (Villa) em 11/03."/>
    <s v="PMO TI"/>
    <s v="Débora Gercke"/>
    <s v="TBD"/>
    <s v="Em andamento"/>
    <m/>
    <n v="9"/>
  </r>
  <r>
    <s v="CTXSPOAP407-14651"/>
    <s v="Projeto - ACL Analytics – Workstation"/>
    <m/>
    <s v="Corporativo"/>
    <x v="2"/>
    <s v="Giuseppe"/>
    <s v="Mauricio Lustosa"/>
    <s v="Debora Gercke Dominas"/>
    <m/>
    <x v="0"/>
    <d v="2016-01-07T00:00:00"/>
    <n v="135"/>
    <d v="2016-02-01T00:00:00"/>
    <s v="Não"/>
    <s v="TBD"/>
    <s v="TBD"/>
    <s v="TBD"/>
    <m/>
    <s v="17/05: Mesmo Status_x000a_10/05: Mesmo Status_x000a_03/05: Mesmo Status_x000a_26/04: Mesmo Status_x000a_19/04: Mesmo Status_x000a_12/04: Aguardando o número do pedido a ser enviado para o fornecedor. Solicitado em 12/02 à auditoria interna abrir SC. Portanto projeto estará em hold até recebermos o número do pedido._x000a_05/04: Controle de Ativos está cotando o valor das licenças Windows 8.1. _x000a_29/03: Verificar com o Toscani a possibilidade de alterar o escopo do projeto, pois de acordo com ele a aplicação deve ficar em um Servidor, porém o ACL não é homologado para o Windows 2008 R2, sendo assim criaríamos uma VM com Windows 8.1 ou 7 para atender está demanda._x000a_22/03: Será necessário adquirir licenças de windows professional 8.1._x000a_08/03/16: Chamado continua em aberto, aguardando autorização de SI._x000a_01/03/16: Aguardando o autorização de acesso ao ftp por SI. Chamado aberto em 01/03/16._x000a_22/02/16: Engenheria terminou a construção do desenho e o projeto foi incluído na fila de CSE em 19/02 para criar um ambiente de infra."/>
    <s v="Solicitante"/>
    <s v="Anselmo"/>
    <s v="TBD"/>
    <s v="Em Hold"/>
    <m/>
    <m/>
  </r>
  <r>
    <s v="CTXRECSA-456620"/>
    <s v="Projeto - Implantar ferramenta Evalyze no BO Fixa"/>
    <s v="PE - Site Santo Amaro"/>
    <s v="Operações que não estão no Plano de Recuperação"/>
    <x v="4"/>
    <s v="Ana Coelho"/>
    <s v="Ana Sosa"/>
    <s v="Erica Cotrim"/>
    <m/>
    <x v="0"/>
    <d v="2016-01-26T00:00:00"/>
    <n v="116"/>
    <d v="2016-02-01T00:00:00"/>
    <s v="Não "/>
    <d v="2016-05-15T00:00:00"/>
    <s v="TBD"/>
    <s v="TBD"/>
    <m/>
    <s v="17/05 - Solicitante solicitou estender o prazo até p dia 20/05_x000a__x000a_10/05 - Mesmo Status. Prazo 15/05_x000a__x000a_03/05 -  Mesmo Status._x000a__x000a_25/04 - Conforme interação com a Fernanda Nazario, demanda em hold até 15/05. _x000a__x000a_19/04 - Conforme interação com a Fernanda Nazario, demanda em hold até 15/05. _x000a__x000a_12/04 - Mesmo Status_x000a__x000a_04/04 - Conforme interação com a Fernanda Nazario, demanda em hold até 15/05. _x000a__x000a_28/03 - Mesmo status, aguardando retorno da operação._x000a__x000a_21/03 - Mesmo status, aguardando retorno da operação._x000a__x000a_15/03 - Mesmo status, aguardando retorno da operação._x000a__x000a_07/03 - Conforme a análise de Engenharia é necessário que a operação realize um alinhamento com a área de Segurança da informação OI e Contax, por que não podemos rotear este IP 10.81.8.7  dentro do nosso ambiente, a  OI precisa criar um NAT com o range 10.173 _x000a__x000a_01/03 - Interação com o solicitante pois conforme retorno de Engenharia, é necessário o alinhamento com área de segurança da informação OI e Contax, por que não podemos rotear este IP 10.81.8.7  dentro do nosso ambiente, a  OI precisa criar um NAT com o range 10.173_x000a__x000a_23/02 - Conforme históricos de “bloqueio” em ambos os lados Oi e CSE, esta demanda está com Análise e Estudo de Viabilidade da Equipe de Engenharia . Prazo : 23/02 à 29/02_x000a__x000a_15/02 - Mesmo Status._x000a__x000a_10/02 - Pendência de abertura de ARS com a Oi,. Em paralelo, colocamos na Fila do Morais para verificar a possibilidade de disponibilizar  a base de dados do Frevo, ao menos em uma única versão, para testes e validação pela Closer dentro do Evalyze._x000a__x000a_Verificarmos possibilidade de uma contingencia manual para que o mesmo acesso que o analista de TI de PE utiliza hoje seja utilizado para pegar o arquivo do Frevo e colocar no ftp da Closer._x000a_---------------------------------------------_x000a_Resumo do último status._x000a_Hoje existe pendência de liberação de acesso pela Oi para a Contax acessar o ambiente do BD do Frevo a partir de Alphaville(regra 2). E nesse momento já temos o contato de Ti da Oi que diz que só vai nos atender, após alguém da OI abrir uma ARS(chamado), com as devidas liberações de Seg Inf da OI, para criação do Nat de acesso. _x000a_A Contax ainda não conseguiu essa ajuda com produtos da Oi na abertura da ARS pois esse é um projeto da Contax, que na sua concepção não envolvia a Oi na sua execução. E está sendo necessário explicar e negociar a respeito._x000a_A equipe de aplicações está aguardando esse retorno da liberação de acesso para configurar a aplicação e realizar testes com o robô desenvolvido. _x000a_A fornecedoara da Closer já desenvolveu a parte deles  mas ainda não consegue fazer testes por não ter recebido dados através da interface de sistema desenhada_x000a__x000a__x000a_02/02 - Acionado a Cris Sasaki (Em estimativa de OG)"/>
    <s v="Operação "/>
    <s v="Fernanda Nazário"/>
    <d v="2016-05-20T00:00:00"/>
    <s v="Hold"/>
    <m/>
    <n v="240"/>
  </r>
  <r>
    <s v="CTXSPOAP407-12306"/>
    <s v="LATAMCC - Contax SIP Trunk -Integração TAM com rede SITA"/>
    <s v="Alegria/SP"/>
    <s v="Operações que não estão no Plano de Recuperação"/>
    <x v="5"/>
    <s v="Rodrigo Zambon"/>
    <s v="Leonardo Pelegrino"/>
    <s v="Paulo Cavalcante"/>
    <s v="Cleonice"/>
    <x v="0"/>
    <d v="2015-09-02T00:00:00"/>
    <n v="262"/>
    <d v="2016-02-03T00:00:00"/>
    <s v="Não"/>
    <s v="TBD"/>
    <s v="TBD"/>
    <s v="TBD"/>
    <m/>
    <s v="[17/05] - Aguardando direcionamento da Diretoria TI, para seguirmos com solução desenhada por Engenharia, sem custos para Cliente._x000a_Pendente estimativas e diefinição de custos para repasse para cliente ( Infra já disponivel, não necessário investimento Contax)_x000a__x000a_[03/05] - Aguardando definição Koreeda (Email Villa) Escalar Milene._x000a__x000a_[26/04] - Aguardando definição Koreeda (Email Villa) _x000a__x000a_[19/04] - Aguardando definição Koreeda (Email Villa) _x000a__x000a_[12/04] - Aguardando definição da Diretoria TI. (Direcionamento Gestor Engenharia)_x000a__x000a_[05/04] -  Aguardando esclarecimentos tecnicos entre  Engenharia e  Comercial Contax, para prosseguimento do projeto._x000a__x000a_[2903] -  Aguardando esclarecimentos tecnicos entre  Engenharia e  Comercial._x000a__x000a_[22/03] -  Aguardando esclarecimentos Engenharia e direcionamento Comercial._x000a__x000a_[15/03] - Aguardando retorno de Engenharia  para os questionamento realizados pelo Comercial._x000a__x000a_[08/03] -  Em 08/03 recebemos alguns questionamento enviados  pelo Comercial, referente as respostas do cliente TAM , para itens contidos na RFP. Será necessário avaliação equipe tecnica._x000a__x000a_[29/02] - Aguardando Retorno Comercial. Custos encaminhados para equipe Projetos e Comercial . Aguardando direcionamento, para iniciar execução._x000a__x000a_[23/02] - Custos encaminhados para equipe Projetos e Comercial . Aguardando direcionamento, para iniciar execução._x000a__x000a_[16/02] - Necessário esclarecer qustão comercial Contax ._x000a_Equipe de Engenharia levantando os custos de TI para a Infra DAC (SM) que será utilizada neste projeto, para encaminhar para Comercial Contax. Passível de repasse custos para Cliente. Previsão : 17/02_x000a__x000a_[10/02] - Em analise e aprovação da solução tecnica, pela Diretoria TI._x000a__x000a_[02/02] - Desenho arquitetura e solução finalizado por Engenharia._x000a_Direcionado para Equipe Implantação CSE._x000a_Necessário a aprovação da diretoria, para utilização da Plataforma o Avaya Session Manager  no data center. Já encaminhado ."/>
    <s v="ENG"/>
    <s v="Koreeda/ Villa"/>
    <s v="ND"/>
    <s v="Desenho Solução"/>
    <m/>
    <m/>
  </r>
  <r>
    <s v="CTXBHZRP-217559"/>
    <s v="RTI - ABERTURA E FECHAMENTO DE CONTESTAÇÃO (G1)"/>
    <s v="Santo Amaro"/>
    <s v="Plano Recuperação"/>
    <x v="4"/>
    <s v="Ana Coelho"/>
    <s v="Ana Sosa"/>
    <s v="Juliana Moraes"/>
    <s v="Luiz Matheus"/>
    <x v="2"/>
    <d v="2016-02-03T00:00:00"/>
    <n v="108"/>
    <d v="2016-02-03T00:00:00"/>
    <s v="Sim"/>
    <d v="2016-03-28T00:00:00"/>
    <d v="2016-05-11T00:00:00"/>
    <s v="Sim"/>
    <m/>
    <s v="[16/05] - Inicio do piloto programado para 17/05. _x000a_[09/05] - UAT iniciada. Prorrogada para 11/05. _x000a_[02/05] - UAT iniciada. Termino dia 06/05._x000a_[26/4] - em desenvolvimento_x000a_[19/04] - Em desenvolvimento_x000a_[12/4] - Em desenvolvimento_x000a_[04/04] Em desenvolvimento. Atraso devido à demora na liberação de usuário pela operação. _x000a_Risco de atraso também devido a montagem do ambiente de desenvolvimento. Novo prazo de entrega 29/04/16._x000a_[29/03] -  Usuários de sistemas envolvidos não foram enviados, portanto, haverá atraso. Aguardando previsão de envio para analisar impactos._x000a_[22/03] - To Be validado._x000a_[14/03] -  TO BE enviado para aprovação em 09/03/16. Em 11/03, negócios solicitou alteração no desenho. Previsão de envio para aprovação em 14/03/16. _x000a_Não há impacto nas outras datas. _x000a_[08/03] - Na execução do TO BE, identificamos falhas na EF. Aguardando envio de EF complementar para gerar cronograma.                                             01/03/16: Pendente desenho do TO BE._x000a_22/02/16: PMO Negócios solicitou alteração no cronograma enviado no documento de OG no dia 19/02. Nova OG será enviada até 23/02._x000a_12/02/16 - EF recebida , será enviada OG no dia 19/02/16_x000a_10/02 - Mesmo status_x000a_05/02 - EF em análise. Agendada sala de guerra para retirada de duvidas e fechamento da EF em 12/02_x000a_03/02 - A iniciar"/>
    <s v="Aplicações"/>
    <s v="Mariana"/>
    <d v="2016-04-29T00:00:00"/>
    <s v="Em Desenvolvimento"/>
    <m/>
    <m/>
  </r>
  <r>
    <s v="CTXSALLM-120345"/>
    <s v="Crescimento de 30 PV´s de Televendas Out Pós"/>
    <s v="BA - Site Comércio"/>
    <s v="S&amp;OP"/>
    <x v="4"/>
    <s v="Ana Coelho"/>
    <s v="Ana Sosa"/>
    <s v="Erica Cotrim"/>
    <s v="Jonas Divino"/>
    <x v="1"/>
    <d v="2016-02-03T00:00:00"/>
    <n v="108"/>
    <d v="2016-02-03T00:00:00"/>
    <s v="Sim"/>
    <m/>
    <d v="2016-05-06T00:00:00"/>
    <s v="Não"/>
    <m/>
    <s v="17/05 - Pedido de transporte foi aprovado hoje, solicitando verificando com Suprimentos._x000a__x000a_10/05 - Em Comitê, para aprovação do transporte do Servidor para gravação_x000a__x000a_03/05 - Em Comitê, para aprovação do transporte do Servidor para gravação. Lembrando que são 15 pas para gravação._x000a__x000a_25/04 - Mesmo Status._x000a__x000a_19/04 - Em Comitê, para aprovação do transporte do Servidor para gravação. Lembrando que são 15 pas para gravação._x000a__x000a_12/04 - Aguardando status do CC Brasil quanto a cotação de transporte para remanejamento do Servidor para gravação. _x000a__x000a_04/04 - Mesmo status. _x000a__x000a_28/03 - Foi repassado a cotação de Transporte ao recurso de Negócios (Jonas), para seguimento de abertura de SC. Ressaltando que apenas 15 pas estão sem gravação._x000a__x000a_21/03 - Servidor de gravação encontrado. Em cotação de transporte para posterior abertura de SC._x000a__x000a_15/03 - Aguardando retorno de Controle de Ativos._x000a__x000a_07/03 - Mesmo Status._x000a__x000a_01/03 - Ainda temos apenas pendência de gravação em 15 pas. CSE está estudando um upgrade no Nice 2.0 para que possamos resolver este &quot;problema&quot; de gravação._x000a__x000a_23/02 - 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quot;problema&quot; de gravação._x000a__x000a_15/02 - Mesmo Status._x000a__x000a_10/02 - Acionamento Site para os pré-requisitos de Dac e Imagem das pas. Em paralelo aguardando retorno de Engenharia para as verificações do Discador. Única ação da Equipe do Morais é no final da demanda com o cadastro do novo range de Hostname._x000a__x000a_03/02 - A iniciar"/>
    <s v="CC Brasil_x000a_"/>
    <s v="Jonas Divino"/>
    <s v="TBD"/>
    <s v="Desenvolvimento"/>
    <m/>
    <n v="30"/>
  </r>
  <r>
    <s v="CTXBHZRI-97664"/>
    <s v="Novos Arquivos de Atualização R1 Fixa"/>
    <s v="Prado II"/>
    <s v="Operações que não estão no Plano de Recuperação"/>
    <x v="4"/>
    <s v="Ana Coelho"/>
    <s v="Sterlaine Priscila"/>
    <s v="Paulo Cavalcante"/>
    <s v="Tatiane Rodrigues Dallecrode "/>
    <x v="0"/>
    <d v="2016-01-28T00:00:00"/>
    <n v="114"/>
    <d v="2016-02-04T00:00:00"/>
    <s v="Não"/>
    <s v="TBD"/>
    <s v="TBD"/>
    <s v="TBD"/>
    <m/>
    <s v="[17/05] - Testes e homologações realizadas com solicitante e Oi.. Gmud programada para 16/05._x000a_Check de validação do ambiente produção, proposto para  18/05_x000a__x000a_[10/05] O arquivo exemplo foi disponibilizado está em desenvolvimento, está sendo confirmado nova data para implantação._x000a__x000a_[03/05] Arquivos entregues em 28/04. Pegar posição de aplicações._x000a__x000a_[26/04] Vamos fechar chamado se arquivo não vier até 30/04._x000a__x000a_[19/04] Pendência do Solicitante. [  arquivo de mailing exemplo ]_x000a_Informado ao solicitante o impacto direto no início do Desenvolvimento. Uma nova expectativa  esforço Deesenvolvimento será realizada, quando recebermos o arquivo de mailing _x000a__x000a_[12/04] - Pendência do Solicitante. [  arquivo de mailing exemplo ]_x000a_Informado ao solicitante o impacto direto no início do Desenvolvimento. Uma nova expectativa  esforço Deesenvolvimento será realizada, quando recebermos o arquivo de mailing exemplo. _x000a_Obs: Solicitante ainda sem data para entrega do arquivo_x000a__x000a_[05/04] - Pendência Solicitante. Informado ao solicitante o impacto direto no início do Desenvolvimento. Uma nova expectativa será realizada quando recebermos o arquivo de mailing exemplo. Obs: Solicitante ainda sem data para entrega do arquivo_x000a__x000a_[29/03] - Pendência Solicitante  - Aguardando retorno solicitante. _x000a_Obs: Impacto direto no inicio desenvolvimento e entrega._x000a__x000a_[22/03] - Pend~encia  do solicitante, na entrega do arquivo de exemplo do mailing até 23/03/2016._x000a_Essa entrega é premissa para garantir a o inicio do desenvolvimento e a data de entrega do projeto.(15/04)_x000a__x000a__x000a__x000a_[15/03] - Aguardando retorno solicitante. ( Modelo arquivo mailing). Limite 23/03_x000a__x000a_08/03] - Aguardando o envio arquivo exemplo mailing. ( Jeane (02/03)_x000a__x000a_[03/03] - Para priorizarmos este ultimo projeto para inicio de desenvolvimento no dia 29 Mar, precisamos de entrega do arquivo de exemplo do mailing até 23/03/2016 e alinhar convosco que afetaremos as demais solicitações prioritárias da fila  em mais ou menos 14 dias úteis._x000a__x000a_[02/03] - Aguardando &quot; de acordo &quot;  Admilson par areorganização da Fila de Projetos par apodermos Priorizar o projeto para atender  a data  esperada pelo Cliente._x000a__x000a_ [29/02] - Ponto de Atenção: O lay out do Arquivo mailing será alterado pela Oi em  05/05/16._x000a_Previsão de execução por Aplicações  - Desenvolvimento entre 06 e 27/12/12016_x000a__x000a_[23/02] - Projeto em analise por Aplicações . Data prevista retorno de esforço e prazo execução - 29/02._x000a__x000a_[16/02] - Fase inicial.  Entendimento do escopo com solicitante _x000a__x000a_[10/02] - Fase Inicial - Esclarecer entendimento escopo com Solicitante_x000a__x000a_04/02 - Aguardando Briefing do projeto"/>
    <s v="Solicitante"/>
    <s v="Tatiane Dallecrode"/>
    <d v="2016-02-29T00:00:00"/>
    <s v="Desenho Solução"/>
    <d v="2016-04-15T00:00:00"/>
    <m/>
  </r>
  <r>
    <s v="CTXSALSM-87479"/>
    <s v="Alteração URA OI Internet Conexão Sáude"/>
    <s v="Fonte Nova/BA"/>
    <s v="Operações que não estão no Plano de Recuperação"/>
    <x v="4"/>
    <s v="Ana Coelho"/>
    <s v="Ana Sosa"/>
    <s v="Bruno Guerra"/>
    <s v="Tiago Fialho"/>
    <x v="5"/>
    <d v="2016-02-01T00:00:00"/>
    <n v="110"/>
    <d v="2016-02-04T00:00:00"/>
    <s v="Sim"/>
    <s v="-"/>
    <s v="Fase 1: 06/mai_x000a_20/mai_x000a_Fase 2: TBD"/>
    <s v="Risco"/>
    <m/>
    <s v="17/05 - Apenas hoje foi liberada a rede. Estamos aguardando os testes da equipe de URA para finalização da primeira fase do projeto._x000a_11/05 - Call marcada com o solicitante para hoje, definição de próximos passos_x000a_04/05 - Chamado de liberação das URLs aprovado por SI. Na fila de CSE Redes para atuação e, assim, continuação de testes pela equipe de desenvolvimento de URA_x000a_02/05 - Chamado com CSE Microsoft sem atuação desde 28/04_x000a_27/04 - Ocorreu erros no link, CSE Redes foi acionado. Está em análise desde 25/04, aguardando retorno._x000a_19/04 - A partir da segunda-feira (18/04)_x000a_Desenvolvimento: 3 dias_x000a_Testes Unitários e funcionais: 2 dias_x000a_Previsão para homologação: 27/abr_x000a__x000a_12/04 - Mesmo status_x000a_06/04 - Estamos aguardando a liberação de proxy para iniciar os testes e retomar o cronograma. Ficamos parados grande parte do tempo aguardando a resposta do Cliente em relação a porta, proxy, envio de novo URL. _x000a_29/03 - Aguardando informação do Tiago com a Oi para liberação da porta para prosseguirmos com os testes e homologação. _x000a_&quot;Bruno,_x000a_ _x000a_Tive retorno a pouco do Rubens da OI onde os mesmo irão criar “um novo acesso com IP público e assim que estiver disponível vamos informá-lo para que você solicite a liberação no seu proxy e possa executar os testes”._x000a_&quot;_x000a_14/03 - Alinhamento realizado. Aguardando retorno da equipe de desenvolvimento de URA quanto aos prazos para Base Fixa e Base Móvel_x000a_08/03 - Foram realizados os alinhamentos com engenharia. Hoje será realizado o alinhamento total (URA + ENG + Planejamento)_x000a_01/03 - Projeto aprovado pelo cliente em questão do desenvolvimento. Porém existem alguns custos adicionais que estão sendo verificados com a equipe de URA se é possível a redução. Em paralelo, os links estão sendo analisados pela equipe de Telecom_x000a_24/02 - Infelizmente na fila de Engenharia só conseguiremos iniciar a análise no dia 01/03.  _x000a_As primeiras demandas da fila de Engenharia são crescimentos, expansões, migrações e desmobilizações._x000a__x000a_17/02 - Proposta da equipe de URA enviada à Cristiane Kuzuhara para aprovação. Com prazo em dias de 15 dias para implantação_x000a_10/02 - Aguardando resposta da equipe de URA_x000a_03/02 - A iniciar"/>
    <s v="URA"/>
    <s v="Lucas Gil"/>
    <d v="2016-05-20T00:00:00"/>
    <s v="Desenvolvimento/Execução"/>
    <m/>
    <m/>
  </r>
  <r>
    <s v="CTXRJOMA-78044"/>
    <s v="RTI - AUTOMAÇÃO CONSULTA HISTÓRICO TERMINAL"/>
    <m/>
    <s v="Plano Recuperação"/>
    <x v="4"/>
    <s v="Ana Coelho"/>
    <s v="Ana Sosa"/>
    <s v="Juliana Moraes"/>
    <s v="Luiz Matheus"/>
    <x v="2"/>
    <d v="2016-02-11T00:00:00"/>
    <n v="100"/>
    <d v="2016-02-11T00:00:00"/>
    <s v="Sim"/>
    <d v="2016-03-28T00:00:00"/>
    <d v="2016-05-11T00:00:00"/>
    <s v="Sim"/>
    <m/>
    <s v="[16/05] - Inicio do piloto programado para 17/05. _x000a_[09/05] - UAT iniciada. Prorrogada para 11/05. _x000a_[02/05] - Em desenvolvimento. Inicio da UAT dia 04/05. _x000a_[25/4] - Em desenvolvimento_x000a_[19/04] - Em desenvolvimento_x000a_[12/4] - Em desenvolvimento. Prazo de conclusão 3/5_x000a_[04/04] Em desenvolvimento_x000a_[29/03] - Em desenvolvimento_x000a_[22/03] - To Be ajustado pela equipe de desenvolvimento._x000a_[14/03] TO BE em andamento _x000a_[08/03] - Mesmo status_x000a_01/03/16: Pendente aprovação de OG._x000a_22/02/16: Pendente revisão de EF._x000a_12/02/2016  Primeira analise da EF concluída no dia 12/02  solicitado sala de guerra para retirada de dúvidas da EF. _x000a_12/02 - A iniciar"/>
    <s v="Aplicações"/>
    <s v="Mariana"/>
    <d v="2016-05-03T00:00:00"/>
    <s v="Em Desenvolvimento"/>
    <m/>
    <m/>
  </r>
  <r>
    <s v="CTXRJOMA-78043"/>
    <s v="Projeto - Playground - Otimização da distribuição de chamadas"/>
    <s v="Cabula"/>
    <s v="Plano Recuperação"/>
    <x v="4"/>
    <s v="Ana Coelho"/>
    <s v="Ana Sosa"/>
    <s v="Juliana Moraes"/>
    <s v="Fabrício Peixoto"/>
    <x v="0"/>
    <d v="2016-02-11T00:00:00"/>
    <n v="100"/>
    <d v="2016-02-12T00:00:00"/>
    <s v="Sim"/>
    <d v="2016-04-15T00:00:00"/>
    <d v="2016-07-19T00:00:00"/>
    <s v="Sim"/>
    <m/>
    <s v="[16/05] - Heitor solicitou uma nova reunião com a Information. Aguardando ok do fornecedor para dia 17/05._x000a_[10/05] - Mesmo status_x000a_[03/05] - Projeto em andamento conforme planejado no cronograma._x000a_[25/4] - Information esta avaliando as datas do cronograma e checar a viabilidade de alocação de recurso. Prazo de retorno 27/4._x000a_[19/04] - Recebimento da Information EF e cronograma.  Elaboração e envio do cronograma de TI._x000a_[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_x000a_[29/03] - Pendente envio do cronograma. Prazo 31/03._x000a_[22/3] - Aguardando aprovação da Ana Coelho para a regra de negócios _x000a_[15/03] - Solicitado cronograma para Information - Prazo de entrega 18/03. _x000a_[08/03] - Realizada a reunião com o fornecedor Information para explicação da topologia. Aguardando envio das documentões para fornecedor desenhar EF. _x000a_[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
    <s v="Fornecedor"/>
    <s v="Marcel"/>
    <d v="2016-04-27T00:00:00"/>
    <s v="Levantamento de informações"/>
    <s v="TDB"/>
    <n v="20"/>
  </r>
  <r>
    <s v="CTXBHZRI-98065"/>
    <s v="Migrar a operação Escob R2 para a plataforma de cobrança TCollect + discador Aspect. situado ao Site Prado2 (complemento ao chamado principal CTXBHZRI-94859)"/>
    <s v="Prado/MG"/>
    <s v="Plano Recuperação"/>
    <x v="4"/>
    <s v="Ana Coelho"/>
    <s v="Ana Sosa"/>
    <s v="Julio Silva"/>
    <s v="Fabrício Peixoto"/>
    <x v="0"/>
    <d v="2016-02-11T00:00:00"/>
    <n v="100"/>
    <d v="2016-02-17T00:00:00"/>
    <s v="Sim"/>
    <d v="2016-04-26T00:00:00"/>
    <d v="2016-08-24T00:00:00"/>
    <s v="Risco"/>
    <m/>
    <s v="17/05 - Avaliando disponibilidade de licenças em outro Polo. Data 19/05_x000a_10/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3/03 - Data de entrega aplicações 29/06. Aguardando redefinição de filas de prioridade para montar cronograma.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Aplicações"/>
    <s v="Alexandre Morais"/>
    <s v="29/06 - data atual"/>
    <s v="Na Fila"/>
    <m/>
    <m/>
  </r>
  <r>
    <s v="CTXBHZRI-98066"/>
    <s v="Projeto - Implantar tCollect!+Aspect Operação - CD R2 (complemento ao chamado principal CTXBHZRI-94859)"/>
    <s v="Prado/MG"/>
    <s v="Plano Recuperação"/>
    <x v="4"/>
    <s v="Ana Coelho"/>
    <s v="Ana Sosa"/>
    <s v="Julio Silva"/>
    <s v="Fabrício Peixoto"/>
    <x v="0"/>
    <d v="2016-02-11T00:00:00"/>
    <n v="100"/>
    <d v="2016-02-17T00:00:00"/>
    <s v="Sim"/>
    <d v="2016-04-26T00:00:00"/>
    <d v="2016-01-05T00:00:00"/>
    <s v="Risco"/>
    <m/>
    <s v="17/05 - Avaliando disponibilidade de licenças em outro Polo. Data 19/05_x000a_10/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1/03 - Ef será entregue dia 25/03.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Inovação e Inteligência CRM"/>
    <s v="Neilor Márcio"/>
    <d v="2016-03-25T00:00:00"/>
    <s v="Na Fila"/>
    <m/>
    <m/>
  </r>
  <r>
    <s v="CTXBHZRI-98067"/>
    <s v="Projeto - Implantar tCollect!+Aspect Operação - Escob OI TV (complemento ao chamado principal CTXBHZRI-94859)"/>
    <s v="Prado/MG"/>
    <s v="Plano Recuperação"/>
    <x v="4"/>
    <s v="Ana Coelho"/>
    <s v="Ana Sosa"/>
    <s v="Julio Silva"/>
    <s v="Fabrício Peixoto"/>
    <x v="0"/>
    <d v="2016-02-11T00:00:00"/>
    <n v="100"/>
    <d v="2016-02-17T00:00:00"/>
    <s v="Sim"/>
    <d v="2016-04-26T00:00:00"/>
    <d v="2016-09-08T00:00:00"/>
    <s v="Risco"/>
    <m/>
    <s v="17/05 - Avaliando disponibilidade de licenças em outro Polo. Data 19/05_x000a_10/05 - Mesmo status._x000a_19/04 - Recebemos a informação da área de desenvolvimento que é necessário definições do Projeto Polo Aspect para fechar data. Previsão de fechamento das definições Aspect 20/04._x000a_29/03 - Mesmo status_x000a_21/03 - Projeto aguardará a migração do Prado para Polo SP para a entrada das posições já no Polo Aspect 7.3_x000a_01/03 EF será entegue dia 01/04._x000a_25/02 - Operação disponibilizará EF dia 29/02._x000a_11/02 - Demanda separada em 4 chamados, um para cada célula. _x000a_- Data de retorno da área de aplicações com OG 17/02._x000a_04/02 - Aguardando EF. Fernanda Nazário._x000a_03/02 - Mudança de líder: Julio Silva_x000a_02/02 - Mesmo status_x000a_26/01 - Mesmo status _x000a_14/01 - Em 06/01 foi solicitada a EF por e-mail. Hoje foi solicitado via Tprocess"/>
    <s v="Inovação e Inteligência CRM"/>
    <s v="Neilor Márcio"/>
    <d v="2016-04-01T00:00:00"/>
    <s v="Na Fila"/>
    <m/>
    <m/>
  </r>
  <r>
    <s v="CTXSALPB-55659"/>
    <s v="Crescimento de 20 pas do Outbound Velox"/>
    <s v="BA - Site Boa Viagem"/>
    <s v="S&amp;OP"/>
    <x v="4"/>
    <s v="Ana Coelho"/>
    <s v="Ana Sosa"/>
    <s v="Erica Cotrim"/>
    <s v="Jonas Divino"/>
    <x v="1"/>
    <d v="2016-02-03T00:00:00"/>
    <n v="108"/>
    <d v="2016-02-03T00:00:00"/>
    <s v="Sim"/>
    <m/>
    <d v="2016-05-06T00:00:00"/>
    <s v="Não "/>
    <m/>
    <s v="17/05 - Pedido de transporte foi aprovado hoje, solicitando verificando com Suprimentos._x000a__x000a_10/05 - Em Comitê, para aprovação do transporte do Servidor para gravação._x000a__x000a_03/05 - Em Comitê, para aprovação do transporte do Servidor para gravação. Lembrando que são 15 pas para gravação._x000a__x000a_25/04 - Mesmo Status._x000a__x000a_19/04 - Em Comitê, para aprovação do transporte do Servidor para gravação._x000a__x000a_12/04 - Aguardando status do CC Brasil quanto a cotação de transporte para remanejamento do Servidor para gravação. _x000a__x000a_04/04 - Mesmo Status._x000a__x000a_28/03 - Foi repassado a cotação de Transporte ao recurso de Negócios, para seguimento de abertura de SC._x000a__x000a_21/03 - Servidor de gravação encontrado. Em cotação de transporte para posterior abertura de SC._x000a__x000a_15/03 -Aguardando retorno de Controle de Ativos._x000a__x000a_07/03 - Mesmo status._x000a__x000a_01/03 - Headsets ok. _x000a_Ainda temos  pendência de gravação  nas pas. CSE está estudando um upgrade no Nice 2.0 para que possamos resolver este &quot;problema&quot; de gravação._x000a__x000a_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_x000a_10/02 - Em análise._x000a_03/02 - A iniciar"/>
    <s v="CC Brasil"/>
    <s v="Jonas Divino"/>
    <s v="TBD"/>
    <s v="Desenvolvimento"/>
    <m/>
    <n v="20"/>
  </r>
  <r>
    <s v="CTXSPOAS-4528"/>
    <s v="Migração Perfcall"/>
    <s v="Santo Amaro/PE"/>
    <s v="BI Corporativo"/>
    <x v="2"/>
    <s v="Giuseppe"/>
    <s v="Mauricio Lustosa"/>
    <s v="Bruno Guerra"/>
    <s v="Tatiana Barbosa"/>
    <x v="0"/>
    <d v="2015-09-14T00:00:00"/>
    <n v="250"/>
    <d v="2016-01-04T00:00:00"/>
    <s v="Não"/>
    <s v="TBD"/>
    <s v="TBD"/>
    <s v="TBD"/>
    <m/>
    <s v="17/05 -  Aguardando envio do IP Nat de destino pelo solicitante_x000a_11/05 - Mesmo status_x000a_02/05 - Mesmo status_x000a_27/04 - Aguardando envio do IP Nat de destino pelo solicitante_x000a_20/04 - Mesmo status_x000a_12/04 - Aguardando retorno do CSE_x000a_06/04 - Não estamos conseguindo a criação de NAT por parte da Oi_x000a_29/03 - Mesmo status_x000a_14/03 - Foi identificado uma pendência no projeto. E será necessário a criação de NAT por parte da Oi_x000a_09/03 - Projeto entregue. Aguardando homologação do cliente_x000a_01/03 - Entrega prevista para hoje: VMs e Banco de dados. Após isso será passado para o solicitante homologar._x000a_19/01 - Necessidade de Migração dos servidores do sistema Perficall para o Datacenter. "/>
    <s v="Solicitante"/>
    <s v="Tatiana Barbosa"/>
    <s v="Sem previsão"/>
    <s v="Desenvolvimento/Execução"/>
    <m/>
    <m/>
  </r>
  <r>
    <s v="CTXRECSA-455203"/>
    <s v="TLS: Protocolo de criptografia TLS 1.2"/>
    <s v="Sto Amaro"/>
    <s v="Plano Recuperação"/>
    <x v="3"/>
    <s v="Ricardo Araújo"/>
    <s v="Celso Miranda"/>
    <s v="Edison Siqueira"/>
    <s v="José Pedro"/>
    <x v="3"/>
    <d v="2016-01-20T00:00:00"/>
    <n v="122"/>
    <d v="2016-03-01T00:00:00"/>
    <s v="Não"/>
    <s v="TBD"/>
    <s v="TBD"/>
    <s v="TBD"/>
    <m/>
    <s v="Edison Nei Siqueira added a comment - 10/Mai/16 18:44_x000a_Aguardando retorno do comercial para fechar a demanda junto a PMO TI._x000a__x000a_Edison Nei Siqueira added a comment - 03/Mai/16 18:08_x000a_Estamos aguardando o retorno do fornecedor MicroFocus com a proposta para upgrade de versão do emulador, em paralelo estamos providenciando a homologação do software no site Site Amaro._x000a__x000a_Edison Nei Siqueira added a comment - 26/Abr/16 20:17_x000a_Entramos em contato com o fornecedor do software e nos foi solicitado o serial do mesmo, pelo que foi visto o Rumba 8.0 ainda não suportava TLS 1.2 só 1.1 logo a versão que está instalada na operação possivelmente também não deve suportar tal criptografia. A demanda ainda continua em analise junto a engenharia._x000a__x000a_Edison Nei Siqueira added a comment - 20/Abr/16 08:35_x000a_Realizada a áudio junto o cliente ITAÚ, porém estamos buscando internamente junto ao site as informações se o emulador suporta ou não tal tipo de criptografia, o fornecedor nos solicitou o serial do do software para verificação, tal solicitação ja´feita ao site para auxiliar no levantamento da informação._x000a__x000a_Edison Nei Siqueira added a comment - 12/Abr/16 18:10_x000a_Agendada audio junto ao cliente para entendimento da demanda, pois precisamos de maiores detalhes para que engenharia consiga evoluir na analise._x000a__x000a_Edison Nei Siqueira added a comment - 15/Mar/16 12:10_x000a_Demanda em analise na área de engenharia com previsão de retorno para o dia 22/03/2016. _x000a__x000a_01/03 - A Iniciar"/>
    <s v="Engenhariia"/>
    <s v="Benedito Silva (Villa)"/>
    <m/>
    <s v="Na Fila"/>
    <m/>
    <m/>
  </r>
  <r>
    <s v="CTXRECSA-461808"/>
    <s v="Projeto - Projeto - Implantação de licenças COTI - Monitoramento do NET SMS"/>
    <s v="Sto Amaro"/>
    <s v="Operações que não estão no Plano de Recuperação"/>
    <x v="5"/>
    <s v="Rodrigo Zambon"/>
    <m/>
    <s v="Edison Siqueira"/>
    <s v="Cleonice"/>
    <x v="0"/>
    <d v="2016-02-12T00:00:00"/>
    <n v="99"/>
    <d v="2016-03-01T00:00:00"/>
    <m/>
    <s v="TBD"/>
    <s v="TBD"/>
    <s v="TBD"/>
    <m/>
    <s v="Edison Nei Siqueira added a comment - 26/Abr/16 20:03_x000a_Continuamos aguardando retorno com relação a homologação da instalação._x000a__x000a_Edison Nei Siqueira added a comment - 12/Abr/16 18:09_x000a_Realizamos a reinstalação da aplicação e estamos aguardando a validação por parte do cliente._x000a__x000a_Edison Nei Siqueira added a comment - 15/Mar/16 12:12_x000a_Demanda em analise junto a equipe de engenharia com previsão de retorno para o dia 22/03/2016._x000a__x000a_01/03 - A Iniciar"/>
    <s v="Engenharia "/>
    <s v="Benedito Silva (Villa)"/>
    <m/>
    <s v="Na Fila"/>
    <m/>
    <m/>
  </r>
  <r>
    <s v="CTXRECSA-457626"/>
    <s v="Projeto - Substituição do front end Ayty pelo Tguidance - Operação Santander Cartões"/>
    <s v="Santo Amaro/PE"/>
    <s v="Plano Recuperação"/>
    <x v="6"/>
    <s v="Noemia Ferro"/>
    <s v="Carlos Batista"/>
    <s v="Paulo Cavalcante"/>
    <s v="George Dimitrov"/>
    <x v="0"/>
    <d v="2016-01-29T00:00:00"/>
    <n v="113"/>
    <d v="2016-03-04T00:00:00"/>
    <s v="Não"/>
    <s v="TBD"/>
    <s v="TBD"/>
    <s v="TBD"/>
    <m/>
    <s v="[17/05] - Equipe App avaliando localmemente a consistencia das informações enviadas pelo solicitante  (APP FE )._x000a_Frente (Desenvolvimento Relatórios ) - Viviane,_x000a_Avaliar ultimos email recebifods Fabio, George, Fabiana_x000a__x000a_[10/05] Pendente entrega de engenharia. EF de Relatórios sendo refeita._x000a__x000a_[03/05] Pendente entrega de engenharia._x000a__x000a_[26/04] Falta retorno de Engenhatia sobre infra para Time de App. Previsto para 27/04._x000a__x000a_[12/04] - Fase de esclarecimento de Pendências na EF com equipe Aplicações, Negócios e TI. Nova Verão de EF atualizada sendo anexada ao Tprocess._x000a_Pendente: Envio de informações e detalhamento dos  Relatórios que deverão ser contamplados no Projeto ( Projetos /Operações - George)_x000a__x000a_[05/04] - Avaliação tecnica da EF pela equipe de Aplicações. Estimativas previta : 07/04_x000a__x000a_[29/03] - Recebida EF. Fase de analise e entendimento escopo._x000a_Direcionado  para fila de analise tecnica /priorizações de Aplicações. _x000a__x000a_[22/03]  - Fase de entendimento do escopo e validação da documentação enviada pelo solicitante. Estruturação da EF (PMO Negócios)_x000a__x000a_[15/03] - Detalhamento Funcional anexado ao Tprocess em 15/03. _x000a_Em fase de avaliação da documentação e posterior direcionamento para Fila de Aplicações._x000a__x000a_[08/03] - Aguardando envio da EF preenchida e resposta ao questionamento disponibilizados no Tprocess._x000a__x000a_01/03 - Aguardando EF"/>
    <s v="APP/Solicitante"/>
    <s v="Cristiane Sasaki/Luciana"/>
    <m/>
    <s v="Desenho Solução"/>
    <s v="ND"/>
    <m/>
  </r>
  <r>
    <s v="CTXSALSM-85211"/>
    <s v="Aplicação - Desenvolvimento Tabulador de Proposta para a Operação CAC"/>
    <s v="Cabula/BA e Santo Amaro/PE"/>
    <s v="Plano Recuperação"/>
    <x v="3"/>
    <s v="Ricardo Araújo"/>
    <s v="Rogerio Silva"/>
    <s v="Paulo Cavalcante"/>
    <s v="Mariana Mello"/>
    <x v="0"/>
    <d v="2015-12-10T00:00:00"/>
    <n v="163"/>
    <d v="2016-03-04T00:00:00"/>
    <s v="Não"/>
    <s v="TBD"/>
    <s v="TBD"/>
    <s v="TBD"/>
    <m/>
    <s v="[17/05] - Novos entendimentos com cliente sobre a solução que será apresentada para projeto. Proposta é apresentar a mesma solução que está sendo desenvolvida para Itau ( Projeto da Juliana ). Infra necessária sendo avaliada por Engenharia_x000a_EF para adequação da solução para CAC sendo avaliada pela equipe APP. _x000a_Necessário Mariana atualizar EF para Juliana APP estimar prazos de desenvolvimento._x000a__x000a__x000a_[10/05] Pendente entrega de engenharia. Previsão 15/05. App definiu nova solução, sugerida pelo cliente. em fase final de entendimento, para então dar OG._x000a__x000a_[03/05] Pendente entrega de engenharia. Solicitaram informações sobre escopo. App fez apresentaçao em 28/04 sobre proposta de implamentação negada pelo solicitante. Estudo de adequação em andamento._x000a__x000a_[26/04] - Aguardando retorno Aplicações com data de precvisão conclução e de Eng Sobre estudo de infra._x000a__x000a_[19/04] - Aguardando retorno Aplicações ccom precvisão conclução da Analise OG_x000a__x000a_[12/04] - Projeto direcionado para avaliação tecnica da equipe Aplicações.._x000a_EF recebida em 07/04._x000a__x000a_[04/04] - Aguardando envio da EF preenchida e resposta ao questionamento disponibilizados no Tprocess._x000a__x000a_[29/03] - Aguardando envio da EF preenchida e resposta ao questionamento disponibilizados no Tprocess._x000a__x000a_[22/03]  - Aguardando envio da EF preenchida e resposta ao questionamento disponibilizados no Tprocess._x000a__x000a_[15/03] - Aguardando envio da EF preenchida e resposta ao questionamento disponibilizados no Tprocess._x000a__x000a_[08/03] - Aguardando envio da EF preenchida e resposta ao questionamento disponibilizados no Tprocess._x000a__x000a_01/03 - Aguardando EF"/>
    <s v="APP"/>
    <s v="Cristiane"/>
    <s v="ND"/>
    <s v="Construção EF"/>
    <s v="ND"/>
    <m/>
  </r>
  <r>
    <s v="CTXRJOSC-15278"/>
    <s v="Gestão de Demandas e Projetos - Eng.TI - Redes (dados)"/>
    <s v="São Cristovão/RJ"/>
    <s v="Plano Recuperação"/>
    <x v="0"/>
    <m/>
    <m/>
    <s v="Paulo Cavalcante"/>
    <s v="Bruno Batista de Souza"/>
    <x v="6"/>
    <d v="2016-01-26T00:00:00"/>
    <n v="116"/>
    <d v="2016-03-04T00:00:00"/>
    <s v="Não"/>
    <s v="TBD"/>
    <s v="TBD"/>
    <s v="TBD"/>
    <m/>
    <s v="[17/05] - Sem retorno do Cliente. Avaliando possibilidade de cancelamento da solicitação, devido a falta de retorno do solicitante._x000a__x000a_[26/04] Sem retorno do cliente. Tratar o pedido de cancelamento._x000a__x000a_[19/04]  Mesmo status anterior._x000a__x000a_[12/04] -  Aguardando retorno do soliicitante  (Cheuin)  - (Esclarecer escopo com Cliente BBMapfre)._x000a__x000a_[04/04] -  Aguardando retorno do soliicitante  (Cheuin)  - (Esclarecer escopo com Cliente BBMapfre),. _x000a__x000a_[29/03] -  Aguardando retorno do soliicitante (Esclarecer escopo com Cliente BBMapfre),_x000a__x000a_[22/03] - Aguardando retorno do soliicitante (Esclarecer escopo com Cliente BBMapfre),. _x000a__x000a_[15/03] - Projeto sendo analisado por Engenharia TI . Recomendado agendamento de call tecnico com TI Cliente para esclarecimentos escopo.Contato (Fabio Pinheiro - BBMapfre)._x000a_ _x000a_[08/03] - Aguardando mapeamento TI Site._x000a_Direcionando projeto para fila de projetos de Engenharia (Redes) ._x000a__x000a_[04/03] - Detalhamento escopo projeto._x000a_Acionamento equipe TI Site para mapeamento das ações locais._x000a__x000a_[08/02)01/03 - Aguardando formulário de abertura de projeto "/>
    <s v="Solicitante"/>
    <s v="José Pedro"/>
    <m/>
    <s v="Desenho Solução"/>
    <s v="ND"/>
    <m/>
  </r>
  <r>
    <s v="CTXSPOAL-109109"/>
    <s v="Migração dos links da BV (Do Lapa para Alegria)"/>
    <s v="Alegria/SP"/>
    <s v="Plano Recuperação"/>
    <x v="0"/>
    <s v="Ricardo Araújo"/>
    <s v="Celso Miranda"/>
    <s v="Debora Gercke Dominas"/>
    <s v="Luciana Cardoso"/>
    <x v="3"/>
    <d v="2016-03-04T00:00:00"/>
    <n v="78"/>
    <d v="2016-03-09T00:00:00"/>
    <s v="Não"/>
    <s v="TBD"/>
    <s v="TBD"/>
    <s v="TBD"/>
    <m/>
    <s v="17/05: Mesmo Status_x000a_10/05: Mesmo Status._x000a_03/05: Rogério Luiz enviou as informações dos links de voz e dados ontem, 02/05. Aguardo o retorno de ENG para verificar os próximos passos._x000a_26/04: Mesmo Status_x000a_19/04: Mesmo status, por isso o status do projeto altera-se para em hold._x000a_12/04: Aguardando o cliente enviar as informações sobre o link. _x000a_05/04: Aguardando o site retornar com as dúvidas gerada pelo Rogério Veloso_x000a_29/03: Acionada a equipe responsável para analisar a migração desta operação._x000a_09/03 - A iniciar"/>
    <s v="ENG"/>
    <s v="Rogério Veloso"/>
    <s v="TBD"/>
    <s v="Em andamento"/>
    <m/>
    <n v="106"/>
  </r>
  <r>
    <s v="CTXSPOAL-108115"/>
    <s v="Outros - N/A - Migração de equipe madrugada Ticket"/>
    <s v="Alegria/SP"/>
    <s v="S&amp;OP"/>
    <x v="0"/>
    <s v="Noemia Ferro"/>
    <s v="Maurício Perez"/>
    <s v="Debora Gercke Dominas"/>
    <s v="Jonas Divino"/>
    <x v="1"/>
    <d v="2016-02-25T00:00:00"/>
    <n v="86"/>
    <d v="2016-03-09T00:00:00"/>
    <s v="Não"/>
    <s v="TBD"/>
    <s v="TBD"/>
    <s v="TBD"/>
    <m/>
    <s v="17/05: Mesmo Status_x000a_10/05: Mesmo Status._x000a_03/05: Aguardando retorono da Zenailde para iniciar o processo de contratação de cabeamento._x000a_26/04: Operação e planejamento autorizaram a contratação da empresa de cabeamento, pois a rede no site Alegria é do santander. _x000a_19/04: Foi realizado um levantamento pelo TI Site, sendo necessário contratar o cabeamento, pois a rede disponível é do Santander._x000a_12/04: Mesmo status _x000a_05/04: Mesmo status_x000a_29/03: Aguarda uma data para agendar o kick-off_x000a_21/03: A iniciar_x000a_09/03 - A iniciar"/>
    <s v="PMO TI"/>
    <s v="Débora Gercke"/>
    <s v="TBD"/>
    <s v="Em andamento"/>
    <m/>
    <n v="15"/>
  </r>
  <r>
    <s v="CTXNITSP-179559"/>
    <s v="Crescimento SAV Entrega ( CRV FIXO ATIVO, OI TOTAL. DEALER, PAP)"/>
    <s v="RJ - Site Niterói"/>
    <s v="S&amp;OP"/>
    <x v="4"/>
    <s v="Ana Coelho"/>
    <s v="Ana Sosa"/>
    <s v="Erica Cotrim"/>
    <s v="Jonas Divino"/>
    <x v="1"/>
    <d v="2016-02-03T00:00:00"/>
    <n v="108"/>
    <d v="2016-02-03T00:00:00"/>
    <s v="Sim"/>
    <m/>
    <d v="2016-05-06T00:00:00"/>
    <s v="Não"/>
    <m/>
    <s v="17/05 - Já finalizamos a alteração do SO na operação. No momento implantações TI está retornando com as correções do térreo que foram sinalizadas na última homologação._x000a__x000a_10/05 - Suporte TI, finalizando os últimos ajustes da alteração do SO para finalizar a demanda._x000a__x000a_03/05 - Gravação - homologado _x000a_SO foi alterado neste final de semana., aguardando homologação._x000a_A questão das licenças do Tlv ainda estão em análise._x000a__x000a_25/04 - Em pendência das licenças do Tlv, não sendo necessário abri SC sendo anallisado a partir do contrato._x000a_Alteração do SO, área de Implantações verificando questões de GPO, previsão de alteração neste final de semana._x000a__x000a__x000a__x000a__x000a_19/04 - 5  Onda em homologação, incluindo a parte de gravação._x000a_Conforme contato com CC Brasil, a SC foi aprovada, porém estava com erro em um formulário . Aguardando definição com Financeiro._x000a__x000a_12/04 - 4 Onda homologada. Definindo de escopo na 5 Onda._x000a__x000a_Gravação - Ramais cadastrados hoje, solicitado a operação, a hpmologação.  _x000a_Tlv 5  -  Aberto SC para as licenças do Tlv , em comitê com o Jonas (Negócios)_x000a__x000a_04/04 -Homologação da 4 Onda no Térreo, em andamento. _x000a_Gravação -   Portas ainda disponíveis, informado os IP´s dos ramais para o CSE cadastrar, aguardando retorno._x000a_Tlv 5  -  Aberto SC para as alicenças do Tlv , em comitê com o Jonas (Negócios)_x000a_*Aguardando  o final da homologação da 4 onda para fechamento de escopo da 5 Onda._x000a__x000a__x000a_28/03 - Layout do Térreo em homologação._x000a_21/03 - Layout do 9 andar e 11 andar entregues. Sendo revisado a lista de insumos necessárias para entrega do Térreo. Em paralelo, estamos analisando questões de licenças de Tlv 5, portas de gravação e afins._x000a__x000a_15/03 - Dentro das 5 Ondas, estamos entregando a 2 Onda. Aguardando DA de licenças do TLV 5 (+84)  e Desenho de Engenharia  referente a Migração do a migração de licenças do Polo Aspect de CE para PE ._x000a__x000a_07/03 - Crescimento sendo dividido em 5 Ondas. Estamos na 2 Fase em Homologação."/>
    <s v="Implantações Site / Negócios (Licença TLV 5) "/>
    <s v="Diego Pacatuba / Jonas Santos"/>
    <d v="2016-05-20T00:00:00"/>
    <s v="Homologação"/>
    <m/>
    <n v="300"/>
  </r>
  <r>
    <s v="CTXRJOED-57427"/>
    <s v="Implantação Gas Natural Fenosa"/>
    <s v="Rio Comprido"/>
    <s v="S&amp;OP"/>
    <x v="0"/>
    <s v="Ricardo Araújo"/>
    <s v="Celso Miranda"/>
    <s v="Edison Siqueira"/>
    <s v="Flavio Reto"/>
    <x v="1"/>
    <d v="2015-11-30T00:00:00"/>
    <n v="173"/>
    <d v="2015-11-30T00:00:00"/>
    <s v="Sim"/>
    <s v="-"/>
    <d v="2016-05-30T00:00:00"/>
    <s v="Risco"/>
    <m/>
    <s v="Edison Nei Siqueira added a comment - 18/Mai/16 11:35_x000a_Todas as posições no site Rio Comprido já foram montadas e serão homologadas pelo cliente GNF. _x000a__x000a_Estamos com as seguintes necessidades ainda para o projeto: _x000a__x000a_Prover um servidor SNTP para o acerto do fuso horário dos aparelhos telefônicos que estão pegando o horário da Espanha. _x000a_Estamos com a situação critica relacionado aos links: _x000a_Link de Contingência RC X GNF _x000a_Link de Interligação RC X MCK - para atendimento da madrugada _x000a_Link de contingência RC x MCK - para o atendimento da madrugada _x000a__x000a_Edison Nei Siqueira added a comment - 10/Mai/16 18:50_x000a_Aguardando retorno da Hit Telecom com relação a ativação do link de contingência entre GNF e o site Rio Comprido. _x000a_Refazendo todas as imagens da operação para atender a necessidade do cliente GNF. _x000a_Aguardando validação da URA de contingência por parte do cliente GNF. _x000a__x000a_Edison Nei Siqueira added a comment - 26/Abr/16 20:00_x000a_Estamos realizando a homologação junto ao cliente e identificando falhas nas configurações da parte voz do SBC do cliente. _x000a_Pedente entrega de aparelhos telefônicos ainda pendente, suprimentos buscando a priorização junto ao fornecedor. _x000a_Link ponto a ponto Rio Comprido x Mackenzie da Hit Telecom, essa solicitação chegou ontem para equipe de implantação da operadora. Já foi solicitado urgência no agendamento das atividades, mas ainda estamos sem visibilidade de cronograma. _x000a_Link ponto a ponto Rio Comprido x Mackenzie da Unitelco, as vistorias nas pontas já foram executadas e o alinhamento com a Oi visando a liberação para instalação da antena no site Mackenzie, também estamos aguardando o projeto para que a Oi formalize o de acordo para instalação._x000a__x000a_Edison Nei Siqueira added a comment - 20/Abr/16 08:40_x000a_Todos os insumos referente a topologia de redes já foram transportados. _x000a_Vistoria realizada para instalação do link de contingência, recebemos ontem o de acordo do cliente GNF para seguir com o projeto apresentado pela operadora HIT. _x000a_Homologação do ambiente junto ao cliente, acesso aos aplicativos que eram escopo do projeto validado junto ao cliente, demais aplicativos solicitados para serem instalados nas PAs que não eram escopo da demanda estão em analise junto ao site. _x000a_Aparelhos telefônicos chegando chegando conforme esperado e a ultima remessa prevista para o dia 25/04. _x000a_Ajustes nas configurações de voz sendo realizado em conjunto com o cliente na Espanha. _x000a__x000a_Edison Nei Siqueira added a comment - 12/Abr/16 18:06_x000a_Estamos realizando o transporte dos insumos e realizando as configurações dos links de interligação entre a Contax e o Cliente GNF._x000a__x000a_Edison Nei Siqueira added a comment - 05/Abr/16 17:16_x000a_Treinamento dos colaboradores inciado. _x000a_Link de interligação em processo de instalação, foi identificado a necessidade de passagem de fibra no ambiente do cliente GNF pela operadora. _x000a_SC000385 Transporte de Insumos - Continua aguardando a aprovação no comitê de caixa._x000a__x000a_Edison Nei Siqueira added a comment - 23/Mar_x000a_Link de dados,  a Oi informou o prazo de 08/ 04 devido a investimento em um equipamento em uma das pontas._x000a_Estamos tentando negociar esse prazo já escalado internamente._x000a_Em paralelo vamos tentar um prazo menor com a hit, que seria a contigencia._x000a__x000a_Edison Nei Siqueira added a comment - 15/Mar/16 12:19_x000a_Treinamento dos multiplicadores teve início no dia 14/03 no site MCK em uma sala, demais salas aguardando a liberação de T&amp;D prevista para o dia 21/03."/>
    <s v="Negócios"/>
    <s v="Flavio Reto"/>
    <m/>
    <s v="Em andamento"/>
    <m/>
    <m/>
  </r>
  <r>
    <s v="CTXPOARB-104174"/>
    <s v="Projeto - Implantar tGuidance na Retenção NET"/>
    <s v="Navegantes"/>
    <s v="Plano Recuperação"/>
    <x v="5"/>
    <s v="Rodrigo Zambon"/>
    <s v="Leonardo Pelegrino"/>
    <s v="Debora Gercke Dominas"/>
    <s v="Luciana Andrade"/>
    <x v="0"/>
    <d v="2016-03-16T00:00:00"/>
    <n v="66"/>
    <d v="2016-03-22T00:00:00"/>
    <s v="Sim"/>
    <d v="2016-04-12T00:00:00"/>
    <d v="2016-06-09T00:00:00"/>
    <s v="Sim"/>
    <m/>
    <s v="17/05: Aguardando OK da operação para seguir com o rollout._x000a_10/05: Mesmo Status_x000a_03/05: Mesmo Status_x000a_26/04: Mesmo Status_x000a_19/04: Cronograma definido. Piloto está previsto de 12/05 à 18/05 e o roll out de 19/05 à 09/06._x000a_12/04: Em definição de cronograma. Sugestão de TI enviado a operação e o mesmo não foi aceito._x000a_05/04: Aguardando a atualização da EF e planilha de insumos pela operação._x000a_29/03: Realizada uma call com o solicitante para entendimento da demanda. Pendente o envio de VDN e atualização da EF._x000a_22/03 - A iniciar"/>
    <s v="Solicitante"/>
    <s v="Juliano"/>
    <d v="2016-05-17T00:00:00"/>
    <s v="Em andamento"/>
    <m/>
    <n v="205"/>
  </r>
  <r>
    <s v="CTXRJOMA-78346"/>
    <s v="Contratação das licenças atualizadas do Windows Server "/>
    <m/>
    <s v="Operações que não estão no Plano de Recuperação"/>
    <x v="2"/>
    <s v="Giuseppe"/>
    <s v="Mauricio Lustosa"/>
    <s v="Debora Gercke Dominas"/>
    <s v="Marcio José"/>
    <x v="4"/>
    <d v="2016-02-22T00:00:00"/>
    <n v="89"/>
    <d v="2016-03-22T00:00:00"/>
    <s v="Não"/>
    <s v="TBD"/>
    <s v="TBD"/>
    <s v="TBD"/>
    <m/>
    <s v="17/05: Mesmo Status_x000a_10/05: Aguarda negociação com fornecedor para aquisição das licenças Windows Server CAL 2012, e posterior alinhamento com o cliente Oi comprovando a compra e aderência aos requisitos Microsoft._x000a_03/05: Levantamento usuários do Siebel, Exchange e Click, a Validação de usuários ativos da lista Oi e o Levantamento de máquinas que acessam Siebel e Click foi realizado. Aguardando o retorno de negócio para os próximos passos._x000a_26/04: Aguardando a validação dos usuários que acessam o sistema click._x000a_19/04: Mesmo status._x000a_12/04: Mesmo status. _x000a_05/04: Aguardando a validação dos usuários ativos no Ecadop para fazer a cotação de licenças._x000a_29/03: Enviado e-mail para controle de ativos verificar a aquisição de licenças._x000a_22/03 - A iniciar"/>
    <s v="TBD"/>
    <s v="TBD"/>
    <s v="TBD"/>
    <s v="Em andamento"/>
    <m/>
    <n v="35498"/>
  </r>
  <r>
    <s v="CTXRJOMA-78585"/>
    <s v="Projeto BI -  Meu MIS  ( Operações Itau  ) - Santo Amaro"/>
    <s v="Santo Amaro/PE"/>
    <s v="BI Corporativo"/>
    <x v="2"/>
    <m/>
    <s v="Mauricio Lustosa"/>
    <s v="Paulo Cavalcante"/>
    <s v="Pedro Bazzarella"/>
    <x v="0"/>
    <d v="2016-03-21T00:00:00"/>
    <n v="61"/>
    <d v="2016-03-22T00:00:00"/>
    <s v="Não"/>
    <s v="TBD"/>
    <s v="TBD"/>
    <s v="TBD"/>
    <m/>
    <s v="[17/05] - Necessário definição de proximos passos sobre a analise / execução dessa solicitação ( Adalto )_x000a__x000a_[10/05]Pendente entrega de Aplicações.Alinhamento com Rivaldo._x000a_[03/05]Pendente entrega de Aplicações._x000a__x000a_[26/04] No aguardo da OG._x000a__x000a_[19/04] Projeto encaminhado para analise tecnica equipe Adalto. (Recomendação (Koreeda e Rivaldo). Email Klaus._x000a_Retorno Aplicações previsto 26/04._x000a__x000a_[12/04] - Fase de entendimento Tecnico e direcionamento para Equipe Especialista._x000a__x000a_[04/04] - Consulta de Saving com Gestão Ativos._x000a__x000a_[29/03] - Não identificado saving. Direcionar para Analise tecnica._x000a__x000a_[22/03] - Avaliando com equipe TI Recife se procede a disponibilidade de servidores, coforme informado pelo do saving de servidor, conforme sinalizado pelo Solicitante._x000a__x000a_"/>
    <s v="ENG/APP"/>
    <s v="Adalto"/>
    <d v="2016-04-26T00:00:00"/>
    <s v="Desenho Solução"/>
    <s v="ND"/>
    <m/>
  </r>
  <r>
    <s v="CTXSPOAP407-16016"/>
    <s v="PROJETO ADEQUAÇÃO URA MULTIPLUS CONTAX P/ ORBITAL "/>
    <s v="Alegria/SP"/>
    <s v="Operações que não estão no Plano de Recuperação"/>
    <x v="5"/>
    <s v="Rodrigo Zambon"/>
    <s v="Leonardo Pelegrino"/>
    <s v="Paulo Cavalcante"/>
    <s v="Cleonice"/>
    <x v="5"/>
    <d v="2016-03-21T00:00:00"/>
    <n v="61"/>
    <d v="2016-03-28T00:00:00"/>
    <s v="Sim"/>
    <s v="TBD"/>
    <d v="2016-05-07T00:00:00"/>
    <s v="Não"/>
    <m/>
    <s v="[17/05] - RollOut previsto para iniciar as 23hs de 18/05 até as 03hs. GOnoGO determinado para 03:30hs. Sala de Guerra agendada para 23hs_x000a__x000a_[10/05] Virada de ligações feita em 01/05. Pendente migração de URA, apresentando errros na homologação. Sem nova previsão de virada. Solicitado avisoo com 24h de antecedencia._x000a__x000a_[03/05] Virada de ligações feita em 01/05. Pendente migração de URA, Call em 04/05 para plano de migração._x000a__x000a_[26/04] Aguardando ok do cliente para alinhar virada, inicialmente para 27/04._x000a__x000a_[19/04] - Testes de transbordo ligação URA para DAC Orbitall ( 01 VDN) realizado em 18/04 com sucesso. _x000a_Aguardando proximos passos (Cliente Multiplus) e confimação data Virada ambiente._x000a_Homologação: [ VDN: 20251 Multiplus Grupo A]_x000a_- Transbordo realizado com Sucesso (Túnel Contax e Orbitall)._x000a_- Transferência URA Multiplus ( Realizada com sucesso)_x000a__x000a__x000a_[12/04] - Solução de Contingência para trasnbordo e transferencias das Ligações da  atual URA Multiplus para DAC Orbital em andamento. Em paralelo ações de configuração de DAC sendo realizadas pelo Fornecedor Orbital._x000a__x000a_[04/04] - Projeto direcionado para avaliação tecnica da equipe de Engenharia. Expectativa de retorno com  Alocação de Recurso tecnico para  avaliação e tratativa da solicitação - 06/04_x000a__x000a_28/03 - A iniciar"/>
    <s v="CSE"/>
    <s v="LW"/>
    <s v="ND"/>
    <s v="Desenvolvimento/Execução"/>
    <m/>
    <m/>
  </r>
  <r>
    <s v="CTXSPOBF-126487"/>
    <s v="Projeto: Alteração do Arquivo RAW - Operação Serasa Cobrança"/>
    <s v="Antártica/SP"/>
    <s v="Operações que não estão no Plano de Recuperação"/>
    <x v="6"/>
    <s v="Noemia Ferro"/>
    <s v="Maurício Perez"/>
    <s v="Bruno Guerra"/>
    <s v="Priscila"/>
    <x v="0"/>
    <d v="2016-09-30T00:00:00"/>
    <s v="N/A"/>
    <d v="2016-01-19T00:00:00"/>
    <s v="Sim"/>
    <s v="-"/>
    <d v="2016-05-20T00:00:00"/>
    <s v="Sim"/>
    <m/>
    <s v="17/05 - projeto programado para implantação no dia 19/05._x000a_11/05 - Testes realizados e OK.  Aguardando virada para produção._x000a_02/05 - Equipe de CSE já disponibilizou o arquivo e os testes foram OK pro planejamento. Aguardando retorno da operação quanto a homolgoação_x000a_27/04 - Hoje teremos um retorno da equipe de CSE com a disponibilização do arquivo em ambiente de homologação para homologação da operação_x000a_20/04 - Projeto entregue pelo fornecedor em 15/abr. Foi aberto um chamado para equipe de produção para disponibilizar o pacote no ambiente para validação da operação. Previsão: 25/abr_x000a_29/03 - Projeto será entregue pelo fornecedor em 14/04"/>
    <s v="CSE"/>
    <s v="Marcio Nakaya"/>
    <d v="2016-05-19T00:00:00"/>
    <s v="Roll Out"/>
    <m/>
    <m/>
  </r>
  <r>
    <s v="CTXSPOAP407-15967"/>
    <s v="Navegação de Dados "/>
    <s v="Acre"/>
    <s v="Plano Recuperação"/>
    <x v="5"/>
    <s v="Rodrigo Zambon"/>
    <s v="Leonardo Pelegrino"/>
    <s v="Juliana Moraes"/>
    <s v="Cleonice"/>
    <x v="2"/>
    <d v="2016-03-11T00:00:00"/>
    <n v="71"/>
    <d v="2016-03-24T00:00:00"/>
    <s v="Não"/>
    <s v="TBD"/>
    <s v="TBD"/>
    <s v="TBD"/>
    <m/>
    <s v="[16/05] - Em levantamento de processos para a construção da EF_x000a_ [10/05] - Equipe de Negócio precisa abrir um chamado para cada solicitação e elaborar EF._x000a_[03/05] - Demanda desmembrada da original 1478. Equipe de Negocio precisa abrir um chamado para cada solicitação_x000a_[25/04] - Aguardando priorização dos projetos_x000a_ [18/04] - Não será possível cumprir o planejadmento devido ao atraso na aprovação e a necessidade de ajustes, dos POPs 1601 e 1689. O novo replanejamento será publicado até o dia 25/04/16. _x000a_[11/04] Data de TO BE replanejada devido ao atraso na entrega e validação dos TO BEs das outras demandas de Claro. Novo prazo 9/5_x000a_ [04/04] Replanejamento de datas devido à disponibilidade de recursos. Aguardando recurso para iniciar. _x000a_[29/03] - Em fase de desenho de solução. _x000a_Previsão de datas será publicado em 04/04/16. Aguradando Recurso"/>
    <s v="Solicitante"/>
    <s v="Cleonice"/>
    <s v="TDB"/>
    <s v="Análise"/>
    <m/>
    <m/>
  </r>
  <r>
    <s v="CTXSPOAP407-15966 "/>
    <s v="Pacotes de Internet "/>
    <s v="Acre"/>
    <s v="Plano Recuperação"/>
    <x v="5"/>
    <s v="Rodrigo Zambon"/>
    <s v="Leonardo Pelegrino"/>
    <s v="Juliana Moraes"/>
    <s v="Cleonice"/>
    <x v="2"/>
    <d v="2016-03-11T00:00:00"/>
    <n v="71"/>
    <d v="2016-03-24T00:00:00"/>
    <s v="Sim"/>
    <d v="2016-03-15T00:00:00"/>
    <d v="2016-03-15T00:00:00"/>
    <s v="Sim"/>
    <m/>
    <s v="[16/05] - Em piloto até 25/05._x000a_[09/05] - Testes internos e ajustes finalizados com sucesso. Ambiente e usuários estão ok para inicio do piloto em 11/05/16. _x000a_[02/05] - Iniciamos os testes internos e idenficamos necessidade de fazer ajustes. Cronograma será estendido em 1 semana. _x000a_[25/04] - Solicitado a equipe de negócios layout das PAs para o piloto. Prazo de envio TDB - Desenvolvimento concluído. Teste de conectividade será realizado nesta semana. Prazo de conclusão 29/04._x000a_[18/04] - TO BE avaliado pela operação, ajustado e enviado para aprovação em 14/04/16. Desenvolvimento conforme cronograma._x000a_[12/04] - TO BE enviado para aprovação em 08/04/16; previsão de retorno em 12/04/16. Em desenvolvimento conforme datas reprogramadas._x000a_[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_x000a_[29/03] - Pendente de envio do desenho do processo por parte de Negócios. Foi solicitada a sala de guerra para esclarecimento de dúvidas, ainda a ser agendada. "/>
    <s v="Aplicações"/>
    <s v="Mariana"/>
    <d v="2016-05-09T00:00:00"/>
    <s v="Em Desenvolvimento"/>
    <d v="2016-05-10T00:00:00"/>
    <m/>
  </r>
  <r>
    <s v="CTXSPOAP407-15965"/>
    <s v="Agregadores e Serviços"/>
    <s v="Acre"/>
    <s v="Plano Recuperação"/>
    <x v="5"/>
    <s v="Rodrigo Zambon"/>
    <s v="Leonardo Pelegrino"/>
    <s v="Juliana Moraes"/>
    <s v="Cleonice"/>
    <x v="2"/>
    <d v="2016-03-11T00:00:00"/>
    <n v="71"/>
    <d v="2016-03-24T00:00:00"/>
    <s v="Sim"/>
    <d v="2016-03-15T00:00:00"/>
    <d v="2016-03-15T00:00:00"/>
    <s v="Sim"/>
    <m/>
    <s v="[16/05] - Em piloto até 25/05. _x000a_[09/05] - Testes internos e ajustes finalizados com sucesso. Ambiente e usuários estão ok para inicio do piloto em 11/05/16. _x000a_[02/05] - Iniciamos os testes internos e identificamos necessidade de fazer ajustes. Cronograma será estendido em 1 semana. _x000a_[25/04] - Solicitado a equipe de negócios layout das PAs para o piloto. Prazo de envio TDB - Desenvolvimento concluído. Teste de conectividade será realizado nesta semana. Prazo de conclusão 29/04._x000a_[18/04] - TO BE avaliado pela operação, ajustado e enviado para aprovação em 14/04/16. Desenvolvimento conforme cronograma._x000a_[11/04] TO BE ainda não validado pela operação; previsão 11/04/16. Em desenvolvimento conforme datas reprogramadas._x000a_[04/04] Aguardando validação do TO BE pela operação. Previsto para 04/04/16. Desenvolvimento em andamento e estendido devido à complexidade encontrada. Data de UAT precisa ser validada pela operação._x000a_[29/03] - Em desenvolvimento"/>
    <s v="Aplicações"/>
    <s v="Mariana"/>
    <d v="2016-05-09T00:00:00"/>
    <s v="Em Desenvolvimento"/>
    <d v="2016-05-10T00:00:00"/>
    <m/>
  </r>
  <r>
    <s v="CTXSPOAP407-15853"/>
    <s v=" Rede e Cobertura"/>
    <s v="Acre"/>
    <s v="Plano Recuperação"/>
    <x v="5"/>
    <s v="Rodrigo Zambon"/>
    <s v="Leonardo Pelegrino"/>
    <s v="Juliana Moraes"/>
    <s v="Cleonice"/>
    <x v="2"/>
    <d v="2016-03-11T00:00:00"/>
    <n v="71"/>
    <d v="2016-03-24T00:00:00"/>
    <s v="Não"/>
    <s v="TBD"/>
    <s v="TBD"/>
    <s v="TBD"/>
    <m/>
    <s v="[16/05] - Em levantamento de processos para a construção da EF_x000a_[10/05] - Equipe de Negócio precisa abrir um chamado para cada solicitação e elaborar EF._x000a_[03/05] - Demanda desmembrada da original 1478. Equipe de Negocio precisa abrir um chamado para cada solicitação_x000a_[25/04] - Aguardando priorização dos projetos_x000a_[18/04] - TO BE não iniciado devido ao atraso na validação, e a necessidade de ajustes, dos POPs 1601 e 1689. O novo replanejamento será publicado até o dia 25/04/16. _x000a_[11/04] Data de TO BE replanejada devido ao atraso na entrega e validação dos TO BEs das outras demandas de Claro. Novo prazo 27/4._x000a_[04/04] Replanejamento de datas devido à disponibilidade de recursos. Aguardando recurso para iniciar. _x000a_[29/03] - Em fase de desenho de solução. _x000a_Previsão de datas será publicado em 04/04/16. Aguradando Recurso"/>
    <s v="Solicitante"/>
    <s v="Cleonice"/>
    <s v="TDB"/>
    <s v="Análise"/>
    <m/>
    <m/>
  </r>
  <r>
    <s v="CTXRJOMA-78594"/>
    <s v="Projeto Monitoria de Call Center Oi "/>
    <m/>
    <s v="Operações que não estão no Plano de Recuperação"/>
    <x v="4"/>
    <s v="Ana Coelho"/>
    <s v="Marcel Garcia"/>
    <s v="Alexandre Batista"/>
    <s v="Fabio Prazeres"/>
    <x v="0"/>
    <d v="2016-02-26T00:00:00"/>
    <n v="85"/>
    <d v="2016-03-30T00:00:00"/>
    <s v="Não"/>
    <s v="TBD"/>
    <s v="TBD"/>
    <s v="Não existe data fechada"/>
    <m/>
    <s v="17/05 _x000a_a- Pendente acionar Eng para desenho de Controle de Ativos. _x000a_b-Parte do RTSocket já foi entregue em Desenho de Telecom._x000a__x000a_10/05 - Acionar Eng para desenho de Controle de Ativos. Parte do RTSocket está em Desenho de Telecom._x000a__x000a_03/05- Em fase de entendimento com solcitante. Muitos pontos em aberto, com necessidade de colocar em estudo com Engenharia. Preciso fechar escopo antes._x000a__x000a_26/04 - Alinhamento feito comn FAbiana C arla de que projeto estaria entregue. Acionada a Avaya para dar posicionamento._x000a_12/04: Projeto está na fase de entendimento entre  Lustosa e Marcel/Fabio, pois as infomações solicitadas na EF já são disponobilizadas para a Oi através do RTI._x000a_05/04: Projeto alocado na fila dos executores em 01/04._x000a_30/03 - A iniciar"/>
    <s v="Engenharia"/>
    <s v="Villa"/>
    <d v="2016-05-25T00:00:00"/>
    <s v="Desenho Solução"/>
    <d v="2016-05-25T00:00:00"/>
    <m/>
  </r>
  <r>
    <s v="CTXSPOBF-125921"/>
    <s v="Projeto - Instalação do Tsupervisor na Operação Santander nos Sites Antártica e Mackenzie"/>
    <s v="Antártica/SP_x000a_Mackenzie/RJ"/>
    <s v="Plano Recuperação"/>
    <x v="6"/>
    <s v="Noemia Ferro"/>
    <s v="Maurício Perez"/>
    <s v="Debora Gercke Dominas"/>
    <s v="Luciana Andrade"/>
    <x v="0"/>
    <d v="2015-09-22T00:00:00"/>
    <n v="242"/>
    <d v="2016-03-30T00:00:00"/>
    <s v="Não"/>
    <s v="TBD"/>
    <s v="TBD"/>
    <s v="TBD"/>
    <m/>
    <s v="17/05: Mesmo Status_x000a_10/05: Mesmo Status_x000a_03/05: Mesmo Status_x000a_26/04: Mesmo Status_x000a_19/04: Mesmo status. Solicitado em paralelo o preenchimento da planilha Cadastro da Operação e até o momento não houve retorno._x000a_12/04: Mesmo status. _x000a_04/04: Projeto em hold, pois a compra de licenças da Nice e a troca do Windows XP para a versão 8 são premissas para implantar o t-supervisor._x000a_30/03 - A iniciar"/>
    <s v="Negócio"/>
    <s v="Luciana Mattos"/>
    <s v="TBD"/>
    <s v="Em Hold"/>
    <m/>
    <n v="390"/>
  </r>
  <r>
    <s v="CTXRECSA-466020"/>
    <s v="Projeto - &quot;VDSL na Sinergia&quot;"/>
    <m/>
    <s v="Operações que não estão no Plano de Recuperação"/>
    <x v="4"/>
    <s v="Ana Coelho"/>
    <s v="Ana Sosa"/>
    <s v="Debora Gercke Dominas"/>
    <s v="Jill Ortiz"/>
    <x v="6"/>
    <d v="2016-02-25T00:00:00"/>
    <n v="86"/>
    <d v="2016-03-30T00:00:00"/>
    <s v="Não"/>
    <s v="TBD"/>
    <s v="TBD"/>
    <s v="TBD"/>
    <m/>
    <s v="17/05: Mesmo Status_x000a_10/05: Mesmo Status_x000a_03/05: Mesmo Status_x000a_26/04: Mesmo Status_x000a_19/04: Mesmo Status, por isso o status do projeto será alterado para em hold._x000a_12/04: Aguardando DA do cliente para seguir com a alteração da URA. _x000a_05/04: Cotação do valor para a alteração da freseologia da URA R$1250,00. Aguarda proposta formal da Avaya._x000a_30/03 - A iniciar"/>
    <s v="Solicitante"/>
    <s v="Jill Ortiz"/>
    <s v="TBD"/>
    <s v="Em Hold"/>
    <m/>
    <s v="TBD"/>
  </r>
  <r>
    <s v="CTXFORBM-361881 "/>
    <s v="Projeto - Gravação de chamadas Oi Total - BTCC"/>
    <s v="Borges de Melo/CE"/>
    <s v="Operações que não estão no Plano de Recuperação"/>
    <x v="4"/>
    <s v="Ana Coelho"/>
    <s v="Ana Sosa"/>
    <s v="Debora Gercke Dominas"/>
    <s v="Lucas Ribeiro"/>
    <x v="6"/>
    <d v="2016-03-01T00:00:00"/>
    <n v="81"/>
    <d v="2016-03-30T00:00:00"/>
    <s v="Não"/>
    <s v="TBD"/>
    <s v="TBD"/>
    <s v="TBD"/>
    <m/>
    <s v="17/05: Mesmo Status_x000a_10/05: Mesmo Status_x000a_03/05: Aguardando retorno da operação quanto ao cancelamento do projeto._x000a_26/04: Viabilidade não foi aprovada por ENG devido a outro projeto em paralelo já contemplar essa alteração. E-mail enviado a operação com este posicionamento. _x000a_19/04: Aguardando análise de ENG para verificar a viabilidade deste projeto._x000a_04/04: Realizado entendimento do projeto junto ao solicitante e alocado na fila dos executores em 01/04._x000a_30/03 - A iniciar"/>
    <s v="Solicitante"/>
    <s v="Sterlaine"/>
    <s v="TBD"/>
    <s v="Em andamento"/>
    <m/>
    <n v="70"/>
  </r>
  <r>
    <s v="CTXSPOAL-110390"/>
    <s v="PROJETO - ARQUITETURA LINK TAM (ALMAVIVA)"/>
    <s v="Alegria/SP"/>
    <s v="Operações que não estão no Plano de Recuperação"/>
    <x v="5"/>
    <s v="Rodrigo Zambon"/>
    <s v="Leonardo Pelegrino"/>
    <s v="Paulo Cavalcante"/>
    <s v="Cleonice"/>
    <x v="6"/>
    <d v="2016-03-15T00:00:00"/>
    <n v="67"/>
    <d v="2016-03-30T00:00:00"/>
    <s v="Não"/>
    <s v="TBD"/>
    <s v="TBD"/>
    <s v="TBD"/>
    <m/>
    <s v="[17/05] - Realizando avaliação de Infra dos links entregues pela Operadora. Problema com um dos circuitos entregue._x000a_Necessário realizar Gmud para concluir configurações de redes dos Links, previsto para 18/05._x000a_Proximos passos &gt; configurações de Telecom e testes com Almaviva._x000a_Entrada em produção  - 23/05_x000a__x000a_ [10/05] Vistoria da Oi esperada para essa data, para viabilizar instalação dos links. desenho e plano de GMUD fechados e enviados para CSE.._x000a__x000a_[03/05] Reunião com cliente realizada com sucesso. desenho da solução aprovado com o cliente. Em fase de montagem de cronograma._x000a__x000a_[26/04] Reunião com cliente marcada para 02/05._x000a__x000a_[19/04] - Em fase de entendimento escopo. Reunião tecnica entre TAM e ENG (Antônio) , agendada para 18/04 as 16hs_x000a__x000a_[12/04] - Projeto direcionado para  fila de Engenharia TI, previsão de conclusão da analise tecnica em 04/05._x000a__x000a_[04/04] - Projeto direcionado para avaliação tecnica da equipe de Engenharia. Expectativa de retorno com  Alocação de Recurso tecnico para  avaliação e tratativa da solicitação - 06/04_x000a__x000a_30/03 - A iniciar"/>
    <s v="ENG"/>
    <s v="LW"/>
    <m/>
    <s v="Desenvolvimento/Execução"/>
    <m/>
    <m/>
  </r>
  <r>
    <s v="CTXSPOAL-96495"/>
    <s v="Projeto - Precificação de novo hardware para servidor de banco de dados"/>
    <s v="São Cristóvão"/>
    <s v="Plano Recuperação"/>
    <x v="0"/>
    <m/>
    <s v="Rogerio Silva"/>
    <s v="Paulo Cavalcante"/>
    <s v="Rogerio Silva"/>
    <x v="4"/>
    <d v="2015-10-20T00:00:00"/>
    <n v="214"/>
    <d v="2016-03-30T00:00:00"/>
    <s v="Não"/>
    <s v="TBD"/>
    <s v="TBD"/>
    <s v="TBD"/>
    <m/>
    <s v="[17/05] - call com fornecedor TQS realizado. Fornecedor recomendou realizar as ações faseadas, e não garantiu ganho de performance._x000a_Proposta - Avaliar com solicitante se seguiremos com testes ou cotação direto._x000a__x000a_[10/05] Para essa data call do CSE com a TQS. Cliente estressado com a demora._x000a__x000a_[26/05] Sem evolução. Necessário fazer call com TQS._x000a__x000a_[19/04] - Direcionado para Fila CSE. Assunto esclarecido com LW ee direcionado para DBA. Ainda sem retorno da avaliação tecnica. Será necessário envolver fornecedor TQS._x000a__x000a_[12/04] -  Avaliação tecnica realizada pela Equipe Engenharia. Foram recomendadas melhorias como Criação de indices para as tabelas, Alarmes criticos de Storage e Back up, e posteriormente avaliar a performance da máquina._x000a_Projeto direcionado para Avaliação equipe Execução._x000a__x000a_[04/04] - Projeto direcionado para avaliação tecnica da equipe de Arquitetura. Expectativa de retorno com  Alocação de Recurso tecnico para  avaliação e tratativa da solicitação - 06/04_x000a__x000a_30/03 - A iniciar"/>
    <s v="ENG/CSE"/>
    <s v="LW"/>
    <m/>
    <s v="Desenho Solução"/>
    <m/>
    <m/>
  </r>
  <r>
    <s v="CTXSPOBF-140238"/>
    <s v="Projeto - Substituição do Sistema Operacional das máquinas de Back Office e Supervisores"/>
    <m/>
    <s v="Operações que não estão no Plano de Recuperação"/>
    <x v="6"/>
    <s v="Noemia Ferro"/>
    <s v="Carlos Batista"/>
    <s v="Debora Gercke Dominas"/>
    <s v="George Dimitrov"/>
    <x v="4"/>
    <d v="2016-03-21T00:00:00"/>
    <n v="61"/>
    <d v="2016-03-30T00:00:00"/>
    <s v="Não"/>
    <s v="TBD"/>
    <s v="TBD"/>
    <s v="TBD"/>
    <m/>
    <s v="17/05: Mesmo Status_x000a_11/05: Alinhar necessidade do projeto de acordo com o retorno do projeto CTXSPOBF-138261, pois é uma premissa para este projeto._x000a_[03/05] Assunto escalado  no dia de hoje. Eng fez analise inicial sobre real necessidade de se migrar versão da NIce, como desnecessaria. Projeto passado para Debora._x000a_[26/04] MESMO STATUS ANTERIOR._x000a_[12/04] - Aguardando conclusão da avaliação tecnica no Projeto CTXSPOBF-138261_x000a_Em paralelo, foi realizado mapeamento de modelo de máquinas no site Antartica e Mck, e encaminhado para analise de Gestão de ativos , para avaliar se será necessário aquisição de licenças W8, para esse Upgrade. _x000a_[04/04] - Aguardando analise técnica do projeto CTXSPOBF-138261 - Atualização da Versão do Nice compatível com Windows 8.1,para darmos prosseguimento com essa solicitação. _x000a_Em paralelo, realizar consulta Gestão Ativos. (disponibilidade Licenças ). _x000a_ 30/03 - A iniciar"/>
    <s v="PMO TI"/>
    <s v="Débora Gercke"/>
    <s v="TBD"/>
    <s v="Em andamento"/>
    <m/>
    <m/>
  </r>
  <r>
    <s v="CTXFORBM-362407"/>
    <s v="Projeto - Implantação do NBA + APC para os Propensos OCT e PÒS"/>
    <s v="Nascente"/>
    <s v="Operações que não estão no Plano de Recuperação"/>
    <x v="4"/>
    <s v="Ana Coelho"/>
    <s v="Ana Sosa"/>
    <s v="Edison Siqueira"/>
    <s v="Lisandra"/>
    <x v="0"/>
    <d v="2016-03-02T00:00:00"/>
    <n v="80"/>
    <d v="2016-03-30T00:00:00"/>
    <s v="Não"/>
    <s v="TBD"/>
    <s v="TBD"/>
    <s v="TBD"/>
    <m/>
    <s v="Edison Nei Siqueira added a comment - 18/Mai/16 11:48_x000a_cliente OI solicitou o replanejamento da entrada dessa demanda, pois eles precisam internamente discutir a EF com a Accenture, nova data solicitada para implantação é para a segunda quinzena de Julho._x000a__x000a_Edison Nei Siqueira added a comment - 10/Mai/16 18:54_x000a_Cronograma em elaboração, aguardando retorno do cliente OI com relação aos questionamentos feitos na EF pelo time de aplicações, também estamos aguardando o de acordo para movimentar os links de voz do aspect para o APC._x000a__x000a_Edison Nei Siqueira added a comment - 03/Mai/16 18:11_x000a_Demanda inserida na fila de CSE para levantamento de OG. Estamos aguardando a planilha de cadastro de operação na plataforma tGuidance para evoluir junto a equipe de aplicações._x000a__x000a_Edison Nei Siqueira added a comment - 26/Abr/16 19:36_x000a_Estamos aguardando o retorno da área de projetos com a informação de qual campanha no Aspect é utilizada pela operação, com essa informação será possível verificar se os links utilizados são compartilhados ou não._x000a__x000a_Edison Nei Siqueira added a comment - 12/Abr/16 18:00_x000a_Demanda na fila de engenharia com previsão de conclusão de analise para o dia 20/04._x000a__x000a_Edison Nei Siqueira added a comment - 05/Abr/16 17:21_x000a_Demanda inserida no pipe de engenharia e aplicações, previsão de retorno com o recurso que vai realizar a analise para o dia 06/04._x000a__x000a_30/03 - A iniciar"/>
    <m/>
    <m/>
    <m/>
    <s v="Analise de CSE"/>
    <m/>
    <m/>
  </r>
  <r>
    <s v="CTXNITSP-172611"/>
    <s v="Projeto - Alteração da regra de carga do Mailing no TLV (SAV ENTREGA)"/>
    <s v="RJ - Site Niterói"/>
    <s v="Operações que não estão no Plano de Recuperação"/>
    <x v="4"/>
    <s v="Ana Coelho"/>
    <s v="Ana Sosa"/>
    <s v="Erica Cotrim"/>
    <s v="Leonardo Pellegrini"/>
    <x v="0"/>
    <d v="2015-11-09T00:00:00"/>
    <n v="194"/>
    <d v="2016-03-30T00:00:00"/>
    <s v="Não "/>
    <s v="TBD"/>
    <s v="TBD"/>
    <s v="TBD"/>
    <m/>
    <s v="17/05 - Solicitante confirmando a suposta alteração de escopo para reenvio a TQS._x000a__x000a_10/05 - Aguardando retorno da TQS perante análise da EF._x000a__x000a_03/05 - Aguardando EF atualizada  para seguimento da Demanda._x000a__x000a_25/04 - Mesmo status, aguardando retorno da operação com a definição de escopo._x000a__x000a_19/04 - Conforme alinhado em conferência, a TQS vai considerar esta demanda como chamado, assim não é preciso fazer proposta comercial._x000a_Solicitado a operação, o documento atualizado com o escopo da demanda._x000a__x000a_12/04 - Delegado a Engenharia Telecom - Antonio, prazo amanhã 13/04_x000a__x000a_04/04 - Em análise_x000a__x000a_30/03 - A iniciar"/>
    <s v="Aplicaçoes / Fornecedor "/>
    <s v="Raphael Marcandier / Jairo TQS"/>
    <s v="TBD"/>
    <s v="Análise"/>
    <m/>
    <n v="81"/>
  </r>
  <r>
    <s v="CTXSPOAL-110826"/>
    <s v="Projeto - Substituir sistema de telefonia da operação Intermédica"/>
    <s v="Alegria/SP"/>
    <s v="Operações que não estão no Plano de Recuperação"/>
    <x v="0"/>
    <s v="Ricardo Araújo"/>
    <s v="Celso Miranda"/>
    <s v="Bruno Ribeiro"/>
    <s v="Rogério Luiz"/>
    <x v="3"/>
    <d v="2016-03-18T00:00:00"/>
    <n v="64"/>
    <d v="2016-03-30T00:00:00"/>
    <s v="TBD"/>
    <s v="TBD"/>
    <s v="TBD"/>
    <s v="TBD"/>
    <m/>
    <s v="19/05 - Na fila_x000a_11/05 - Na fila_x000a_04/05 - Na fila_x000a_30/03 - A iniciar"/>
    <s v="PMO TI"/>
    <s v="Bruno Ribeiro"/>
    <m/>
    <s v="Na Fila"/>
    <m/>
    <m/>
  </r>
  <r>
    <s v="CTXRECSA-476612"/>
    <s v="Item Base do CLICK_CRV"/>
    <s v="PE - Site Santo Amaro"/>
    <s v="Operações que não estão no Plano de Recuperação"/>
    <x v="4"/>
    <s v="Ana Coelho"/>
    <s v="Ana Sosa"/>
    <s v="Erica Cotrim"/>
    <s v="Marcel Garcia"/>
    <x v="0"/>
    <d v="2016-03-28T00:00:00"/>
    <n v="23"/>
    <d v="2016-04-01T00:00:00"/>
    <s v="Sim"/>
    <m/>
    <d v="2016-06-06T00:00:00"/>
    <s v="Não "/>
    <m/>
    <s v="17/05 - Envio de homologação para o solicitante no dia 16/05, aguardando retorno da operação._x000a__x000a_10/05 - Desenvolvimento ocorrendo. Probabilidade de Início de Homologação no período de 16 à 18/05. _x000a__x000a_03/05 - Em Desenvolvimento de Aplicações TI._x000a_Anthonny, irá atualizar a EF com o novo escopo, totalizando 4 itens. _x000a_ O último item “novo” envolve a outra área de TI , sendo Aplicações TI (Viviane Rodriguez). Iremos realizar uma conferência após recebimento da EF atualizada,  para verificar viabilidade de Desenvolvimento. Lembrando que não tem dependência com o desenvolvimento anterior._x000a_Em paralelo, precisamos de um apoio com a Oi para a criação deste NAT (Motivo: Nosso servidor acessar o STC ), não impactando no cronograma deste projeto._x000a_O servidor atual fica em Santo Amaro, estamos realizando um upgrade de infra  e colocando servidores novos no Data Center em São Paulo._x000a__x000a_25/04 - O prazo de Aplicações para  o Desenvolvimento são 25 dias úteis a partir desta liberação de acesso ao FTP. _x000a_Esta liberação já está com o CSE através do chamado RECSA-362778._x000a__x000a_19/04 - Aberto chamado para a liberação do FTP da Oi para seguimento do Desenv de TI. _x000a__x000a_12/04 - Demanda já priorizada e sendo analisada a EF. _x000a__x000a_05/04: Projeto alocado na fila dos executores em 01/04._x000a_01/04 - A iniciar"/>
    <s v="Aplicações TI "/>
    <s v="Tatiana Barbosa"/>
    <d v="2016-05-13T00:00:00"/>
    <s v="Análise"/>
    <m/>
    <n v="100"/>
  </r>
  <r>
    <s v="CTXRECSA-472258"/>
    <s v="Projeto - &quot;SMS no Masssivo&quot;"/>
    <m/>
    <s v="Operações que não estão no Plano de Recuperação"/>
    <x v="4"/>
    <s v="Ana Coelho"/>
    <s v="Ana Sosa"/>
    <s v="Debora Gercke Dominas"/>
    <s v="Jill Ortiz"/>
    <x v="0"/>
    <d v="2016-03-11T00:00:00"/>
    <n v="71"/>
    <d v="2016-04-01T00:00:00"/>
    <s v="Não"/>
    <s v="TBD"/>
    <s v="TBD"/>
    <s v="TBD"/>
    <m/>
    <s v="17/05: Mesmo Status_x000a_10/05: Aguarda requisitos funcionais/básicos da ferramenta_x000a_03/05: Após a realização da call foram levantadas algumas dúvidas e aguardamos o preenchimento da EF e os requisitos técnicos da ferramenta para seguirmos com o projeto. Solicitação enviada ontem, 02/05._x000a_26/04: Ferramenta é gerenciada pelo fornecedor Oi. Call agendada com ENG para esta tratativa._x000a_19/04: Aguardando retorno sobre o questinamento da ferramenta SENDMAKER. _x000a_12/04 - A iniciar_x000a_04/04 - A iniciar"/>
    <s v="Operação"/>
    <s v="Jill Ortiz"/>
    <s v="TBD"/>
    <s v="Em andamento"/>
    <m/>
    <m/>
  </r>
  <r>
    <s v="CTXSPOAL-111810"/>
    <s v="Projeto Customer Care Volkswagen - Fase II"/>
    <s v="Alegria/SP"/>
    <s v="Operações que não estão no Plano de Recuperação"/>
    <x v="6"/>
    <s v="Noemia Ferro"/>
    <s v="Maurício Perez"/>
    <s v="Julio Silva"/>
    <s v="Priscila"/>
    <x v="3"/>
    <d v="2016-03-29T00:00:00"/>
    <n v="53"/>
    <d v="2016-04-01T00:00:00"/>
    <s v="Não"/>
    <s v="TBD"/>
    <s v="TBD"/>
    <s v="TBD"/>
    <m/>
    <s v="17/05 - Mesmo status_x000a_10/05 - Mesmo status._x000a_03/05 - Mesmo status._x000a_26/04 - Realizada reunião com o cliente. Alinhados alguns pontos e enviadas informações para início de desenvolvimento por parte da MS._x000a_Aguardando discussão VW para alinhamento do &quot;modus operandi&quot; com relação ao chat. _x000a_12/04 - VW solicita reunião para 20/04. Buscando recursos._x000a_05/04 - Agendado kickoff para 06/04._x000a_01/04 - A iniciar"/>
    <s v="NA"/>
    <s v="N/A"/>
    <s v="N/A"/>
    <s v="Na Fila"/>
    <m/>
    <m/>
  </r>
  <r>
    <s v="CTXSPOBF-139773"/>
    <s v="Projeto - Demanda Fraseologias - autocompara"/>
    <s v="Antártica/SP"/>
    <s v="Operações que não estão no Plano de Recuperação"/>
    <x v="6"/>
    <s v="Noemia Ferro"/>
    <s v="Maurício Perez"/>
    <s v="Bruno Guerra"/>
    <s v="George Dimitrov"/>
    <x v="5"/>
    <d v="2016-03-15T00:00:00"/>
    <n v="67"/>
    <d v="2016-03-15T00:00:00"/>
    <s v="Não"/>
    <s v="TBD"/>
    <s v="TBD"/>
    <s v="TBD"/>
    <m/>
    <s v="19/05 - Proposta enviada. Aguardando aceite do solicitante_x000a_11/05 - Mesmo status_x000a_27/04 - Mesmo status_x000a_20/04 - Mesmo status_x000a_12/04 - Mesmo status_x000a_06/04 - Mesmo status_x000a_01/04 - Proposta enviada. Aguardando aceite do solicitante"/>
    <s v="Solicitante"/>
    <s v="Santander"/>
    <s v="N/A"/>
    <s v="Análise"/>
    <m/>
    <m/>
  </r>
  <r>
    <s v="CTXSPOBF-141219"/>
    <s v="Projeto - Aplicação/URA Transbordo Contax -&gt; URA Autocompara (4004-4495)"/>
    <s v="Antártica/SP"/>
    <s v="Operações que não estão no Plano de Recuperação"/>
    <x v="6"/>
    <s v="Noemia Ferro"/>
    <s v="Maurício Perez"/>
    <s v="Bruno Guerra"/>
    <s v="George Dimitrov"/>
    <x v="5"/>
    <d v="2016-04-01T00:00:00"/>
    <n v="50"/>
    <d v="2016-04-06T00:00:00"/>
    <s v="TBD"/>
    <s v="TBD"/>
    <s v="TBD"/>
    <s v="TBD"/>
    <m/>
    <s v="04/05 - Proposta enviada pelo fornecedor. Aguardando aprovação da proposta pelo solicitante_x000a_27/04 - Mesmo status_x000a_20/04 - Mesmo status_x000a_06/04 - Aguardando proposta comercial"/>
    <s v="Solicitante"/>
    <s v="George Dimitrov"/>
    <s v="N/A"/>
    <s v="Análise"/>
    <m/>
    <m/>
  </r>
  <r>
    <s v="CTXSPOBF-141470"/>
    <s v="Projeto - Aplicação/URA - Opção Não ClienteNova Fraseologia"/>
    <s v="Antártica/SP"/>
    <s v="Operações que não estão no Plano de Recuperação"/>
    <x v="6"/>
    <s v="Noemia Ferro"/>
    <s v="Maurício Perez"/>
    <s v="Bruno Guerra"/>
    <s v="George Dimitrov"/>
    <x v="5"/>
    <d v="2016-04-06T00:00:00"/>
    <n v="45"/>
    <d v="2016-04-06T00:00:00"/>
    <s v="TBD"/>
    <s v="TBD"/>
    <s v="TBD"/>
    <s v="TBD"/>
    <m/>
    <s v="29/04 - Proposta comercial enviada. Aguardando aprovação do cliente._x000a_27/04 - Mesmo status_x000a_20/04 - Mesmo status_x000a_06/04 - Aguardando proposta comercial"/>
    <s v="Solicitante"/>
    <s v="George Dimitrov"/>
    <s v="N/A"/>
    <s v="Análise"/>
    <m/>
    <m/>
  </r>
  <r>
    <s v="CTXSALSM-89880"/>
    <s v="Implantação Front Fácil  TLV Residencial "/>
    <m/>
    <s v="Plano Recuperação"/>
    <x v="4"/>
    <s v="Ana Coelho"/>
    <s v="Ana Sosa"/>
    <s v="Debora Gercke Dominas"/>
    <s v="Luciana Andrade"/>
    <x v="0"/>
    <d v="2016-04-06T00:00:00"/>
    <n v="45"/>
    <d v="2016-04-08T00:00:00"/>
    <s v="Sim"/>
    <d v="2016-05-02T00:00:00"/>
    <d v="2016-05-23T00:00:00"/>
    <s v="Sim"/>
    <m/>
    <s v="17/05: Alteração do login realizada com sucesso. Aguardando validação de Tiago Fialho_x000a_10/05: O rollout foi feito com sucesso, está pendente a alteração dos logins programada para 12/05._x000a_03/05: Piloto realizado com sucesso e iniciamos o rollout hoje, 03/05. Previsão de conclusão 23/05, total de 247 PA´s. Cronograma: _x000a_Data            Atividade    Premissa_x000a_02/mai       Piloto              -_x000a_03/mai       Rollout 1        Ok Homolg Piloto_x000a_04/mai       Rollout 2       Ok Homolg Rollout 1_x000a_05/mai       Rollout 3       Ok Homolg Rollout 2_x000a_09/mai       Rollout 4       Ok Homolg Rollout 3_x000a_10/mai        Rollout 5       Ok Homolg Rollout 4_x000a_11/mai         Rollout 6       Ok Homolg Rollout 5_x000a_12/mai        Rollout 7       Ok Homolg Rollout 6_x000a_16/mai        Rollout 8       Ok Homolg Rollout 7_x000a_17/mai        Rollout 9       Ok Homolg Rollout 8_x000a_18/mai        Rollout 10     Ok Homolg Rollout 9_x000a_19/mai        Rollout 11      Ok Homolg Rollout 10_x000a_23/mai       Rollout 12     Ok Homolg Rollout 11_x000a_26/04: Cronograma enviado a operaçã, porém o mesmo não foi aceito e estamos em fase de rever as datas. Cronograma inicial: _x000a_Desenvolvimento 26/abr a 09/mai_x000a_Liberação de Rede 26/abr a 04/mai_x000a_Homologação 09/mai a11/mai_x000a_Instalação 250 Máquinas 12/mai a 31/mai_x000a_19/04: Dúvidas sobre a operação foram enviadas ao solictante. Aguardando retorno._x000a_08/04 - A iniciar"/>
    <s v="Solicitante"/>
    <s v="Tiago Fialho"/>
    <d v="2016-05-11T00:00:00"/>
    <s v="Pós-rollout"/>
    <m/>
    <n v="247"/>
  </r>
  <r>
    <s v="CTXNITSP-181582"/>
    <s v="Front SAC – TLV "/>
    <m/>
    <s v="Plano Recuperação"/>
    <x v="4"/>
    <s v="Ana Coelho"/>
    <s v="Ana Sosa"/>
    <s v="Debora Gercke Dominas"/>
    <s v="Luciana Andrade"/>
    <x v="0"/>
    <d v="2016-04-06T00:00:00"/>
    <n v="45"/>
    <d v="2016-04-08T00:00:00"/>
    <s v="Não"/>
    <s v="TBD"/>
    <s v="TBD"/>
    <s v="TBD"/>
    <m/>
    <s v="17/05: Aguardando aprovação da diretoria para seguir com TQS._x000a_10/05: Está pendente o OK da Diretora Ana Coelho para seguir com a compra das licenças do TLV, além disso as súvidas geradas por aplicações foram esclarecidas hoje, 10/05. Aguarda uma definição da diretoria para seguir com o TLV ou seguir com o tGuidance._x000a_03/05: Está pendente o OK da Diretora Ana Coelho para seguir com a compra das licenças do TLV._x000a_26/04: Retorno da confirmação no número de PA´s recebido em 25/04. Em verificação dos próximos passos para iniciar a compra._x000a_19/04: Para implantar o TLV nesses dois projetos, será necessário iniciar o processo de solicitação de compra junto ao fornecedor, portanto solicitado ao Rodrigo a confirmação do número de PA´s por operação._x000a_08/04 - A iniciar"/>
    <s v="Solicitante"/>
    <s v="Rodrigo Ribeiro"/>
    <s v="TBD"/>
    <s v="Em andamento"/>
    <m/>
    <n v="233"/>
  </r>
  <r>
    <s v="CTXNITSP-181834"/>
    <s v="Front BO- TLV "/>
    <m/>
    <s v="Plano Recuperação"/>
    <x v="4"/>
    <s v="Ana Coelho"/>
    <s v="Ana Sosa"/>
    <s v="Debora Gercke Dominas"/>
    <s v="Luciana Andrade"/>
    <x v="0"/>
    <d v="2016-04-06T00:00:00"/>
    <n v="45"/>
    <d v="2016-04-08T00:00:00"/>
    <s v="Não"/>
    <s v="TBD"/>
    <s v="TBD"/>
    <s v="TBD"/>
    <m/>
    <s v="17/05: Aguardando aprovação da diretoria para seguir com TQS._x000a_10/05: Está pendente o OK da Diretora Ana Coelho para seguir com a compra das licenças do TLV, além disso as súvidas geradas por aplicações foram esclarecidas hoje, 10/05. Aguarda uma definição da diretoria para seguir com o TLV ou seguir com o tGuidance._x000a_03/05: Está pendente o OK da Diretora Ana Coelho para seguir com a compra das licenças do TLV._x000a_26/04: Retorno da confirmação no número de PA´s recebido em 25/04. Em verificação dos próximos passos para iniciar a compra._x000a_19/04: Para implantar o TLV nesses dois projetos, será necessário iniciar o processo de solicitação de compra junto ao fornecedor, portanto solicitado ao Rodrigo a confirmação do número de PA´s por operação._x000a_08/04 - A iniciar"/>
    <s v="Solicitante"/>
    <s v="Rodrigo Ribeiro"/>
    <s v="TBD"/>
    <s v="Em andamento"/>
    <m/>
    <n v="80"/>
  </r>
  <r>
    <s v="CTXNITSP-177717"/>
    <s v="Projeto - Gravação do BO DADOS e BO NBA "/>
    <s v="RJ - Site Niterói"/>
    <s v="Operações que não estão no Plano de Recuperação"/>
    <x v="4"/>
    <s v="Ana Coelho"/>
    <s v="Ana Sosa"/>
    <s v="Erica Cotrim"/>
    <s v="Rodrigo Ribeiro"/>
    <x v="0"/>
    <d v="2016-04-06T00:00:00"/>
    <n v="45"/>
    <d v="2016-04-08T00:00:00"/>
    <s v="Não"/>
    <s v="TBD"/>
    <s v="TBD"/>
    <s v="TBD"/>
    <m/>
    <s v="17/05 - Headset - on site_x000a_SW - Site Niterói está recebendo 9 sw que acabam atendendo esta demanda, aguardando retorno._x000a_Aparelhos Voip - Sendo verificado Transporte com Controle de Ativos._x000a__x000a__x000a_10/05 - Verificando insumos (SW , Headset, Aparelhos Voip)_x000a__x000a_03/05 - Mesmo Status_x000a__x000a_25/04 - Prazo Engenharia:_x000a_Redes ( Carlos Herdeiro)  = Início  Seg 25/04/16 /  Término Ter 03/05/16_x000a_Telecom (Antônio Júnior) =  Início  Seg 25/04/16 /  Término Ter 03/05/16_x000a__x000a_19/04 - Aguardando retorno do CSE _x000a__x000a_12/04 - Enviado para Engenharia TI - E-mail de Inclusão de 15/04._x000a_Verificação de licenças Nice e Aquisição de SWIT POE 48 portas_x000a__x000a_08/04 - A iniciar"/>
    <s v="Engenharia Redes e Telecom / CSE"/>
    <s v="Redes Carlos Herdeiro_x000a_Telecom Antonio Junior"/>
    <d v="2016-05-03T00:00:00"/>
    <s v="Análise "/>
    <m/>
    <n v="24"/>
  </r>
  <r>
    <s v="CTXNITSP-178203"/>
    <s v="Projeto - Instalar uma ferramenta que seja capaz de gravar chamadas de voz e telas de atendimento. _x000a_"/>
    <s v="RJ - Site Niterói"/>
    <s v="Operações que não estão no Plano de Recuperação"/>
    <x v="4"/>
    <s v="Ana Coelho"/>
    <s v="Ana Sosa"/>
    <s v="Erica Cotrim"/>
    <s v="Rodrigo Ribeiro"/>
    <x v="0"/>
    <d v="2016-04-06T00:00:00"/>
    <n v="45"/>
    <d v="2016-04-08T00:00:00"/>
    <s v="Não "/>
    <d v="2016-05-13T00:00:00"/>
    <s v="TBD"/>
    <s v="TBD"/>
    <m/>
    <s v="17/05 -  Aguardando algumas informações da operação para Engenharia Telecom dar seguimento a interação com o fornecedor Nice._x000a_Prazo de Engenharia Telecom (Antonio Junior) = 03/05 à 03/06/2016_x000a__x000a_10/05 - Aguardando algumas informações da operação para Engenharia Telecom dar seguimento a interação com o fornecedor Nice._x000a_Prazo de Engenharia Telecom (Antonio Junior) = 03/05 à 03/06/2016_x000a__x000a_03/05 - A demanda foi analisada por CSE e Engenharia e atualmente no parque da Contax não temos licenças de gravação de tela tanto para o Aspect quanto para o Nice. Para que isto seja feito é necessário o envolvimento de Fornecedores para que eles façam uma análise de nosso ambiente e façam uma proposta de instalação._x000a_Está sendo avaliado este escopo de acionamento._x000a__x000a__x000a_25/04 - Demanda foi encaminhada para Engenharia Villa(Telecom/Gravadores) no dia 20/04. Retorno dos mesmos será 27/04._x000a__x000a_19/04 - Demanda foi encaminhada a Aplicações TI, porém a Cris Sasaki  informou que não condiz com o escopo. _x000a_Foi redirecionado a Equipe de Felipe Villa e Silvio Vial._x000a__x000a_12/04 - Enviado para Aplicações TI  -  E-mail de Inclusão de 15/04._x000a_Verificação de um sistema capaz de gravar chamadas de voz e telas de atendimento e se possível tenha integração com Tlv By Contax. _x000a_-----------------------------------------------------------------_x000a_Operações: CRV _x000a_Site: NIterói _x000a_Rede: Contax-br _x000a_DAC:Niterói _x000a_08/04 - A iniciar"/>
    <s v="Operação / Engenharia Telecom "/>
    <s v="Rodrigo Ribeiro / Antonio Junior"/>
    <d v="2016-06-03T00:00:00"/>
    <s v="Análise "/>
    <m/>
    <n v="444"/>
  </r>
  <r>
    <s v="CTXSALSM-89607"/>
    <s v="Integração direct Call x Avaya"/>
    <m/>
    <s v="Operações que não estão no Plano de Recuperação"/>
    <x v="4"/>
    <s v="Ana Coelho"/>
    <s v="Ana Sosa"/>
    <s v="Debora Gercke Dominas"/>
    <s v="Cristiane Kuzuhara"/>
    <x v="0"/>
    <d v="2016-04-06T00:00:00"/>
    <n v="45"/>
    <d v="2016-04-08T00:00:00"/>
    <s v="Não"/>
    <s v="TBD"/>
    <s v="TBD"/>
    <s v="TBD"/>
    <m/>
    <s v="17/05: EF está incompleta. Foi realizado um call e sugerida uma POC, portant está em análise a estratégia de atuação do projeto._x000a_10/05: EF recebida em 06/05 e esta em análise para verificar se atende as necessidades dos executores. EF enviada para ENG em 09/05._x000a_03/05: Após a realização da call foram levantadas algumas dúvidas e aguardamos o preenchimento da EF e os requisitos técnicos da ferramenta para seguirmos com o projeto. Solicitação enviada ontem, 02/05._x000a_26/04: Mesmo status_x000a_19/04: O projeto não contem EF e o solicitante exigiu uma call com a área de ENG para esclarecimento de dúvidas. _x000a_08/04 - A iniciar"/>
    <s v="Solicitante"/>
    <s v="Cristiane Kuzuhara"/>
    <s v="TBD"/>
    <s v="Em andamento"/>
    <m/>
    <m/>
  </r>
  <r>
    <s v="CTXSALSM-88005"/>
    <s v="Click To Call Ferramenta TI Contax (Piloto Ferramenta CTC)"/>
    <m/>
    <s v="Operações que não estão no Plano de Recuperação"/>
    <x v="4"/>
    <s v="Ana Coelho"/>
    <s v="Ana Sosa"/>
    <s v="Debora Gercke Dominas"/>
    <s v="Cristiane Kuzuhara"/>
    <x v="0"/>
    <d v="2016-04-06T00:00:00"/>
    <n v="44"/>
    <d v="2016-04-08T00:00:00"/>
    <s v="Não"/>
    <s v="TBD"/>
    <s v="TBD"/>
    <s v="TBD"/>
    <m/>
    <s v="20/05 - Projeto cancelado_x000a_17/05: Mesmo Status_x000a_10/05: Mesmo Status_x000a_03/05: Projeto consiste em três partes, ENG, CL e APP. Para concluir a análise do projeto e fornecer um cronograma, precisamos receber o retorno das 3 áreas. Até o momento não recebemos a confirmação das informações do cliente._x000a_26/04: Retorno de ENG recebido hoje, aguardo retorno do cliente e informações do solicitante._x000a_19/04: Aguarda retorno de ENG, retorno do cliente e informações do solicitante._x000a_08/04 - A iniciar"/>
    <s v="Solicitante"/>
    <s v="Cristiane Kuzuhara"/>
    <s v="TBD"/>
    <s v="Cancelado"/>
    <d v="2016-05-20T00:00:00"/>
    <m/>
  </r>
  <r>
    <s v="CTXMLTREG-6041"/>
    <s v="Projeto - Migração das URAs de Cadastro para o IPCC/NGR"/>
    <s v="Niterói/RJ"/>
    <s v="Operações que não estão no Plano de Recuperação"/>
    <x v="4"/>
    <s v="Ana Coelho"/>
    <s v="Ana Sosa"/>
    <s v="Julio Silva"/>
    <s v="Jill Ortiz"/>
    <x v="5"/>
    <d v="2016-04-11T00:00:00"/>
    <n v="40"/>
    <d v="2016-04-11T00:00:00"/>
    <s v="Não"/>
    <s v="TBD"/>
    <s v="TBD"/>
    <s v="TBD"/>
    <m/>
    <s v="17/05 - Avaliando disponibilidade de licenças em outro Polo. Data 19/05_x000a_10/05 - Mesmo status._x000a_03/05 - Confirmada a disponibilidade de ICR. Em andamento aquisição de memória._x000a_26/04 - Em estudo disponibilidade de ICR e Infra._x000a_19/04 - Avaliação de ambiente ICR em andamento._x000a_11/04 - A iniciar"/>
    <m/>
    <m/>
    <m/>
    <s v="Na Fila"/>
    <m/>
    <m/>
  </r>
  <r>
    <s v="CTXSPOBF-137613"/>
    <s v="Fraseologia Detalhamento da Divida - URA CONTAX"/>
    <s v="Antártica/SP"/>
    <s v="Operações que não estão no Plano de Recuperação"/>
    <x v="6"/>
    <s v="Noemia Ferro"/>
    <s v="Maurício Perez"/>
    <s v="Bruno Guerra"/>
    <s v="George Dimitrov"/>
    <x v="5"/>
    <d v="2016-04-06T00:00:00"/>
    <n v="45"/>
    <d v="2016-04-08T00:00:00"/>
    <s v="Não"/>
    <s v="TBD"/>
    <s v="TBD"/>
    <s v="TBD"/>
    <m/>
    <s v="11/05 - Mesmo status_x000a_04/05 - Proposta aguardando suprimentos gerar o pedido_x000a_27/04 - Mesmo status_x000a_20/04 - Aguardando aprovação da proposta pelo solicitante_x000a_01/04 - Solicitada proposta ao fornecedor. Aguardando envio"/>
    <s v="Solicitante"/>
    <s v="George Dimitrov"/>
    <s v="N/A"/>
    <s v="Análise"/>
    <m/>
    <m/>
  </r>
  <r>
    <s v="CTXSPOBF-123499"/>
    <s v="Projeto - Configurar Infraestrutura de DAC Contax para Integração do SACL (Automatização de Protocolo)"/>
    <m/>
    <s v="Operações que não estão no Plano de Recuperação"/>
    <x v="6"/>
    <s v="Noemia Ferro"/>
    <s v="Maurício Perez"/>
    <s v="Debora Gercke Dominas"/>
    <s v="Carlos Batista"/>
    <x v="5"/>
    <d v="2015-08-10T00:00:00"/>
    <n v="285"/>
    <d v="2016-04-14T00:00:00"/>
    <s v="Não"/>
    <s v="TBD"/>
    <s v="TBD"/>
    <s v="TBD"/>
    <m/>
    <s v="17/05: Mesmo Status_x000a_10/05: Mesmo Status_x000a_03/05: ENG enviou desenho e o esforço para implantar o projeto. Estamos aguardando o levantamento dos custos para repassar ao cliente._x000a_26/04: Aguarda retorno da operação quanto a dúvida sobre a quantidade de PA´s._x000a_19/04: Alocado na fila dos executores hoje._x000a_14/04 - A iniciar"/>
    <s v="PMO TI"/>
    <s v="Thiago Augusto"/>
    <s v="TBD"/>
    <s v="Em andamento"/>
    <m/>
    <m/>
  </r>
  <r>
    <s v="CTXPOARB-105144"/>
    <s v="Projeto - Implantar tGuidance na operação Retenção PME - NET"/>
    <s v="Navegantes"/>
    <s v="Plano Recuperação"/>
    <x v="5"/>
    <s v="Rodrigo Zambon"/>
    <s v="Leonardo Pelegrino"/>
    <s v="Debora Gercke Dominas"/>
    <s v="Luciana Andrade"/>
    <x v="0"/>
    <d v="2016-04-13T00:00:00"/>
    <n v="38"/>
    <d v="2016-04-14T00:00:00"/>
    <s v="Sim"/>
    <d v="2016-05-11T00:00:00"/>
    <d v="2016-06-14T00:00:00"/>
    <s v="TBD"/>
    <m/>
    <s v="17/05: Cronograma entregue, a virada está planejada para ocorrer de 13 à 14/06 com 20 PA´s por dia._x000a_10/05: Aguardando um alinhamento com Juliano Molina para definir o cronograma de rollout._x000a_03/05: Alinharei as atividades de execução em relação ao G4 com Juliano para veririficar se é possível incluir esta virada em conjunto com o projeto CTXPOARB-104174._x000a_26/04: Em estimativa de OG._x000a_19/04: Alocado na fila dos executores hoje._x000a_14/04 - A iniciar"/>
    <s v="Solicitante"/>
    <s v="Juliano"/>
    <d v="2016-06-14T00:00:00"/>
    <s v="Em andamento"/>
    <m/>
    <n v="40"/>
  </r>
  <r>
    <s v="CTXRECSA-482222"/>
    <s v="Projeto - Replicar Tabulador de Vendas das operações Financeiras e CAE na operação ItauCred"/>
    <s v="Santo Amaro"/>
    <s v="Plano Recuperação"/>
    <x v="3"/>
    <s v="Ricardo Araújo"/>
    <s v="Celso Miranda"/>
    <s v="Juliana Moraes"/>
    <s v="Marco Brandão"/>
    <x v="0"/>
    <d v="2016-04-08T00:00:00"/>
    <n v="43"/>
    <d v="2016-04-14T00:00:00"/>
    <s v="Não"/>
    <s v="TBD"/>
    <s v="TBD"/>
    <s v="TBD"/>
    <m/>
    <s v="[16/05] - Documento de TI entregue. Alinhar com CSE data da entrega da Infra._x000a_[10/05] - Negocios encaminhou documento com os prints de tela da ferramenta. Realizado reunião de kickoff com a equipe de Ti. Aguardando documento de engenharia 11/5_x000a_[03/05] - Solicitado documento com o detalhamento da solicitação. Prazo TDB_x000a_[26/4] - Aguardando envio da OG. Prazo 27/4._x000a_[19/04] - Projeto encaminhado para a fila da equipe de aplicações. Aguardando retorno da OG. Prazo 20/4.14/04 - A iniciar"/>
    <s v="CSE"/>
    <m/>
    <s v="TDB"/>
    <s v="Em Desenvolvimento"/>
    <m/>
    <m/>
  </r>
  <r>
    <s v="CTXRECSA-461984"/>
    <s v="Migrar 80 PAs do Site Navegantes para o Sto Amaro"/>
    <s v="Santo Amaro/PE"/>
    <s v="S&amp;OP"/>
    <x v="5"/>
    <s v="Rodrigo Zambon"/>
    <s v="Leonardo Pelegrino"/>
    <s v="Debora Gercke Dominas"/>
    <s v="Cristina Rey"/>
    <x v="1"/>
    <d v="2016-04-20T00:00:00"/>
    <n v="31"/>
    <d v="2016-04-20T00:00:00"/>
    <s v="Não"/>
    <d v="2016-05-20T00:00:00"/>
    <s v="TBD"/>
    <s v="TBD"/>
    <m/>
    <s v="17/05: Recebemos a confirmação para utilizar os equipamentos da desmobilização Vivo a partir de 01/06. Amanhã, 18/05 esta agendada uma reunião com a equipe de TI para alinhar as atividades._x000a_10/05: ENG informou que podemos seguir com esse projeto. Esta pendente a análise dos insumos físicos, se poderemos utilizar as máquinas da desmobilização da Vivo, decisão que depende de negócio. _x000a_03/05: Aguardando o retorno de ENG para verificar a se a infra de Santo Amaro suporta esta migração. Área de negócio informou que tem inclusive 2 aparelhos para deficiente auditivo para serem configurados no site. _x000a_26/04: Projeto em hold, aguardando documentação EF e layout para alocar o projeto na fila dos executores._x000a_20/04 - A iniciar"/>
    <s v="PMO TI"/>
    <s v="Débora Gercke"/>
    <d v="2016-05-19T00:00:00"/>
    <s v="Em andamento"/>
    <m/>
    <n v="114"/>
  </r>
  <r>
    <s v=" CTXRECSA-482954"/>
    <s v="Criar SFTP para troca de arquivos entre Contax e Banco Itaú"/>
    <s v="Paulista 407"/>
    <s v="Plano Recuperação"/>
    <x v="3"/>
    <s v="Ricardo Araújo"/>
    <s v="Celso Miranda"/>
    <s v="Juliana Moraes"/>
    <s v="Marco Brandão"/>
    <x v="1"/>
    <d v="2016-04-11T00:00:00"/>
    <n v="40"/>
    <d v="2016-04-14T00:00:00"/>
    <s v="Não"/>
    <s v="TBD"/>
    <s v="TBD"/>
    <s v="TBD"/>
    <m/>
    <s v="[16/05] - Mesmo status_x000a_[10/05] - Aguardando retorno do cliente_x000a_[03/05] - Realizado reunião de alinhamento com Negocio e Engenharia e ficou de agendar uma reunião com o cliente para maiores esclarecimentos. Prazo TDB_x000a_[25/4] - A iniciar"/>
    <s v="Solicitante"/>
    <s v="Mariana Mello"/>
    <s v="TDB"/>
    <s v="Levantamento de informações"/>
    <m/>
    <m/>
  </r>
  <r>
    <s v="CTXBHZRI-101275"/>
    <s v="Projeto - &quot;URA Oi TV&quot;"/>
    <s v="Niterói/RJ"/>
    <s v="Operações que não estão no Plano de Recuperação"/>
    <x v="4"/>
    <s v="Ana Coelho"/>
    <s v="Ana Sosa"/>
    <s v="Julio Silva"/>
    <s v="Jill Ortiz"/>
    <x v="5"/>
    <d v="2016-04-27T00:00:00"/>
    <n v="24"/>
    <d v="2016-04-27T00:00:00"/>
    <s v="Não"/>
    <d v="2016-05-13T00:00:00"/>
    <s v="TBD"/>
    <s v="Sim"/>
    <m/>
    <s v="17/05 - Mesmo status._x000a_10/05 - Data prevista de execução: 26/05._x000a_03/05 - Na fila de CSE para execução. Aguardando andamento do Projeto Ura OI Total._x000a_27/04 - A iniciar"/>
    <s v="CSE"/>
    <s v="Luiz Washington"/>
    <s v="N/A"/>
    <s v="Na Fila"/>
    <m/>
    <m/>
  </r>
  <r>
    <s v="CTXNITSP-182475"/>
    <s v="TLV Auditorias"/>
    <s v="RJ - Site Niterói"/>
    <s v="Operações que não estão no Plano de Recuperação"/>
    <x v="4"/>
    <s v="Ana Coelho"/>
    <s v="Ana Sosa"/>
    <s v="Erica Cotrim"/>
    <s v="Jill Ortiz"/>
    <x v="0"/>
    <d v="2016-04-14T00:00:00"/>
    <n v="37"/>
    <d v="2016-04-28T00:00:00"/>
    <s v="Não "/>
    <s v="TBD"/>
    <s v="TBD"/>
    <s v="TBD"/>
    <m/>
    <s v="17/05 - Em OG. Sendo avaliado inserir o tGuidance dentro do escopo solicitado._x000a__x000a_10/05 - Enviado a área de Aplicações TI._x000a__x000a_03/05 - Call com o solicitante, porém foi cancelada a pedido do mesmo. Remarcando kick off._x000a__x000a_28/04 - A iniciar"/>
    <s v="Aplicações TI / Fornecedor TQS"/>
    <s v="Cris Sasaki"/>
    <s v="/05/2016"/>
    <s v="Análise "/>
    <m/>
    <n v="102"/>
  </r>
  <r>
    <s v="CTXFORBM-376441"/>
    <s v="Novos Campos Mailing de Ofertas Retenção Invol Móvel"/>
    <s v="Borges de Melo/CE"/>
    <s v="Operações que não estão no Plano de Recuperação"/>
    <x v="4"/>
    <s v="Ana Coelho"/>
    <s v="Ana Sosa"/>
    <s v="Juliana Moraes"/>
    <s v="Cristiano Fernandes Melo"/>
    <x v="0"/>
    <d v="2016-04-13T00:00:00"/>
    <n v="38"/>
    <d v="2016-04-28T00:00:00"/>
    <s v="Sim"/>
    <d v="2016-05-16T00:00:00"/>
    <d v="2016-05-04T00:00:00"/>
    <s v="Sim"/>
    <m/>
    <s v="[16/05] - Entregue cronograma dia 16/5_x000a_[10/05] Pendente envio da OG. Prazo Após alinhamento de priorização._x000a_28/04 - A iniciar"/>
    <s v="Aplicações"/>
    <s v="Camilla Fermiano"/>
    <d v="2016-06-02T00:00:00"/>
    <s v="Em Desenvolvimento"/>
    <d v="2016-09-09T00:00:00"/>
    <m/>
  </r>
  <r>
    <s v="CTXSPOAL-115788"/>
    <s v="Projeto - Analise em servidor de URA atual para operação Intermédica"/>
    <s v="Alegria/SP"/>
    <s v="Operações que não estão no Plano de Recuperação"/>
    <x v="0"/>
    <s v="Ricardo Araújo"/>
    <s v="Celso Miranda"/>
    <s v="Bruno Guerra"/>
    <s v="Rogério Luiz"/>
    <x v="5"/>
    <d v="2016-04-29T00:00:00"/>
    <n v="22"/>
    <d v="2016-04-29T00:00:00"/>
    <s v="Não"/>
    <s v="TBD"/>
    <s v="TBD"/>
    <s v="TBD"/>
    <m/>
    <s v="17/05 - Aguardando retorno de Engenharia_x000a_02/05 - Incluído na fila de Engenharia para análise_x000a_29/04 - A iniciar"/>
    <s v="ENG"/>
    <m/>
    <m/>
    <s v="Na Fila"/>
    <m/>
    <m/>
  </r>
  <r>
    <s v="CTXNITSP-179086"/>
    <s v="Voicer com Menu (CRV Ativo)"/>
    <s v="RJ - Site Niterói"/>
    <s v="Operações que não estão no Plano de Recuperação"/>
    <x v="4"/>
    <s v="Ana Coelho"/>
    <s v="Ana Sosa"/>
    <s v="Erica Cotrim"/>
    <s v="Leonardo Pellegrini"/>
    <x v="0"/>
    <d v="2016-02-25T00:00:00"/>
    <n v="86"/>
    <d v="2016-04-29T00:00:00"/>
    <s v="Não "/>
    <s v="TBD"/>
    <s v="TBD"/>
    <s v="TBD"/>
    <m/>
    <s v="17/05 - Reenviado ao Thiago Souza a análise de Engenharia para acionamento ao Fornecedor ITIN._x000a__x000a_10/05 - A ferramenta chama-se plataforma de voz ITIN, do fornecedor ITIN.  Hoje a Contax não paga mais a manutenção desse fornecedor, por isso fica inviável a utilização dela no projeto. _x000a_Prazo Engenharia Telecom  (Antonio Junior) = 10/05 à 27/05/2016_x000a__x000a_03/05 - A iniciar_x000a__x000a_29/04 - A iniciar"/>
    <s v="Controle de Demandas TI / Fornecedor"/>
    <s v="Thiago Souza / ITIN"/>
    <d v="2016-05-27T00:00:00"/>
    <s v="Análise "/>
    <m/>
    <n v="82"/>
  </r>
  <r>
    <s v="CTXFORBM-356388  "/>
    <s v="Processamento Mailing Carga de Débitos Retenção Invol - TCollect"/>
    <s v="CE- Site Borges de Melo"/>
    <s v="Operações que não estão no Plano de Recuperação"/>
    <x v="4"/>
    <s v="Ana Coelho"/>
    <s v="Ana Sosa"/>
    <s v="Erica Cotrim"/>
    <s v="Sterlaine Priscila"/>
    <x v="0"/>
    <d v="2016-02-11T00:00:00"/>
    <n v="100"/>
    <d v="2016-05-09T00:00:00"/>
    <s v="Não "/>
    <s v="TBD"/>
    <s v="TBD"/>
    <s v="TBD"/>
    <m/>
    <s v="17/05 - Conforme conferência nesta Quinta 12/05, fizemos o entendimento da EF e aguardamos o retorno da operação/cliente atualizando a mesma e anexando ao chamado,  para darmos seguimento com a Estimativa de Desenvolvimento de Aplicações TI / TCollect._x000a__x000a_10/05 - Em OG_x000a__x000a_03/05 - A iniciar_x000a__x000a_29/04 - A iniciar"/>
    <s v="Aplicações TI "/>
    <s v="Camilla Fermiano"/>
    <d v="2016-05-20T00:00:00"/>
    <s v="Análise"/>
    <m/>
    <n v="104"/>
  </r>
  <r>
    <s v="CTXSPOAP407-16863"/>
    <s v="Projeto - Implantação de nova operação - MAPIDEA"/>
    <s v="Antártica/SP"/>
    <s v="S&amp;OP"/>
    <x v="0"/>
    <s v="Reginaldo"/>
    <s v="José Maria"/>
    <s v="Leonardo Marques"/>
    <s v="Thiago Felippe"/>
    <x v="1"/>
    <d v="2016-05-04T00:00:00"/>
    <n v="17"/>
    <d v="2016-05-04T00:00:00"/>
    <s v="Sim"/>
    <d v="2016-05-04T00:00:00"/>
    <d v="2016-06-06T00:00:00"/>
    <s v="Risco"/>
    <m/>
    <s v="12/5 - Pendente EF tGuidance!_x000a__x000a_10/5 - Questões sobre conectividade e outras enviadas para área de Negócios. Aguardando retorno para fechar cenário com Engenharia TI_x000a__x000a_05/05 - A iniciar"/>
    <s v="Operação"/>
    <s v="Luciana Cardoso"/>
    <d v="2016-05-17T00:00:00"/>
    <s v="Especificação Funcional"/>
    <d v="2016-05-17T00:00:00"/>
    <n v="26"/>
  </r>
  <r>
    <s v="CTXSPOAP407-16864"/>
    <s v="IMPLANTAÇÃO DO WEBSTATION / TTV CLARO"/>
    <s v="Boa Viagem/BA_x000a_Rio Branco/AC"/>
    <s v="Operações que não estão no Plano de Recuperação"/>
    <x v="5"/>
    <s v="Rodrigo Zambon"/>
    <s v="Leonardo Pelegrino"/>
    <s v="Juliana Moraes"/>
    <s v="Cleonice"/>
    <x v="3"/>
    <d v="2016-05-04T00:00:00"/>
    <n v="17"/>
    <d v="2016-05-06T00:00:00"/>
    <s v="Não"/>
    <s v="-"/>
    <d v="2016-05-17T00:00:00"/>
    <s v="Risco"/>
    <m/>
    <s v="[16/05] - Agendado kickoff com as áreas de TI_x000a_[10/05] - Encaminhado projeto para a equipe de CSE_x000a_06/05 - A iniciar"/>
    <s v="CSE"/>
    <m/>
    <m/>
    <s v="Levantamento de informações"/>
    <m/>
    <m/>
  </r>
  <r>
    <s v="CTXSPOAP407-16852"/>
    <s v="PROJETO - NOVA ESTRUTURA DE TI LATAM "/>
    <s v="Alegria, Augusta e João Pessoa"/>
    <s v="Operações que não estão no Plano de Recuperação"/>
    <x v="5"/>
    <s v="Rodrigo Zambon"/>
    <s v="Leonardo Pelegrino"/>
    <s v="Debora Gercke Dominas"/>
    <s v="Cleonice"/>
    <x v="3"/>
    <d v="2016-05-04T00:00:00"/>
    <n v="17"/>
    <d v="2016-05-06T00:00:00"/>
    <s v="TBD"/>
    <s v="TBD"/>
    <s v="TBD"/>
    <s v="TBD"/>
    <m/>
    <s v="17/05: Projeto está em análise._x000a_10/05: Alinhamento do projeto realizado hoje com a Cleonice. Próximos passos, aguardar retorno dos executores quanto a esse projeto."/>
    <s v="PMO TI"/>
    <s v="TBD"/>
    <s v="TBD"/>
    <s v="Em andamento"/>
    <m/>
    <s v="Toda a operação"/>
  </r>
  <r>
    <s v="CTXSPOAP407-16862"/>
    <s v="TROCA DE SERVIDORES CLARO - IMPACT 360"/>
    <s v="Boa Viagem / Rio Branco"/>
    <s v="Operações que não estão no Plano de Recuperação"/>
    <x v="5"/>
    <s v="Rodrigo Zambon"/>
    <s v="Leonardo Pelegrino"/>
    <s v="Marcelo Siqueira"/>
    <s v="Cleonice"/>
    <x v="3"/>
    <d v="2016-05-04T00:00:00"/>
    <n v="17"/>
    <d v="2016-05-06T00:00:00"/>
    <s v="TBD"/>
    <s v="TBD"/>
    <s v="TBD"/>
    <s v="TBD"/>
    <m/>
    <s v="11/05 - Aguardando o DA do contrato de comodato pelo jurídico_x000a_06/05 - A iniciar"/>
    <s v="Solicitante"/>
    <s v="Cleonice"/>
    <s v="TBD"/>
    <s v="Análise"/>
    <m/>
    <m/>
  </r>
  <r>
    <s v="CTXMLTREG-7370"/>
    <s v="SERVICE TO SALE PARA O PRÉ-PAGO"/>
    <s v="Salvador/BA e Recife/PE"/>
    <s v="Operações que não estão no Plano de Recuperação"/>
    <x v="4"/>
    <s v="Ana Coelho"/>
    <s v="Ana Sosa"/>
    <s v="Edison Siqueira"/>
    <s v="Ana Sosa"/>
    <x v="1"/>
    <d v="2016-04-20T00:00:00"/>
    <n v="31"/>
    <d v="2016-05-06T00:00:00"/>
    <s v="TBD"/>
    <s v="TBD"/>
    <s v="TBD"/>
    <s v="TBD"/>
    <m/>
    <s v="Edison Nei Siqueira added a comment - 18/Mai/16 11:52_x000a_Realizada reunião junto ao fornecedor, estamos aguardando retorno das informações solicitadas por engenharia para que seja concluído o levantamento de requisitos internos, precisamos também que a EF seja revisada e adequada ao escopo do projeto, pois a mesma encontra-se com um nível de detalhe superficial levando em consideração as colocações feitas na reunião de kick off. _x000a__x000a__x000a_Ficam pendentes algumas informações para iniciarmos a análise por parte de plataforma. _x000a__x000a_Webserver _x000a_ - Memória, Processadores, Disco _x000a__x000a_Escalabilidade/HA _x000a_ - Possibilidade de utilizar Docker _x000a_ - Possibilidade de utilizar balanceamento de carga _x000a_ - Possibilidade de utilizar Cache _x000a__x000a_Banco _x000a_ - Memória, Processadores, Disco, IOPS _x000a_ - Estimativa de crescimento06/05 - A iniciar"/>
    <m/>
    <m/>
    <m/>
    <s v="Na Fila"/>
    <m/>
    <m/>
  </r>
  <r>
    <s v="CTXNITSP-178541"/>
    <s v="BO NBA - FRONT TLV"/>
    <m/>
    <s v="Operações que não estão no Plano de Recuperação"/>
    <x v="4"/>
    <s v="Ana Coelho"/>
    <s v="Ana Sosa"/>
    <s v="Debora Gercke Dominas"/>
    <s v="Ana Sosa"/>
    <x v="0"/>
    <d v="2016-02-18T00:00:00"/>
    <n v="93"/>
    <d v="2016-05-06T00:00:00"/>
    <s v="TBD"/>
    <s v="TBD"/>
    <s v="TBD"/>
    <s v="TBD"/>
    <m/>
    <s v="17/05: kick-off agendado para amanhã, 18/05. _x000a_05 - A iniciar"/>
    <m/>
    <m/>
    <m/>
    <s v="Em andamento"/>
    <m/>
    <m/>
  </r>
  <r>
    <s v="CTXRECSA-484480"/>
    <s v="Automatizações CO + obrigatoriedade RFP."/>
    <s v="Rio de Janeiro / Santo Amaro"/>
    <s v="S&amp;OP"/>
    <x v="4"/>
    <s v="Ana Coelho"/>
    <s v="Ana Sosa"/>
    <s v="Leonardo Marques"/>
    <s v="Ana Sosa"/>
    <x v="1"/>
    <d v="2016-04-14T00:00:00"/>
    <n v="37"/>
    <d v="2016-05-06T00:00:00"/>
    <s v="TBD"/>
    <s v="TBD"/>
    <s v="TBD"/>
    <s v="TBD"/>
    <m/>
    <s v="12/5 - EFs em confecção._x000a_Direcionar escopo para filas das áreas TI para análise_x000a_Pendente definição Site Destino_x000a__x000a_10/5 - Início entendimento escopo com Operações_x000a_06/05 - A iniciar"/>
    <s v="Controle de Projetos de TI"/>
    <s v="Leonardo Marques"/>
    <d v="2016-05-20T00:00:00"/>
    <s v="Análise"/>
    <d v="2016-05-20T00:00:00"/>
    <n v="498"/>
  </r>
  <r>
    <s v="CTXFORBM-377932"/>
    <s v="Base análitica Voicer (MG)"/>
    <s v="Prado II - Térreo "/>
    <s v="Operações que não estão no Plano de Recuperação"/>
    <x v="4"/>
    <s v="Ana Coelho"/>
    <s v="Ana Sosa"/>
    <s v="Edison Siqueira"/>
    <s v="Ana Sosa"/>
    <x v="0"/>
    <d v="2016-04-18T00:00:00"/>
    <n v="33"/>
    <d v="2016-05-06T00:00:00"/>
    <s v="TBD"/>
    <s v="TBD"/>
    <s v="TBD"/>
    <s v="TBD"/>
    <m/>
    <s v="Edison Nei Siqueira added a comment - 18/Mai/16 12:21_x000a_Demanda inserida na fila da equipe de aplicações para estimativa de OG."/>
    <m/>
    <m/>
    <m/>
    <s v="Na Fila"/>
    <m/>
    <m/>
  </r>
  <r>
    <s v="CTXBHZRI-100960"/>
    <s v="Projeto Arquivo de Retorno_x000a_Desenvolver um arquivo de retorno com as criticas de todo o mailing enviado para a cobrança._x000a_Operação = Retenção Empresarial - Cobrança PJ - Ativo e Receptivo"/>
    <s v="MG - Site Prado II"/>
    <s v="Operações que não estão no Plano de Recuperação"/>
    <x v="4"/>
    <s v="Ana Coelho"/>
    <s v="Ana Sosa"/>
    <s v="Erica Cotrim"/>
    <s v="Ana Sosa"/>
    <x v="0"/>
    <d v="2016-04-18T00:00:00"/>
    <n v="33"/>
    <d v="2016-05-06T00:00:00"/>
    <s v="TBD"/>
    <s v="TBD"/>
    <s v="TBD"/>
    <s v="TBD"/>
    <m/>
    <s v="17/05 - Em OG_x000a__x000a_13/05 - Demanda foi designada ao analista de Controle de Demandas TI._x000a__x000a_06/05 - A iniciar"/>
    <s v="Aplicações TI / Operação"/>
    <s v="Camilla Fermiano/ Tatiane Delacrode"/>
    <d v="2016-05-27T00:00:00"/>
    <s v="Análise"/>
    <m/>
    <n v="50"/>
  </r>
  <r>
    <s v="CTXBHZRI-98120"/>
    <s v="Implantação de Front Fácil na célula de Fraude (1º nível)"/>
    <s v="Prado II - Térreo "/>
    <s v="Operações que não estão no Plano de Recuperação"/>
    <x v="4"/>
    <s v="Ana Coelho"/>
    <s v="Ana Sosa"/>
    <s v="Julio Silva"/>
    <s v="Ana Sosa"/>
    <x v="0"/>
    <d v="2016-02-12T00:00:00"/>
    <n v="99"/>
    <d v="2016-05-06T00:00:00"/>
    <s v="TBD"/>
    <s v="TBD"/>
    <s v="TBD"/>
    <s v="TBD"/>
    <m/>
    <s v="17/05 - Em avaliação áreas técnicas._x000a_06/05 - A iniciar"/>
    <m/>
    <m/>
    <m/>
    <s v="Na Fila"/>
    <m/>
    <m/>
  </r>
  <r>
    <s v="CTXFORBM-378418"/>
    <s v="Implantação de Front end Célula Fraude  "/>
    <s v="Prado I e II"/>
    <s v="Operações que não estão no Plano de Recuperação"/>
    <x v="4"/>
    <s v="Ana Coelho"/>
    <s v="Ana Sosa"/>
    <s v="Julio Silva"/>
    <s v="Ana Sosa"/>
    <x v="0"/>
    <d v="2016-04-19T00:00:00"/>
    <n v="32"/>
    <d v="2016-05-06T00:00:00"/>
    <s v="TBD"/>
    <s v="TBD"/>
    <s v="TBD"/>
    <s v="TBD"/>
    <m/>
    <s v="17/05 - Em avaliação áreas técnicas._x000a_06/05 - A iniciar"/>
    <m/>
    <m/>
    <m/>
    <s v="Na Fila"/>
    <m/>
    <m/>
  </r>
  <r>
    <s v="CTXFORBM-356388"/>
    <s v="Processamento Mailing Carga Retenção Invol"/>
    <s v="Borges de Melo/CE"/>
    <s v="Operações que não estão no Plano de Recuperação"/>
    <x v="4"/>
    <s v="Ana Coelho"/>
    <s v="Ana Sosa"/>
    <s v="Erica Cotrim"/>
    <s v="Ana Sosa"/>
    <x v="0"/>
    <d v="2016-02-11T00:00:00"/>
    <n v="100"/>
    <d v="2016-05-06T00:00:00"/>
    <s v="TBD"/>
    <s v="TBD"/>
    <s v="TBD"/>
    <s v="TBD"/>
    <m/>
    <s v="06/05 - A iniciar"/>
    <m/>
    <m/>
    <m/>
    <s v="Na Fila"/>
    <m/>
    <m/>
  </r>
  <r>
    <s v="CTXSPOAL-116446"/>
    <s v="Projeto - &quot;Implantar Tabulador Ativo Whirlpool&quot;"/>
    <m/>
    <s v="Operações que não estão no Plano de Recuperação"/>
    <x v="6"/>
    <s v="Noemia Ferro"/>
    <s v="Maurício Perez"/>
    <s v="Julio Silva"/>
    <s v="Carlos Batista"/>
    <x v="0"/>
    <d v="2016-05-02T00:00:00"/>
    <n v="19"/>
    <d v="2016-05-06T00:00:00"/>
    <s v="TBD"/>
    <s v="TBD"/>
    <s v="TBD"/>
    <s v="TBD"/>
    <m/>
    <s v="17/05 - Em avaliação áreas técnicas._x000a_06/05 - A iniciar"/>
    <m/>
    <m/>
    <m/>
    <s v="Na Fila"/>
    <m/>
    <m/>
  </r>
  <r>
    <s v="CTXNITSP-178545"/>
    <s v="Projeto - TLV - BO NBA"/>
    <m/>
    <s v="Operações que não estão no Plano de Recuperação"/>
    <x v="4"/>
    <s v="Ana Coelho"/>
    <s v="Ana Sosa"/>
    <s v="Debora Gercke Dominas"/>
    <s v="Ana Sosa"/>
    <x v="0"/>
    <d v="2016-02-18T00:00:00"/>
    <n v="93"/>
    <d v="2016-05-06T00:00:00"/>
    <s v="TBD"/>
    <s v="TBD"/>
    <s v="TBD"/>
    <s v="TBD"/>
    <m/>
    <s v="17/05: kick-off agendado para amanhã, 18/05. _x000a_06/05 - A iniciar"/>
    <m/>
    <m/>
    <m/>
    <s v="Em andamento"/>
    <m/>
    <m/>
  </r>
  <r>
    <s v="CTXSPOBF-142812"/>
    <s v="Projeto - &quot;Implantar Solução De Discador Automático - Ticket B2B&quot;"/>
    <s v="Antártica/SP"/>
    <s v="Operações que não estão no Plano de Recuperação"/>
    <x v="6"/>
    <s v="Noemia Ferro"/>
    <s v="Maurício Perez"/>
    <s v="Julio Silva"/>
    <s v="Carlos Batista"/>
    <x v="0"/>
    <d v="2016-04-18T00:00:00"/>
    <n v="33"/>
    <d v="2016-05-10T00:00:00"/>
    <s v="TBD"/>
    <s v="TBD"/>
    <s v="TBD"/>
    <s v="TBD"/>
    <m/>
    <s v="17/05 - EF em confeccção._x000a_06/05 - A iniciar"/>
    <m/>
    <m/>
    <m/>
    <s v="Na Fila"/>
    <m/>
    <m/>
  </r>
  <r>
    <s v="CTXSALPB-65939"/>
    <s v="Projeto de migração da SAC Fixo (60 PAs)"/>
    <s v="Borges de Melo/CE e Boa Viagem/BA"/>
    <s v="S&amp;OP"/>
    <x v="4"/>
    <s v="Ana Coelho"/>
    <s v="Ana Sosa"/>
    <s v="Marcelo Siqueira"/>
    <s v="Ana Sosa"/>
    <x v="1"/>
    <d v="2016-05-03T00:00:00"/>
    <n v="18"/>
    <d v="2016-05-09T00:00:00"/>
    <s v="TBD"/>
    <s v="TBD"/>
    <s v="TBD"/>
    <s v="TBD"/>
    <m/>
    <s v="11/05 - Em análise pela Engenharia. Em paralelo, TI site está adiantando as atividades_x000a_10/05 - A iniciar"/>
    <s v="PMO TI"/>
    <s v="Marcelo Siqueira"/>
    <s v="TBD"/>
    <s v="Análise"/>
    <m/>
    <n v="60"/>
  </r>
  <r>
    <s v="CTXSALPB-66053"/>
    <s v="Projeto de migração da Televendas Auditoria e SAC Fixo (4 PAs)"/>
    <s v="Borges de Melo/CE e Boa Viagem/BA"/>
    <s v="S&amp;OP"/>
    <x v="4"/>
    <s v="Ana Coelho"/>
    <s v="Ana Sosa"/>
    <s v="Marcelo Siqueira"/>
    <s v="Ana Sosa"/>
    <x v="1"/>
    <d v="2016-05-03T00:00:00"/>
    <n v="18"/>
    <d v="2016-05-09T00:00:00"/>
    <s v="TBD"/>
    <s v="TBD"/>
    <s v="TBD"/>
    <s v="TBD"/>
    <m/>
    <s v="11/05 - Em análise pela Engenharia. Em paralelo, TI site está adiantando as atividades_x000a_10/05 - A iniciar"/>
    <s v="PMO TI"/>
    <s v="Marcelo Siqueira"/>
    <s v="TBD"/>
    <s v="Análise"/>
    <m/>
    <n v="4"/>
  </r>
  <r>
    <s v="CTXRJOMA-79959"/>
    <s v="Ampliar a infra do cliente Lafe"/>
    <s v="TIjuca/RJ"/>
    <m/>
    <x v="0"/>
    <s v="Ricardo Araújo"/>
    <s v="Cristiani Girardin Pimentel Furtado"/>
    <s v="Debora Gercke Dominas"/>
    <s v="Cristina Rey"/>
    <x v="1"/>
    <d v="2016-04-13T00:00:00"/>
    <n v="38"/>
    <d v="2016-04-27T00:00:00"/>
    <s v="Não"/>
    <s v="TBD"/>
    <s v="TBD"/>
    <s v="TBD"/>
    <m/>
    <s v="17/05: Mesmo Status._x000a_10/05: Aguarda uma solução para o transporte dos equipamentos. "/>
    <s v="Cliente"/>
    <s v="Victor Lahr"/>
    <s v="TBD"/>
    <s v="Em andamento"/>
    <m/>
    <n v="10"/>
  </r>
  <r>
    <s v="CTXJPASA-7778"/>
    <s v="Atendimento Convergente Empresarial"/>
    <s v="Niterói/João Pessoa"/>
    <m/>
    <x v="4"/>
    <s v="Ana Coelho"/>
    <s v="Ana Sosa"/>
    <s v="Debora Gercke Dominas"/>
    <s v="Cristina Rey"/>
    <x v="1"/>
    <d v="2016-04-27T00:00:00"/>
    <n v="24"/>
    <d v="2016-04-28T00:00:00"/>
    <s v="Não"/>
    <s v="TBD"/>
    <s v="TBD"/>
    <s v="TBD"/>
    <m/>
    <s v="17/05: Recebemos a confirmação para utilizar os equipamentos da desmobilização Vivo a partir de 01/06. Amanhã, 18/05 esta agendada uma reunião com a equipe de TI para alinhar as atividades._x000a_10/05: Aguarda confirmação de insumos físicos"/>
    <s v="PMO TI"/>
    <s v="Débora Gercke"/>
    <d v="2016-05-19T00:00:00"/>
    <s v="Em andamento"/>
    <m/>
    <n v="75"/>
  </r>
  <r>
    <s v="CTXSALPB-46921"/>
    <s v="Integração NBA x Front Fácil"/>
    <s v="Boa Viagem/BA"/>
    <s v="Operações que não estão no Plano de Recuperação"/>
    <x v="4"/>
    <s v="Ana Coelho"/>
    <s v="Ana Sosa"/>
    <s v="Julio Silva"/>
    <s v="Marcio José"/>
    <x v="0"/>
    <d v="2015-11-12T00:00:00"/>
    <n v="191"/>
    <d v="2016-01-14T00:00:00"/>
    <s v="Não"/>
    <s v="TBD"/>
    <s v="TBD"/>
    <s v="TBD"/>
    <m/>
    <s v="17/05 - Mesmo Status._x000a_10/05 - Reaberto. Aguardando accenture._x000a_03/05 - Concluído._x000a_19/04 - Mesmo status._x000a_08/03 - Mesmo status_x000a_01/02 - Piloto em andamento com atuação da accenture para resolver problemas de integração. _x000a_22/02 - Operação tem espectativa de fechar Piloto até 26/02_x000a_11/02 - Piloto em andamento._x000a_01/02/2016 - Houve problemas em formatos de campos esperados na integração. Testes a serem realizados hoje e início do Piloto agendado para amanhã, 02/03/2016._x000a_26/01/2016 - Realizando configurações para realização do Piloto."/>
    <s v="Cliente"/>
    <s v="accenture"/>
    <s v="Sem data"/>
    <s v="Em andamento"/>
    <m/>
    <n v="100"/>
  </r>
  <r>
    <s v="CTXSPOAP407-16933"/>
    <s v="Projeto -Implantação de 2 links de telecom da I360 na operação Leader Cobrança"/>
    <m/>
    <s v="Operações que não estão no Plano de Recuperação"/>
    <x v="0"/>
    <s v="Reginaldo"/>
    <s v="José Maria"/>
    <s v="Bruno Ribeiro"/>
    <s v="José Maria"/>
    <x v="3"/>
    <d v="2016-05-11T00:00:00"/>
    <n v="10"/>
    <d v="2016-05-12T00:00:00"/>
    <s v="Não"/>
    <s v="TBD"/>
    <s v="TBD"/>
    <s v="TBD"/>
    <m/>
    <s v="17/05 - Aguardando retorno da Engenharia_x000a_10/05 - A iniciar"/>
    <m/>
    <m/>
    <m/>
    <s v="Na Fila"/>
    <m/>
    <m/>
  </r>
  <r>
    <s v="CTXSALLM-125322"/>
    <s v="Projeto - Crescimento e implementação do serviço 0800 na op. Mega Ilha"/>
    <s v="Comércio/BA"/>
    <s v="S&amp;OP"/>
    <x v="3"/>
    <s v="Ricardo Araújo"/>
    <s v="Celso Miranda"/>
    <s v="Marcelo Siqueira"/>
    <s v="Thiago Felippe"/>
    <x v="1"/>
    <d v="2016-05-11T00:00:00"/>
    <n v="10"/>
    <d v="2016-05-16T00:00:00"/>
    <s v="TBD"/>
    <s v="TBD"/>
    <s v="TBD"/>
    <s v="TBD"/>
    <m/>
    <s v="16/05 - A iniciar"/>
    <m/>
    <m/>
    <m/>
    <s v="Na Fila"/>
    <m/>
    <n v="7"/>
  </r>
  <r>
    <s v="CTXRECSA-488096"/>
    <s v="Projeto - Crescimento/Forecast"/>
    <s v="Santo Amaro/PE"/>
    <s v="S&amp;OP"/>
    <x v="4"/>
    <s v="Ana Coelho"/>
    <s v="Ana Sosa"/>
    <s v="Bruno Guerra"/>
    <s v="Jonas Divino"/>
    <x v="1"/>
    <d v="2016-04-26T00:00:00"/>
    <n v="25"/>
    <d v="2016-05-04T00:00:00"/>
    <s v="Sim"/>
    <d v="2016-05-11T00:00:00"/>
    <d v="2016-05-23T00:00:00"/>
    <s v="Sim"/>
    <m/>
    <s v="16/05 - Insumos mapeados e solicitados. Licenças de TLV disponibilizadas para o crescimento._x000a_Execução programada para 20/05"/>
    <s v="TI Site"/>
    <s v="João Ramos"/>
    <d v="2016-05-20T00:00:00"/>
    <s v="Desenvolvimento/Execução"/>
    <m/>
    <n v="20"/>
  </r>
  <r>
    <s v="CTXRECSA-493516"/>
    <s v="Mudança de Perfil nas maquinas"/>
    <m/>
    <m/>
    <x v="7"/>
    <m/>
    <m/>
    <s v="Marcelo Siqueira"/>
    <m/>
    <x v="6"/>
    <m/>
    <m/>
    <m/>
    <m/>
    <m/>
    <m/>
    <m/>
    <m/>
    <s v="20/05 - A iniciar"/>
    <m/>
    <m/>
    <m/>
    <s v="Na Fila"/>
    <m/>
    <m/>
  </r>
  <r>
    <s v="CTXRECSA-492902"/>
    <s v="Mudança de DAC"/>
    <m/>
    <m/>
    <x v="7"/>
    <m/>
    <m/>
    <s v="Marcelo Siqueira"/>
    <m/>
    <x v="6"/>
    <m/>
    <m/>
    <m/>
    <m/>
    <m/>
    <m/>
    <m/>
    <m/>
    <s v="20/05 - A iniciar"/>
    <m/>
    <m/>
    <m/>
    <s v="Na Fila"/>
    <m/>
    <m/>
  </r>
  <r>
    <s v="CTXRECAU-71109"/>
    <s v="PROJETO - Substituição de 430 máquinas na operação NET"/>
    <m/>
    <s v="Operações que não estão no Plano de Recuperação"/>
    <x v="5"/>
    <m/>
    <m/>
    <s v="Paulo Cavalcante"/>
    <m/>
    <x v="6"/>
    <m/>
    <m/>
    <m/>
    <m/>
    <m/>
    <m/>
    <m/>
    <m/>
    <s v="20/05 - A iniciar"/>
    <m/>
    <m/>
    <m/>
    <s v="Na Fila"/>
    <m/>
    <m/>
  </r>
  <r>
    <s v="CTXRECSA-495150"/>
    <s v="Crescimento SAC Pós + OCT"/>
    <s v="SANTO AMARO"/>
    <s v="S&amp;OP"/>
    <x v="4"/>
    <m/>
    <m/>
    <s v="Marcelo Siqueira"/>
    <s v="Jonas Divino"/>
    <x v="1"/>
    <d v="2016-05-19T00:00:00"/>
    <n v="2"/>
    <d v="2016-05-20T00:00:00"/>
    <s v="TBD"/>
    <s v="TBD"/>
    <d v="2016-06-01T00:00:00"/>
    <s v="Risco"/>
    <m/>
    <s v="20/05 - A iniciar"/>
    <m/>
    <m/>
    <m/>
    <s v="Na Fila"/>
    <m/>
    <n v="16"/>
  </r>
  <r>
    <s v="CTXRECSA-495802"/>
    <s v="Crescimento Quality Pós + OCT"/>
    <s v="SANTO AMARO"/>
    <s v="S&amp;OP"/>
    <x v="4"/>
    <m/>
    <m/>
    <s v="Marcelo Siqueira"/>
    <s v="Jonas Divino"/>
    <x v="1"/>
    <d v="2016-05-19T00:00:00"/>
    <n v="2"/>
    <d v="2016-05-20T00:00:00"/>
    <s v="TBD"/>
    <s v="TBD"/>
    <d v="2016-06-01T00:00:00"/>
    <s v="Risco"/>
    <m/>
    <s v="20/05 - A iniciar"/>
    <m/>
    <m/>
    <m/>
    <s v="Na Fila"/>
    <m/>
    <n v="3"/>
  </r>
  <r>
    <s v="CTXRECSA-495803"/>
    <s v="Crescimento Contas Móvel"/>
    <s v="SANTO AMARO"/>
    <s v="S&amp;OP"/>
    <x v="4"/>
    <m/>
    <m/>
    <s v="Marcelo Siqueira"/>
    <s v="Jonas Divino"/>
    <x v="1"/>
    <d v="2016-05-19T00:00:00"/>
    <n v="2"/>
    <d v="2016-05-20T00:00:00"/>
    <s v="TBD"/>
    <s v="TBD"/>
    <d v="2016-06-01T00:00:00"/>
    <s v="Risco"/>
    <m/>
    <s v="20/05 - A iniciar"/>
    <m/>
    <m/>
    <m/>
    <s v="Na Fila"/>
    <m/>
    <n v="30"/>
  </r>
  <r>
    <s v="CTXNITSP-184403"/>
    <s v="Crescimento Suporte Técnico Pós-Pago"/>
    <s v="NITERÓI"/>
    <s v="S&amp;OP"/>
    <x v="4"/>
    <m/>
    <m/>
    <s v="Marcelo Siqueira"/>
    <s v="Jonas Divino"/>
    <x v="1"/>
    <d v="2016-05-19T00:00:00"/>
    <n v="2"/>
    <d v="2016-05-20T00:00:00"/>
    <s v="TBD"/>
    <s v="TBD"/>
    <d v="2016-06-01T00:00:00"/>
    <s v="Risco"/>
    <m/>
    <s v="20/05 - A iniciar"/>
    <m/>
    <m/>
    <m/>
    <s v="Na Fila"/>
    <m/>
    <n v="4"/>
  </r>
  <r>
    <s v="CTXJPASA-8302"/>
    <s v="CRESCIMENTO EMPRESARIAL FIXO"/>
    <s v="JOAO PESSOA"/>
    <s v="S&amp;OP"/>
    <x v="4"/>
    <m/>
    <m/>
    <s v="Marcelo Siqueira"/>
    <s v="Jonas Divino"/>
    <x v="1"/>
    <d v="2016-05-19T00:00:00"/>
    <n v="2"/>
    <d v="2016-05-20T00:00:00"/>
    <s v="TBD"/>
    <s v="TBD"/>
    <d v="2016-06-01T00:00:00"/>
    <s v="Risco"/>
    <m/>
    <s v="20/05 - A iniciar"/>
    <m/>
    <m/>
    <m/>
    <s v="Na Fila"/>
    <m/>
    <n v="6"/>
  </r>
  <r>
    <s v="CTXSALPB-67517"/>
    <s v="CRESCIMENTO SAC OI TV"/>
    <s v="BOA VIAGEM"/>
    <s v="S&amp;OP"/>
    <x v="4"/>
    <m/>
    <m/>
    <s v="Marcelo Siqueira"/>
    <s v="Jonas Divino"/>
    <x v="1"/>
    <d v="2016-05-19T00:00:00"/>
    <n v="2"/>
    <d v="2016-05-20T00:00:00"/>
    <s v="TBD"/>
    <s v="TBD"/>
    <d v="2016-06-01T00:00:00"/>
    <s v="Risco"/>
    <m/>
    <s v="20/05 - A iniciar"/>
    <m/>
    <m/>
    <m/>
    <s v="Na Fila"/>
    <m/>
    <n v="8"/>
  </r>
  <r>
    <s v="CTXSPOBF-145645"/>
    <s v="Projeto - Gravação de frase - Santander Financiamentos"/>
    <s v="Antártica/SP"/>
    <s v="Operações que não estão no Plano de Recuperação"/>
    <x v="6"/>
    <s v="Noemia Ferro"/>
    <s v="Mauricio Perez"/>
    <s v="Bruno Guerra"/>
    <s v="George Dimitrov"/>
    <x v="5"/>
    <d v="2016-05-19T00:00:00"/>
    <n v="2"/>
    <d v="2016-05-20T00:00:00"/>
    <s v="TBD"/>
    <s v="TBD"/>
    <s v="TBD"/>
    <s v="TBD"/>
    <m/>
    <s v="20/05 - Aguardando aprovação de proposta pelo solicitante"/>
    <s v="Solicitante"/>
    <s v="George Dimitrov"/>
    <s v="TBD"/>
    <s v="Análise"/>
    <m/>
    <m/>
  </r>
  <r>
    <s v="CTXRJOSC-16013"/>
    <s v="Projeto - Retrofit na operação BB Maphre no site São Cristóvão"/>
    <s v="São Cristóvão"/>
    <s v="S&amp;OP"/>
    <x v="0"/>
    <s v="Ricardo Araújo"/>
    <s v="Rogerio Silva"/>
    <s v="Marcelo Siqueira"/>
    <s v="Rogerio Silva"/>
    <x v="1"/>
    <d v="2016-05-11T00:00:00"/>
    <n v="10"/>
    <d v="2016-05-20T00:00:00"/>
    <s v="TBD"/>
    <s v="TBD"/>
    <s v="TBD"/>
    <s v="TBD"/>
    <m/>
    <s v="20/05 - A iniciar"/>
    <m/>
    <m/>
    <m/>
    <s v="Na Fila"/>
    <m/>
    <n v="25"/>
  </r>
  <r>
    <s v="CTXRECSA-491352"/>
    <s v="Disponibilizar 100% das gravações das chamadas da célula sinergia para a Oi"/>
    <s v="Santo Amaro/PE"/>
    <s v="Operações que não estão no Plano de Recuperação"/>
    <x v="4"/>
    <s v="Ana Coelho"/>
    <s v="Ana Sosa"/>
    <s v="Edison Siqueira"/>
    <s v="Anthonny"/>
    <x v="0"/>
    <d v="2016-05-03T00:00:00"/>
    <n v="18"/>
    <d v="2016-05-20T00:00:00"/>
    <s v="TBD"/>
    <s v="TBD"/>
    <s v="TBD"/>
    <s v="TBD"/>
    <m/>
    <s v="20/05 - A iniciar"/>
    <m/>
    <m/>
    <m/>
    <s v="Na Fila"/>
    <m/>
    <m/>
  </r>
  <r>
    <s v="CTXNITSP-179079"/>
    <s v="Front Único Oi Total"/>
    <s v="Niterói/RJ"/>
    <s v="Operações que não estão no Plano de Recuperação"/>
    <x v="4"/>
    <s v="Ana Coelho"/>
    <s v="Ana Sosa"/>
    <s v="Erica Cotrim"/>
    <s v="Leonardo Pellegrini"/>
    <x v="0"/>
    <m/>
    <n v="42511"/>
    <d v="2016-05-20T00:00:00"/>
    <s v="TBD"/>
    <s v="TBD"/>
    <s v="TBD"/>
    <s v="TBD"/>
    <m/>
    <s v="20/05 - A iniciar"/>
    <m/>
    <m/>
    <m/>
    <s v="Na Fila"/>
    <m/>
    <m/>
  </r>
  <r>
    <s v="CTXNITSP-184612"/>
    <s v="Alteração de Carga Oi Total – Concluir Bundle"/>
    <s v="Niterói/RJ"/>
    <s v="Operações que não estão no Plano de Recuperação"/>
    <x v="4"/>
    <s v="Ana Coelho"/>
    <s v="Ana Sosa"/>
    <s v="Erica Cotrim"/>
    <s v="Jill Ortiz"/>
    <x v="0"/>
    <m/>
    <n v="42511"/>
    <d v="2016-05-20T00:00:00"/>
    <s v="TBD"/>
    <s v="TBD"/>
    <s v="TBD"/>
    <s v="TBD"/>
    <m/>
    <s v="20/05 - A iniciar"/>
    <m/>
    <m/>
    <m/>
    <s v="Na Fila"/>
    <m/>
    <m/>
  </r>
  <r>
    <s v="CTXFORBM-389719"/>
    <s v="Inibição de faturas Front End tCollect"/>
    <s v="Borges de Melo/CE"/>
    <s v="Operações que não estão no Plano de Recuperação"/>
    <x v="4"/>
    <s v="Ana Coelho"/>
    <s v="Ana Sosa"/>
    <s v="Edison Siqueira"/>
    <s v="Cristiano Fernandes Melo"/>
    <x v="0"/>
    <m/>
    <n v="42511"/>
    <d v="2016-05-20T00:00:00"/>
    <s v="TBD"/>
    <s v="TBD"/>
    <s v="TBD"/>
    <s v="TBD"/>
    <m/>
    <s v="20/05 - A iniciar"/>
    <m/>
    <m/>
    <m/>
    <s v="Na Fila"/>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Tabela dinâmica2" cacheId="0"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A3:M14" firstHeaderRow="1" firstDataRow="2" firstDataCol="1"/>
  <pivotFields count="26">
    <pivotField dataField="1" showAll="0"/>
    <pivotField showAll="0"/>
    <pivotField showAll="0" defaultSubtotal="0"/>
    <pivotField showAll="0"/>
    <pivotField showAll="0"/>
    <pivotField axis="axisCol" showAll="0">
      <items count="12">
        <item x="5"/>
        <item x="7"/>
        <item x="0"/>
        <item x="3"/>
        <item x="2"/>
        <item x="4"/>
        <item x="6"/>
        <item x="1"/>
        <item x="8"/>
        <item x="9"/>
        <item x="10"/>
        <item t="default"/>
      </items>
    </pivotField>
    <pivotField axis="axisRow" showAll="0" defaultSubtotal="0">
      <items count="9">
        <item x="5"/>
        <item x="0"/>
        <item x="8"/>
        <item x="3"/>
        <item x="4"/>
        <item x="2"/>
        <item x="7"/>
        <item x="6"/>
        <item x="1"/>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pivotField showAll="0" defaultSubtotal="0"/>
    <pivotField showAll="0" defaultSubtotal="0"/>
    <pivotField showAll="0" defaultSubtotal="0"/>
    <pivotField showAll="0" defaultSubtotal="0"/>
    <pivotField showAll="0" defaultSubtotal="0"/>
  </pivotFields>
  <rowFields count="1">
    <field x="6"/>
  </rowFields>
  <rowItems count="10">
    <i>
      <x/>
    </i>
    <i>
      <x v="1"/>
    </i>
    <i>
      <x v="2"/>
    </i>
    <i>
      <x v="3"/>
    </i>
    <i>
      <x v="4"/>
    </i>
    <i>
      <x v="5"/>
    </i>
    <i>
      <x v="6"/>
    </i>
    <i>
      <x v="7"/>
    </i>
    <i>
      <x v="8"/>
    </i>
    <i t="grand">
      <x/>
    </i>
  </rowItems>
  <colFields count="1">
    <field x="5"/>
  </colFields>
  <colItems count="12">
    <i>
      <x/>
    </i>
    <i>
      <x v="1"/>
    </i>
    <i>
      <x v="2"/>
    </i>
    <i>
      <x v="3"/>
    </i>
    <i>
      <x v="4"/>
    </i>
    <i>
      <x v="5"/>
    </i>
    <i>
      <x v="6"/>
    </i>
    <i>
      <x v="7"/>
    </i>
    <i>
      <x v="8"/>
    </i>
    <i>
      <x v="9"/>
    </i>
    <i>
      <x v="10"/>
    </i>
    <i t="grand">
      <x/>
    </i>
  </colItems>
  <dataFields count="1">
    <dataField name="Contagem de Número do tProcess" fld="0" subtotal="count" baseField="0" baseItem="0"/>
  </dataFields>
  <formats count="17">
    <format dxfId="134">
      <pivotArea dataOnly="0" labelOnly="1" fieldPosition="0">
        <references count="1">
          <reference field="5" count="0"/>
        </references>
      </pivotArea>
    </format>
    <format dxfId="133">
      <pivotArea dataOnly="0" labelOnly="1" grandCol="1" outline="0" fieldPosition="0"/>
    </format>
    <format dxfId="132">
      <pivotArea outline="0" collapsedLevelsAreSubtotals="1" fieldPosition="0"/>
    </format>
    <format dxfId="131">
      <pivotArea dataOnly="0" labelOnly="1" grandRow="1" outline="0" fieldPosition="0"/>
    </format>
    <format dxfId="130">
      <pivotArea dataOnly="0" labelOnly="1" fieldPosition="0">
        <references count="1">
          <reference field="5" count="0"/>
        </references>
      </pivotArea>
    </format>
    <format dxfId="129">
      <pivotArea dataOnly="0" labelOnly="1" grandCol="1" outline="0" fieldPosition="0"/>
    </format>
    <format dxfId="128">
      <pivotArea type="all" dataOnly="0" outline="0" fieldPosition="0"/>
    </format>
    <format dxfId="127">
      <pivotArea type="all" dataOnly="0" outline="0" fieldPosition="0"/>
    </format>
    <format dxfId="126">
      <pivotArea outline="0" collapsedLevelsAreSubtotals="1" fieldPosition="0"/>
    </format>
    <format dxfId="125">
      <pivotArea field="6" type="button" dataOnly="0" labelOnly="1" outline="0" axis="axisRow" fieldPosition="0"/>
    </format>
    <format dxfId="124">
      <pivotArea dataOnly="0" labelOnly="1" fieldPosition="0">
        <references count="1">
          <reference field="6" count="0"/>
        </references>
      </pivotArea>
    </format>
    <format dxfId="123">
      <pivotArea dataOnly="0" labelOnly="1" grandRow="1" outline="0" fieldPosition="0"/>
    </format>
    <format dxfId="122">
      <pivotArea dataOnly="0" labelOnly="1" fieldPosition="0">
        <references count="1">
          <reference field="5" count="0"/>
        </references>
      </pivotArea>
    </format>
    <format dxfId="121">
      <pivotArea dataOnly="0" labelOnly="1" grandCol="1" outline="0" fieldPosition="0"/>
    </format>
    <format dxfId="120">
      <pivotArea type="origin" dataOnly="0" labelOnly="1" outline="0" fieldPosition="0"/>
    </format>
    <format dxfId="119">
      <pivotArea field="5" type="button" dataOnly="0" labelOnly="1" outline="0" axis="axisCol" fieldPosition="0"/>
    </format>
    <format dxfId="118">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1" cacheId="2"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A3:M16" firstHeaderRow="1" firstDataRow="2" firstDataCol="1"/>
  <pivotFields count="25">
    <pivotField dataField="1" showAll="0"/>
    <pivotField showAll="0"/>
    <pivotField showAll="0" defaultSubtotal="0"/>
    <pivotField showAll="0"/>
    <pivotField axis="axisCol" showAll="0" defaultSubtotal="0">
      <items count="11">
        <item x="5"/>
        <item x="9"/>
        <item x="8"/>
        <item x="0"/>
        <item x="2"/>
        <item x="7"/>
        <item x="3"/>
        <item x="4"/>
        <item x="6"/>
        <item x="1"/>
        <item x="10"/>
      </items>
    </pivotField>
    <pivotField showAll="0" defaultSubtotal="0"/>
    <pivotField showAll="0" defaultSubtotal="0"/>
    <pivotField axis="axisRow" showAll="0">
      <items count="12">
        <item x="5"/>
        <item x="0"/>
        <item x="8"/>
        <item x="3"/>
        <item x="4"/>
        <item x="2"/>
        <item x="7"/>
        <item x="6"/>
        <item x="1"/>
        <item x="9"/>
        <item x="10"/>
        <item t="default"/>
      </items>
    </pivotField>
    <pivotField showAll="0"/>
    <pivotField showAll="0"/>
    <pivotField showAll="0"/>
    <pivotField showAll="0"/>
    <pivotField showAll="0"/>
    <pivotField showAll="0" defaultSubtotal="0"/>
    <pivotField showAll="0" defaultSubtotal="0"/>
    <pivotField showAll="0"/>
    <pivotField showAll="0" defaultSubtotal="0"/>
    <pivotField showAll="0"/>
    <pivotField showAll="0"/>
    <pivotField showAll="0" defaultSubtotal="0"/>
    <pivotField showAll="0" defaultSubtotal="0"/>
    <pivotField showAll="0" defaultSubtotal="0"/>
    <pivotField showAll="0"/>
    <pivotField showAll="0"/>
    <pivotField showAll="0"/>
  </pivotFields>
  <rowFields count="1">
    <field x="7"/>
  </rowFields>
  <rowItems count="12">
    <i>
      <x/>
    </i>
    <i>
      <x v="1"/>
    </i>
    <i>
      <x v="2"/>
    </i>
    <i>
      <x v="3"/>
    </i>
    <i>
      <x v="4"/>
    </i>
    <i>
      <x v="5"/>
    </i>
    <i>
      <x v="6"/>
    </i>
    <i>
      <x v="7"/>
    </i>
    <i>
      <x v="8"/>
    </i>
    <i>
      <x v="9"/>
    </i>
    <i>
      <x v="10"/>
    </i>
    <i t="grand">
      <x/>
    </i>
  </rowItems>
  <colFields count="1">
    <field x="4"/>
  </colFields>
  <colItems count="12">
    <i>
      <x/>
    </i>
    <i>
      <x v="1"/>
    </i>
    <i>
      <x v="2"/>
    </i>
    <i>
      <x v="3"/>
    </i>
    <i>
      <x v="4"/>
    </i>
    <i>
      <x v="5"/>
    </i>
    <i>
      <x v="6"/>
    </i>
    <i>
      <x v="7"/>
    </i>
    <i>
      <x v="8"/>
    </i>
    <i>
      <x v="9"/>
    </i>
    <i>
      <x v="10"/>
    </i>
    <i t="grand">
      <x/>
    </i>
  </colItems>
  <dataFields count="1">
    <dataField name="Contagem de Número do tProcess" fld="0" subtotal="count" baseField="0" baseItem="0"/>
  </dataFields>
  <formats count="5">
    <format dxfId="117">
      <pivotArea dataOnly="0" labelOnly="1" outline="0" axis="axisValues" fieldPosition="0"/>
    </format>
    <format dxfId="116">
      <pivotArea field="7" type="button" dataOnly="0" labelOnly="1" outline="0" axis="axisRow" fieldPosition="0"/>
    </format>
    <format dxfId="115">
      <pivotArea dataOnly="0" labelOnly="1" outline="0" axis="axisValues" fieldPosition="0"/>
    </format>
    <format dxfId="114">
      <pivotArea field="7" type="button" dataOnly="0" labelOnly="1" outline="0" axis="axisRow" fieldPosition="0"/>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ela dinâmica1" cacheId="1"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A3:L8" firstHeaderRow="1" firstDataRow="2" firstDataCol="1"/>
  <pivotFields count="25">
    <pivotField dataField="1" showAll="0"/>
    <pivotField showAll="0"/>
    <pivotField showAll="0"/>
    <pivotField showAll="0"/>
    <pivotField axis="axisCol" showAll="0">
      <items count="11">
        <item x="5"/>
        <item x="9"/>
        <item x="8"/>
        <item x="0"/>
        <item x="2"/>
        <item x="7"/>
        <item x="3"/>
        <item x="4"/>
        <item x="6"/>
        <item x="1"/>
        <item t="default"/>
      </items>
    </pivotField>
    <pivotField showAll="0"/>
    <pivotField showAll="0"/>
    <pivotField showAll="0"/>
    <pivotField showAll="0"/>
    <pivotField showAll="0"/>
    <pivotField numFmtId="14" showAll="0"/>
    <pivotField showAll="0"/>
    <pivotField numFmtId="14" showAll="0"/>
    <pivotField axis="axisRow" showAll="0">
      <items count="4">
        <item sd="0" x="0"/>
        <item sd="0" x="1"/>
        <item sd="0" x="2"/>
        <item t="default"/>
      </items>
    </pivotField>
    <pivotField showAll="0"/>
    <pivotField showAll="0"/>
    <pivotField showAll="0"/>
    <pivotField showAll="0"/>
    <pivotField showAll="0"/>
    <pivotField axis="axisRow" showAll="0">
      <items count="17">
        <item x="0"/>
        <item x="11"/>
        <item x="6"/>
        <item x="8"/>
        <item x="2"/>
        <item x="14"/>
        <item x="3"/>
        <item x="15"/>
        <item x="9"/>
        <item x="4"/>
        <item x="1"/>
        <item x="10"/>
        <item x="5"/>
        <item x="7"/>
        <item x="12"/>
        <item x="13"/>
        <item t="default"/>
      </items>
    </pivotField>
    <pivotField showAll="0"/>
    <pivotField showAll="0"/>
    <pivotField showAll="0"/>
    <pivotField showAll="0"/>
    <pivotField showAll="0"/>
  </pivotFields>
  <rowFields count="2">
    <field x="13"/>
    <field x="19"/>
  </rowFields>
  <rowItems count="4">
    <i>
      <x/>
    </i>
    <i>
      <x v="1"/>
    </i>
    <i>
      <x v="2"/>
    </i>
    <i t="grand">
      <x/>
    </i>
  </rowItems>
  <colFields count="1">
    <field x="4"/>
  </colFields>
  <colItems count="11">
    <i>
      <x/>
    </i>
    <i>
      <x v="1"/>
    </i>
    <i>
      <x v="2"/>
    </i>
    <i>
      <x v="3"/>
    </i>
    <i>
      <x v="4"/>
    </i>
    <i>
      <x v="5"/>
    </i>
    <i>
      <x v="6"/>
    </i>
    <i>
      <x v="7"/>
    </i>
    <i>
      <x v="8"/>
    </i>
    <i>
      <x v="9"/>
    </i>
    <i t="grand">
      <x/>
    </i>
  </colItems>
  <dataFields count="1">
    <dataField name="Contagem de Número do tProce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ela dinâmica1" cacheId="3"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A3:B45" firstHeaderRow="1" firstDataRow="1" firstDataCol="1"/>
  <pivotFields count="25">
    <pivotField dataField="1" showAll="0" defaultSubtotal="0"/>
    <pivotField showAll="0" defaultSubtotal="0"/>
    <pivotField showAll="0" defaultSubtotal="0"/>
    <pivotField showAll="0" defaultSubtotal="0"/>
    <pivotField axis="axisRow" showAll="0" defaultSubtotal="0">
      <items count="11">
        <item x="5"/>
        <item m="1" x="9"/>
        <item x="0"/>
        <item x="2"/>
        <item m="1" x="8"/>
        <item x="3"/>
        <item x="4"/>
        <item x="6"/>
        <item x="1"/>
        <item m="1" x="10"/>
        <item x="7"/>
      </items>
    </pivotField>
    <pivotField showAll="0" defaultSubtotal="0"/>
    <pivotField showAll="0" defaultSubtotal="0"/>
    <pivotField showAll="0" defaultSubtotal="0"/>
    <pivotField showAll="0" defaultSubtotal="0"/>
    <pivotField axis="axisRow" showAll="0">
      <items count="12">
        <item x="0"/>
        <item x="1"/>
        <item x="3"/>
        <item x="2"/>
        <item x="4"/>
        <item x="5"/>
        <item x="6"/>
        <item m="1" x="7"/>
        <item m="1" x="10"/>
        <item m="1" x="8"/>
        <item m="1" x="9"/>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2">
    <field x="4"/>
    <field x="9"/>
  </rowFields>
  <rowItems count="42">
    <i>
      <x/>
    </i>
    <i r="1">
      <x/>
    </i>
    <i r="1">
      <x v="1"/>
    </i>
    <i r="1">
      <x v="2"/>
    </i>
    <i r="1">
      <x v="3"/>
    </i>
    <i r="1">
      <x v="5"/>
    </i>
    <i r="1">
      <x v="6"/>
    </i>
    <i>
      <x v="2"/>
    </i>
    <i r="1">
      <x/>
    </i>
    <i r="1">
      <x v="1"/>
    </i>
    <i r="1">
      <x v="2"/>
    </i>
    <i r="1">
      <x v="4"/>
    </i>
    <i r="1">
      <x v="5"/>
    </i>
    <i r="1">
      <x v="6"/>
    </i>
    <i>
      <x v="3"/>
    </i>
    <i r="1">
      <x/>
    </i>
    <i r="1">
      <x v="1"/>
    </i>
    <i r="1">
      <x v="2"/>
    </i>
    <i r="1">
      <x v="4"/>
    </i>
    <i>
      <x v="5"/>
    </i>
    <i r="1">
      <x/>
    </i>
    <i r="1">
      <x v="1"/>
    </i>
    <i r="1">
      <x v="2"/>
    </i>
    <i>
      <x v="6"/>
    </i>
    <i r="1">
      <x/>
    </i>
    <i r="1">
      <x v="1"/>
    </i>
    <i r="1">
      <x v="2"/>
    </i>
    <i r="1">
      <x v="3"/>
    </i>
    <i r="1">
      <x v="4"/>
    </i>
    <i r="1">
      <x v="5"/>
    </i>
    <i r="1">
      <x v="6"/>
    </i>
    <i>
      <x v="7"/>
    </i>
    <i r="1">
      <x/>
    </i>
    <i r="1">
      <x v="2"/>
    </i>
    <i r="1">
      <x v="4"/>
    </i>
    <i r="1">
      <x v="5"/>
    </i>
    <i>
      <x v="8"/>
    </i>
    <i r="1">
      <x/>
    </i>
    <i r="1">
      <x v="3"/>
    </i>
    <i>
      <x v="10"/>
    </i>
    <i r="1">
      <x v="6"/>
    </i>
    <i t="grand">
      <x/>
    </i>
  </rowItems>
  <colItems count="1">
    <i/>
  </colItems>
  <dataFields count="1">
    <dataField name="Contagem de Número do tProce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process-contax/browse/CTXRECSA-457626" TargetMode="External"/><Relationship Id="rId1" Type="http://schemas.openxmlformats.org/officeDocument/2006/relationships/hyperlink" Target="http://tprocess-contax/secure/ViewProfile.jspa?name=191923"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tprocess-contax/browse/CTXLONLA-28201" TargetMode="External"/><Relationship Id="rId13" Type="http://schemas.openxmlformats.org/officeDocument/2006/relationships/vmlDrawing" Target="../drawings/vmlDrawing2.vml"/><Relationship Id="rId3" Type="http://schemas.openxmlformats.org/officeDocument/2006/relationships/hyperlink" Target="http://tprocess-contax/browse/CTXSPOBF-128690" TargetMode="External"/><Relationship Id="rId7" Type="http://schemas.openxmlformats.org/officeDocument/2006/relationships/hyperlink" Target="http://tprocess-contax/browse/CTXLONLA-28210" TargetMode="External"/><Relationship Id="rId12" Type="http://schemas.openxmlformats.org/officeDocument/2006/relationships/printerSettings" Target="../printerSettings/printerSettings4.bin"/><Relationship Id="rId2" Type="http://schemas.openxmlformats.org/officeDocument/2006/relationships/hyperlink" Target="http://tprocess-contax/browse/CTXSPOBF-128691" TargetMode="External"/><Relationship Id="rId1" Type="http://schemas.openxmlformats.org/officeDocument/2006/relationships/hyperlink" Target="http://tprocess-contax/browse/CTXBHZRI-88913" TargetMode="External"/><Relationship Id="rId6" Type="http://schemas.openxmlformats.org/officeDocument/2006/relationships/hyperlink" Target="http://tprocess-contax/browse/CTXLONLA-28211" TargetMode="External"/><Relationship Id="rId11" Type="http://schemas.openxmlformats.org/officeDocument/2006/relationships/hyperlink" Target="http://tprocess-contax/browse/CTXLONLA-28170" TargetMode="External"/><Relationship Id="rId5" Type="http://schemas.openxmlformats.org/officeDocument/2006/relationships/hyperlink" Target="http://tprocess-contax/browse/CTXLONLA-28251" TargetMode="External"/><Relationship Id="rId10" Type="http://schemas.openxmlformats.org/officeDocument/2006/relationships/hyperlink" Target="http://tprocess-contax/browse/CTXLONLA-28199" TargetMode="External"/><Relationship Id="rId4" Type="http://schemas.openxmlformats.org/officeDocument/2006/relationships/hyperlink" Target="http://tprocess-contax/browse/CTXSPOBF-128686" TargetMode="External"/><Relationship Id="rId9" Type="http://schemas.openxmlformats.org/officeDocument/2006/relationships/hyperlink" Target="http://tprocess-contax/browse/CTXLONLA-28200" TargetMode="External"/><Relationship Id="rId1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17" Type="http://schemas.openxmlformats.org/officeDocument/2006/relationships/hyperlink" Target="http://tprocess-contax/browse/CTXRJOMK-118628" TargetMode="External"/><Relationship Id="rId21" Type="http://schemas.openxmlformats.org/officeDocument/2006/relationships/hyperlink" Target="http://tprocess-contax/browse/CTXSPOBF-115988" TargetMode="External"/><Relationship Id="rId324" Type="http://schemas.openxmlformats.org/officeDocument/2006/relationships/hyperlink" Target="mailto:freto@contax.com.br" TargetMode="External"/><Relationship Id="rId531" Type="http://schemas.openxmlformats.org/officeDocument/2006/relationships/hyperlink" Target="http://tprocess-contax/browse/CTXPOARB-92544" TargetMode="External"/><Relationship Id="rId170" Type="http://schemas.openxmlformats.org/officeDocument/2006/relationships/hyperlink" Target="http://tprocess-contax/browse/CTXNITSP-165439" TargetMode="External"/><Relationship Id="rId268" Type="http://schemas.openxmlformats.org/officeDocument/2006/relationships/hyperlink" Target="mailto:spgomes@contax.com.br" TargetMode="External"/><Relationship Id="rId475" Type="http://schemas.openxmlformats.org/officeDocument/2006/relationships/hyperlink" Target="http://tprocess-contax/browse/CTXNITSP-172461" TargetMode="External"/><Relationship Id="rId32" Type="http://schemas.openxmlformats.org/officeDocument/2006/relationships/hyperlink" Target="http://tprocess-contax/browse/CTXSPOAP407-11630" TargetMode="External"/><Relationship Id="rId128" Type="http://schemas.openxmlformats.org/officeDocument/2006/relationships/hyperlink" Target="http://tprocess-contax/browse/CTXRJOMA-71104" TargetMode="External"/><Relationship Id="rId335" Type="http://schemas.openxmlformats.org/officeDocument/2006/relationships/hyperlink" Target="mailto:vcolella@contax.com.br" TargetMode="External"/><Relationship Id="rId542" Type="http://schemas.openxmlformats.org/officeDocument/2006/relationships/hyperlink" Target="http://tprocess-contax/browse/CTXMTZRP-41157" TargetMode="External"/><Relationship Id="rId181" Type="http://schemas.openxmlformats.org/officeDocument/2006/relationships/hyperlink" Target="http://tprocess-contax/browse/CTXNITSP-153179" TargetMode="External"/><Relationship Id="rId402" Type="http://schemas.openxmlformats.org/officeDocument/2006/relationships/hyperlink" Target="mailto:barbara.boff@todo.com.br" TargetMode="External"/><Relationship Id="rId279" Type="http://schemas.openxmlformats.org/officeDocument/2006/relationships/hyperlink" Target="mailto:atonini@contax.com.br" TargetMode="External"/><Relationship Id="rId486" Type="http://schemas.openxmlformats.org/officeDocument/2006/relationships/hyperlink" Target="http://tprocess-contax/browse/CTXSPOBF-129991" TargetMode="External"/><Relationship Id="rId43" Type="http://schemas.openxmlformats.org/officeDocument/2006/relationships/hyperlink" Target="http://tprocess-contax/browse/CTXSPOAP407-10552" TargetMode="External"/><Relationship Id="rId139" Type="http://schemas.openxmlformats.org/officeDocument/2006/relationships/hyperlink" Target="http://tprocess-contax/browse/CTXRECSA-397929" TargetMode="External"/><Relationship Id="rId346" Type="http://schemas.openxmlformats.org/officeDocument/2006/relationships/hyperlink" Target="mailto:rodcosta@contax.com.br" TargetMode="External"/><Relationship Id="rId553" Type="http://schemas.openxmlformats.org/officeDocument/2006/relationships/hyperlink" Target="http://tprocess-contax/browse/CTXLONLA-26023" TargetMode="External"/><Relationship Id="rId192" Type="http://schemas.openxmlformats.org/officeDocument/2006/relationships/hyperlink" Target="http://tprocess-contax/browse/CTXMTZRP-42356" TargetMode="External"/><Relationship Id="rId206" Type="http://schemas.openxmlformats.org/officeDocument/2006/relationships/hyperlink" Target="http://tprocess-contax/browse/CTXMLTREG-3841" TargetMode="External"/><Relationship Id="rId413" Type="http://schemas.openxmlformats.org/officeDocument/2006/relationships/hyperlink" Target="mailto:rlsilva@contax.com.br" TargetMode="External"/><Relationship Id="rId497" Type="http://schemas.openxmlformats.org/officeDocument/2006/relationships/hyperlink" Target="http://tprocess-contax/browse/CTXMLTREG-4553" TargetMode="External"/><Relationship Id="rId357" Type="http://schemas.openxmlformats.org/officeDocument/2006/relationships/hyperlink" Target="mailto:maccfilho@contax.com.br" TargetMode="External"/><Relationship Id="rId54" Type="http://schemas.openxmlformats.org/officeDocument/2006/relationships/hyperlink" Target="http://tprocess-contax/browse/CTXSPOAP407-10423" TargetMode="External"/><Relationship Id="rId217" Type="http://schemas.openxmlformats.org/officeDocument/2006/relationships/hyperlink" Target="http://tprocess-contax/browse/CTXFORBM-311603" TargetMode="External"/><Relationship Id="rId564" Type="http://schemas.openxmlformats.org/officeDocument/2006/relationships/hyperlink" Target="http://tprocess-contax/browse/CTXSPOAL-89332" TargetMode="External"/><Relationship Id="rId424" Type="http://schemas.openxmlformats.org/officeDocument/2006/relationships/hyperlink" Target="mailto:erika.miguel@todo.com.br" TargetMode="External"/><Relationship Id="rId270" Type="http://schemas.openxmlformats.org/officeDocument/2006/relationships/hyperlink" Target="mailto:fecavalcante@contax.com.br" TargetMode="External"/><Relationship Id="rId65" Type="http://schemas.openxmlformats.org/officeDocument/2006/relationships/hyperlink" Target="http://tprocess-contax/browse/CTXSPOAP407-10323" TargetMode="External"/><Relationship Id="rId130" Type="http://schemas.openxmlformats.org/officeDocument/2006/relationships/hyperlink" Target="http://tprocess-contax/browse/CTXRJOED-54357" TargetMode="External"/><Relationship Id="rId368" Type="http://schemas.openxmlformats.org/officeDocument/2006/relationships/hyperlink" Target="mailto:ckuzuhara@contax.com.br" TargetMode="External"/><Relationship Id="rId575" Type="http://schemas.openxmlformats.org/officeDocument/2006/relationships/comments" Target="../comments3.xml"/><Relationship Id="rId228" Type="http://schemas.openxmlformats.org/officeDocument/2006/relationships/hyperlink" Target="http://tprocess-contax/browse/CTXFORBM-286122" TargetMode="External"/><Relationship Id="rId435" Type="http://schemas.openxmlformats.org/officeDocument/2006/relationships/hyperlink" Target="mailto:851730@contax.com.br" TargetMode="External"/><Relationship Id="rId281" Type="http://schemas.openxmlformats.org/officeDocument/2006/relationships/hyperlink" Target="mailto:fecavalcante@contax.com.br" TargetMode="External"/><Relationship Id="rId337" Type="http://schemas.openxmlformats.org/officeDocument/2006/relationships/hyperlink" Target="mailto:lucasoliveira@contax.net.br" TargetMode="External"/><Relationship Id="rId502" Type="http://schemas.openxmlformats.org/officeDocument/2006/relationships/hyperlink" Target="http://tprocess-contax/browse/CTXFORBM-335112" TargetMode="External"/><Relationship Id="rId34" Type="http://schemas.openxmlformats.org/officeDocument/2006/relationships/hyperlink" Target="http://tprocess-contax/browse/CTXSPOAP407-11140" TargetMode="External"/><Relationship Id="rId76" Type="http://schemas.openxmlformats.org/officeDocument/2006/relationships/hyperlink" Target="http://tprocess-contax/browse/CTXSPOAP407-9711" TargetMode="External"/><Relationship Id="rId141" Type="http://schemas.openxmlformats.org/officeDocument/2006/relationships/hyperlink" Target="http://tprocess-contax/browse/CTXRECSA-391509" TargetMode="External"/><Relationship Id="rId379" Type="http://schemas.openxmlformats.org/officeDocument/2006/relationships/hyperlink" Target="mailto:trdallecrode@contax.com.br" TargetMode="External"/><Relationship Id="rId544" Type="http://schemas.openxmlformats.org/officeDocument/2006/relationships/hyperlink" Target="http://tprocess-contax/browse/CTXMTZRP-38234" TargetMode="External"/><Relationship Id="rId7" Type="http://schemas.openxmlformats.org/officeDocument/2006/relationships/hyperlink" Target="http://tprocess-contax/browse/CTXSPOBF-124407" TargetMode="External"/><Relationship Id="rId183" Type="http://schemas.openxmlformats.org/officeDocument/2006/relationships/hyperlink" Target="http://tprocess-contax/browse/CTXMTZRP-43918" TargetMode="External"/><Relationship Id="rId239" Type="http://schemas.openxmlformats.org/officeDocument/2006/relationships/hyperlink" Target="http://tprocess-contax/browse/CTXBHZRI-92125" TargetMode="External"/><Relationship Id="rId390" Type="http://schemas.openxmlformats.org/officeDocument/2006/relationships/hyperlink" Target="mailto:591070@contax.com.br" TargetMode="External"/><Relationship Id="rId404" Type="http://schemas.openxmlformats.org/officeDocument/2006/relationships/hyperlink" Target="mailto:jsfrancisco@contax.com.br" TargetMode="External"/><Relationship Id="rId446" Type="http://schemas.openxmlformats.org/officeDocument/2006/relationships/hyperlink" Target="mailto:jortiz@contax.com.br" TargetMode="External"/><Relationship Id="rId250" Type="http://schemas.openxmlformats.org/officeDocument/2006/relationships/hyperlink" Target="mailto:dlcavalcante@contax.com.br" TargetMode="External"/><Relationship Id="rId292" Type="http://schemas.openxmlformats.org/officeDocument/2006/relationships/hyperlink" Target="mailto:cristiane.sasaki@todo.com.br" TargetMode="External"/><Relationship Id="rId306" Type="http://schemas.openxmlformats.org/officeDocument/2006/relationships/hyperlink" Target="mailto:cristiane.sasaki@todo.com.br" TargetMode="External"/><Relationship Id="rId488" Type="http://schemas.openxmlformats.org/officeDocument/2006/relationships/hyperlink" Target="http://tprocess-contax/browse/CTXNITSP-172870" TargetMode="External"/><Relationship Id="rId45" Type="http://schemas.openxmlformats.org/officeDocument/2006/relationships/hyperlink" Target="http://tprocess-contax/browse/CTXSPOAP407-10550" TargetMode="External"/><Relationship Id="rId87" Type="http://schemas.openxmlformats.org/officeDocument/2006/relationships/hyperlink" Target="http://tprocess-contax/browse/CTXSPOAL-88112" TargetMode="External"/><Relationship Id="rId110" Type="http://schemas.openxmlformats.org/officeDocument/2006/relationships/hyperlink" Target="http://tprocess-contax/browse/CTXSALAS-150015" TargetMode="External"/><Relationship Id="rId348" Type="http://schemas.openxmlformats.org/officeDocument/2006/relationships/hyperlink" Target="mailto:584455@contax.com.br" TargetMode="External"/><Relationship Id="rId513" Type="http://schemas.openxmlformats.org/officeDocument/2006/relationships/hyperlink" Target="http://tprocess-contax/browse/CLIORBSAN-81" TargetMode="External"/><Relationship Id="rId555" Type="http://schemas.openxmlformats.org/officeDocument/2006/relationships/hyperlink" Target="http://tprocess-contax/browse/CTXFORBM-326935" TargetMode="External"/><Relationship Id="rId152" Type="http://schemas.openxmlformats.org/officeDocument/2006/relationships/hyperlink" Target="http://tprocess-contax/browse/CTXRECAM-51211" TargetMode="External"/><Relationship Id="rId194" Type="http://schemas.openxmlformats.org/officeDocument/2006/relationships/hyperlink" Target="http://tprocess-contax/browse/CTXMTZRP-42198" TargetMode="External"/><Relationship Id="rId208" Type="http://schemas.openxmlformats.org/officeDocument/2006/relationships/hyperlink" Target="http://tprocess-contax/browse/CTXMLTREG-3703" TargetMode="External"/><Relationship Id="rId415" Type="http://schemas.openxmlformats.org/officeDocument/2006/relationships/hyperlink" Target="mailto:493041@contax.com.br" TargetMode="External"/><Relationship Id="rId457" Type="http://schemas.openxmlformats.org/officeDocument/2006/relationships/hyperlink" Target="http://tprocess-contax/browse/CTXSPOBF-124658" TargetMode="External"/><Relationship Id="rId261" Type="http://schemas.openxmlformats.org/officeDocument/2006/relationships/hyperlink" Target="mailto:erika.miguel@todo.com.br" TargetMode="External"/><Relationship Id="rId499" Type="http://schemas.openxmlformats.org/officeDocument/2006/relationships/hyperlink" Target="http://tprocess-contax/browse/CTXFORNA-26367" TargetMode="External"/><Relationship Id="rId14" Type="http://schemas.openxmlformats.org/officeDocument/2006/relationships/hyperlink" Target="http://tprocess-contax/browse/CTXSPOBF-121332" TargetMode="External"/><Relationship Id="rId56" Type="http://schemas.openxmlformats.org/officeDocument/2006/relationships/hyperlink" Target="http://tprocess-contax/browse/CTXSPOAP407-10421" TargetMode="External"/><Relationship Id="rId317" Type="http://schemas.openxmlformats.org/officeDocument/2006/relationships/hyperlink" Target="mailto:155048@contax.com.br" TargetMode="External"/><Relationship Id="rId359" Type="http://schemas.openxmlformats.org/officeDocument/2006/relationships/hyperlink" Target="mailto:jmolina@contax.com.br" TargetMode="External"/><Relationship Id="rId524" Type="http://schemas.openxmlformats.org/officeDocument/2006/relationships/hyperlink" Target="http://tprocess-contax/browse/CTXSALPB-41571" TargetMode="External"/><Relationship Id="rId566" Type="http://schemas.openxmlformats.org/officeDocument/2006/relationships/hyperlink" Target="http://tprocess-contax/browse/CTXSPOAL-92107" TargetMode="External"/><Relationship Id="rId98" Type="http://schemas.openxmlformats.org/officeDocument/2006/relationships/hyperlink" Target="http://tprocess-contax/browse/CTXSALSM-74752" TargetMode="External"/><Relationship Id="rId121" Type="http://schemas.openxmlformats.org/officeDocument/2006/relationships/hyperlink" Target="http://tprocess-contax/browse/CTXRJOMK-112428" TargetMode="External"/><Relationship Id="rId163" Type="http://schemas.openxmlformats.org/officeDocument/2006/relationships/hyperlink" Target="http://tprocess-contax/browse/CTXPOARB-88045" TargetMode="External"/><Relationship Id="rId219" Type="http://schemas.openxmlformats.org/officeDocument/2006/relationships/hyperlink" Target="http://tprocess-contax/browse/CTXFORBM-306968" TargetMode="External"/><Relationship Id="rId370" Type="http://schemas.openxmlformats.org/officeDocument/2006/relationships/hyperlink" Target="mailto:ATPinho@contax.com.br" TargetMode="External"/><Relationship Id="rId426" Type="http://schemas.openxmlformats.org/officeDocument/2006/relationships/hyperlink" Target="mailto:juliana.moraes@todo.com.br" TargetMode="External"/><Relationship Id="rId230" Type="http://schemas.openxmlformats.org/officeDocument/2006/relationships/hyperlink" Target="http://tprocess-contax/browse/CTXFORBM-275906" TargetMode="External"/><Relationship Id="rId468" Type="http://schemas.openxmlformats.org/officeDocument/2006/relationships/hyperlink" Target="http://tprocess-contax/browse/CTXSPOAL-96174" TargetMode="External"/><Relationship Id="rId25" Type="http://schemas.openxmlformats.org/officeDocument/2006/relationships/hyperlink" Target="http://tprocess-contax/browse/CTXSPOBF-114042" TargetMode="External"/><Relationship Id="rId67" Type="http://schemas.openxmlformats.org/officeDocument/2006/relationships/hyperlink" Target="http://tprocess-contax/browse/CTXSPOAP407-10291" TargetMode="External"/><Relationship Id="rId272" Type="http://schemas.openxmlformats.org/officeDocument/2006/relationships/hyperlink" Target="mailto:ckuzuhara@contax.com.br" TargetMode="External"/><Relationship Id="rId328" Type="http://schemas.openxmlformats.org/officeDocument/2006/relationships/hyperlink" Target="mailto:jfbarbosa@contax.com.br" TargetMode="External"/><Relationship Id="rId535" Type="http://schemas.openxmlformats.org/officeDocument/2006/relationships/hyperlink" Target="http://tprocess-contax/browse/CTXNITSP-154454" TargetMode="External"/><Relationship Id="rId132" Type="http://schemas.openxmlformats.org/officeDocument/2006/relationships/hyperlink" Target="http://tprocess-contax/browse/CTXRJOED-49497" TargetMode="External"/><Relationship Id="rId174" Type="http://schemas.openxmlformats.org/officeDocument/2006/relationships/hyperlink" Target="http://tprocess-contax/browse/CTXNITSP-164365" TargetMode="External"/><Relationship Id="rId381" Type="http://schemas.openxmlformats.org/officeDocument/2006/relationships/hyperlink" Target="mailto:algalcantara@contax.com.br" TargetMode="External"/><Relationship Id="rId241" Type="http://schemas.openxmlformats.org/officeDocument/2006/relationships/hyperlink" Target="http://tprocess-contax/browse/CTXBHZRI-91902" TargetMode="External"/><Relationship Id="rId437" Type="http://schemas.openxmlformats.org/officeDocument/2006/relationships/hyperlink" Target="mailto:prsfreitas@contax.com.br" TargetMode="External"/><Relationship Id="rId479" Type="http://schemas.openxmlformats.org/officeDocument/2006/relationships/hyperlink" Target="http://tprocess-contax/browse/CTXMLTREG-4375" TargetMode="External"/><Relationship Id="rId36" Type="http://schemas.openxmlformats.org/officeDocument/2006/relationships/hyperlink" Target="http://tprocess-contax/browse/CTXSPOAP407-11137" TargetMode="External"/><Relationship Id="rId283" Type="http://schemas.openxmlformats.org/officeDocument/2006/relationships/hyperlink" Target="mailto:jopneto@grupocontax.com" TargetMode="External"/><Relationship Id="rId339" Type="http://schemas.openxmlformats.org/officeDocument/2006/relationships/hyperlink" Target="mailto:vcolella@contax.com.br" TargetMode="External"/><Relationship Id="rId490" Type="http://schemas.openxmlformats.org/officeDocument/2006/relationships/hyperlink" Target="http://tprocess-contax/browse/CTXNITSP-172868" TargetMode="External"/><Relationship Id="rId504" Type="http://schemas.openxmlformats.org/officeDocument/2006/relationships/hyperlink" Target="http://tprocess-contax/browse/CTXFORBM-332803" TargetMode="External"/><Relationship Id="rId546" Type="http://schemas.openxmlformats.org/officeDocument/2006/relationships/hyperlink" Target="http://tprocess-contax/browse/CTXMTZPB-307" TargetMode="External"/><Relationship Id="rId78" Type="http://schemas.openxmlformats.org/officeDocument/2006/relationships/hyperlink" Target="http://tprocess-contax/browse/CTXSPOAP407-9113" TargetMode="External"/><Relationship Id="rId101" Type="http://schemas.openxmlformats.org/officeDocument/2006/relationships/hyperlink" Target="http://tprocess-contax/browse/CTXSALPB-38362" TargetMode="External"/><Relationship Id="rId143" Type="http://schemas.openxmlformats.org/officeDocument/2006/relationships/hyperlink" Target="http://tprocess-contax/browse/CTXRECSA-385378" TargetMode="External"/><Relationship Id="rId185" Type="http://schemas.openxmlformats.org/officeDocument/2006/relationships/hyperlink" Target="http://tprocess-contax/browse/CTXMTZRP-43701" TargetMode="External"/><Relationship Id="rId350" Type="http://schemas.openxmlformats.org/officeDocument/2006/relationships/hyperlink" Target="mailto:vcolella@contax.com.br" TargetMode="External"/><Relationship Id="rId406" Type="http://schemas.openxmlformats.org/officeDocument/2006/relationships/hyperlink" Target="mailto:rlsilva@contax.com.br" TargetMode="External"/><Relationship Id="rId9" Type="http://schemas.openxmlformats.org/officeDocument/2006/relationships/hyperlink" Target="http://tprocess-contax/browse/CTXSPOBF-123499" TargetMode="External"/><Relationship Id="rId210" Type="http://schemas.openxmlformats.org/officeDocument/2006/relationships/hyperlink" Target="http://tprocess-contax/browse/CTXMLTREG-3647" TargetMode="External"/><Relationship Id="rId392" Type="http://schemas.openxmlformats.org/officeDocument/2006/relationships/hyperlink" Target="mailto:jpbello@contax.com.br" TargetMode="External"/><Relationship Id="rId448" Type="http://schemas.openxmlformats.org/officeDocument/2006/relationships/hyperlink" Target="http://tprocess-contax/browse/CTXSPOLP-111246" TargetMode="External"/><Relationship Id="rId252" Type="http://schemas.openxmlformats.org/officeDocument/2006/relationships/hyperlink" Target="mailto:elferreira@contax.com.br" TargetMode="External"/><Relationship Id="rId294" Type="http://schemas.openxmlformats.org/officeDocument/2006/relationships/hyperlink" Target="mailto:cristiane.sasaki@todo.com.br" TargetMode="External"/><Relationship Id="rId308" Type="http://schemas.openxmlformats.org/officeDocument/2006/relationships/hyperlink" Target="mailto:cristiane.sasaki@todo.com.br" TargetMode="External"/><Relationship Id="rId515" Type="http://schemas.openxmlformats.org/officeDocument/2006/relationships/hyperlink" Target="http://tprocess-contax/browse/CLIORBCG-189" TargetMode="External"/><Relationship Id="rId47" Type="http://schemas.openxmlformats.org/officeDocument/2006/relationships/hyperlink" Target="http://tprocess-contax/browse/CTXSPOAP407-10545" TargetMode="External"/><Relationship Id="rId89" Type="http://schemas.openxmlformats.org/officeDocument/2006/relationships/hyperlink" Target="http://tprocess-contax/browse/CTXSPOAL-81651" TargetMode="External"/><Relationship Id="rId112" Type="http://schemas.openxmlformats.org/officeDocument/2006/relationships/hyperlink" Target="http://tprocess-contax/browse/CTXRJOPF-65696" TargetMode="External"/><Relationship Id="rId154" Type="http://schemas.openxmlformats.org/officeDocument/2006/relationships/hyperlink" Target="http://tprocess-contax/browse/CTXPOARB-91944" TargetMode="External"/><Relationship Id="rId361" Type="http://schemas.openxmlformats.org/officeDocument/2006/relationships/hyperlink" Target="mailto:fecavalcante@contax.com.br" TargetMode="External"/><Relationship Id="rId557" Type="http://schemas.openxmlformats.org/officeDocument/2006/relationships/hyperlink" Target="http://tprocess-contax/browse/CTXFORBM-322126" TargetMode="External"/><Relationship Id="rId196" Type="http://schemas.openxmlformats.org/officeDocument/2006/relationships/hyperlink" Target="http://tprocess-contax/browse/CTXMTZRP-42143" TargetMode="External"/><Relationship Id="rId417" Type="http://schemas.openxmlformats.org/officeDocument/2006/relationships/hyperlink" Target="mailto:dlchagas@contax.com.br" TargetMode="External"/><Relationship Id="rId459" Type="http://schemas.openxmlformats.org/officeDocument/2006/relationships/hyperlink" Target="http://tprocess-contax/browse/CTXSPOAS-4482" TargetMode="External"/><Relationship Id="rId16" Type="http://schemas.openxmlformats.org/officeDocument/2006/relationships/hyperlink" Target="http://tprocess-contax/browse/CTXSPOBF-121133" TargetMode="External"/><Relationship Id="rId221" Type="http://schemas.openxmlformats.org/officeDocument/2006/relationships/hyperlink" Target="http://tprocess-contax/browse/CTXFORBM-294169" TargetMode="External"/><Relationship Id="rId263" Type="http://schemas.openxmlformats.org/officeDocument/2006/relationships/hyperlink" Target="mailto:rodcosta@contax.com.br" TargetMode="External"/><Relationship Id="rId319" Type="http://schemas.openxmlformats.org/officeDocument/2006/relationships/hyperlink" Target="mailto:mariana.boschiero@grupocontax.com" TargetMode="External"/><Relationship Id="rId470" Type="http://schemas.openxmlformats.org/officeDocument/2006/relationships/hyperlink" Target="http://tprocess-contax/browse/CTXSALSM-83159" TargetMode="External"/><Relationship Id="rId526" Type="http://schemas.openxmlformats.org/officeDocument/2006/relationships/hyperlink" Target="http://tprocess-contax/browse/CTXRJOMK-121563" TargetMode="External"/><Relationship Id="rId58" Type="http://schemas.openxmlformats.org/officeDocument/2006/relationships/hyperlink" Target="http://tprocess-contax/browse/CTXSPOAP407-10408" TargetMode="External"/><Relationship Id="rId123" Type="http://schemas.openxmlformats.org/officeDocument/2006/relationships/hyperlink" Target="http://tprocess-contax/browse/CTXRJOMK-110280" TargetMode="External"/><Relationship Id="rId330" Type="http://schemas.openxmlformats.org/officeDocument/2006/relationships/hyperlink" Target="mailto:mabrandao@contax.com.br" TargetMode="External"/><Relationship Id="rId568" Type="http://schemas.openxmlformats.org/officeDocument/2006/relationships/hyperlink" Target="http://tprocess-contax/browse/CTXSPOAL-92544" TargetMode="External"/><Relationship Id="rId165" Type="http://schemas.openxmlformats.org/officeDocument/2006/relationships/hyperlink" Target="http://tprocess-contax/browse/CTXPOARB-87226" TargetMode="External"/><Relationship Id="rId372" Type="http://schemas.openxmlformats.org/officeDocument/2006/relationships/hyperlink" Target="mailto:vcolella@contax.com.br" TargetMode="External"/><Relationship Id="rId428" Type="http://schemas.openxmlformats.org/officeDocument/2006/relationships/hyperlink" Target="mailto:rlsilva@contax.com.br" TargetMode="External"/><Relationship Id="rId232" Type="http://schemas.openxmlformats.org/officeDocument/2006/relationships/hyperlink" Target="http://tprocess-contax/browse/CTXCASQC-12886" TargetMode="External"/><Relationship Id="rId274" Type="http://schemas.openxmlformats.org/officeDocument/2006/relationships/hyperlink" Target="mailto:wanderson.marques@todo.com.br" TargetMode="External"/><Relationship Id="rId481" Type="http://schemas.openxmlformats.org/officeDocument/2006/relationships/hyperlink" Target="http://tprocess-contax/browse/CTXBHZRI-93698" TargetMode="External"/><Relationship Id="rId27" Type="http://schemas.openxmlformats.org/officeDocument/2006/relationships/hyperlink" Target="http://tprocess-contax/browse/CTXSPOAS-4345" TargetMode="External"/><Relationship Id="rId69" Type="http://schemas.openxmlformats.org/officeDocument/2006/relationships/hyperlink" Target="http://tprocess-contax/browse/CTXSPOAP407-10198" TargetMode="External"/><Relationship Id="rId134" Type="http://schemas.openxmlformats.org/officeDocument/2006/relationships/hyperlink" Target="http://tprocess-contax/browse/CTXRECSA-416451" TargetMode="External"/><Relationship Id="rId537" Type="http://schemas.openxmlformats.org/officeDocument/2006/relationships/hyperlink" Target="http://tprocess-contax/browse/CTXMTZRP-42426" TargetMode="External"/><Relationship Id="rId80" Type="http://schemas.openxmlformats.org/officeDocument/2006/relationships/hyperlink" Target="http://tprocess-contax/browse/CTXSPOAL-91696" TargetMode="External"/><Relationship Id="rId176" Type="http://schemas.openxmlformats.org/officeDocument/2006/relationships/hyperlink" Target="http://tprocess-contax/browse/CTXNITSP-163520" TargetMode="External"/><Relationship Id="rId341" Type="http://schemas.openxmlformats.org/officeDocument/2006/relationships/hyperlink" Target="mailto:nmgualberto@contax.com.br" TargetMode="External"/><Relationship Id="rId383" Type="http://schemas.openxmlformats.org/officeDocument/2006/relationships/hyperlink" Target="mailto:jfbarbosa@contax.com.br" TargetMode="External"/><Relationship Id="rId439" Type="http://schemas.openxmlformats.org/officeDocument/2006/relationships/hyperlink" Target="mailto:jmolina@contax.com.br" TargetMode="External"/><Relationship Id="rId201" Type="http://schemas.openxmlformats.org/officeDocument/2006/relationships/hyperlink" Target="http://tprocess-contax/browse/CTXMTZRP-39640" TargetMode="External"/><Relationship Id="rId243" Type="http://schemas.openxmlformats.org/officeDocument/2006/relationships/hyperlink" Target="http://tprocess-contax/browse/CTXBHZRI-90211" TargetMode="External"/><Relationship Id="rId285" Type="http://schemas.openxmlformats.org/officeDocument/2006/relationships/hyperlink" Target="mailto:cristiane.sasaki@todo.com.br" TargetMode="External"/><Relationship Id="rId450" Type="http://schemas.openxmlformats.org/officeDocument/2006/relationships/hyperlink" Target="http://tprocess-contax/browse/CTXSPOLP-104419" TargetMode="External"/><Relationship Id="rId506" Type="http://schemas.openxmlformats.org/officeDocument/2006/relationships/hyperlink" Target="http://tprocess-contax/browse/CTXFORBM-332092" TargetMode="External"/><Relationship Id="rId38" Type="http://schemas.openxmlformats.org/officeDocument/2006/relationships/hyperlink" Target="http://tprocess-contax/browse/CTXSPOAP407-11039" TargetMode="External"/><Relationship Id="rId103" Type="http://schemas.openxmlformats.org/officeDocument/2006/relationships/hyperlink" Target="http://tprocess-contax/browse/CTXSALLM-113330" TargetMode="External"/><Relationship Id="rId310" Type="http://schemas.openxmlformats.org/officeDocument/2006/relationships/hyperlink" Target="mailto:rlsilva@contax.com.br" TargetMode="External"/><Relationship Id="rId492" Type="http://schemas.openxmlformats.org/officeDocument/2006/relationships/hyperlink" Target="http://tprocess-contax/browse/CTXNITSP-172566" TargetMode="External"/><Relationship Id="rId548" Type="http://schemas.openxmlformats.org/officeDocument/2006/relationships/hyperlink" Target="http://tprocess-contax/browse/CTXMLTREG-4086" TargetMode="External"/><Relationship Id="rId91" Type="http://schemas.openxmlformats.org/officeDocument/2006/relationships/hyperlink" Target="http://tprocess-contax/browse/CTXSPOAL-57727" TargetMode="External"/><Relationship Id="rId145" Type="http://schemas.openxmlformats.org/officeDocument/2006/relationships/hyperlink" Target="http://tprocess-contax/browse/CTXRECSA-354556" TargetMode="External"/><Relationship Id="rId187" Type="http://schemas.openxmlformats.org/officeDocument/2006/relationships/hyperlink" Target="http://tprocess-contax/browse/CTXMTZRP-43213" TargetMode="External"/><Relationship Id="rId352" Type="http://schemas.openxmlformats.org/officeDocument/2006/relationships/hyperlink" Target="mailto:lpvieira@contax.com.br" TargetMode="External"/><Relationship Id="rId394" Type="http://schemas.openxmlformats.org/officeDocument/2006/relationships/hyperlink" Target="mailto:ATPinho@contax.com.br" TargetMode="External"/><Relationship Id="rId408" Type="http://schemas.openxmlformats.org/officeDocument/2006/relationships/hyperlink" Target="mailto:jsfrancisco@contax.com.br" TargetMode="External"/><Relationship Id="rId212" Type="http://schemas.openxmlformats.org/officeDocument/2006/relationships/hyperlink" Target="http://tprocess-contax/browse/CTXLONLA-23955" TargetMode="External"/><Relationship Id="rId254" Type="http://schemas.openxmlformats.org/officeDocument/2006/relationships/hyperlink" Target="mailto:sfsouza@contax.com.br" TargetMode="External"/><Relationship Id="rId49" Type="http://schemas.openxmlformats.org/officeDocument/2006/relationships/hyperlink" Target="http://tprocess-contax/browse/CTXSPOAP407-10496" TargetMode="External"/><Relationship Id="rId114" Type="http://schemas.openxmlformats.org/officeDocument/2006/relationships/hyperlink" Target="http://tprocess-contax/browse/CTXRJOPF-58955" TargetMode="External"/><Relationship Id="rId296" Type="http://schemas.openxmlformats.org/officeDocument/2006/relationships/hyperlink" Target="mailto:cristiane.sasaki@todo.com.br" TargetMode="External"/><Relationship Id="rId461" Type="http://schemas.openxmlformats.org/officeDocument/2006/relationships/hyperlink" Target="http://tprocess-contax/browse/CTXSPOAP407-13592" TargetMode="External"/><Relationship Id="rId517" Type="http://schemas.openxmlformats.org/officeDocument/2006/relationships/hyperlink" Target="http://tprocess-contax/browse/CLIORBCG-187" TargetMode="External"/><Relationship Id="rId559" Type="http://schemas.openxmlformats.org/officeDocument/2006/relationships/hyperlink" Target="http://tprocess-contax/browse/CTXFORBM-320922" TargetMode="External"/><Relationship Id="rId60" Type="http://schemas.openxmlformats.org/officeDocument/2006/relationships/hyperlink" Target="http://tprocess-contax/browse/CTXSPOAP407-10406" TargetMode="External"/><Relationship Id="rId156" Type="http://schemas.openxmlformats.org/officeDocument/2006/relationships/hyperlink" Target="http://tprocess-contax/browse/CTXPOARB-91679" TargetMode="External"/><Relationship Id="rId198" Type="http://schemas.openxmlformats.org/officeDocument/2006/relationships/hyperlink" Target="http://tprocess-contax/browse/CTXMTZRP-41268" TargetMode="External"/><Relationship Id="rId321" Type="http://schemas.openxmlformats.org/officeDocument/2006/relationships/hyperlink" Target="mailto:alexandre.magno@todo.com.br" TargetMode="External"/><Relationship Id="rId363" Type="http://schemas.openxmlformats.org/officeDocument/2006/relationships/hyperlink" Target="mailto:mabrandao@contax.com.br" TargetMode="External"/><Relationship Id="rId419" Type="http://schemas.openxmlformats.org/officeDocument/2006/relationships/hyperlink" Target="mailto:raraujo@contax.com.br" TargetMode="External"/><Relationship Id="rId570" Type="http://schemas.openxmlformats.org/officeDocument/2006/relationships/hyperlink" Target="http://tprocess-contax/browse/CTXSPOAP407-9799" TargetMode="External"/><Relationship Id="rId223" Type="http://schemas.openxmlformats.org/officeDocument/2006/relationships/hyperlink" Target="http://tprocess-contax/browse/CTXFORBM-291164" TargetMode="External"/><Relationship Id="rId430" Type="http://schemas.openxmlformats.org/officeDocument/2006/relationships/hyperlink" Target="mailto:fhoffmann@contax.com.br" TargetMode="External"/><Relationship Id="rId18" Type="http://schemas.openxmlformats.org/officeDocument/2006/relationships/hyperlink" Target="http://tprocess-contax/browse/CTXSPOBF-117665" TargetMode="External"/><Relationship Id="rId265" Type="http://schemas.openxmlformats.org/officeDocument/2006/relationships/hyperlink" Target="mailto:100749@contax.com.br" TargetMode="External"/><Relationship Id="rId472" Type="http://schemas.openxmlformats.org/officeDocument/2006/relationships/hyperlink" Target="http://tprocess-contax/browse/CTXRECSA-438942" TargetMode="External"/><Relationship Id="rId528" Type="http://schemas.openxmlformats.org/officeDocument/2006/relationships/hyperlink" Target="http://tprocess-contax/browse/CTXRECSA-418499" TargetMode="External"/><Relationship Id="rId125" Type="http://schemas.openxmlformats.org/officeDocument/2006/relationships/hyperlink" Target="http://tprocess-contax/browse/CTXRJOMA-74154" TargetMode="External"/><Relationship Id="rId167" Type="http://schemas.openxmlformats.org/officeDocument/2006/relationships/hyperlink" Target="http://tprocess-contax/browse/CTXNITSP-166786" TargetMode="External"/><Relationship Id="rId332" Type="http://schemas.openxmlformats.org/officeDocument/2006/relationships/hyperlink" Target="mailto:363119@contax.com.br" TargetMode="External"/><Relationship Id="rId374" Type="http://schemas.openxmlformats.org/officeDocument/2006/relationships/hyperlink" Target="mailto:vcolella@contax.com.br" TargetMode="External"/><Relationship Id="rId71" Type="http://schemas.openxmlformats.org/officeDocument/2006/relationships/hyperlink" Target="http://tprocess-contax/browse/CTXSPOAP407-10149" TargetMode="External"/><Relationship Id="rId234" Type="http://schemas.openxmlformats.org/officeDocument/2006/relationships/hyperlink" Target="http://tprocess-contax/browse/CTXCASEK-1292" TargetMode="External"/><Relationship Id="rId2" Type="http://schemas.openxmlformats.org/officeDocument/2006/relationships/hyperlink" Target="http://tprocess-contax/browse/CTXSPOLP-108931" TargetMode="External"/><Relationship Id="rId29" Type="http://schemas.openxmlformats.org/officeDocument/2006/relationships/hyperlink" Target="http://tprocess-contax/browse/CTXSPOAS-4247" TargetMode="External"/><Relationship Id="rId276" Type="http://schemas.openxmlformats.org/officeDocument/2006/relationships/hyperlink" Target="mailto:mcmello@contax.com.br" TargetMode="External"/><Relationship Id="rId441" Type="http://schemas.openxmlformats.org/officeDocument/2006/relationships/hyperlink" Target="mailto:crocha@contax.com.br" TargetMode="External"/><Relationship Id="rId483" Type="http://schemas.openxmlformats.org/officeDocument/2006/relationships/hyperlink" Target="http://tprocess-contax/browse/CTXSPOLP-115117" TargetMode="External"/><Relationship Id="rId539" Type="http://schemas.openxmlformats.org/officeDocument/2006/relationships/hyperlink" Target="http://tprocess-contax/browse/CTXMTZRP-42203" TargetMode="External"/><Relationship Id="rId40" Type="http://schemas.openxmlformats.org/officeDocument/2006/relationships/hyperlink" Target="http://tprocess-contax/browse/CTXSPOAP407-10900" TargetMode="External"/><Relationship Id="rId136" Type="http://schemas.openxmlformats.org/officeDocument/2006/relationships/hyperlink" Target="http://tprocess-contax/browse/CTXRECSA-410251" TargetMode="External"/><Relationship Id="rId178" Type="http://schemas.openxmlformats.org/officeDocument/2006/relationships/hyperlink" Target="http://tprocess-contax/browse/CTXNITSP-162696" TargetMode="External"/><Relationship Id="rId301" Type="http://schemas.openxmlformats.org/officeDocument/2006/relationships/hyperlink" Target="mailto:mlgarrido@contax.com.br" TargetMode="External"/><Relationship Id="rId343" Type="http://schemas.openxmlformats.org/officeDocument/2006/relationships/hyperlink" Target="mailto:mabrandao@contax.com.br" TargetMode="External"/><Relationship Id="rId550" Type="http://schemas.openxmlformats.org/officeDocument/2006/relationships/hyperlink" Target="http://tprocess-contax/browse/CTXMLTREG-3795" TargetMode="External"/><Relationship Id="rId82" Type="http://schemas.openxmlformats.org/officeDocument/2006/relationships/hyperlink" Target="http://tprocess-contax/browse/CTXSPOAL-91546" TargetMode="External"/><Relationship Id="rId203" Type="http://schemas.openxmlformats.org/officeDocument/2006/relationships/hyperlink" Target="http://tprocess-contax/browse/CTXMTZPB-90" TargetMode="External"/><Relationship Id="rId385" Type="http://schemas.openxmlformats.org/officeDocument/2006/relationships/hyperlink" Target="mailto:barbara.boff@todo.com.br" TargetMode="External"/><Relationship Id="rId245" Type="http://schemas.openxmlformats.org/officeDocument/2006/relationships/hyperlink" Target="http://tprocess-contax/browse/CTXBHZRI-84138" TargetMode="External"/><Relationship Id="rId287" Type="http://schemas.openxmlformats.org/officeDocument/2006/relationships/hyperlink" Target="mailto:cristiane.sasaki@todo.com.br" TargetMode="External"/><Relationship Id="rId410" Type="http://schemas.openxmlformats.org/officeDocument/2006/relationships/hyperlink" Target="mailto:589671@contax.com.br" TargetMode="External"/><Relationship Id="rId452" Type="http://schemas.openxmlformats.org/officeDocument/2006/relationships/hyperlink" Target="http://tprocess-contax/browse/CTXSPOBF-128884" TargetMode="External"/><Relationship Id="rId494" Type="http://schemas.openxmlformats.org/officeDocument/2006/relationships/hyperlink" Target="http://tprocess-contax/browse/CTXMTZPB-1044" TargetMode="External"/><Relationship Id="rId508" Type="http://schemas.openxmlformats.org/officeDocument/2006/relationships/hyperlink" Target="http://tprocess-contax/browse/CTXBHZRP-217019" TargetMode="External"/><Relationship Id="rId105" Type="http://schemas.openxmlformats.org/officeDocument/2006/relationships/hyperlink" Target="http://tprocess-contax/browse/CTXSALAS-156916" TargetMode="External"/><Relationship Id="rId147" Type="http://schemas.openxmlformats.org/officeDocument/2006/relationships/hyperlink" Target="http://tprocess-contax/browse/CTXRECAM-54106" TargetMode="External"/><Relationship Id="rId312" Type="http://schemas.openxmlformats.org/officeDocument/2006/relationships/hyperlink" Target="mailto:jfbarbosa@contax.com.br" TargetMode="External"/><Relationship Id="rId354" Type="http://schemas.openxmlformats.org/officeDocument/2006/relationships/hyperlink" Target="mailto:rlsilva@contax.com.br" TargetMode="External"/><Relationship Id="rId51" Type="http://schemas.openxmlformats.org/officeDocument/2006/relationships/hyperlink" Target="http://tprocess-contax/browse/CTXSPOAP407-10434" TargetMode="External"/><Relationship Id="rId93" Type="http://schemas.openxmlformats.org/officeDocument/2006/relationships/hyperlink" Target="http://tprocess-contax/browse/CTXSALSM-79594" TargetMode="External"/><Relationship Id="rId189" Type="http://schemas.openxmlformats.org/officeDocument/2006/relationships/hyperlink" Target="http://tprocess-contax/browse/CTXMTZRP-43045" TargetMode="External"/><Relationship Id="rId396" Type="http://schemas.openxmlformats.org/officeDocument/2006/relationships/hyperlink" Target="mailto:lpenascimento@contax.com.br" TargetMode="External"/><Relationship Id="rId561" Type="http://schemas.openxmlformats.org/officeDocument/2006/relationships/hyperlink" Target="http://tprocess-contax/browse/CTXCASEH-17406" TargetMode="External"/><Relationship Id="rId214" Type="http://schemas.openxmlformats.org/officeDocument/2006/relationships/hyperlink" Target="http://tprocess-contax/browse/CTXFORBM-314772" TargetMode="External"/><Relationship Id="rId256" Type="http://schemas.openxmlformats.org/officeDocument/2006/relationships/hyperlink" Target="mailto:pmpinto@contax.com.br" TargetMode="External"/><Relationship Id="rId298" Type="http://schemas.openxmlformats.org/officeDocument/2006/relationships/hyperlink" Target="mailto:cristiane.sasaki@todo.com.br" TargetMode="External"/><Relationship Id="rId421" Type="http://schemas.openxmlformats.org/officeDocument/2006/relationships/hyperlink" Target="mailto:cbalves@contax.com.br" TargetMode="External"/><Relationship Id="rId463" Type="http://schemas.openxmlformats.org/officeDocument/2006/relationships/hyperlink" Target="http://tprocess-contax/browse/CTXSPOAP407-13280" TargetMode="External"/><Relationship Id="rId519" Type="http://schemas.openxmlformats.org/officeDocument/2006/relationships/hyperlink" Target="http://tprocess-contax/browse/CLIORBCG-174" TargetMode="External"/><Relationship Id="rId116" Type="http://schemas.openxmlformats.org/officeDocument/2006/relationships/hyperlink" Target="http://tprocess-contax/browse/CTXRJOMK-119144" TargetMode="External"/><Relationship Id="rId158" Type="http://schemas.openxmlformats.org/officeDocument/2006/relationships/hyperlink" Target="http://tprocess-contax/browse/CTXPOARB-91289" TargetMode="External"/><Relationship Id="rId323" Type="http://schemas.openxmlformats.org/officeDocument/2006/relationships/hyperlink" Target="mailto:freto@contax.com.br" TargetMode="External"/><Relationship Id="rId530" Type="http://schemas.openxmlformats.org/officeDocument/2006/relationships/hyperlink" Target="http://tprocess-contax/browse/CTXRBRSA-32" TargetMode="External"/><Relationship Id="rId20" Type="http://schemas.openxmlformats.org/officeDocument/2006/relationships/hyperlink" Target="http://tprocess-contax/browse/CTXSPOBF-116082" TargetMode="External"/><Relationship Id="rId62" Type="http://schemas.openxmlformats.org/officeDocument/2006/relationships/hyperlink" Target="http://tprocess-contax/browse/CTXSPOAP407-10403" TargetMode="External"/><Relationship Id="rId365" Type="http://schemas.openxmlformats.org/officeDocument/2006/relationships/hyperlink" Target="mailto:mapaiva@contax.com.br" TargetMode="External"/><Relationship Id="rId572" Type="http://schemas.openxmlformats.org/officeDocument/2006/relationships/hyperlink" Target="http://tprocess-contax/browse/CTXSPOAP407-10248" TargetMode="External"/><Relationship Id="rId225" Type="http://schemas.openxmlformats.org/officeDocument/2006/relationships/hyperlink" Target="http://tprocess-contax/browse/CTXFORBM-287648" TargetMode="External"/><Relationship Id="rId267" Type="http://schemas.openxmlformats.org/officeDocument/2006/relationships/hyperlink" Target="mailto:lmnascimento@contax.com.br" TargetMode="External"/><Relationship Id="rId432" Type="http://schemas.openxmlformats.org/officeDocument/2006/relationships/hyperlink" Target="mailto:lpenascimento@contax.com.br" TargetMode="External"/><Relationship Id="rId474" Type="http://schemas.openxmlformats.org/officeDocument/2006/relationships/hyperlink" Target="http://tprocess-contax/browse/CTXNITSP-172611" TargetMode="External"/><Relationship Id="rId127" Type="http://schemas.openxmlformats.org/officeDocument/2006/relationships/hyperlink" Target="http://tprocess-contax/browse/CTXRJOMA-73560" TargetMode="External"/><Relationship Id="rId31" Type="http://schemas.openxmlformats.org/officeDocument/2006/relationships/hyperlink" Target="http://tprocess-contax/browse/CTXSPOAP407-11965" TargetMode="External"/><Relationship Id="rId73" Type="http://schemas.openxmlformats.org/officeDocument/2006/relationships/hyperlink" Target="http://tprocess-contax/browse/CTXSPOAP407-10077" TargetMode="External"/><Relationship Id="rId169" Type="http://schemas.openxmlformats.org/officeDocument/2006/relationships/hyperlink" Target="http://tprocess-contax/browse/CTXNITSP-165986" TargetMode="External"/><Relationship Id="rId334" Type="http://schemas.openxmlformats.org/officeDocument/2006/relationships/hyperlink" Target="mailto:lucasoliveira@contax.net.br" TargetMode="External"/><Relationship Id="rId376" Type="http://schemas.openxmlformats.org/officeDocument/2006/relationships/hyperlink" Target="mailto:lbmesquita@contax.com.br" TargetMode="External"/><Relationship Id="rId541" Type="http://schemas.openxmlformats.org/officeDocument/2006/relationships/hyperlink" Target="http://tprocess-contax/browse/CTXMTZRP-41358" TargetMode="External"/><Relationship Id="rId4" Type="http://schemas.openxmlformats.org/officeDocument/2006/relationships/hyperlink" Target="http://tprocess-contax/browse/CTXSPOLP-105693" TargetMode="External"/><Relationship Id="rId180" Type="http://schemas.openxmlformats.org/officeDocument/2006/relationships/hyperlink" Target="http://tprocess-contax/browse/CTXNITSP-155126" TargetMode="External"/><Relationship Id="rId236" Type="http://schemas.openxmlformats.org/officeDocument/2006/relationships/hyperlink" Target="http://tprocess-contax/browse/CTXCASEH-16551" TargetMode="External"/><Relationship Id="rId278" Type="http://schemas.openxmlformats.org/officeDocument/2006/relationships/hyperlink" Target="mailto:atonini@contax.com.br" TargetMode="External"/><Relationship Id="rId401" Type="http://schemas.openxmlformats.org/officeDocument/2006/relationships/hyperlink" Target="mailto:lmnascimento@contax.com.br" TargetMode="External"/><Relationship Id="rId443" Type="http://schemas.openxmlformats.org/officeDocument/2006/relationships/hyperlink" Target="mailto:jmolina@contax.com.br" TargetMode="External"/><Relationship Id="rId303" Type="http://schemas.openxmlformats.org/officeDocument/2006/relationships/hyperlink" Target="mailto:cristiane.sasaki@todo.com.br" TargetMode="External"/><Relationship Id="rId485" Type="http://schemas.openxmlformats.org/officeDocument/2006/relationships/hyperlink" Target="http://tprocess-contax/browse/CTXSPOLP-113720" TargetMode="External"/><Relationship Id="rId42" Type="http://schemas.openxmlformats.org/officeDocument/2006/relationships/hyperlink" Target="http://tprocess-contax/browse/CTXSPOAP407-10660" TargetMode="External"/><Relationship Id="rId84" Type="http://schemas.openxmlformats.org/officeDocument/2006/relationships/hyperlink" Target="http://tprocess-contax/browse/CTXSPOAL-89899" TargetMode="External"/><Relationship Id="rId138" Type="http://schemas.openxmlformats.org/officeDocument/2006/relationships/hyperlink" Target="http://tprocess-contax/browse/CTXRECSA-401969" TargetMode="External"/><Relationship Id="rId345" Type="http://schemas.openxmlformats.org/officeDocument/2006/relationships/hyperlink" Target="mailto:karamalho@contax.com.br" TargetMode="External"/><Relationship Id="rId387" Type="http://schemas.openxmlformats.org/officeDocument/2006/relationships/hyperlink" Target="mailto:vcolella@contax.com.br" TargetMode="External"/><Relationship Id="rId510" Type="http://schemas.openxmlformats.org/officeDocument/2006/relationships/hyperlink" Target="http://tprocess-contax/browse/CTXBHZRI-94859" TargetMode="External"/><Relationship Id="rId552" Type="http://schemas.openxmlformats.org/officeDocument/2006/relationships/hyperlink" Target="http://tprocess-contax/browse/CTXMLTREG-3442" TargetMode="External"/><Relationship Id="rId191" Type="http://schemas.openxmlformats.org/officeDocument/2006/relationships/hyperlink" Target="http://tprocess-contax/browse/CTXMTZRP-42663" TargetMode="External"/><Relationship Id="rId205" Type="http://schemas.openxmlformats.org/officeDocument/2006/relationships/hyperlink" Target="http://tprocess-contax/browse/CTXMLTREG-3862" TargetMode="External"/><Relationship Id="rId247" Type="http://schemas.openxmlformats.org/officeDocument/2006/relationships/hyperlink" Target="mailto:apraposo@contax.com.br" TargetMode="External"/><Relationship Id="rId412" Type="http://schemas.openxmlformats.org/officeDocument/2006/relationships/hyperlink" Target="mailto:lscardoso@contax.com.br" TargetMode="External"/><Relationship Id="rId107" Type="http://schemas.openxmlformats.org/officeDocument/2006/relationships/hyperlink" Target="http://tprocess-contax/browse/CTXSALAS-156270" TargetMode="External"/><Relationship Id="rId289" Type="http://schemas.openxmlformats.org/officeDocument/2006/relationships/hyperlink" Target="mailto:cristiane.sasaki@todo.com.br" TargetMode="External"/><Relationship Id="rId454" Type="http://schemas.openxmlformats.org/officeDocument/2006/relationships/hyperlink" Target="http://tprocess-contax/browse/CTXSPOBF-126223" TargetMode="External"/><Relationship Id="rId496" Type="http://schemas.openxmlformats.org/officeDocument/2006/relationships/hyperlink" Target="http://tprocess-contax/browse/CTXMTZPB-944" TargetMode="External"/><Relationship Id="rId11" Type="http://schemas.openxmlformats.org/officeDocument/2006/relationships/hyperlink" Target="http://tprocess-contax/browse/CTXSPOBF-122472" TargetMode="External"/><Relationship Id="rId53" Type="http://schemas.openxmlformats.org/officeDocument/2006/relationships/hyperlink" Target="http://tprocess-contax/browse/CTXSPOAP407-10428" TargetMode="External"/><Relationship Id="rId149" Type="http://schemas.openxmlformats.org/officeDocument/2006/relationships/hyperlink" Target="http://tprocess-contax/browse/CTXRECAM-52871" TargetMode="External"/><Relationship Id="rId314" Type="http://schemas.openxmlformats.org/officeDocument/2006/relationships/hyperlink" Target="mailto:cristiane.sasaki@todo.com.br" TargetMode="External"/><Relationship Id="rId356" Type="http://schemas.openxmlformats.org/officeDocument/2006/relationships/hyperlink" Target="mailto:raraujo@contax.com.br" TargetMode="External"/><Relationship Id="rId398" Type="http://schemas.openxmlformats.org/officeDocument/2006/relationships/hyperlink" Target="mailto:lpvieira@contax.com.br" TargetMode="External"/><Relationship Id="rId521" Type="http://schemas.openxmlformats.org/officeDocument/2006/relationships/hyperlink" Target="http://tprocess-contax/browse/CTXSPOAL-85839" TargetMode="External"/><Relationship Id="rId563" Type="http://schemas.openxmlformats.org/officeDocument/2006/relationships/hyperlink" Target="http://tprocess-contax/browse/CTXSPOAL-89100" TargetMode="External"/><Relationship Id="rId95" Type="http://schemas.openxmlformats.org/officeDocument/2006/relationships/hyperlink" Target="http://tprocess-contax/browse/CTXSALSM-78558" TargetMode="External"/><Relationship Id="rId160" Type="http://schemas.openxmlformats.org/officeDocument/2006/relationships/hyperlink" Target="http://tprocess-contax/browse/CTXPOARB-90125" TargetMode="External"/><Relationship Id="rId216" Type="http://schemas.openxmlformats.org/officeDocument/2006/relationships/hyperlink" Target="http://tprocess-contax/browse/CTXFORBM-311916" TargetMode="External"/><Relationship Id="rId423" Type="http://schemas.openxmlformats.org/officeDocument/2006/relationships/hyperlink" Target="mailto:ATPinho@contax.com.br" TargetMode="External"/><Relationship Id="rId258" Type="http://schemas.openxmlformats.org/officeDocument/2006/relationships/hyperlink" Target="mailto:rcsantos@contax.com.br" TargetMode="External"/><Relationship Id="rId465" Type="http://schemas.openxmlformats.org/officeDocument/2006/relationships/hyperlink" Target="http://tprocess-contax/browse/CTXSPOAP407-12458" TargetMode="External"/><Relationship Id="rId22" Type="http://schemas.openxmlformats.org/officeDocument/2006/relationships/hyperlink" Target="http://tprocess-contax/browse/CTXSPOBF-115489" TargetMode="External"/><Relationship Id="rId64" Type="http://schemas.openxmlformats.org/officeDocument/2006/relationships/hyperlink" Target="http://tprocess-contax/browse/CTXSPOAP407-10335" TargetMode="External"/><Relationship Id="rId118" Type="http://schemas.openxmlformats.org/officeDocument/2006/relationships/hyperlink" Target="http://tprocess-contax/browse/CTXRJOMK-118558" TargetMode="External"/><Relationship Id="rId325" Type="http://schemas.openxmlformats.org/officeDocument/2006/relationships/hyperlink" Target="mailto:lucasoliveira@contax.net.br" TargetMode="External"/><Relationship Id="rId367" Type="http://schemas.openxmlformats.org/officeDocument/2006/relationships/hyperlink" Target="mailto:efortunato@contax.com.br" TargetMode="External"/><Relationship Id="rId532" Type="http://schemas.openxmlformats.org/officeDocument/2006/relationships/hyperlink" Target="http://tprocess-contax/browse/CTXNITSP-168713" TargetMode="External"/><Relationship Id="rId574" Type="http://schemas.openxmlformats.org/officeDocument/2006/relationships/vmlDrawing" Target="../drawings/vmlDrawing3.vml"/><Relationship Id="rId171" Type="http://schemas.openxmlformats.org/officeDocument/2006/relationships/hyperlink" Target="http://tprocess-contax/browse/CTXNITSP-165356" TargetMode="External"/><Relationship Id="rId227" Type="http://schemas.openxmlformats.org/officeDocument/2006/relationships/hyperlink" Target="http://tprocess-contax/browse/CTXFORBM-286210" TargetMode="External"/><Relationship Id="rId269" Type="http://schemas.openxmlformats.org/officeDocument/2006/relationships/hyperlink" Target="mailto:jmolina@contax.com.br" TargetMode="External"/><Relationship Id="rId434" Type="http://schemas.openxmlformats.org/officeDocument/2006/relationships/hyperlink" Target="mailto:prsfreitas@contax.com.br" TargetMode="External"/><Relationship Id="rId476" Type="http://schemas.openxmlformats.org/officeDocument/2006/relationships/hyperlink" Target="http://tprocess-contax/browse/CTXNITSP-172449" TargetMode="External"/><Relationship Id="rId33" Type="http://schemas.openxmlformats.org/officeDocument/2006/relationships/hyperlink" Target="http://tprocess-contax/browse/CTXSPOAP407-11421" TargetMode="External"/><Relationship Id="rId129" Type="http://schemas.openxmlformats.org/officeDocument/2006/relationships/hyperlink" Target="http://tprocess-contax/browse/CTXRJOMA-71103" TargetMode="External"/><Relationship Id="rId280" Type="http://schemas.openxmlformats.org/officeDocument/2006/relationships/hyperlink" Target="mailto:fecavalcante@contax.com.br" TargetMode="External"/><Relationship Id="rId336" Type="http://schemas.openxmlformats.org/officeDocument/2006/relationships/hyperlink" Target="mailto:mabrandao@contax.com.br" TargetMode="External"/><Relationship Id="rId501" Type="http://schemas.openxmlformats.org/officeDocument/2006/relationships/hyperlink" Target="http://tprocess-contax/browse/CTXFORBM-335279" TargetMode="External"/><Relationship Id="rId543" Type="http://schemas.openxmlformats.org/officeDocument/2006/relationships/hyperlink" Target="http://tprocess-contax/browse/CTXMTZRP-40787" TargetMode="External"/><Relationship Id="rId75" Type="http://schemas.openxmlformats.org/officeDocument/2006/relationships/hyperlink" Target="http://tprocess-contax/browse/CTXSPOAP407-9908" TargetMode="External"/><Relationship Id="rId140" Type="http://schemas.openxmlformats.org/officeDocument/2006/relationships/hyperlink" Target="http://tprocess-contax/browse/CTXRECSA-391574" TargetMode="External"/><Relationship Id="rId182" Type="http://schemas.openxmlformats.org/officeDocument/2006/relationships/hyperlink" Target="http://tprocess-contax/browse/CTXNITSP-153177" TargetMode="External"/><Relationship Id="rId378" Type="http://schemas.openxmlformats.org/officeDocument/2006/relationships/hyperlink" Target="mailto:rlsilva@contax.com.br" TargetMode="External"/><Relationship Id="rId403" Type="http://schemas.openxmlformats.org/officeDocument/2006/relationships/hyperlink" Target="mailto:trdallecrode@contax.com.br" TargetMode="External"/><Relationship Id="rId6" Type="http://schemas.openxmlformats.org/officeDocument/2006/relationships/hyperlink" Target="http://tprocess-contax/browse/CTXSPOLP-99392" TargetMode="External"/><Relationship Id="rId238" Type="http://schemas.openxmlformats.org/officeDocument/2006/relationships/hyperlink" Target="http://tprocess-contax/browse/CTXCASEH-16321" TargetMode="External"/><Relationship Id="rId445" Type="http://schemas.openxmlformats.org/officeDocument/2006/relationships/hyperlink" Target="mailto:cristiane.sasaki@todo.com.br" TargetMode="External"/><Relationship Id="rId487" Type="http://schemas.openxmlformats.org/officeDocument/2006/relationships/hyperlink" Target="http://tprocess-contax/browse/CTXSPOBF-129499" TargetMode="External"/><Relationship Id="rId291" Type="http://schemas.openxmlformats.org/officeDocument/2006/relationships/hyperlink" Target="mailto:cristiane.sasaki@todo.com.br" TargetMode="External"/><Relationship Id="rId305" Type="http://schemas.openxmlformats.org/officeDocument/2006/relationships/hyperlink" Target="mailto:cristiane.sasaki@todo.com.br" TargetMode="External"/><Relationship Id="rId347" Type="http://schemas.openxmlformats.org/officeDocument/2006/relationships/hyperlink" Target="mailto:maccfilho@contax.com.br" TargetMode="External"/><Relationship Id="rId512" Type="http://schemas.openxmlformats.org/officeDocument/2006/relationships/hyperlink" Target="http://tprocess-contax/browse/CTXBHZRI-91131" TargetMode="External"/><Relationship Id="rId44" Type="http://schemas.openxmlformats.org/officeDocument/2006/relationships/hyperlink" Target="http://tprocess-contax/browse/CTXSPOAP407-10551" TargetMode="External"/><Relationship Id="rId86" Type="http://schemas.openxmlformats.org/officeDocument/2006/relationships/hyperlink" Target="http://tprocess-contax/browse/CTXSPOAL-89142" TargetMode="External"/><Relationship Id="rId151" Type="http://schemas.openxmlformats.org/officeDocument/2006/relationships/hyperlink" Target="http://tprocess-contax/browse/CTXRECAM-52332" TargetMode="External"/><Relationship Id="rId389" Type="http://schemas.openxmlformats.org/officeDocument/2006/relationships/hyperlink" Target="mailto:ramariano@contax.com.br" TargetMode="External"/><Relationship Id="rId554" Type="http://schemas.openxmlformats.org/officeDocument/2006/relationships/hyperlink" Target="http://tprocess-contax/browse/CTXJPASA-1589" TargetMode="External"/><Relationship Id="rId193" Type="http://schemas.openxmlformats.org/officeDocument/2006/relationships/hyperlink" Target="http://tprocess-contax/browse/CTXMTZRP-42208" TargetMode="External"/><Relationship Id="rId207" Type="http://schemas.openxmlformats.org/officeDocument/2006/relationships/hyperlink" Target="http://tprocess-contax/browse/CTXMLTREG-3757" TargetMode="External"/><Relationship Id="rId249" Type="http://schemas.openxmlformats.org/officeDocument/2006/relationships/hyperlink" Target="mailto:sfsouza@contax.com.br" TargetMode="External"/><Relationship Id="rId414" Type="http://schemas.openxmlformats.org/officeDocument/2006/relationships/hyperlink" Target="mailto:diego.fernandez@todo.com.br" TargetMode="External"/><Relationship Id="rId456" Type="http://schemas.openxmlformats.org/officeDocument/2006/relationships/hyperlink" Target="http://tprocess-contax/browse/CTXSPOBF-125417" TargetMode="External"/><Relationship Id="rId498" Type="http://schemas.openxmlformats.org/officeDocument/2006/relationships/hyperlink" Target="http://tprocess-contax/browse/CTXMLTREG-3815" TargetMode="External"/><Relationship Id="rId13" Type="http://schemas.openxmlformats.org/officeDocument/2006/relationships/hyperlink" Target="http://tprocess-contax/browse/CTXSPOBF-122048" TargetMode="External"/><Relationship Id="rId109" Type="http://schemas.openxmlformats.org/officeDocument/2006/relationships/hyperlink" Target="http://tprocess-contax/browse/CTXSALAS-151508" TargetMode="External"/><Relationship Id="rId260" Type="http://schemas.openxmlformats.org/officeDocument/2006/relationships/hyperlink" Target="mailto:raraujo@contax.com.br" TargetMode="External"/><Relationship Id="rId316" Type="http://schemas.openxmlformats.org/officeDocument/2006/relationships/hyperlink" Target="mailto:tfialho@contax.com.br" TargetMode="External"/><Relationship Id="rId523" Type="http://schemas.openxmlformats.org/officeDocument/2006/relationships/hyperlink" Target="http://tprocess-contax/browse/CTXSALSM-81391" TargetMode="External"/><Relationship Id="rId55" Type="http://schemas.openxmlformats.org/officeDocument/2006/relationships/hyperlink" Target="http://tprocess-contax/browse/CTXSPOAP407-10422" TargetMode="External"/><Relationship Id="rId97" Type="http://schemas.openxmlformats.org/officeDocument/2006/relationships/hyperlink" Target="http://tprocess-contax/browse/CTXSALSM-75110" TargetMode="External"/><Relationship Id="rId120" Type="http://schemas.openxmlformats.org/officeDocument/2006/relationships/hyperlink" Target="http://tprocess-contax/browse/CTXRJOMK-116141" TargetMode="External"/><Relationship Id="rId358" Type="http://schemas.openxmlformats.org/officeDocument/2006/relationships/hyperlink" Target="mailto:erika.miguel@todo.com.br" TargetMode="External"/><Relationship Id="rId565" Type="http://schemas.openxmlformats.org/officeDocument/2006/relationships/hyperlink" Target="http://tprocess-contax/browse/CTXSPOAL-89741" TargetMode="External"/><Relationship Id="rId162" Type="http://schemas.openxmlformats.org/officeDocument/2006/relationships/hyperlink" Target="http://tprocess-contax/browse/CTXPOARB-88806" TargetMode="External"/><Relationship Id="rId218" Type="http://schemas.openxmlformats.org/officeDocument/2006/relationships/hyperlink" Target="http://tprocess-contax/browse/CTXFORBM-307164" TargetMode="External"/><Relationship Id="rId425" Type="http://schemas.openxmlformats.org/officeDocument/2006/relationships/hyperlink" Target="mailto:jopneto@grupocontax.com" TargetMode="External"/><Relationship Id="rId467" Type="http://schemas.openxmlformats.org/officeDocument/2006/relationships/hyperlink" Target="http://tprocess-contax/browse/CTXSPOAL-96427" TargetMode="External"/><Relationship Id="rId271" Type="http://schemas.openxmlformats.org/officeDocument/2006/relationships/hyperlink" Target="mailto:erika.miguel@todo.com.br" TargetMode="External"/><Relationship Id="rId24" Type="http://schemas.openxmlformats.org/officeDocument/2006/relationships/hyperlink" Target="http://tprocess-contax/browse/CTXSPOBF-114642" TargetMode="External"/><Relationship Id="rId66" Type="http://schemas.openxmlformats.org/officeDocument/2006/relationships/hyperlink" Target="http://tprocess-contax/browse/CTXSPOAP407-10292" TargetMode="External"/><Relationship Id="rId131" Type="http://schemas.openxmlformats.org/officeDocument/2006/relationships/hyperlink" Target="http://tprocess-contax/browse/CTXRJOED-53627" TargetMode="External"/><Relationship Id="rId327" Type="http://schemas.openxmlformats.org/officeDocument/2006/relationships/hyperlink" Target="mailto:andsantos@contax.com.br" TargetMode="External"/><Relationship Id="rId369" Type="http://schemas.openxmlformats.org/officeDocument/2006/relationships/hyperlink" Target="mailto:mcmello@contax.com.br" TargetMode="External"/><Relationship Id="rId534" Type="http://schemas.openxmlformats.org/officeDocument/2006/relationships/hyperlink" Target="http://tprocess-contax/browse/CTXNITSP-167678" TargetMode="External"/><Relationship Id="rId173" Type="http://schemas.openxmlformats.org/officeDocument/2006/relationships/hyperlink" Target="http://tprocess-contax/browse/CTXNITSP-164460" TargetMode="External"/><Relationship Id="rId229" Type="http://schemas.openxmlformats.org/officeDocument/2006/relationships/hyperlink" Target="http://tprocess-contax/browse/CTXFORBM-275919" TargetMode="External"/><Relationship Id="rId380" Type="http://schemas.openxmlformats.org/officeDocument/2006/relationships/hyperlink" Target="mailto:lpenascimento@contax.com.br" TargetMode="External"/><Relationship Id="rId436" Type="http://schemas.openxmlformats.org/officeDocument/2006/relationships/hyperlink" Target="mailto:jopneto@grupocontax.com" TargetMode="External"/><Relationship Id="rId240" Type="http://schemas.openxmlformats.org/officeDocument/2006/relationships/hyperlink" Target="http://tprocess-contax/browse/CTXBHZRI-92004" TargetMode="External"/><Relationship Id="rId478" Type="http://schemas.openxmlformats.org/officeDocument/2006/relationships/hyperlink" Target="http://tprocess-contax/browse/CTXMTZPB-758" TargetMode="External"/><Relationship Id="rId35" Type="http://schemas.openxmlformats.org/officeDocument/2006/relationships/hyperlink" Target="http://tprocess-contax/browse/CTXSPOAP407-11138" TargetMode="External"/><Relationship Id="rId77" Type="http://schemas.openxmlformats.org/officeDocument/2006/relationships/hyperlink" Target="http://tprocess-contax/browse/CTXSPOAP407-9710" TargetMode="External"/><Relationship Id="rId100" Type="http://schemas.openxmlformats.org/officeDocument/2006/relationships/hyperlink" Target="http://tprocess-contax/browse/CTXSALPB-38928" TargetMode="External"/><Relationship Id="rId282" Type="http://schemas.openxmlformats.org/officeDocument/2006/relationships/hyperlink" Target="mailto:raraujo@contax.com.br" TargetMode="External"/><Relationship Id="rId338" Type="http://schemas.openxmlformats.org/officeDocument/2006/relationships/hyperlink" Target="mailto:algalcantara@contax.com.br" TargetMode="External"/><Relationship Id="rId503" Type="http://schemas.openxmlformats.org/officeDocument/2006/relationships/hyperlink" Target="http://tprocess-contax/browse/CTXFORBM-333926" TargetMode="External"/><Relationship Id="rId545" Type="http://schemas.openxmlformats.org/officeDocument/2006/relationships/hyperlink" Target="http://tprocess-contax/browse/CTXMTZRP-35937" TargetMode="External"/><Relationship Id="rId8" Type="http://schemas.openxmlformats.org/officeDocument/2006/relationships/hyperlink" Target="http://tprocess-contax/browse/CTXSPOBF-123720" TargetMode="External"/><Relationship Id="rId142" Type="http://schemas.openxmlformats.org/officeDocument/2006/relationships/hyperlink" Target="http://tprocess-contax/browse/CTXRECSA-387599" TargetMode="External"/><Relationship Id="rId184" Type="http://schemas.openxmlformats.org/officeDocument/2006/relationships/hyperlink" Target="http://tprocess-contax/browse/CTXMTZRP-43749" TargetMode="External"/><Relationship Id="rId391" Type="http://schemas.openxmlformats.org/officeDocument/2006/relationships/hyperlink" Target="mailto:trdallecrode@contax.com.br" TargetMode="External"/><Relationship Id="rId405" Type="http://schemas.openxmlformats.org/officeDocument/2006/relationships/hyperlink" Target="mailto:priscila.claros@grupocontax.com" TargetMode="External"/><Relationship Id="rId447" Type="http://schemas.openxmlformats.org/officeDocument/2006/relationships/hyperlink" Target="mailto:spgomes@contax.com.br" TargetMode="External"/><Relationship Id="rId251" Type="http://schemas.openxmlformats.org/officeDocument/2006/relationships/hyperlink" Target="mailto:ldrodrigues@contax.com.br" TargetMode="External"/><Relationship Id="rId489" Type="http://schemas.openxmlformats.org/officeDocument/2006/relationships/hyperlink" Target="http://tprocess-contax/browse/CTXNITSP-172869" TargetMode="External"/><Relationship Id="rId46" Type="http://schemas.openxmlformats.org/officeDocument/2006/relationships/hyperlink" Target="http://tprocess-contax/browse/CTXSPOAP407-10546" TargetMode="External"/><Relationship Id="rId293" Type="http://schemas.openxmlformats.org/officeDocument/2006/relationships/hyperlink" Target="mailto:cristiane.sasaki@todo.com.br" TargetMode="External"/><Relationship Id="rId307" Type="http://schemas.openxmlformats.org/officeDocument/2006/relationships/hyperlink" Target="mailto:cristiane.sasaki@todo.com.br" TargetMode="External"/><Relationship Id="rId349" Type="http://schemas.openxmlformats.org/officeDocument/2006/relationships/hyperlink" Target="mailto:fernando.silva@todo.com.br" TargetMode="External"/><Relationship Id="rId514" Type="http://schemas.openxmlformats.org/officeDocument/2006/relationships/hyperlink" Target="http://tprocess-contax/browse/CLIORBCG-190" TargetMode="External"/><Relationship Id="rId556" Type="http://schemas.openxmlformats.org/officeDocument/2006/relationships/hyperlink" Target="http://tprocess-contax/browse/CTXFORBM-326889" TargetMode="External"/><Relationship Id="rId88" Type="http://schemas.openxmlformats.org/officeDocument/2006/relationships/hyperlink" Target="http://tprocess-contax/browse/CTXSPOAL-84942" TargetMode="External"/><Relationship Id="rId111" Type="http://schemas.openxmlformats.org/officeDocument/2006/relationships/hyperlink" Target="http://tprocess-contax/browse/CTXSALAS-149443" TargetMode="External"/><Relationship Id="rId153" Type="http://schemas.openxmlformats.org/officeDocument/2006/relationships/hyperlink" Target="http://tprocess-contax/browse/CTXPOARB-92178" TargetMode="External"/><Relationship Id="rId195" Type="http://schemas.openxmlformats.org/officeDocument/2006/relationships/hyperlink" Target="http://tprocess-contax/browse/CTXMTZRP-42159" TargetMode="External"/><Relationship Id="rId209" Type="http://schemas.openxmlformats.org/officeDocument/2006/relationships/hyperlink" Target="http://tprocess-contax/browse/CTXMLTREG-3663" TargetMode="External"/><Relationship Id="rId360" Type="http://schemas.openxmlformats.org/officeDocument/2006/relationships/hyperlink" Target="mailto:jgnogiri@contax.com.br" TargetMode="External"/><Relationship Id="rId416" Type="http://schemas.openxmlformats.org/officeDocument/2006/relationships/hyperlink" Target="mailto:rlsilva@contax.com.br" TargetMode="External"/><Relationship Id="rId220" Type="http://schemas.openxmlformats.org/officeDocument/2006/relationships/hyperlink" Target="http://tprocess-contax/browse/CTXFORBM-302024" TargetMode="External"/><Relationship Id="rId458" Type="http://schemas.openxmlformats.org/officeDocument/2006/relationships/hyperlink" Target="http://tprocess-contax/browse/CTXSPOAS-4623" TargetMode="External"/><Relationship Id="rId15" Type="http://schemas.openxmlformats.org/officeDocument/2006/relationships/hyperlink" Target="http://tprocess-contax/browse/CTXSPOBF-121148" TargetMode="External"/><Relationship Id="rId57" Type="http://schemas.openxmlformats.org/officeDocument/2006/relationships/hyperlink" Target="http://tprocess-contax/browse/CTXSPOAP407-10409" TargetMode="External"/><Relationship Id="rId262" Type="http://schemas.openxmlformats.org/officeDocument/2006/relationships/hyperlink" Target="mailto:tfialho@contax.com.br" TargetMode="External"/><Relationship Id="rId318" Type="http://schemas.openxmlformats.org/officeDocument/2006/relationships/hyperlink" Target="mailto:maccfilho@contax.com.br" TargetMode="External"/><Relationship Id="rId525" Type="http://schemas.openxmlformats.org/officeDocument/2006/relationships/hyperlink" Target="http://tprocess-contax/browse/CTXSALAS-158774" TargetMode="External"/><Relationship Id="rId567" Type="http://schemas.openxmlformats.org/officeDocument/2006/relationships/hyperlink" Target="http://tprocess-contax/browse/CTXSPOAL-92422" TargetMode="External"/><Relationship Id="rId99" Type="http://schemas.openxmlformats.org/officeDocument/2006/relationships/hyperlink" Target="http://tprocess-contax/browse/CTXSALSM-74725" TargetMode="External"/><Relationship Id="rId122" Type="http://schemas.openxmlformats.org/officeDocument/2006/relationships/hyperlink" Target="http://tprocess-contax/browse/CTXRJOMK-111933" TargetMode="External"/><Relationship Id="rId164" Type="http://schemas.openxmlformats.org/officeDocument/2006/relationships/hyperlink" Target="http://tprocess-contax/browse/CTXPOARB-88034" TargetMode="External"/><Relationship Id="rId371" Type="http://schemas.openxmlformats.org/officeDocument/2006/relationships/hyperlink" Target="http://tprocess-contax/browse/CTXLONLA-24973" TargetMode="External"/><Relationship Id="rId427" Type="http://schemas.openxmlformats.org/officeDocument/2006/relationships/hyperlink" Target="mailto:juliana.moraes@todo.com.br" TargetMode="External"/><Relationship Id="rId469" Type="http://schemas.openxmlformats.org/officeDocument/2006/relationships/hyperlink" Target="http://tprocess-contax/browse/CTXSPOAL-96094" TargetMode="External"/><Relationship Id="rId26" Type="http://schemas.openxmlformats.org/officeDocument/2006/relationships/hyperlink" Target="http://tprocess-contax/browse/CTXSPOBF-100889" TargetMode="External"/><Relationship Id="rId231" Type="http://schemas.openxmlformats.org/officeDocument/2006/relationships/hyperlink" Target="http://tprocess-contax/browse/CTXFORBM-269983" TargetMode="External"/><Relationship Id="rId273" Type="http://schemas.openxmlformats.org/officeDocument/2006/relationships/hyperlink" Target="mailto:jgnogiri@contax.com.br" TargetMode="External"/><Relationship Id="rId329" Type="http://schemas.openxmlformats.org/officeDocument/2006/relationships/hyperlink" Target="mailto:raraujo@contax.com.br" TargetMode="External"/><Relationship Id="rId480" Type="http://schemas.openxmlformats.org/officeDocument/2006/relationships/hyperlink" Target="http://tprocess-contax/browse/CTXFORBM-327360" TargetMode="External"/><Relationship Id="rId536" Type="http://schemas.openxmlformats.org/officeDocument/2006/relationships/hyperlink" Target="http://tprocess-contax/browse/CTXMTZRP-43087" TargetMode="External"/><Relationship Id="rId68" Type="http://schemas.openxmlformats.org/officeDocument/2006/relationships/hyperlink" Target="http://tprocess-contax/browse/CTXSPOAP407-10289" TargetMode="External"/><Relationship Id="rId133" Type="http://schemas.openxmlformats.org/officeDocument/2006/relationships/hyperlink" Target="http://tprocess-contax/browse/CTXRJOED-48383" TargetMode="External"/><Relationship Id="rId175" Type="http://schemas.openxmlformats.org/officeDocument/2006/relationships/hyperlink" Target="http://tprocess-contax/browse/CTXNITSP-164357" TargetMode="External"/><Relationship Id="rId340" Type="http://schemas.openxmlformats.org/officeDocument/2006/relationships/hyperlink" Target="mailto:raraujo@contax.com.br" TargetMode="External"/><Relationship Id="rId200" Type="http://schemas.openxmlformats.org/officeDocument/2006/relationships/hyperlink" Target="http://tprocess-contax/browse/CTXMTZRP-40301" TargetMode="External"/><Relationship Id="rId382" Type="http://schemas.openxmlformats.org/officeDocument/2006/relationships/hyperlink" Target="mailto:fnmenezes@contax.com.br" TargetMode="External"/><Relationship Id="rId438" Type="http://schemas.openxmlformats.org/officeDocument/2006/relationships/hyperlink" Target="mailto:jmolina@contax.com.br" TargetMode="External"/><Relationship Id="rId242" Type="http://schemas.openxmlformats.org/officeDocument/2006/relationships/hyperlink" Target="http://tprocess-contax/browse/CTXBHZRI-91136" TargetMode="External"/><Relationship Id="rId284" Type="http://schemas.openxmlformats.org/officeDocument/2006/relationships/hyperlink" Target="mailto:wpizii@contax.com.br" TargetMode="External"/><Relationship Id="rId491" Type="http://schemas.openxmlformats.org/officeDocument/2006/relationships/hyperlink" Target="http://tprocess-contax/browse/CTXNITSP-172614" TargetMode="External"/><Relationship Id="rId505" Type="http://schemas.openxmlformats.org/officeDocument/2006/relationships/hyperlink" Target="http://tprocess-contax/browse/CTXFORBM-332802" TargetMode="External"/><Relationship Id="rId37" Type="http://schemas.openxmlformats.org/officeDocument/2006/relationships/hyperlink" Target="http://tprocess-contax/browse/CTXSPOAP407-11089" TargetMode="External"/><Relationship Id="rId79" Type="http://schemas.openxmlformats.org/officeDocument/2006/relationships/hyperlink" Target="http://tprocess-contax/browse/CTXSPOAL-91798" TargetMode="External"/><Relationship Id="rId102" Type="http://schemas.openxmlformats.org/officeDocument/2006/relationships/hyperlink" Target="http://tprocess-contax/browse/CTXSALLM-113978" TargetMode="External"/><Relationship Id="rId144" Type="http://schemas.openxmlformats.org/officeDocument/2006/relationships/hyperlink" Target="http://tprocess-contax/browse/CTXRECSA-371176" TargetMode="External"/><Relationship Id="rId547" Type="http://schemas.openxmlformats.org/officeDocument/2006/relationships/hyperlink" Target="http://tprocess-contax/browse/CTXMLTREG-4207" TargetMode="External"/><Relationship Id="rId90" Type="http://schemas.openxmlformats.org/officeDocument/2006/relationships/hyperlink" Target="http://tprocess-contax/browse/CTXSPOAL-81556" TargetMode="External"/><Relationship Id="rId186" Type="http://schemas.openxmlformats.org/officeDocument/2006/relationships/hyperlink" Target="http://tprocess-contax/browse/CTXMTZRP-43671" TargetMode="External"/><Relationship Id="rId351" Type="http://schemas.openxmlformats.org/officeDocument/2006/relationships/hyperlink" Target="mailto:ckuzuhara@contax.com.br" TargetMode="External"/><Relationship Id="rId393" Type="http://schemas.openxmlformats.org/officeDocument/2006/relationships/hyperlink" Target="mailto:prsimoes@contax.com.br" TargetMode="External"/><Relationship Id="rId407" Type="http://schemas.openxmlformats.org/officeDocument/2006/relationships/hyperlink" Target="mailto:584455@contax.com.br" TargetMode="External"/><Relationship Id="rId449" Type="http://schemas.openxmlformats.org/officeDocument/2006/relationships/hyperlink" Target="http://tprocess-contax/browse/CTXSPOLP-110808" TargetMode="External"/><Relationship Id="rId211" Type="http://schemas.openxmlformats.org/officeDocument/2006/relationships/hyperlink" Target="http://tprocess-contax/browse/CTXLONLA-24408" TargetMode="External"/><Relationship Id="rId253" Type="http://schemas.openxmlformats.org/officeDocument/2006/relationships/hyperlink" Target="mailto:alealves@contax.com.br" TargetMode="External"/><Relationship Id="rId295" Type="http://schemas.openxmlformats.org/officeDocument/2006/relationships/hyperlink" Target="mailto:cristiane.sasaki@todo.com.br" TargetMode="External"/><Relationship Id="rId309" Type="http://schemas.openxmlformats.org/officeDocument/2006/relationships/hyperlink" Target="mailto:cristiane.sasaki@todo.com.br" TargetMode="External"/><Relationship Id="rId460" Type="http://schemas.openxmlformats.org/officeDocument/2006/relationships/hyperlink" Target="http://tprocess-contax/browse/CTXSPOAP407-13610" TargetMode="External"/><Relationship Id="rId516" Type="http://schemas.openxmlformats.org/officeDocument/2006/relationships/hyperlink" Target="http://tprocess-contax/browse/CLIORBCG-188" TargetMode="External"/><Relationship Id="rId48" Type="http://schemas.openxmlformats.org/officeDocument/2006/relationships/hyperlink" Target="http://tprocess-contax/browse/CTXSPOAP407-10510" TargetMode="External"/><Relationship Id="rId113" Type="http://schemas.openxmlformats.org/officeDocument/2006/relationships/hyperlink" Target="http://tprocess-contax/browse/CTXRJOPF-60874" TargetMode="External"/><Relationship Id="rId320" Type="http://schemas.openxmlformats.org/officeDocument/2006/relationships/hyperlink" Target="mailto:jfbarbosa@contax.com.br" TargetMode="External"/><Relationship Id="rId558" Type="http://schemas.openxmlformats.org/officeDocument/2006/relationships/hyperlink" Target="http://tprocess-contax/browse/CTXFORBM-321427" TargetMode="External"/><Relationship Id="rId155" Type="http://schemas.openxmlformats.org/officeDocument/2006/relationships/hyperlink" Target="http://tprocess-contax/browse/CTXPOARB-91713" TargetMode="External"/><Relationship Id="rId197" Type="http://schemas.openxmlformats.org/officeDocument/2006/relationships/hyperlink" Target="http://tprocess-contax/browse/CTXMTZRP-41269" TargetMode="External"/><Relationship Id="rId362" Type="http://schemas.openxmlformats.org/officeDocument/2006/relationships/hyperlink" Target="mailto:mabrandao@contax.com.br" TargetMode="External"/><Relationship Id="rId418" Type="http://schemas.openxmlformats.org/officeDocument/2006/relationships/hyperlink" Target="mailto:jmolina@contax.com.br" TargetMode="External"/><Relationship Id="rId222" Type="http://schemas.openxmlformats.org/officeDocument/2006/relationships/hyperlink" Target="http://tprocess-contax/browse/CTXFORBM-291757" TargetMode="External"/><Relationship Id="rId264" Type="http://schemas.openxmlformats.org/officeDocument/2006/relationships/hyperlink" Target="mailto:sfsouza@contax.com.br" TargetMode="External"/><Relationship Id="rId471" Type="http://schemas.openxmlformats.org/officeDocument/2006/relationships/hyperlink" Target="http://tprocess-contax/browse/CTXRJOMK-125309" TargetMode="External"/><Relationship Id="rId17" Type="http://schemas.openxmlformats.org/officeDocument/2006/relationships/hyperlink" Target="http://tprocess-contax/browse/CTXSPOBF-121132" TargetMode="External"/><Relationship Id="rId59" Type="http://schemas.openxmlformats.org/officeDocument/2006/relationships/hyperlink" Target="http://tprocess-contax/browse/CTXSPOAP407-10407" TargetMode="External"/><Relationship Id="rId124" Type="http://schemas.openxmlformats.org/officeDocument/2006/relationships/hyperlink" Target="http://tprocess-contax/browse/CTXRJOMK-110270" TargetMode="External"/><Relationship Id="rId527" Type="http://schemas.openxmlformats.org/officeDocument/2006/relationships/hyperlink" Target="http://tprocess-contax/browse/CTXRECSA-426219" TargetMode="External"/><Relationship Id="rId569" Type="http://schemas.openxmlformats.org/officeDocument/2006/relationships/hyperlink" Target="http://tprocess-contax/browse/CTXSPOAP407-9796" TargetMode="External"/><Relationship Id="rId70" Type="http://schemas.openxmlformats.org/officeDocument/2006/relationships/hyperlink" Target="http://tprocess-contax/browse/CTXSPOAP407-10180" TargetMode="External"/><Relationship Id="rId166" Type="http://schemas.openxmlformats.org/officeDocument/2006/relationships/hyperlink" Target="http://tprocess-contax/browse/CTXPOARB-85969" TargetMode="External"/><Relationship Id="rId331" Type="http://schemas.openxmlformats.org/officeDocument/2006/relationships/hyperlink" Target="mailto:alealves@contax.com.br" TargetMode="External"/><Relationship Id="rId373" Type="http://schemas.openxmlformats.org/officeDocument/2006/relationships/hyperlink" Target="mailto:raraujo@contax.com.br" TargetMode="External"/><Relationship Id="rId429" Type="http://schemas.openxmlformats.org/officeDocument/2006/relationships/hyperlink" Target="mailto:diego.fernandez@todo.com.br" TargetMode="External"/><Relationship Id="rId1" Type="http://schemas.openxmlformats.org/officeDocument/2006/relationships/hyperlink" Target="http://tprocess-contax/browse/CTXSPOLP-109516" TargetMode="External"/><Relationship Id="rId233" Type="http://schemas.openxmlformats.org/officeDocument/2006/relationships/hyperlink" Target="http://tprocess-contax/browse/CTXCASEK-1359" TargetMode="External"/><Relationship Id="rId440" Type="http://schemas.openxmlformats.org/officeDocument/2006/relationships/hyperlink" Target="mailto:jmolina@contax.com.br" TargetMode="External"/><Relationship Id="rId28" Type="http://schemas.openxmlformats.org/officeDocument/2006/relationships/hyperlink" Target="http://tprocess-contax/browse/CTXSPOAS-4248" TargetMode="External"/><Relationship Id="rId275" Type="http://schemas.openxmlformats.org/officeDocument/2006/relationships/hyperlink" Target="mailto:vcolella@contax.com.br" TargetMode="External"/><Relationship Id="rId300" Type="http://schemas.openxmlformats.org/officeDocument/2006/relationships/hyperlink" Target="mailto:cristiane.sasaki@todo.com.br" TargetMode="External"/><Relationship Id="rId482" Type="http://schemas.openxmlformats.org/officeDocument/2006/relationships/hyperlink" Target="http://tprocess-contax/browse/CTXSPOLP-115119" TargetMode="External"/><Relationship Id="rId538" Type="http://schemas.openxmlformats.org/officeDocument/2006/relationships/hyperlink" Target="http://tprocess-contax/browse/CTXMTZRP-42369" TargetMode="External"/><Relationship Id="rId81" Type="http://schemas.openxmlformats.org/officeDocument/2006/relationships/hyperlink" Target="http://tprocess-contax/browse/CTXSPOAL-91568" TargetMode="External"/><Relationship Id="rId135" Type="http://schemas.openxmlformats.org/officeDocument/2006/relationships/hyperlink" Target="http://tprocess-contax/browse/CTXRECSA-410282" TargetMode="External"/><Relationship Id="rId177" Type="http://schemas.openxmlformats.org/officeDocument/2006/relationships/hyperlink" Target="http://tprocess-contax/browse/CTXNITSP-163395" TargetMode="External"/><Relationship Id="rId342" Type="http://schemas.openxmlformats.org/officeDocument/2006/relationships/hyperlink" Target="mailto:mabrandao@contax.com.br" TargetMode="External"/><Relationship Id="rId384" Type="http://schemas.openxmlformats.org/officeDocument/2006/relationships/hyperlink" Target="mailto:jmolina@contax.com.br" TargetMode="External"/><Relationship Id="rId202" Type="http://schemas.openxmlformats.org/officeDocument/2006/relationships/hyperlink" Target="http://tprocess-contax/browse/CTXMTZRP-39417" TargetMode="External"/><Relationship Id="rId244" Type="http://schemas.openxmlformats.org/officeDocument/2006/relationships/hyperlink" Target="http://tprocess-contax/browse/CTXBHZRI-87861" TargetMode="External"/><Relationship Id="rId39" Type="http://schemas.openxmlformats.org/officeDocument/2006/relationships/hyperlink" Target="http://tprocess-contax/browse/CTXSPOAP407-10905" TargetMode="External"/><Relationship Id="rId286" Type="http://schemas.openxmlformats.org/officeDocument/2006/relationships/hyperlink" Target="mailto:cristiane.sasaki@todo.com.br" TargetMode="External"/><Relationship Id="rId451" Type="http://schemas.openxmlformats.org/officeDocument/2006/relationships/hyperlink" Target="http://tprocess-contax/browse/CTXSPOLP-102656" TargetMode="External"/><Relationship Id="rId493" Type="http://schemas.openxmlformats.org/officeDocument/2006/relationships/hyperlink" Target="http://tprocess-contax/browse/CTXNITSP-172565" TargetMode="External"/><Relationship Id="rId507" Type="http://schemas.openxmlformats.org/officeDocument/2006/relationships/hyperlink" Target="http://tprocess-contax/browse/CTXCASEK-1528" TargetMode="External"/><Relationship Id="rId549" Type="http://schemas.openxmlformats.org/officeDocument/2006/relationships/hyperlink" Target="http://tprocess-contax/browse/CTXMLTREG-3867" TargetMode="External"/><Relationship Id="rId50" Type="http://schemas.openxmlformats.org/officeDocument/2006/relationships/hyperlink" Target="http://tprocess-contax/browse/CTXSPOAP407-10435" TargetMode="External"/><Relationship Id="rId104" Type="http://schemas.openxmlformats.org/officeDocument/2006/relationships/hyperlink" Target="http://tprocess-contax/browse/CTXSALAS-158220" TargetMode="External"/><Relationship Id="rId146" Type="http://schemas.openxmlformats.org/officeDocument/2006/relationships/hyperlink" Target="http://tprocess-contax/browse/CTXRECAU-58843" TargetMode="External"/><Relationship Id="rId188" Type="http://schemas.openxmlformats.org/officeDocument/2006/relationships/hyperlink" Target="http://tprocess-contax/browse/CTXMTZRP-43198" TargetMode="External"/><Relationship Id="rId311" Type="http://schemas.openxmlformats.org/officeDocument/2006/relationships/hyperlink" Target="mailto:cristiane.sasaki@todo.com.br" TargetMode="External"/><Relationship Id="rId353" Type="http://schemas.openxmlformats.org/officeDocument/2006/relationships/hyperlink" Target="mailto:raraujo@contax.com.br" TargetMode="External"/><Relationship Id="rId395" Type="http://schemas.openxmlformats.org/officeDocument/2006/relationships/hyperlink" Target="mailto:efortunato@contax.com.br" TargetMode="External"/><Relationship Id="rId409" Type="http://schemas.openxmlformats.org/officeDocument/2006/relationships/hyperlink" Target="mailto:557934@contax.com.br" TargetMode="External"/><Relationship Id="rId560" Type="http://schemas.openxmlformats.org/officeDocument/2006/relationships/hyperlink" Target="http://tprocess-contax/browse/CTXFORBM-320915" TargetMode="External"/><Relationship Id="rId92" Type="http://schemas.openxmlformats.org/officeDocument/2006/relationships/hyperlink" Target="http://tprocess-contax/browse/CTXSPOAL-57726" TargetMode="External"/><Relationship Id="rId213" Type="http://schemas.openxmlformats.org/officeDocument/2006/relationships/hyperlink" Target="http://tprocess-contax/browse/CTXFORBM-315247" TargetMode="External"/><Relationship Id="rId420" Type="http://schemas.openxmlformats.org/officeDocument/2006/relationships/hyperlink" Target="mailto:cbalves@contax.com.br" TargetMode="External"/><Relationship Id="rId255" Type="http://schemas.openxmlformats.org/officeDocument/2006/relationships/hyperlink" Target="mailto:sfsouza@contax.com.br" TargetMode="External"/><Relationship Id="rId297" Type="http://schemas.openxmlformats.org/officeDocument/2006/relationships/hyperlink" Target="mailto:cristiane.sasaki@todo.com.br" TargetMode="External"/><Relationship Id="rId462" Type="http://schemas.openxmlformats.org/officeDocument/2006/relationships/hyperlink" Target="http://tprocess-contax/browse/CTXSPOAP407-13561" TargetMode="External"/><Relationship Id="rId518" Type="http://schemas.openxmlformats.org/officeDocument/2006/relationships/hyperlink" Target="http://tprocess-contax/browse/CLIORBCG-186" TargetMode="External"/><Relationship Id="rId115" Type="http://schemas.openxmlformats.org/officeDocument/2006/relationships/hyperlink" Target="http://tprocess-contax/browse/CTXRJOMK-119586" TargetMode="External"/><Relationship Id="rId157" Type="http://schemas.openxmlformats.org/officeDocument/2006/relationships/hyperlink" Target="http://tprocess-contax/browse/CTXPOARB-91371" TargetMode="External"/><Relationship Id="rId322" Type="http://schemas.openxmlformats.org/officeDocument/2006/relationships/hyperlink" Target="mailto:fatbarreiros@contax.com.br" TargetMode="External"/><Relationship Id="rId364" Type="http://schemas.openxmlformats.org/officeDocument/2006/relationships/hyperlink" Target="mailto:raraujo@contax.com.br" TargetMode="External"/><Relationship Id="rId61" Type="http://schemas.openxmlformats.org/officeDocument/2006/relationships/hyperlink" Target="http://tprocess-contax/browse/CTXSPOAP407-10405" TargetMode="External"/><Relationship Id="rId199" Type="http://schemas.openxmlformats.org/officeDocument/2006/relationships/hyperlink" Target="http://tprocess-contax/browse/CTXMTZRP-40457" TargetMode="External"/><Relationship Id="rId571" Type="http://schemas.openxmlformats.org/officeDocument/2006/relationships/hyperlink" Target="http://tprocess-contax/browse/CTXSPOAP407-9838" TargetMode="External"/><Relationship Id="rId19" Type="http://schemas.openxmlformats.org/officeDocument/2006/relationships/hyperlink" Target="http://tprocess-contax/browse/CTXSPOBF-116862" TargetMode="External"/><Relationship Id="rId224" Type="http://schemas.openxmlformats.org/officeDocument/2006/relationships/hyperlink" Target="http://tprocess-contax/browse/CTXFORBM-288047" TargetMode="External"/><Relationship Id="rId266" Type="http://schemas.openxmlformats.org/officeDocument/2006/relationships/hyperlink" Target="mailto:maccfilho@contax.com.br" TargetMode="External"/><Relationship Id="rId431" Type="http://schemas.openxmlformats.org/officeDocument/2006/relationships/hyperlink" Target="mailto:vcolella@contax.com.br" TargetMode="External"/><Relationship Id="rId473" Type="http://schemas.openxmlformats.org/officeDocument/2006/relationships/hyperlink" Target="http://tprocess-contax/browse/CTXRECAU-61345" TargetMode="External"/><Relationship Id="rId529" Type="http://schemas.openxmlformats.org/officeDocument/2006/relationships/hyperlink" Target="http://tprocess-contax/browse/CTXRECAM-54756" TargetMode="External"/><Relationship Id="rId30" Type="http://schemas.openxmlformats.org/officeDocument/2006/relationships/hyperlink" Target="http://tprocess-contax/browse/CTXSPOAP407-12001" TargetMode="External"/><Relationship Id="rId126" Type="http://schemas.openxmlformats.org/officeDocument/2006/relationships/hyperlink" Target="http://tprocess-contax/browse/CTXRJOMA-73893" TargetMode="External"/><Relationship Id="rId168" Type="http://schemas.openxmlformats.org/officeDocument/2006/relationships/hyperlink" Target="http://tprocess-contax/browse/CTXNITSP-166707" TargetMode="External"/><Relationship Id="rId333" Type="http://schemas.openxmlformats.org/officeDocument/2006/relationships/hyperlink" Target="mailto:363119@contax.com.br" TargetMode="External"/><Relationship Id="rId540" Type="http://schemas.openxmlformats.org/officeDocument/2006/relationships/hyperlink" Target="http://tprocess-contax/browse/CTXMTZRP-42057" TargetMode="External"/><Relationship Id="rId72" Type="http://schemas.openxmlformats.org/officeDocument/2006/relationships/hyperlink" Target="http://tprocess-contax/browse/CTXSPOAP407-10078" TargetMode="External"/><Relationship Id="rId375" Type="http://schemas.openxmlformats.org/officeDocument/2006/relationships/hyperlink" Target="mailto:raraujo@contax.com.br" TargetMode="External"/><Relationship Id="rId3" Type="http://schemas.openxmlformats.org/officeDocument/2006/relationships/hyperlink" Target="http://tprocess-contax/browse/CTXSPOLP-108012" TargetMode="External"/><Relationship Id="rId235" Type="http://schemas.openxmlformats.org/officeDocument/2006/relationships/hyperlink" Target="http://tprocess-contax/browse/CTXCASEH-16731" TargetMode="External"/><Relationship Id="rId277" Type="http://schemas.openxmlformats.org/officeDocument/2006/relationships/hyperlink" Target="mailto:cristiane.sasaki@todo.com.br" TargetMode="External"/><Relationship Id="rId400" Type="http://schemas.openxmlformats.org/officeDocument/2006/relationships/hyperlink" Target="mailto:diego.fernandez@todo.com.br" TargetMode="External"/><Relationship Id="rId442" Type="http://schemas.openxmlformats.org/officeDocument/2006/relationships/hyperlink" Target="mailto:cfmelo@grupocontax.com" TargetMode="External"/><Relationship Id="rId484" Type="http://schemas.openxmlformats.org/officeDocument/2006/relationships/hyperlink" Target="http://tprocess-contax/browse/CTXSPOLP-115114" TargetMode="External"/><Relationship Id="rId137" Type="http://schemas.openxmlformats.org/officeDocument/2006/relationships/hyperlink" Target="http://tprocess-contax/browse/CTXRECSA-405116" TargetMode="External"/><Relationship Id="rId302" Type="http://schemas.openxmlformats.org/officeDocument/2006/relationships/hyperlink" Target="mailto:lscardoso@contax.com.br" TargetMode="External"/><Relationship Id="rId344" Type="http://schemas.openxmlformats.org/officeDocument/2006/relationships/hyperlink" Target="mailto:kathleen.porto@todo.com.br" TargetMode="External"/><Relationship Id="rId41" Type="http://schemas.openxmlformats.org/officeDocument/2006/relationships/hyperlink" Target="http://tprocess-contax/browse/CTXSPOAP407-10718" TargetMode="External"/><Relationship Id="rId83" Type="http://schemas.openxmlformats.org/officeDocument/2006/relationships/hyperlink" Target="http://tprocess-contax/browse/CTXSPOAL-90727" TargetMode="External"/><Relationship Id="rId179" Type="http://schemas.openxmlformats.org/officeDocument/2006/relationships/hyperlink" Target="http://tprocess-contax/browse/CTXNITSP-158443" TargetMode="External"/><Relationship Id="rId386" Type="http://schemas.openxmlformats.org/officeDocument/2006/relationships/hyperlink" Target="mailto:daniel.donaire@contax.com.br" TargetMode="External"/><Relationship Id="rId551" Type="http://schemas.openxmlformats.org/officeDocument/2006/relationships/hyperlink" Target="http://tprocess-contax/browse/CTXMLTREG-3790" TargetMode="External"/><Relationship Id="rId190" Type="http://schemas.openxmlformats.org/officeDocument/2006/relationships/hyperlink" Target="http://tprocess-contax/browse/CTXMTZRP-42974" TargetMode="External"/><Relationship Id="rId204" Type="http://schemas.openxmlformats.org/officeDocument/2006/relationships/hyperlink" Target="http://tprocess-contax/browse/CTXMTZPB-88" TargetMode="External"/><Relationship Id="rId246" Type="http://schemas.openxmlformats.org/officeDocument/2006/relationships/hyperlink" Target="mailto:apraposo@contax.com.br" TargetMode="External"/><Relationship Id="rId288" Type="http://schemas.openxmlformats.org/officeDocument/2006/relationships/hyperlink" Target="mailto:cristiane.sasaki@todo.com.br" TargetMode="External"/><Relationship Id="rId411" Type="http://schemas.openxmlformats.org/officeDocument/2006/relationships/hyperlink" Target="mailto:lscardoso@contax.com.br" TargetMode="External"/><Relationship Id="rId453" Type="http://schemas.openxmlformats.org/officeDocument/2006/relationships/hyperlink" Target="http://tprocess-contax/browse/CTXSPOBF-126376" TargetMode="External"/><Relationship Id="rId509" Type="http://schemas.openxmlformats.org/officeDocument/2006/relationships/hyperlink" Target="http://tprocess-contax/browse/CTXBHZRI-94988" TargetMode="External"/><Relationship Id="rId106" Type="http://schemas.openxmlformats.org/officeDocument/2006/relationships/hyperlink" Target="http://tprocess-contax/browse/CTXSALAS-156730" TargetMode="External"/><Relationship Id="rId313" Type="http://schemas.openxmlformats.org/officeDocument/2006/relationships/hyperlink" Target="mailto:cristiane.sasaki@todo.com.br" TargetMode="External"/><Relationship Id="rId495" Type="http://schemas.openxmlformats.org/officeDocument/2006/relationships/hyperlink" Target="http://tprocess-contax/browse/CTXMTZPB-1001" TargetMode="External"/><Relationship Id="rId10" Type="http://schemas.openxmlformats.org/officeDocument/2006/relationships/hyperlink" Target="http://tprocess-contax/browse/CTXSPOBF-123431" TargetMode="External"/><Relationship Id="rId52" Type="http://schemas.openxmlformats.org/officeDocument/2006/relationships/hyperlink" Target="http://tprocess-contax/browse/CTXSPOAP407-10432" TargetMode="External"/><Relationship Id="rId94" Type="http://schemas.openxmlformats.org/officeDocument/2006/relationships/hyperlink" Target="http://tprocess-contax/browse/CTXSALSM-78825" TargetMode="External"/><Relationship Id="rId148" Type="http://schemas.openxmlformats.org/officeDocument/2006/relationships/hyperlink" Target="http://tprocess-contax/browse/CTXRECAM-53258" TargetMode="External"/><Relationship Id="rId355" Type="http://schemas.openxmlformats.org/officeDocument/2006/relationships/hyperlink" Target="mailto:david.chaves@todo.com.br" TargetMode="External"/><Relationship Id="rId397" Type="http://schemas.openxmlformats.org/officeDocument/2006/relationships/hyperlink" Target="mailto:erika.miguel@todo.com.br" TargetMode="External"/><Relationship Id="rId520" Type="http://schemas.openxmlformats.org/officeDocument/2006/relationships/hyperlink" Target="http://tprocess-contax/browse/CTXSPOAL-87292" TargetMode="External"/><Relationship Id="rId562" Type="http://schemas.openxmlformats.org/officeDocument/2006/relationships/hyperlink" Target="http://tprocess-contax/browse/CTXSPOAL-88513" TargetMode="External"/><Relationship Id="rId215" Type="http://schemas.openxmlformats.org/officeDocument/2006/relationships/hyperlink" Target="http://tprocess-contax/browse/CTXFORBM-314015" TargetMode="External"/><Relationship Id="rId257" Type="http://schemas.openxmlformats.org/officeDocument/2006/relationships/hyperlink" Target="mailto:sfsouza@contax.com.br" TargetMode="External"/><Relationship Id="rId422" Type="http://schemas.openxmlformats.org/officeDocument/2006/relationships/hyperlink" Target="mailto:591070@contax.com.br" TargetMode="External"/><Relationship Id="rId464" Type="http://schemas.openxmlformats.org/officeDocument/2006/relationships/hyperlink" Target="http://tprocess-contax/browse/CTXSPOAP407-13114" TargetMode="External"/><Relationship Id="rId299" Type="http://schemas.openxmlformats.org/officeDocument/2006/relationships/hyperlink" Target="mailto:cristiane.sasaki@todo.com.br" TargetMode="External"/><Relationship Id="rId63" Type="http://schemas.openxmlformats.org/officeDocument/2006/relationships/hyperlink" Target="http://tprocess-contax/browse/CTXSPOAP407-10381" TargetMode="External"/><Relationship Id="rId159" Type="http://schemas.openxmlformats.org/officeDocument/2006/relationships/hyperlink" Target="http://tprocess-contax/browse/CTXPOARB-90126" TargetMode="External"/><Relationship Id="rId366" Type="http://schemas.openxmlformats.org/officeDocument/2006/relationships/hyperlink" Target="mailto:584455@contax.com.br" TargetMode="External"/><Relationship Id="rId573" Type="http://schemas.openxmlformats.org/officeDocument/2006/relationships/printerSettings" Target="../printerSettings/printerSettings6.bin"/><Relationship Id="rId226" Type="http://schemas.openxmlformats.org/officeDocument/2006/relationships/hyperlink" Target="http://tprocess-contax/browse/CTXFORBM-286544" TargetMode="External"/><Relationship Id="rId433" Type="http://schemas.openxmlformats.org/officeDocument/2006/relationships/hyperlink" Target="mailto:cfmelo@grupocontax.com" TargetMode="External"/><Relationship Id="rId74" Type="http://schemas.openxmlformats.org/officeDocument/2006/relationships/hyperlink" Target="http://tprocess-contax/browse/CTXSPOAP407-10019" TargetMode="External"/><Relationship Id="rId377" Type="http://schemas.openxmlformats.org/officeDocument/2006/relationships/hyperlink" Target="mailto:dafpereira@contax.com.br" TargetMode="External"/><Relationship Id="rId500" Type="http://schemas.openxmlformats.org/officeDocument/2006/relationships/hyperlink" Target="http://tprocess-contax/browse/CTXFORBM-335280" TargetMode="External"/><Relationship Id="rId5" Type="http://schemas.openxmlformats.org/officeDocument/2006/relationships/hyperlink" Target="http://tprocess-contax/browse/CTXSPOLP-102317" TargetMode="External"/><Relationship Id="rId237" Type="http://schemas.openxmlformats.org/officeDocument/2006/relationships/hyperlink" Target="http://tprocess-contax/browse/CTXCASEH-16343" TargetMode="External"/><Relationship Id="rId444" Type="http://schemas.openxmlformats.org/officeDocument/2006/relationships/hyperlink" Target="mailto:cristiane.sasaki@todo.com.br" TargetMode="External"/><Relationship Id="rId290" Type="http://schemas.openxmlformats.org/officeDocument/2006/relationships/hyperlink" Target="mailto:cristiane.sasaki@todo.com.br" TargetMode="External"/><Relationship Id="rId304" Type="http://schemas.openxmlformats.org/officeDocument/2006/relationships/hyperlink" Target="mailto:palmeida1@contax.com.br" TargetMode="External"/><Relationship Id="rId388" Type="http://schemas.openxmlformats.org/officeDocument/2006/relationships/hyperlink" Target="mailto:lmnascimento@contax.com.br" TargetMode="External"/><Relationship Id="rId511" Type="http://schemas.openxmlformats.org/officeDocument/2006/relationships/hyperlink" Target="http://tprocess-contax/browse/CTXBHZRI-94837" TargetMode="External"/><Relationship Id="rId85" Type="http://schemas.openxmlformats.org/officeDocument/2006/relationships/hyperlink" Target="http://tprocess-contax/browse/CTXSPOAL-89400" TargetMode="External"/><Relationship Id="rId150" Type="http://schemas.openxmlformats.org/officeDocument/2006/relationships/hyperlink" Target="http://tprocess-contax/browse/CTXRECAM-52843" TargetMode="External"/><Relationship Id="rId248" Type="http://schemas.openxmlformats.org/officeDocument/2006/relationships/hyperlink" Target="mailto:prsfreitas@contax.com.br" TargetMode="External"/><Relationship Id="rId455" Type="http://schemas.openxmlformats.org/officeDocument/2006/relationships/hyperlink" Target="http://tprocess-contax/browse/CTXSPOBF-126151" TargetMode="External"/><Relationship Id="rId12" Type="http://schemas.openxmlformats.org/officeDocument/2006/relationships/hyperlink" Target="http://tprocess-contax/browse/CTXSPOBF-122424" TargetMode="External"/><Relationship Id="rId108" Type="http://schemas.openxmlformats.org/officeDocument/2006/relationships/hyperlink" Target="http://tprocess-contax/browse/CTXSALAS-154241" TargetMode="External"/><Relationship Id="rId315" Type="http://schemas.openxmlformats.org/officeDocument/2006/relationships/hyperlink" Target="mailto:jfbarbosa@contax.com.br" TargetMode="External"/><Relationship Id="rId522" Type="http://schemas.openxmlformats.org/officeDocument/2006/relationships/hyperlink" Target="http://tprocess-contax/browse/CTXSPOAL-84132" TargetMode="External"/><Relationship Id="rId96" Type="http://schemas.openxmlformats.org/officeDocument/2006/relationships/hyperlink" Target="http://tprocess-contax/browse/CTXSALSM-75150" TargetMode="External"/><Relationship Id="rId161" Type="http://schemas.openxmlformats.org/officeDocument/2006/relationships/hyperlink" Target="http://tprocess-contax/browse/CTXPOARB-88844" TargetMode="External"/><Relationship Id="rId399" Type="http://schemas.openxmlformats.org/officeDocument/2006/relationships/hyperlink" Target="mailto:cbalves@contax.com.br" TargetMode="External"/><Relationship Id="rId259" Type="http://schemas.openxmlformats.org/officeDocument/2006/relationships/hyperlink" Target="mailto:tfialho@contax.com.br" TargetMode="External"/><Relationship Id="rId466" Type="http://schemas.openxmlformats.org/officeDocument/2006/relationships/hyperlink" Target="http://tprocess-contax/browse/CTXSPOAP407-10513" TargetMode="External"/><Relationship Id="rId23" Type="http://schemas.openxmlformats.org/officeDocument/2006/relationships/hyperlink" Target="http://tprocess-contax/browse/CTXSPOBF-114650" TargetMode="External"/><Relationship Id="rId119" Type="http://schemas.openxmlformats.org/officeDocument/2006/relationships/hyperlink" Target="http://tprocess-contax/browse/CTXRJOMK-118064" TargetMode="External"/><Relationship Id="rId326" Type="http://schemas.openxmlformats.org/officeDocument/2006/relationships/hyperlink" Target="mailto:lucasoliveira@contax.net.br" TargetMode="External"/><Relationship Id="rId533" Type="http://schemas.openxmlformats.org/officeDocument/2006/relationships/hyperlink" Target="http://tprocess-contax/browse/CTXNITSP-167961" TargetMode="External"/><Relationship Id="rId172" Type="http://schemas.openxmlformats.org/officeDocument/2006/relationships/hyperlink" Target="http://tprocess-contax/browse/CTXNITSP-164920" TargetMode="External"/><Relationship Id="rId477" Type="http://schemas.openxmlformats.org/officeDocument/2006/relationships/hyperlink" Target="http://tprocess-contax/browse/CTXNITSP-170972"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
  <dimension ref="A3:N15"/>
  <sheetViews>
    <sheetView workbookViewId="0">
      <selection activeCell="B7" sqref="B7"/>
    </sheetView>
  </sheetViews>
  <sheetFormatPr defaultColWidth="18.5703125" defaultRowHeight="15" x14ac:dyDescent="0.25"/>
  <cols>
    <col min="1" max="1" width="31.7109375" style="101" bestFit="1" customWidth="1"/>
    <col min="2" max="2" width="21.85546875" style="101" bestFit="1" customWidth="1"/>
    <col min="3" max="3" width="14.42578125" style="101" bestFit="1" customWidth="1"/>
    <col min="4" max="4" width="10.42578125" style="101" bestFit="1" customWidth="1"/>
    <col min="5" max="5" width="11.85546875" style="101" bestFit="1" customWidth="1"/>
    <col min="6" max="6" width="13.42578125" style="101" bestFit="1" customWidth="1"/>
    <col min="7" max="7" width="3.7109375" style="101" bestFit="1" customWidth="1"/>
    <col min="8" max="8" width="3.5703125" style="101" bestFit="1" customWidth="1"/>
    <col min="9" max="9" width="4.28515625" style="101" bestFit="1" customWidth="1"/>
    <col min="10" max="10" width="6.7109375" style="101" bestFit="1" customWidth="1"/>
    <col min="11" max="11" width="6.5703125" style="101" bestFit="1" customWidth="1"/>
    <col min="12" max="12" width="5.140625" style="101" customWidth="1"/>
    <col min="13" max="13" width="5.85546875" style="101" bestFit="1" customWidth="1"/>
    <col min="14" max="14" width="10.7109375" style="101" bestFit="1" customWidth="1"/>
    <col min="15" max="16384" width="18.5703125" style="101"/>
  </cols>
  <sheetData>
    <row r="3" spans="1:14" x14ac:dyDescent="0.25">
      <c r="A3" s="119" t="s">
        <v>2341</v>
      </c>
      <c r="B3" s="119" t="s">
        <v>2353</v>
      </c>
      <c r="C3" s="120"/>
      <c r="D3" s="120"/>
      <c r="E3" s="120"/>
      <c r="F3" s="120"/>
      <c r="G3" s="120"/>
      <c r="H3" s="120"/>
      <c r="I3" s="120"/>
      <c r="J3" s="120"/>
      <c r="K3" s="120"/>
      <c r="L3" s="120"/>
      <c r="M3" s="120"/>
      <c r="N3"/>
    </row>
    <row r="4" spans="1:14" s="78" customFormat="1" ht="75" x14ac:dyDescent="0.25">
      <c r="A4" s="116" t="s">
        <v>2466</v>
      </c>
      <c r="B4" s="79" t="s">
        <v>2361</v>
      </c>
      <c r="C4" s="79" t="s">
        <v>2360</v>
      </c>
      <c r="D4" s="79" t="s">
        <v>2347</v>
      </c>
      <c r="E4" s="79" t="s">
        <v>2344</v>
      </c>
      <c r="F4" s="79" t="s">
        <v>2358</v>
      </c>
      <c r="G4" s="79" t="s">
        <v>2320</v>
      </c>
      <c r="H4" s="79" t="s">
        <v>2256</v>
      </c>
      <c r="I4" s="79" t="s">
        <v>97</v>
      </c>
      <c r="J4" s="79" t="s">
        <v>2629</v>
      </c>
      <c r="K4" s="79" t="s">
        <v>2955</v>
      </c>
      <c r="L4" s="79" t="s">
        <v>3227</v>
      </c>
      <c r="M4" s="79" t="s">
        <v>2340</v>
      </c>
      <c r="N4"/>
    </row>
    <row r="5" spans="1:14" x14ac:dyDescent="0.25">
      <c r="A5" s="117" t="s">
        <v>1411</v>
      </c>
      <c r="B5" s="107"/>
      <c r="C5" s="107">
        <v>3</v>
      </c>
      <c r="D5" s="107"/>
      <c r="E5" s="107">
        <v>1</v>
      </c>
      <c r="F5" s="107">
        <v>2</v>
      </c>
      <c r="G5" s="107"/>
      <c r="H5" s="107">
        <v>7</v>
      </c>
      <c r="I5" s="107">
        <v>6</v>
      </c>
      <c r="J5" s="107"/>
      <c r="K5" s="107"/>
      <c r="L5" s="107"/>
      <c r="M5" s="107">
        <v>19</v>
      </c>
      <c r="N5"/>
    </row>
    <row r="6" spans="1:14" x14ac:dyDescent="0.25">
      <c r="A6" s="117" t="s">
        <v>177</v>
      </c>
      <c r="B6" s="107">
        <v>2</v>
      </c>
      <c r="C6" s="107">
        <v>6</v>
      </c>
      <c r="D6" s="107">
        <v>1</v>
      </c>
      <c r="E6" s="107"/>
      <c r="F6" s="107">
        <v>1</v>
      </c>
      <c r="G6" s="107"/>
      <c r="H6" s="107"/>
      <c r="I6" s="107">
        <v>1</v>
      </c>
      <c r="J6" s="107"/>
      <c r="K6" s="107"/>
      <c r="L6" s="107"/>
      <c r="M6" s="107">
        <v>11</v>
      </c>
      <c r="N6"/>
    </row>
    <row r="7" spans="1:14" x14ac:dyDescent="0.25">
      <c r="A7" s="117" t="s">
        <v>280</v>
      </c>
      <c r="B7" s="107"/>
      <c r="C7" s="107">
        <v>2</v>
      </c>
      <c r="D7" s="107"/>
      <c r="E7" s="107">
        <v>4</v>
      </c>
      <c r="F7" s="107">
        <v>1</v>
      </c>
      <c r="G7" s="107"/>
      <c r="H7" s="107">
        <v>1</v>
      </c>
      <c r="I7" s="107">
        <v>10</v>
      </c>
      <c r="J7" s="107"/>
      <c r="K7" s="107"/>
      <c r="L7" s="107">
        <v>2</v>
      </c>
      <c r="M7" s="107">
        <v>20</v>
      </c>
      <c r="N7"/>
    </row>
    <row r="8" spans="1:14" x14ac:dyDescent="0.25">
      <c r="A8" s="117" t="s">
        <v>246</v>
      </c>
      <c r="B8" s="107">
        <v>1</v>
      </c>
      <c r="C8" s="107">
        <v>1</v>
      </c>
      <c r="D8" s="107">
        <v>3</v>
      </c>
      <c r="E8" s="107">
        <v>2</v>
      </c>
      <c r="F8" s="107">
        <v>3</v>
      </c>
      <c r="G8" s="107"/>
      <c r="H8" s="107"/>
      <c r="I8" s="107">
        <v>5</v>
      </c>
      <c r="J8" s="107"/>
      <c r="K8" s="107"/>
      <c r="L8" s="107"/>
      <c r="M8" s="107">
        <v>15</v>
      </c>
      <c r="N8"/>
    </row>
    <row r="9" spans="1:14" x14ac:dyDescent="0.25">
      <c r="A9" s="117" t="s">
        <v>245</v>
      </c>
      <c r="B9" s="107"/>
      <c r="C9" s="107">
        <v>3</v>
      </c>
      <c r="D9" s="107">
        <v>4</v>
      </c>
      <c r="E9" s="107">
        <v>2</v>
      </c>
      <c r="F9" s="107">
        <v>1</v>
      </c>
      <c r="G9" s="107"/>
      <c r="H9" s="107">
        <v>2</v>
      </c>
      <c r="I9" s="107">
        <v>10</v>
      </c>
      <c r="J9" s="107"/>
      <c r="K9" s="107"/>
      <c r="L9" s="107"/>
      <c r="M9" s="107">
        <v>22</v>
      </c>
      <c r="N9"/>
    </row>
    <row r="10" spans="1:14" x14ac:dyDescent="0.25">
      <c r="A10" s="117" t="s">
        <v>2407</v>
      </c>
      <c r="B10" s="107"/>
      <c r="C10" s="107"/>
      <c r="D10" s="107"/>
      <c r="E10" s="107">
        <v>5</v>
      </c>
      <c r="F10" s="107"/>
      <c r="G10" s="107">
        <v>16</v>
      </c>
      <c r="H10" s="107"/>
      <c r="I10" s="107">
        <v>11</v>
      </c>
      <c r="J10" s="107"/>
      <c r="K10" s="107"/>
      <c r="L10" s="107"/>
      <c r="M10" s="107">
        <v>32</v>
      </c>
      <c r="N10"/>
    </row>
    <row r="11" spans="1:14" x14ac:dyDescent="0.25">
      <c r="A11" s="117" t="s">
        <v>2451</v>
      </c>
      <c r="B11" s="107"/>
      <c r="C11" s="107"/>
      <c r="D11" s="107"/>
      <c r="E11" s="107">
        <v>1</v>
      </c>
      <c r="F11" s="107"/>
      <c r="G11" s="107"/>
      <c r="H11" s="107">
        <v>6</v>
      </c>
      <c r="I11" s="107">
        <v>15</v>
      </c>
      <c r="J11" s="107"/>
      <c r="K11" s="107"/>
      <c r="L11" s="107"/>
      <c r="M11" s="107">
        <v>22</v>
      </c>
      <c r="N11"/>
    </row>
    <row r="12" spans="1:14" x14ac:dyDescent="0.25">
      <c r="A12" s="117" t="s">
        <v>2248</v>
      </c>
      <c r="B12" s="107"/>
      <c r="C12" s="107"/>
      <c r="D12" s="107"/>
      <c r="E12" s="107">
        <v>1</v>
      </c>
      <c r="F12" s="107"/>
      <c r="G12" s="107"/>
      <c r="H12" s="107"/>
      <c r="I12" s="107"/>
      <c r="J12" s="107"/>
      <c r="K12" s="107"/>
      <c r="L12" s="107"/>
      <c r="M12" s="107">
        <v>1</v>
      </c>
      <c r="N12"/>
    </row>
    <row r="13" spans="1:14" x14ac:dyDescent="0.25">
      <c r="A13" s="118" t="s">
        <v>2130</v>
      </c>
      <c r="B13" s="107"/>
      <c r="C13" s="107"/>
      <c r="D13" s="107">
        <v>2</v>
      </c>
      <c r="E13" s="107">
        <v>1</v>
      </c>
      <c r="F13" s="107">
        <v>4</v>
      </c>
      <c r="G13" s="107"/>
      <c r="H13" s="107">
        <v>1</v>
      </c>
      <c r="I13" s="107">
        <v>5</v>
      </c>
      <c r="J13" s="107">
        <v>2</v>
      </c>
      <c r="K13" s="107">
        <v>1</v>
      </c>
      <c r="L13" s="107"/>
      <c r="M13" s="107">
        <v>16</v>
      </c>
      <c r="N13"/>
    </row>
    <row r="14" spans="1:14" x14ac:dyDescent="0.25">
      <c r="A14" s="106" t="s">
        <v>2340</v>
      </c>
      <c r="B14" s="107">
        <v>3</v>
      </c>
      <c r="C14" s="107">
        <v>15</v>
      </c>
      <c r="D14" s="107">
        <v>10</v>
      </c>
      <c r="E14" s="107">
        <v>17</v>
      </c>
      <c r="F14" s="107">
        <v>12</v>
      </c>
      <c r="G14" s="107">
        <v>16</v>
      </c>
      <c r="H14" s="107">
        <v>17</v>
      </c>
      <c r="I14" s="107">
        <v>63</v>
      </c>
      <c r="J14" s="107">
        <v>2</v>
      </c>
      <c r="K14" s="107">
        <v>1</v>
      </c>
      <c r="L14" s="107">
        <v>2</v>
      </c>
      <c r="M14" s="107">
        <v>158</v>
      </c>
      <c r="N14"/>
    </row>
    <row r="15" spans="1:14" x14ac:dyDescent="0.25">
      <c r="A15"/>
      <c r="B15"/>
      <c r="C15"/>
      <c r="D15"/>
      <c r="E15"/>
      <c r="F15"/>
      <c r="G15"/>
      <c r="H15"/>
      <c r="I15"/>
      <c r="J15"/>
      <c r="K15"/>
      <c r="L15"/>
      <c r="M15"/>
      <c r="N15"/>
    </row>
  </sheetData>
  <pageMargins left="0.511811024" right="0.511811024" top="0.78740157499999996" bottom="0.78740157499999996" header="0.31496062000000002" footer="0.31496062000000002"/>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6"/>
  <sheetViews>
    <sheetView workbookViewId="0">
      <selection activeCell="C10" sqref="C10"/>
    </sheetView>
  </sheetViews>
  <sheetFormatPr defaultRowHeight="15" x14ac:dyDescent="0.25"/>
  <cols>
    <col min="1" max="1" width="31.7109375" bestFit="1" customWidth="1"/>
    <col min="2" max="2" width="19.5703125" bestFit="1" customWidth="1"/>
    <col min="3" max="3" width="10.7109375" bestFit="1" customWidth="1"/>
    <col min="4" max="4" width="2.7109375" customWidth="1"/>
    <col min="5" max="5" width="16.85546875" bestFit="1" customWidth="1"/>
    <col min="6" max="6" width="11.42578125" bestFit="1" customWidth="1"/>
    <col min="7" max="7" width="18.28515625" bestFit="1" customWidth="1"/>
    <col min="8" max="8" width="4.42578125" customWidth="1"/>
    <col min="9" max="9" width="3" customWidth="1"/>
    <col min="10" max="10" width="10" bestFit="1" customWidth="1"/>
    <col min="11" max="11" width="6.28515625" customWidth="1"/>
    <col min="12" max="12" width="7" customWidth="1"/>
    <col min="13" max="13" width="10.7109375" bestFit="1" customWidth="1"/>
  </cols>
  <sheetData>
    <row r="3" spans="1:13" x14ac:dyDescent="0.25">
      <c r="A3" s="150" t="s">
        <v>2341</v>
      </c>
      <c r="B3" s="150" t="s">
        <v>2353</v>
      </c>
    </row>
    <row r="4" spans="1:13" x14ac:dyDescent="0.25">
      <c r="A4" s="105" t="s">
        <v>2466</v>
      </c>
      <c r="B4" s="1" t="s">
        <v>159</v>
      </c>
      <c r="C4" s="1" t="s">
        <v>3121</v>
      </c>
      <c r="D4" s="1" t="s">
        <v>3450</v>
      </c>
      <c r="E4" s="1" t="s">
        <v>161</v>
      </c>
      <c r="F4" s="1" t="s">
        <v>108</v>
      </c>
      <c r="G4" s="1" t="s">
        <v>2881</v>
      </c>
      <c r="H4" s="1" t="s">
        <v>106</v>
      </c>
      <c r="I4" s="1" t="s">
        <v>1430</v>
      </c>
      <c r="J4" s="1" t="s">
        <v>174</v>
      </c>
      <c r="K4" s="1" t="s">
        <v>155</v>
      </c>
      <c r="L4" s="1" t="s">
        <v>3227</v>
      </c>
      <c r="M4" s="1" t="s">
        <v>2340</v>
      </c>
    </row>
    <row r="5" spans="1:13" x14ac:dyDescent="0.25">
      <c r="A5" s="96" t="s">
        <v>1411</v>
      </c>
      <c r="B5" s="104"/>
      <c r="C5" s="104"/>
      <c r="D5" s="104"/>
      <c r="E5" s="104">
        <v>2</v>
      </c>
      <c r="F5" s="104">
        <v>2</v>
      </c>
      <c r="G5" s="104"/>
      <c r="H5" s="104"/>
      <c r="I5" s="104">
        <v>4</v>
      </c>
      <c r="J5" s="104">
        <v>8</v>
      </c>
      <c r="K5" s="104"/>
      <c r="L5" s="104"/>
      <c r="M5" s="104">
        <v>16</v>
      </c>
    </row>
    <row r="6" spans="1:13" x14ac:dyDescent="0.25">
      <c r="A6" s="96" t="s">
        <v>177</v>
      </c>
      <c r="B6" s="104">
        <v>2</v>
      </c>
      <c r="C6" s="104"/>
      <c r="D6" s="104"/>
      <c r="E6" s="104">
        <v>3</v>
      </c>
      <c r="F6" s="104"/>
      <c r="G6" s="104"/>
      <c r="H6" s="104"/>
      <c r="I6" s="104">
        <v>1</v>
      </c>
      <c r="J6" s="104"/>
      <c r="K6" s="104">
        <v>1</v>
      </c>
      <c r="L6" s="104"/>
      <c r="M6" s="104">
        <v>7</v>
      </c>
    </row>
    <row r="7" spans="1:13" x14ac:dyDescent="0.25">
      <c r="A7" s="96" t="s">
        <v>280</v>
      </c>
      <c r="B7" s="104">
        <v>4</v>
      </c>
      <c r="C7" s="104"/>
      <c r="D7" s="104"/>
      <c r="E7" s="104">
        <v>4</v>
      </c>
      <c r="F7" s="104">
        <v>2</v>
      </c>
      <c r="G7" s="104"/>
      <c r="H7" s="104"/>
      <c r="I7" s="104">
        <v>12</v>
      </c>
      <c r="J7" s="104">
        <v>3</v>
      </c>
      <c r="K7" s="104"/>
      <c r="L7" s="104"/>
      <c r="M7" s="104">
        <v>25</v>
      </c>
    </row>
    <row r="8" spans="1:13" x14ac:dyDescent="0.25">
      <c r="A8" s="96" t="s">
        <v>246</v>
      </c>
      <c r="B8" s="104">
        <v>1</v>
      </c>
      <c r="C8" s="104"/>
      <c r="D8" s="104"/>
      <c r="E8" s="104"/>
      <c r="F8" s="104"/>
      <c r="G8" s="104">
        <v>1</v>
      </c>
      <c r="H8" s="104">
        <v>1</v>
      </c>
      <c r="I8" s="104">
        <v>11</v>
      </c>
      <c r="J8" s="104"/>
      <c r="K8" s="104"/>
      <c r="L8" s="104"/>
      <c r="M8" s="104">
        <v>14</v>
      </c>
    </row>
    <row r="9" spans="1:13" x14ac:dyDescent="0.25">
      <c r="A9" s="96" t="s">
        <v>245</v>
      </c>
      <c r="B9" s="104"/>
      <c r="C9" s="104"/>
      <c r="D9" s="104"/>
      <c r="E9" s="104">
        <v>2</v>
      </c>
      <c r="F9" s="104"/>
      <c r="G9" s="104"/>
      <c r="H9" s="104"/>
      <c r="I9" s="104">
        <v>21</v>
      </c>
      <c r="J9" s="104"/>
      <c r="K9" s="104"/>
      <c r="L9" s="104"/>
      <c r="M9" s="104">
        <v>23</v>
      </c>
    </row>
    <row r="10" spans="1:13" x14ac:dyDescent="0.25">
      <c r="A10" s="96" t="s">
        <v>2407</v>
      </c>
      <c r="B10" s="104">
        <v>11</v>
      </c>
      <c r="C10" s="104"/>
      <c r="D10" s="104"/>
      <c r="E10" s="104"/>
      <c r="F10" s="104">
        <v>1</v>
      </c>
      <c r="G10" s="104"/>
      <c r="H10" s="104">
        <v>10</v>
      </c>
      <c r="I10" s="104">
        <v>9</v>
      </c>
      <c r="J10" s="104">
        <v>1</v>
      </c>
      <c r="K10" s="104">
        <v>2</v>
      </c>
      <c r="L10" s="104"/>
      <c r="M10" s="104">
        <v>34</v>
      </c>
    </row>
    <row r="11" spans="1:13" x14ac:dyDescent="0.25">
      <c r="A11" s="96" t="s">
        <v>2451</v>
      </c>
      <c r="B11" s="104"/>
      <c r="C11" s="104"/>
      <c r="D11" s="104"/>
      <c r="E11" s="104">
        <v>2</v>
      </c>
      <c r="F11" s="104"/>
      <c r="G11" s="104"/>
      <c r="H11" s="104"/>
      <c r="I11" s="104">
        <v>20</v>
      </c>
      <c r="J11" s="104">
        <v>3</v>
      </c>
      <c r="K11" s="104"/>
      <c r="L11" s="104"/>
      <c r="M11" s="104">
        <v>25</v>
      </c>
    </row>
    <row r="12" spans="1:13" x14ac:dyDescent="0.25">
      <c r="A12" s="96" t="s">
        <v>2248</v>
      </c>
      <c r="B12" s="104"/>
      <c r="C12" s="104"/>
      <c r="D12" s="104"/>
      <c r="E12" s="104">
        <v>1</v>
      </c>
      <c r="F12" s="104">
        <v>1</v>
      </c>
      <c r="G12" s="104"/>
      <c r="H12" s="104"/>
      <c r="I12" s="104">
        <v>1</v>
      </c>
      <c r="J12" s="104"/>
      <c r="K12" s="104"/>
      <c r="L12" s="104"/>
      <c r="M12" s="104">
        <v>3</v>
      </c>
    </row>
    <row r="13" spans="1:13" x14ac:dyDescent="0.25">
      <c r="A13" s="96" t="s">
        <v>2130</v>
      </c>
      <c r="B13" s="104">
        <v>5</v>
      </c>
      <c r="C13" s="104">
        <v>1</v>
      </c>
      <c r="D13" s="104">
        <v>1</v>
      </c>
      <c r="E13" s="104">
        <v>1</v>
      </c>
      <c r="F13" s="104">
        <v>2</v>
      </c>
      <c r="G13" s="104"/>
      <c r="H13" s="104">
        <v>1</v>
      </c>
      <c r="I13" s="104">
        <v>1</v>
      </c>
      <c r="J13" s="104">
        <v>2</v>
      </c>
      <c r="K13" s="104"/>
      <c r="L13" s="104"/>
      <c r="M13" s="104">
        <v>14</v>
      </c>
    </row>
    <row r="14" spans="1:13" x14ac:dyDescent="0.25">
      <c r="A14" s="96" t="s">
        <v>244</v>
      </c>
      <c r="B14" s="104"/>
      <c r="C14" s="104"/>
      <c r="D14" s="104"/>
      <c r="E14" s="104"/>
      <c r="F14" s="104"/>
      <c r="G14" s="104"/>
      <c r="H14" s="104"/>
      <c r="I14" s="104">
        <v>1</v>
      </c>
      <c r="J14" s="104"/>
      <c r="K14" s="104"/>
      <c r="L14" s="104"/>
      <c r="M14" s="104">
        <v>1</v>
      </c>
    </row>
    <row r="15" spans="1:13" x14ac:dyDescent="0.25">
      <c r="A15" s="96" t="s">
        <v>3418</v>
      </c>
      <c r="B15" s="104">
        <v>1</v>
      </c>
      <c r="C15" s="104"/>
      <c r="D15" s="104"/>
      <c r="E15" s="104"/>
      <c r="F15" s="104"/>
      <c r="G15" s="104"/>
      <c r="H15" s="104">
        <v>1</v>
      </c>
      <c r="I15" s="104">
        <v>8</v>
      </c>
      <c r="J15" s="104"/>
      <c r="K15" s="104"/>
      <c r="L15" s="104">
        <v>2</v>
      </c>
      <c r="M15" s="104">
        <v>12</v>
      </c>
    </row>
    <row r="16" spans="1:13" x14ac:dyDescent="0.25">
      <c r="A16" s="96" t="s">
        <v>2340</v>
      </c>
      <c r="B16" s="104">
        <v>24</v>
      </c>
      <c r="C16" s="104">
        <v>1</v>
      </c>
      <c r="D16" s="104">
        <v>1</v>
      </c>
      <c r="E16" s="104">
        <v>15</v>
      </c>
      <c r="F16" s="104">
        <v>8</v>
      </c>
      <c r="G16" s="104">
        <v>1</v>
      </c>
      <c r="H16" s="104">
        <v>13</v>
      </c>
      <c r="I16" s="104">
        <v>89</v>
      </c>
      <c r="J16" s="104">
        <v>17</v>
      </c>
      <c r="K16" s="104">
        <v>3</v>
      </c>
      <c r="L16" s="104">
        <v>2</v>
      </c>
      <c r="M16" s="104">
        <v>174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8"/>
  <sheetViews>
    <sheetView zoomScale="80" zoomScaleNormal="80" workbookViewId="0">
      <selection activeCell="F15" sqref="F15"/>
    </sheetView>
  </sheetViews>
  <sheetFormatPr defaultRowHeight="15" x14ac:dyDescent="0.25"/>
  <cols>
    <col min="1" max="1" width="31.7109375" bestFit="1" customWidth="1"/>
    <col min="2" max="2" width="20" customWidth="1"/>
    <col min="3" max="3" width="11" bestFit="1" customWidth="1"/>
    <col min="4" max="4" width="5.7109375" customWidth="1"/>
    <col min="5" max="5" width="17" customWidth="1"/>
    <col min="6" max="6" width="11.42578125" customWidth="1"/>
    <col min="7" max="7" width="18.85546875" bestFit="1" customWidth="1"/>
    <col min="8" max="8" width="4.5703125" customWidth="1"/>
    <col min="9" max="9" width="3.42578125" customWidth="1"/>
    <col min="10" max="10" width="10.140625" customWidth="1"/>
    <col min="11" max="11" width="6.7109375" bestFit="1" customWidth="1"/>
    <col min="12" max="12" width="11" bestFit="1" customWidth="1"/>
    <col min="13" max="13" width="11" customWidth="1"/>
    <col min="14" max="14" width="10.7109375" bestFit="1" customWidth="1"/>
  </cols>
  <sheetData>
    <row r="3" spans="1:12" x14ac:dyDescent="0.25">
      <c r="A3" s="150" t="s">
        <v>2341</v>
      </c>
      <c r="B3" s="150" t="s">
        <v>2353</v>
      </c>
    </row>
    <row r="4" spans="1:12" x14ac:dyDescent="0.25">
      <c r="A4" s="150" t="s">
        <v>2466</v>
      </c>
      <c r="B4" s="1" t="s">
        <v>159</v>
      </c>
      <c r="C4" s="1" t="s">
        <v>3121</v>
      </c>
      <c r="D4" s="1" t="s">
        <v>3162</v>
      </c>
      <c r="E4" s="1" t="s">
        <v>161</v>
      </c>
      <c r="F4" s="1" t="s">
        <v>108</v>
      </c>
      <c r="G4" s="1" t="s">
        <v>2881</v>
      </c>
      <c r="H4" s="1" t="s">
        <v>106</v>
      </c>
      <c r="I4" s="1" t="s">
        <v>1430</v>
      </c>
      <c r="J4" s="1" t="s">
        <v>174</v>
      </c>
      <c r="K4" s="1" t="s">
        <v>155</v>
      </c>
      <c r="L4" s="1" t="s">
        <v>2340</v>
      </c>
    </row>
    <row r="5" spans="1:12" x14ac:dyDescent="0.25">
      <c r="A5" s="96" t="s">
        <v>273</v>
      </c>
      <c r="B5" s="104">
        <v>9</v>
      </c>
      <c r="C5" s="104">
        <v>1</v>
      </c>
      <c r="D5" s="104">
        <v>4</v>
      </c>
      <c r="E5" s="104">
        <v>9</v>
      </c>
      <c r="F5" s="104">
        <v>9</v>
      </c>
      <c r="G5" s="104">
        <v>1</v>
      </c>
      <c r="H5" s="104">
        <v>6</v>
      </c>
      <c r="I5" s="104">
        <v>50</v>
      </c>
      <c r="J5" s="104">
        <v>11</v>
      </c>
      <c r="K5" s="104">
        <v>2</v>
      </c>
      <c r="L5" s="104">
        <v>102</v>
      </c>
    </row>
    <row r="6" spans="1:12" x14ac:dyDescent="0.25">
      <c r="A6" s="96" t="s">
        <v>2350</v>
      </c>
      <c r="B6" s="104">
        <v>10</v>
      </c>
      <c r="C6" s="104"/>
      <c r="D6" s="104"/>
      <c r="E6" s="104">
        <v>3</v>
      </c>
      <c r="F6" s="104"/>
      <c r="G6" s="104"/>
      <c r="H6" s="104">
        <v>6</v>
      </c>
      <c r="I6" s="104">
        <v>22</v>
      </c>
      <c r="J6" s="104">
        <v>3</v>
      </c>
      <c r="K6" s="104">
        <v>1</v>
      </c>
      <c r="L6" s="104">
        <v>45</v>
      </c>
    </row>
    <row r="7" spans="1:12" x14ac:dyDescent="0.25">
      <c r="A7" s="96" t="s">
        <v>2306</v>
      </c>
      <c r="B7" s="104"/>
      <c r="C7" s="104"/>
      <c r="D7" s="104"/>
      <c r="E7" s="104">
        <v>1</v>
      </c>
      <c r="F7" s="104"/>
      <c r="G7" s="104"/>
      <c r="H7" s="104"/>
      <c r="I7" s="104">
        <v>2</v>
      </c>
      <c r="J7" s="104">
        <v>3</v>
      </c>
      <c r="K7" s="104"/>
      <c r="L7" s="104">
        <v>6</v>
      </c>
    </row>
    <row r="8" spans="1:12" x14ac:dyDescent="0.25">
      <c r="A8" s="96" t="s">
        <v>2340</v>
      </c>
      <c r="B8" s="104">
        <v>19</v>
      </c>
      <c r="C8" s="104">
        <v>1</v>
      </c>
      <c r="D8" s="104">
        <v>4</v>
      </c>
      <c r="E8" s="104">
        <v>13</v>
      </c>
      <c r="F8" s="104">
        <v>9</v>
      </c>
      <c r="G8" s="104">
        <v>1</v>
      </c>
      <c r="H8" s="104">
        <v>12</v>
      </c>
      <c r="I8" s="104">
        <v>74</v>
      </c>
      <c r="J8" s="104">
        <v>17</v>
      </c>
      <c r="K8" s="104">
        <v>3</v>
      </c>
      <c r="L8" s="104">
        <v>153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45"/>
  <sheetViews>
    <sheetView workbookViewId="0">
      <selection activeCell="E21" sqref="E21"/>
    </sheetView>
  </sheetViews>
  <sheetFormatPr defaultRowHeight="15" x14ac:dyDescent="0.25"/>
  <cols>
    <col min="1" max="1" width="60.42578125" customWidth="1"/>
    <col min="2" max="2" width="31.7109375" bestFit="1" customWidth="1"/>
    <col min="5" max="5" width="12.85546875" bestFit="1" customWidth="1"/>
    <col min="6" max="6" width="9.42578125" style="16" bestFit="1" customWidth="1"/>
    <col min="7" max="7" width="32.42578125" bestFit="1" customWidth="1"/>
    <col min="8" max="8" width="7" bestFit="1" customWidth="1"/>
  </cols>
  <sheetData>
    <row r="3" spans="1:8" x14ac:dyDescent="0.25">
      <c r="A3" s="150" t="s">
        <v>2466</v>
      </c>
      <c r="B3" t="s">
        <v>2341</v>
      </c>
      <c r="E3" s="166" t="s">
        <v>3588</v>
      </c>
      <c r="F3" s="166" t="s">
        <v>3587</v>
      </c>
      <c r="G3" s="166" t="s">
        <v>3589</v>
      </c>
      <c r="H3" s="16"/>
    </row>
    <row r="4" spans="1:8" x14ac:dyDescent="0.25">
      <c r="A4" s="96" t="s">
        <v>159</v>
      </c>
      <c r="B4" s="104"/>
      <c r="E4" s="165" t="s">
        <v>3578</v>
      </c>
      <c r="F4" s="165">
        <v>11</v>
      </c>
      <c r="G4" s="165" t="s">
        <v>3582</v>
      </c>
      <c r="H4" s="16"/>
    </row>
    <row r="5" spans="1:8" x14ac:dyDescent="0.25">
      <c r="A5" s="164" t="s">
        <v>97</v>
      </c>
      <c r="B5" s="104">
        <v>4</v>
      </c>
      <c r="E5" s="165" t="s">
        <v>3577</v>
      </c>
      <c r="F5" s="165">
        <f>11+18</f>
        <v>29</v>
      </c>
      <c r="G5" s="165" t="s">
        <v>3583</v>
      </c>
      <c r="H5" s="16"/>
    </row>
    <row r="6" spans="1:8" x14ac:dyDescent="0.25">
      <c r="A6" s="164" t="s">
        <v>3346</v>
      </c>
      <c r="B6" s="104">
        <v>3</v>
      </c>
      <c r="E6" s="165" t="s">
        <v>3584</v>
      </c>
      <c r="F6" s="165">
        <v>70</v>
      </c>
      <c r="G6" s="165" t="s">
        <v>1430</v>
      </c>
      <c r="H6" s="16"/>
    </row>
    <row r="7" spans="1:8" x14ac:dyDescent="0.25">
      <c r="A7" s="164" t="s">
        <v>2358</v>
      </c>
      <c r="B7" s="104">
        <v>3</v>
      </c>
      <c r="E7" s="165" t="s">
        <v>3579</v>
      </c>
      <c r="F7" s="165">
        <v>11</v>
      </c>
      <c r="G7" s="165" t="s">
        <v>3585</v>
      </c>
      <c r="H7" s="16" t="s">
        <v>3580</v>
      </c>
    </row>
    <row r="8" spans="1:8" x14ac:dyDescent="0.25">
      <c r="A8" s="164" t="s">
        <v>2320</v>
      </c>
      <c r="B8" s="104">
        <v>10</v>
      </c>
      <c r="E8" s="165" t="s">
        <v>3586</v>
      </c>
      <c r="F8" s="165">
        <v>31</v>
      </c>
      <c r="G8" s="165" t="s">
        <v>3590</v>
      </c>
      <c r="H8" s="16"/>
    </row>
    <row r="9" spans="1:8" x14ac:dyDescent="0.25">
      <c r="A9" s="164" t="s">
        <v>2256</v>
      </c>
      <c r="B9" s="104">
        <v>2</v>
      </c>
      <c r="E9" s="165" t="s">
        <v>3581</v>
      </c>
      <c r="F9" s="165">
        <v>7</v>
      </c>
      <c r="G9" s="165" t="s">
        <v>108</v>
      </c>
      <c r="H9" s="16"/>
    </row>
    <row r="10" spans="1:8" x14ac:dyDescent="0.25">
      <c r="A10" s="164" t="s">
        <v>3227</v>
      </c>
      <c r="B10" s="104">
        <v>2</v>
      </c>
    </row>
    <row r="11" spans="1:8" x14ac:dyDescent="0.25">
      <c r="A11" s="96" t="s">
        <v>161</v>
      </c>
      <c r="B11" s="104"/>
    </row>
    <row r="12" spans="1:8" x14ac:dyDescent="0.25">
      <c r="A12" s="164" t="s">
        <v>97</v>
      </c>
      <c r="B12" s="104">
        <v>5</v>
      </c>
    </row>
    <row r="13" spans="1:8" x14ac:dyDescent="0.25">
      <c r="A13" s="164" t="s">
        <v>3346</v>
      </c>
      <c r="B13" s="104">
        <v>7</v>
      </c>
    </row>
    <row r="14" spans="1:8" x14ac:dyDescent="0.25">
      <c r="A14" s="164" t="s">
        <v>2358</v>
      </c>
      <c r="B14" s="104">
        <v>3</v>
      </c>
    </row>
    <row r="15" spans="1:8" x14ac:dyDescent="0.25">
      <c r="A15" s="164" t="s">
        <v>98</v>
      </c>
      <c r="B15" s="104">
        <v>1</v>
      </c>
    </row>
    <row r="16" spans="1:8" x14ac:dyDescent="0.25">
      <c r="A16" s="164" t="s">
        <v>2256</v>
      </c>
      <c r="B16" s="104">
        <v>1</v>
      </c>
    </row>
    <row r="17" spans="1:2" x14ac:dyDescent="0.25">
      <c r="A17" s="164" t="s">
        <v>3227</v>
      </c>
      <c r="B17" s="104">
        <v>1</v>
      </c>
    </row>
    <row r="18" spans="1:2" x14ac:dyDescent="0.25">
      <c r="A18" s="96" t="s">
        <v>108</v>
      </c>
      <c r="B18" s="104"/>
    </row>
    <row r="19" spans="1:2" x14ac:dyDescent="0.25">
      <c r="A19" s="164" t="s">
        <v>97</v>
      </c>
      <c r="B19" s="104">
        <v>5</v>
      </c>
    </row>
    <row r="20" spans="1:2" x14ac:dyDescent="0.25">
      <c r="A20" s="164" t="s">
        <v>3346</v>
      </c>
      <c r="B20" s="104">
        <v>2</v>
      </c>
    </row>
    <row r="21" spans="1:2" x14ac:dyDescent="0.25">
      <c r="A21" s="164" t="s">
        <v>2358</v>
      </c>
      <c r="B21" s="104">
        <v>1</v>
      </c>
    </row>
    <row r="22" spans="1:2" x14ac:dyDescent="0.25">
      <c r="A22" s="164" t="s">
        <v>98</v>
      </c>
      <c r="B22" s="104">
        <v>1</v>
      </c>
    </row>
    <row r="23" spans="1:2" x14ac:dyDescent="0.25">
      <c r="A23" s="96" t="s">
        <v>106</v>
      </c>
      <c r="B23" s="104"/>
    </row>
    <row r="24" spans="1:2" x14ac:dyDescent="0.25">
      <c r="A24" s="164" t="s">
        <v>97</v>
      </c>
      <c r="B24" s="104">
        <v>10</v>
      </c>
    </row>
    <row r="25" spans="1:2" x14ac:dyDescent="0.25">
      <c r="A25" s="164" t="s">
        <v>3346</v>
      </c>
      <c r="B25" s="104">
        <v>2</v>
      </c>
    </row>
    <row r="26" spans="1:2" x14ac:dyDescent="0.25">
      <c r="A26" s="164" t="s">
        <v>2358</v>
      </c>
      <c r="B26" s="104">
        <v>1</v>
      </c>
    </row>
    <row r="27" spans="1:2" x14ac:dyDescent="0.25">
      <c r="A27" s="96" t="s">
        <v>1430</v>
      </c>
      <c r="B27" s="104"/>
    </row>
    <row r="28" spans="1:2" x14ac:dyDescent="0.25">
      <c r="A28" s="164" t="s">
        <v>97</v>
      </c>
      <c r="B28" s="104">
        <v>61</v>
      </c>
    </row>
    <row r="29" spans="1:2" x14ac:dyDescent="0.25">
      <c r="A29" s="164" t="s">
        <v>3346</v>
      </c>
      <c r="B29" s="104">
        <v>17</v>
      </c>
    </row>
    <row r="30" spans="1:2" x14ac:dyDescent="0.25">
      <c r="A30" s="164" t="s">
        <v>2358</v>
      </c>
      <c r="B30" s="104">
        <v>1</v>
      </c>
    </row>
    <row r="31" spans="1:2" x14ac:dyDescent="0.25">
      <c r="A31" s="164" t="s">
        <v>2320</v>
      </c>
      <c r="B31" s="104">
        <v>6</v>
      </c>
    </row>
    <row r="32" spans="1:2" x14ac:dyDescent="0.25">
      <c r="A32" s="164" t="s">
        <v>98</v>
      </c>
      <c r="B32" s="104">
        <v>3</v>
      </c>
    </row>
    <row r="33" spans="1:2" x14ac:dyDescent="0.25">
      <c r="A33" s="164" t="s">
        <v>2256</v>
      </c>
      <c r="B33" s="104">
        <v>3</v>
      </c>
    </row>
    <row r="34" spans="1:2" x14ac:dyDescent="0.25">
      <c r="A34" s="164" t="s">
        <v>3227</v>
      </c>
      <c r="B34" s="104">
        <v>2</v>
      </c>
    </row>
    <row r="35" spans="1:2" x14ac:dyDescent="0.25">
      <c r="A35" s="96" t="s">
        <v>174</v>
      </c>
      <c r="B35" s="104"/>
    </row>
    <row r="36" spans="1:2" x14ac:dyDescent="0.25">
      <c r="A36" s="164" t="s">
        <v>97</v>
      </c>
      <c r="B36" s="104">
        <v>8</v>
      </c>
    </row>
    <row r="37" spans="1:2" x14ac:dyDescent="0.25">
      <c r="A37" s="164" t="s">
        <v>2358</v>
      </c>
      <c r="B37" s="104">
        <v>1</v>
      </c>
    </row>
    <row r="38" spans="1:2" x14ac:dyDescent="0.25">
      <c r="A38" s="164" t="s">
        <v>98</v>
      </c>
      <c r="B38" s="104">
        <v>1</v>
      </c>
    </row>
    <row r="39" spans="1:2" x14ac:dyDescent="0.25">
      <c r="A39" s="164" t="s">
        <v>2256</v>
      </c>
      <c r="B39" s="104">
        <v>7</v>
      </c>
    </row>
    <row r="40" spans="1:2" x14ac:dyDescent="0.25">
      <c r="A40" s="96" t="s">
        <v>155</v>
      </c>
      <c r="B40" s="104"/>
    </row>
    <row r="41" spans="1:2" x14ac:dyDescent="0.25">
      <c r="A41" s="164" t="s">
        <v>97</v>
      </c>
      <c r="B41" s="104">
        <v>1</v>
      </c>
    </row>
    <row r="42" spans="1:2" x14ac:dyDescent="0.25">
      <c r="A42" s="164" t="s">
        <v>2320</v>
      </c>
      <c r="B42" s="104">
        <v>2</v>
      </c>
    </row>
    <row r="43" spans="1:2" x14ac:dyDescent="0.25">
      <c r="A43" s="96" t="s">
        <v>3227</v>
      </c>
      <c r="B43" s="104"/>
    </row>
    <row r="44" spans="1:2" x14ac:dyDescent="0.25">
      <c r="A44" s="164" t="s">
        <v>3227</v>
      </c>
      <c r="B44" s="104">
        <v>2</v>
      </c>
    </row>
    <row r="45" spans="1:2" x14ac:dyDescent="0.25">
      <c r="A45" s="96" t="s">
        <v>2340</v>
      </c>
      <c r="B45" s="104">
        <v>179</v>
      </c>
    </row>
  </sheetData>
  <pageMargins left="0.511811024" right="0.511811024" top="0.78740157499999996" bottom="0.78740157499999996" header="0.31496062000000002" footer="0.31496062000000002"/>
  <pageSetup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4"/>
  <dimension ref="A1:XFD217"/>
  <sheetViews>
    <sheetView tabSelected="1" zoomScale="70" zoomScaleNormal="70" workbookViewId="0">
      <pane ySplit="2" topLeftCell="A3" activePane="bottomLeft" state="frozenSplit"/>
      <selection activeCell="AC1" sqref="AC1"/>
      <selection pane="bottomLeft" activeCell="U2" sqref="U2"/>
    </sheetView>
  </sheetViews>
  <sheetFormatPr defaultRowHeight="15" x14ac:dyDescent="0.25"/>
  <cols>
    <col min="1" max="1" width="29.85546875" style="101" customWidth="1"/>
    <col min="2" max="2" width="89" style="103" customWidth="1"/>
    <col min="3" max="3" width="19.85546875" style="103" customWidth="1"/>
    <col min="4" max="4" width="28.85546875" style="103" customWidth="1"/>
    <col min="5" max="5" width="28.42578125" style="103" bestFit="1" customWidth="1"/>
    <col min="6" max="7" width="28.42578125" style="103" customWidth="1"/>
    <col min="8" max="8" width="25.28515625" style="103" bestFit="1" customWidth="1"/>
    <col min="9" max="9" width="26" style="103" bestFit="1" customWidth="1"/>
    <col min="10" max="10" width="34.140625" style="103" bestFit="1" customWidth="1"/>
    <col min="11" max="11" width="20.7109375" style="108" bestFit="1" customWidth="1"/>
    <col min="12" max="12" width="20.7109375" style="103" bestFit="1" customWidth="1"/>
    <col min="13" max="13" width="20.140625" style="108" bestFit="1" customWidth="1"/>
    <col min="14" max="16" width="20.140625" style="108" customWidth="1"/>
    <col min="17" max="17" width="29.42578125" style="103" bestFit="1" customWidth="1"/>
    <col min="18" max="18" width="40.7109375" style="103" customWidth="1"/>
    <col min="19" max="21" width="70.7109375" style="109" customWidth="1"/>
    <col min="22" max="22" width="25.7109375" style="109" customWidth="1"/>
    <col min="23" max="23" width="25.7109375" style="110" customWidth="1"/>
    <col min="24" max="25" width="25.7109375" style="109" customWidth="1"/>
    <col min="26" max="26" width="15" style="110" bestFit="1" customWidth="1"/>
    <col min="27" max="27" width="30.5703125" style="109" bestFit="1" customWidth="1"/>
    <col min="28" max="28" width="22.28515625" style="109" hidden="1" customWidth="1"/>
    <col min="29" max="29" width="27.140625" style="109" hidden="1" customWidth="1"/>
    <col min="30" max="30" width="19.140625" style="101" hidden="1" customWidth="1"/>
    <col min="31" max="16384" width="9.140625" style="103"/>
  </cols>
  <sheetData>
    <row r="1" spans="1:30" ht="51" customHeight="1" x14ac:dyDescent="0.25">
      <c r="B1" s="101"/>
      <c r="C1" s="101"/>
      <c r="S1" s="170" t="s">
        <v>3873</v>
      </c>
      <c r="T1" s="170"/>
      <c r="U1" s="170"/>
      <c r="V1" s="167" t="s">
        <v>2764</v>
      </c>
      <c r="W1" s="167"/>
      <c r="X1" s="167"/>
    </row>
    <row r="2" spans="1:30" s="101" customFormat="1" ht="60" x14ac:dyDescent="0.25">
      <c r="A2" s="2" t="s">
        <v>0</v>
      </c>
      <c r="B2" s="2" t="s">
        <v>180</v>
      </c>
      <c r="C2" s="2" t="s">
        <v>3021</v>
      </c>
      <c r="D2" s="2" t="s">
        <v>2278</v>
      </c>
      <c r="E2" s="2" t="s">
        <v>3323</v>
      </c>
      <c r="F2" s="2" t="s">
        <v>3324</v>
      </c>
      <c r="G2" s="2" t="s">
        <v>3325</v>
      </c>
      <c r="H2" s="98" t="s">
        <v>2533</v>
      </c>
      <c r="I2" s="2" t="s">
        <v>2279</v>
      </c>
      <c r="J2" s="2" t="s">
        <v>1</v>
      </c>
      <c r="K2" s="97" t="s">
        <v>247</v>
      </c>
      <c r="L2" s="2" t="s">
        <v>178</v>
      </c>
      <c r="M2" s="97" t="s">
        <v>346</v>
      </c>
      <c r="N2" s="97" t="s">
        <v>3347</v>
      </c>
      <c r="O2" s="97" t="s">
        <v>3348</v>
      </c>
      <c r="P2" s="97" t="s">
        <v>2280</v>
      </c>
      <c r="Q2" s="2" t="s">
        <v>3326</v>
      </c>
      <c r="R2" s="2" t="s">
        <v>296</v>
      </c>
      <c r="S2" s="2" t="s">
        <v>2283</v>
      </c>
      <c r="T2" s="2" t="s">
        <v>3871</v>
      </c>
      <c r="U2" s="2" t="s">
        <v>3872</v>
      </c>
      <c r="V2" s="130" t="s">
        <v>2740</v>
      </c>
      <c r="W2" s="130" t="s">
        <v>2741</v>
      </c>
      <c r="X2" s="130" t="s">
        <v>2742</v>
      </c>
      <c r="Y2" s="2" t="s">
        <v>248</v>
      </c>
      <c r="Z2" s="97" t="s">
        <v>249</v>
      </c>
      <c r="AA2" s="2" t="s">
        <v>2284</v>
      </c>
      <c r="AB2" s="2" t="s">
        <v>2285</v>
      </c>
      <c r="AC2" s="2" t="s">
        <v>1425</v>
      </c>
      <c r="AD2" s="2" t="s">
        <v>2688</v>
      </c>
    </row>
    <row r="3" spans="1:30" ht="409.5" x14ac:dyDescent="0.25">
      <c r="A3" s="101" t="s">
        <v>337</v>
      </c>
      <c r="B3" s="103" t="s">
        <v>338</v>
      </c>
      <c r="C3" s="103" t="s">
        <v>3147</v>
      </c>
      <c r="D3" s="103" t="s">
        <v>118</v>
      </c>
      <c r="E3" s="103" t="s">
        <v>161</v>
      </c>
      <c r="F3" s="103" t="s">
        <v>3385</v>
      </c>
      <c r="G3" s="103" t="s">
        <v>3351</v>
      </c>
      <c r="H3" s="111" t="s">
        <v>177</v>
      </c>
      <c r="I3" s="103" t="s">
        <v>2313</v>
      </c>
      <c r="J3" s="103" t="s">
        <v>97</v>
      </c>
      <c r="K3" s="108">
        <v>42234</v>
      </c>
      <c r="L3" s="11">
        <f ca="1">IFERROR(IF(AND(Y3&lt;&gt;"Concluído",Y3&lt;&gt;"Cancelado"),TODAY()-K3+1,Z3-K3),"")</f>
        <v>289</v>
      </c>
      <c r="M3" s="108">
        <v>42272</v>
      </c>
      <c r="N3" s="108" t="s">
        <v>273</v>
      </c>
      <c r="O3" s="129" t="s">
        <v>2306</v>
      </c>
      <c r="P3" s="129" t="s">
        <v>2306</v>
      </c>
      <c r="Q3" s="129" t="s">
        <v>2306</v>
      </c>
      <c r="R3" s="113"/>
      <c r="S3" s="109" t="s">
        <v>3807</v>
      </c>
      <c r="T3" s="109" t="str">
        <f>CONCATENATE(U3,"                                      
",S3)</f>
        <v xml:space="preserve">                                      
31/05 - Executando passagem de cabeamento entre equipamentos entre gabinete avaya e Aspect / reguá Balloon. Após, necessarios configuração do E1, Aspect, DAC, PAs, e Aspect nas novas Campanhas;
25/05 - Esforço já enviado.  Aguardando retorno de TI Site quanto ao inicio das atividades para realização do cronograma.
17/05 - Novo desenho de engenharia já realizado.  Aguardando análise e próximos passos da equipe de CSE para avançarmos com o projeto
11/05 - Verificando com Engenharia qual o prazo para novo desenho, uma vez que o polo aspect a ser usado será o do Alegria. Previsão de retorno até 13/05
04/05 - Tivemos algumas definições que impactaram o cronograma de desenvolvimento (Polo Aspect, outras demandas, etc). Novo cronograma em análise com previsão de elaboração até dia 06/05
26/04 - Aguardando Definição de qual polo aspect utilizar. Definição Corporativa. sem prazo. Rico alto de atraso. Desenvolvimento Parcial...
22/03 - Em Desenvolvimento...previsão de conclusão do desenvolvimento em Maio/2016;
15/03 - Recebemos o layout do arquivo raw, equipe de desenvolvimento irá analisar ate amanhã. Desenvolvimento continua....
01/03 - Foram disponibilizados os Servidores em 26/02. Estamos em fase de desenvolvimento. Evoluindo...
23/02 - Disponibilizanod os servidores de BD, APP e D-1, até dia 26/02. Em paralelo as confirgurações da aplicação;
16/02 - Fase 1 de Desenvolvimento concluida. fase 2 em andamento. Em paralelo estamos analisando o espaço de Oracle (servidor) para a aplicação, com data limite até dia 22/02;
10/02 - Realisando ajustes na topologia para iniciar atividades com CSE. Em Paralelo estamos iniciando as atividades com equipe de desenvolvimento;
02/02 - Avaliações entre as equipes de Telecom, Discadores e Plataforma;
26/01 - Equipe de Plataforma esta revendo espaço do Storage pata liberar À equipe de Desenvolvimento. Desenvolvimento em andamento;
20/01 - devido a necessidade de investimento para upo grade do storage, e os debitos junto a não renovação de contrato com a DELL., estamos buscando 'limpar' o storage atual para tentar assim disponibilizar espaço. Sem Previsão, sendo tratado por Nelsom Klaus.
04/01 - Inicio de ENG em 04/01 e previsão de término em 15/01
25/11 - Cobrando disponibilização de Servidores para disponibilizar para desenvolvimentos. ainda sem data;
17/11 - Levantando insumos necessarios para desenvolvimento (servidor de desenvolvimento e Aplicação e BD);
03/11 - Aguardando avaliação da euiqpe do Rivaldo; sem previsão.
27/10 - Conforme alinhado no ultima reunião de Up Data de Projetos, será avaliado pela equipe do Rivaldo a real necessidade dessa solicitação, se farão correções no By Contax ou outro FF. Ainda sem data;
Enviado posteriormente/ encaminhar para priorização</v>
      </c>
      <c r="V3" s="109" t="s">
        <v>2755</v>
      </c>
      <c r="W3" s="110" t="s">
        <v>3217</v>
      </c>
      <c r="X3" s="131">
        <v>42510</v>
      </c>
      <c r="Y3" s="109" t="s">
        <v>243</v>
      </c>
      <c r="AA3" s="109">
        <v>40</v>
      </c>
      <c r="AB3" s="109" t="s">
        <v>2314</v>
      </c>
      <c r="AC3" s="109">
        <v>78.469200000000001</v>
      </c>
      <c r="AD3" s="101" t="s">
        <v>2350</v>
      </c>
    </row>
    <row r="4" spans="1:30" ht="409.5" x14ac:dyDescent="0.25">
      <c r="A4" s="101" t="s">
        <v>1668</v>
      </c>
      <c r="B4" s="103" t="s">
        <v>272</v>
      </c>
      <c r="C4" s="103" t="s">
        <v>3333</v>
      </c>
      <c r="D4" s="103" t="s">
        <v>118</v>
      </c>
      <c r="E4" s="103" t="s">
        <v>155</v>
      </c>
      <c r="F4" s="103" t="s">
        <v>3335</v>
      </c>
      <c r="H4" s="111" t="s">
        <v>177</v>
      </c>
      <c r="I4" s="103" t="s">
        <v>2310</v>
      </c>
      <c r="J4" s="103" t="s">
        <v>97</v>
      </c>
      <c r="K4" s="108">
        <v>42292.648611111108</v>
      </c>
      <c r="L4" s="11">
        <f ca="1">IFERROR(IF(AND(Y4&lt;&gt;"Concluído",Y4&lt;&gt;"Cancelado"),TODAY()-K4+1,Z4-K4),"")</f>
        <v>230.35138888889196</v>
      </c>
      <c r="M4" s="108">
        <v>42217</v>
      </c>
      <c r="N4" s="108" t="s">
        <v>273</v>
      </c>
      <c r="O4" s="108" t="s">
        <v>2306</v>
      </c>
      <c r="P4" s="108" t="s">
        <v>2306</v>
      </c>
      <c r="Q4" s="108" t="s">
        <v>2306</v>
      </c>
      <c r="R4" s="113"/>
      <c r="S4" s="109" t="s">
        <v>3808</v>
      </c>
      <c r="T4" s="109" t="str">
        <f t="shared" ref="T4:T67" si="0">CONCATENATE(U4,"                                      
",S4)</f>
        <v xml:space="preserve">                                      
31/05 - Aguardando renovaçõa de contrato junto a NICE para poder solicitar proposta de integração do TTV com as posiç~eos restantes da VIVO (Intergrall + Genesys), sem previsão;
11/05 - Mesmo status
04/05 - Mesmo status
26/04 - Aguardando proposta do Fornecedor que fará a intregraçãentre o TTV e posições da VIVO Fixa; sem previsão;
18/12 - Aguardando proposta do Fornecedor que fará a intregraçãentre o TTV e posições da VIVO Fixa; sem previsão;
25/11 - Aguardando proposta de terceiros para desenvolvimento de solução para capturar informações dos 8% de posições restantes (que utilizam InterGrall e Genesys do segmento da FIXA);
17/11 - TTV implantado em 92% das posiçoes da VIVO (Movel em 100%, fixa 82%, restando vizualizar 258 PAs que são Intergrall e 'Genesys' a definir estratégia);
03/11 - Realizando algumas configurações de SKILL junto as equipe de Planejamento, Avaya e NICE;
27/10 - Configurações finalizadas. em fase de homologação. No momento estamos aguardando as correções a serem realizadas pela equipe do Antonio Carlos - Planejamento VIVO, sem prazo informado;
20/10 - Periodo de configurações entre Contax e NICE. Previsão de conclusão das confgurações de TI, é 28/10;
06/10 - Aguardando emissão do PC para acionar a NICE, prazo para emissão até 08/10;
29/09 - Processo de Aprovação de SC e após, gerar pedidos;
29/09 - ja realizada aprovação do valor (U$34.794,54) em Comitê, sem data;
22/09 - Já temos a proposta da NICE, e estamos em processo de SC / Aprovações / PC. Após termos os pedido aguardaremos a disponibilização das licenças (em processo normal, o tempo é de até 60 dias, mas vamos trabalhar para ser disponibilizado o mais breve possivel;
16/09 - Estamos aguardando definição do Rivaldo Barbosa sobre a configuração e licenças da NICE para realizarmos testes (conf. Avaya já Ok desde 04/09). Milene ciente da necessidade de cobrar o Rivaldo.
</v>
      </c>
      <c r="V4" s="109" t="s">
        <v>2345</v>
      </c>
      <c r="W4" s="110" t="s">
        <v>524</v>
      </c>
      <c r="X4" s="109" t="s">
        <v>348</v>
      </c>
      <c r="Y4" s="109" t="s">
        <v>243</v>
      </c>
      <c r="AA4" s="109">
        <v>258</v>
      </c>
      <c r="AD4" s="101" t="s">
        <v>2350</v>
      </c>
    </row>
    <row r="5" spans="1:30" ht="409.5" x14ac:dyDescent="0.25">
      <c r="A5" s="148" t="s">
        <v>2504</v>
      </c>
      <c r="B5" s="103" t="s">
        <v>2673</v>
      </c>
      <c r="C5" s="103" t="s">
        <v>3106</v>
      </c>
      <c r="D5" s="103" t="s">
        <v>2289</v>
      </c>
      <c r="E5" s="103" t="s">
        <v>108</v>
      </c>
      <c r="G5" s="103" t="s">
        <v>3377</v>
      </c>
      <c r="H5" s="111" t="s">
        <v>2130</v>
      </c>
      <c r="I5" s="103" t="s">
        <v>2674</v>
      </c>
      <c r="J5" s="103" t="s">
        <v>3346</v>
      </c>
      <c r="K5" s="108">
        <v>42250</v>
      </c>
      <c r="L5" s="11">
        <f ca="1">IFERROR(IF(AND(Y5&lt;&gt;"Concluído",Y5&lt;&gt;"Cancelado"),TODAY()-K5+1,Z5-K5),"")</f>
        <v>273</v>
      </c>
      <c r="M5" s="108">
        <v>42284</v>
      </c>
      <c r="N5" s="108" t="s">
        <v>273</v>
      </c>
      <c r="O5" s="108" t="s">
        <v>2306</v>
      </c>
      <c r="P5" s="108" t="s">
        <v>2306</v>
      </c>
      <c r="Q5" s="103" t="s">
        <v>2306</v>
      </c>
      <c r="R5" s="45"/>
      <c r="S5" s="114" t="s">
        <v>3789</v>
      </c>
      <c r="T5" s="109" t="str">
        <f t="shared" si="0"/>
        <v xml:space="preserve">                                      
[31/05] - Aguardando retorno de avaliação de Impactos pela equipe Aplicações.
[24/05] - Necessário definição de proximos passos sobre a analise / execução dessa solicitação ( Adalto )
[17/05] - Necessário definição de proximos passos sobre a analise / execução dessa solicitação ( Adalto )
[10/05]Pendente entrega de Aplicações.Alinhamento com Rivaldo.
[03/05]Pendente entrega de Aplicações.
[26/04]Respondido por time de aplicações que OG será entrege até 26/04.
[19/04] - Projeto encaminhadopara analise tecnica equipe Adalto. (Recomendação (Koreeda e Rivaldo). Email Klaus.
Retorno Aplicações previsto 26/04.
[12/04] - Aguardando retorno do solicitante , se prosseguiremos como projeto, a partir das cotações apresentadas apara Upgrade.
[05/04] - Mesmo status 
[29/03] - Mesmo status.[22/03] mesmo status.
Aguardando agenda do solicitante para call tecnico (redução cistos x risco ambiente ) 
[15/03] - Aguardand o agenda do solicitante para call tecnico (redução cistos x risco ambiente ) .
[08/03] - Solicitante pediu revisão de solução ( possibilidade redução custos).
[29/02] - Custos encaminhados para analise do Solicitante.
[23/02] - Aguardando retorno Engenharia.
[16/02] -  Em  Processo de cotação de insumo de TI para upgrage servidores (em andamento por Engenharia)
[10/02] - Processo de cotação de insumo de TI para upgrage servidores está em andamento por Engenharia.
03/02 -Projeto já Inserido na Fila Klaus. Estava sendo tratado diretamente entre Lustosa e Klaus
Status  atual: Equipe de Engenharia está fazendo a cotação de Insumos para Upgrade servidores.
02/02 - Esclarecendo com Solicitante, pois nessa demanda solicita migração de 2 servidores sem contrato de suporte e alto risco falha, rodando faturamento, relatórios contratuais e informações de trafego do Itau, além sandbox. Projeto aberto Set/15;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
Dalton Bondesan added a comment - 08/Set/15 18:56 
Projeto encaminhado para a Fila de TI-ENG para Análise e estimativa. </v>
      </c>
      <c r="U5" s="114"/>
      <c r="V5" s="109" t="s">
        <v>3452</v>
      </c>
      <c r="W5" s="110" t="s">
        <v>3790</v>
      </c>
      <c r="X5" s="131">
        <v>42486</v>
      </c>
      <c r="Y5" s="109" t="s">
        <v>1515</v>
      </c>
      <c r="Z5" s="110" t="s">
        <v>2531</v>
      </c>
      <c r="AA5" s="109" t="s">
        <v>348</v>
      </c>
      <c r="AB5" s="101" t="s">
        <v>2350</v>
      </c>
      <c r="AC5" s="108"/>
      <c r="AD5" s="101" t="s">
        <v>273</v>
      </c>
    </row>
    <row r="6" spans="1:30" ht="409.5" x14ac:dyDescent="0.25">
      <c r="A6" s="101" t="s">
        <v>2505</v>
      </c>
      <c r="B6" s="103" t="s">
        <v>2675</v>
      </c>
      <c r="C6" s="103" t="s">
        <v>3106</v>
      </c>
      <c r="D6" s="103" t="s">
        <v>2289</v>
      </c>
      <c r="E6" s="103" t="s">
        <v>108</v>
      </c>
      <c r="G6" s="103" t="s">
        <v>3377</v>
      </c>
      <c r="H6" s="111" t="s">
        <v>2130</v>
      </c>
      <c r="I6" s="103" t="s">
        <v>2674</v>
      </c>
      <c r="J6" s="103" t="s">
        <v>3346</v>
      </c>
      <c r="K6" s="108">
        <v>42269</v>
      </c>
      <c r="L6" s="11">
        <f ca="1">IFERROR(IF(AND(Y6&lt;&gt;"Concluído",Y6&lt;&gt;"Cancelado"),TODAY()-K6+1,Z6-K6),"")</f>
        <v>254</v>
      </c>
      <c r="M6" s="108">
        <v>42284</v>
      </c>
      <c r="N6" s="108" t="s">
        <v>273</v>
      </c>
      <c r="O6" s="108" t="s">
        <v>2306</v>
      </c>
      <c r="P6" s="108" t="s">
        <v>2306</v>
      </c>
      <c r="Q6" s="103" t="s">
        <v>2306</v>
      </c>
      <c r="R6" s="45"/>
      <c r="S6" s="114" t="s">
        <v>3791</v>
      </c>
      <c r="T6" s="109" t="str">
        <f t="shared" si="0"/>
        <v xml:space="preserve">                                      
[31/05 ]- Aguardando lançamento de nova versão do SQL 2016. ( Previsão 1° sem 2016)
[24/05 ]- Aguardando lançamento de nova versão do SQL 2016. ( Previsão 1° sem 2016)
[17/05] - Em andamento com equipe Arquitetura. 
Aguardando lançamento de nova versão do SQL 2016. ( Previsão 1° sem 2016)
[03/05] - Em andamento com Arquitetura TI (Eder) Questionada nova previsão de  entrega para 13/05. Klaus citou que projeto vai ficar congelado até lançamento do SQL 2016.
[03/05] - Em andamento com Arquitetura TI (Eder) previsão de 
05/05.
[26/04] - Em andamento com Arquitetura TI (Eder) previsão de entrega em 29/04.
[19/04] - Em andamento com Arquitetura TI (Eder) 
[12/04] - Ações tecnicas em andamento, sendo alinhadas diretamente com solicitante x TI .
[05/04] - Ações tecnicas sendo alinhadas diretamente com solicitante .
[29/03] - Em andamento . Alinhamento direto entre Engenharia e equipe BI
[22/03] - BP aprovado. Fase de desenho solução com Engenharia e BI.
[15/03] - Aguradando retorno do solicitante (Lustosa) com a aprovação do BP no Comitê.
[08/03 ] - devido ao parecer tecnico no projeto CTXRJOMA-78762   Projeto - DATAZEN "On Premises", Mauricio Lustosa seguirá  com a apresentação do BP no comitê.
[29/02] - BP avaliadopor Engenharia. EM Hold, aguardando avaliação de uma nova proposta de solução utilizando servidores fisicos na Contax. Sendo desenhada em outro projeto.
[23/02] - Aguardando retorno Engenharia.
[16/02] -  BP avaliado por  TI e  uma segunda proposta para solução  ( on premises) enviada pelo Solicitante, sendo avaliada por Engenharia TI.
[10/02] - Solução tecnica sendo avaliada pela Diretoria e Engenharia.
03/02 - Escopo desse projeto já estava sendo tratado pela equipe do Klaus, direto com equipe Lustosa.
Klaus havia sinalizado a necessidade do Lustosa apresentar BP para comitê. A discussão desse tema está no email anexo.
Ação:  esclarecer com Koreeda, se seguiremos sem apresentação BP (email anexo) .
Trata-se de utilização de Créditos “ já pagos “ pela Contax, para implementação deste Projeto na Nuvem.
02/02 - Esclarecendo com solicitante. Necessário aprovação de BP (resp. Lustosa), para continuidade do porjeto, por Engenharia.  (+/- US$ 6.682,92)
Necessário retomar a prioridade deste projeto com Engenharia.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
Dalton Bondesan added a comment - 24/Set/15 15:44 
Projeto encaminhado para a Fila de TI-ENG para iniciar a Análise e estimativa. </v>
      </c>
      <c r="U6" s="114"/>
      <c r="V6" s="109" t="s">
        <v>2844</v>
      </c>
      <c r="W6" s="110" t="s">
        <v>3288</v>
      </c>
      <c r="X6" s="109" t="s">
        <v>2531</v>
      </c>
      <c r="Y6" s="109" t="s">
        <v>243</v>
      </c>
      <c r="Z6" s="110" t="s">
        <v>2531</v>
      </c>
      <c r="AA6" s="109" t="s">
        <v>348</v>
      </c>
      <c r="AB6" s="101" t="s">
        <v>2350</v>
      </c>
      <c r="AC6" s="108"/>
      <c r="AD6" s="101" t="s">
        <v>273</v>
      </c>
    </row>
    <row r="7" spans="1:30" ht="409.5" x14ac:dyDescent="0.25">
      <c r="A7" s="40" t="s">
        <v>299</v>
      </c>
      <c r="B7" s="103" t="s">
        <v>2465</v>
      </c>
      <c r="C7" s="103" t="s">
        <v>3087</v>
      </c>
      <c r="D7" s="103" t="s">
        <v>118</v>
      </c>
      <c r="E7" s="103" t="s">
        <v>106</v>
      </c>
      <c r="F7" s="103" t="s">
        <v>3336</v>
      </c>
      <c r="G7" s="103" t="s">
        <v>3342</v>
      </c>
      <c r="H7" s="111" t="s">
        <v>2407</v>
      </c>
      <c r="I7" s="103" t="s">
        <v>2576</v>
      </c>
      <c r="J7" s="103" t="s">
        <v>97</v>
      </c>
      <c r="K7" s="108">
        <v>42250</v>
      </c>
      <c r="L7" s="11">
        <f ca="1">IFERROR(IF(AND(Y7&lt;&gt;"Concluído",Y7&lt;&gt;"Cancelado"),TODAY()-K7+1,Z7-K7),"")</f>
        <v>273</v>
      </c>
      <c r="M7" s="108">
        <v>42272</v>
      </c>
      <c r="N7" s="108" t="s">
        <v>2350</v>
      </c>
      <c r="O7" s="108">
        <v>42402</v>
      </c>
      <c r="P7" s="110" t="s">
        <v>3617</v>
      </c>
      <c r="Q7" s="103" t="s">
        <v>2678</v>
      </c>
      <c r="R7" s="113"/>
      <c r="S7" s="109" t="s">
        <v>3618</v>
      </c>
      <c r="T7" s="109" t="str">
        <f t="shared" si="0"/>
        <v xml:space="preserve">                                      
[30/05] - Banco aprovou no dia 23/05 a utlização do tSupervisor. Próximo passo será alinhamento com os sites sobre as viradas e elaboração do cronograma.
[24/05] - Mesmo status
[16/05] - Aguardando aprovação do banco para a utilização do tSupervidor
 [10/05] - Banco solicita novamente uma call para tirar dúvidas do tSupervisor.
[02/05] - Banco fez novamente questionamentos sobre a aplicação. Prazo de entrega 04/05
[25/04] - Mesmo status
[19/4] - Mesmo status
[12/4] - Aguardando aprovação do banco para a utilização do tSupervisor.
[04/04] - Encaminhado ao banco as evidências de segurnaça do tSupervisor.
[29/03] - Mesmo status
[22/03] -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
Aguardando apenas o de acordo para seguir com o projeto. Juliana 20/01
O banco informou que o De acordo leva em média 10 dias úteis e com este prazo não conseguiremos implantar o t-Supervisor. Ainda permancemos aguardando o De acordo do banco. Débora 23/11
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
Projeto previsto para ser concluído em 16/11. Estou aguardando um de acordo do banco para seguir com a execução do projeto. Débora 03/11
Projeto previsto para ser concluído em 16/11. Estou aguardando um de acordo do banco para seguir com a execução do projeto. Débora 27/10
Em levantamento com os executores a duração para configuração do t-Supervisor, pois é um pré-requisito para implantar o Win7 e ainda não foi definido um resposável por apresentar a solução ao banco. Débora 20/10.
Ainda não foi definido um resposável por apresentar a solução ao banco. Débora 13/10.
Demanda está em análise. O sistema tSupervisor será apresentado ao banco como uma solução alternativa ao SMPA que não é compatível com o win7. A equipe do Alexandre Morais está responsável por elaborar o material que será apresentado ao banco. Data TBD.
[Fabiana 18/09] - BASE LINE ITAÚ (Windows 7) - Trata-se da análise do sistema T-Supervisor visto que nos testes realizados pelo Rosim há problemas de compatibilidade com o windows 7.
</v>
      </c>
      <c r="V7" s="109" t="s">
        <v>2758</v>
      </c>
      <c r="W7" s="110" t="s">
        <v>2576</v>
      </c>
      <c r="X7" s="109" t="s">
        <v>2525</v>
      </c>
      <c r="Y7" s="109" t="s">
        <v>2886</v>
      </c>
      <c r="Z7" s="110">
        <v>42488</v>
      </c>
      <c r="AA7" s="109">
        <v>3076</v>
      </c>
      <c r="AB7" s="101" t="s">
        <v>273</v>
      </c>
      <c r="AC7" s="108" t="s">
        <v>2282</v>
      </c>
      <c r="AD7" s="101" t="s">
        <v>273</v>
      </c>
    </row>
    <row r="8" spans="1:30" ht="409.5" x14ac:dyDescent="0.25">
      <c r="A8" s="40" t="s">
        <v>2506</v>
      </c>
      <c r="B8" s="103" t="s">
        <v>2457</v>
      </c>
      <c r="C8" s="103" t="s">
        <v>3087</v>
      </c>
      <c r="D8" s="103" t="s">
        <v>118</v>
      </c>
      <c r="E8" s="103" t="s">
        <v>106</v>
      </c>
      <c r="F8" s="103" t="s">
        <v>3336</v>
      </c>
      <c r="G8" s="103" t="s">
        <v>3342</v>
      </c>
      <c r="H8" s="111" t="s">
        <v>2407</v>
      </c>
      <c r="I8" s="103" t="s">
        <v>2576</v>
      </c>
      <c r="J8" s="103" t="s">
        <v>97</v>
      </c>
      <c r="K8" s="108">
        <v>42261</v>
      </c>
      <c r="L8" s="11">
        <f ca="1">IFERROR(IF(AND(Y8&lt;&gt;"Concluído",Y8&lt;&gt;"Cancelado"),TODAY()-K8+1,Z8-K8),"")</f>
        <v>262</v>
      </c>
      <c r="M8" s="108">
        <v>42272</v>
      </c>
      <c r="N8" s="108" t="s">
        <v>2350</v>
      </c>
      <c r="O8" s="108">
        <v>42402</v>
      </c>
      <c r="P8" s="108">
        <v>42704</v>
      </c>
      <c r="Q8" s="109" t="s">
        <v>2350</v>
      </c>
      <c r="R8" s="44"/>
      <c r="S8" s="109" t="s">
        <v>3619</v>
      </c>
      <c r="T8" s="109" t="str">
        <f t="shared" si="0"/>
        <v xml:space="preserve">                                      
[30/05] - Mesmo status
[24/05] - Mesmo status
[16/05] - Em desenvolvimento
[10/05] - Aguardando a entrega das licenças
[02/05] - Gerado número do pedido. Aguardando o envio das licenças pelo fornecedor.
[25/4] - Mesmo status
[19/4] - Mesmo status
[12/4] - Mesmo status
[4/4] - Mesmo Status
[29/03] Cotação com os fornecedores e aguardando geração de Pedido. 
[22/03] - Mesmo status
[15/03] - Mesmo status
[08/03] - Aguardando geração de pedido                                                                                                                                                                                                                                                                            [29/02] - Aguardando aprovação da SC. 
[22/02] - Aguardando abertura de SC                                                                                                                                                                                                                                                                                 [16/02] - Solicitado abertura de SC para contratação do fornecedor                                                                [10/02] Mesmo Status                                                                                                                                                                                                                                                                                                                [02/02] - No dia 28/01 foi solicitado a revisão da proposta do fornecedor, estamos aguardando para a criação de SC.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a migração do t-Supervisor, pois é um pré-requisito para a migração do win7. Débora 01/12
A solução sem custos não funcionou e será necessário a contratação de um fornecedor para executar este projeto. Proposta comercial em análise pelo Banco. Débora 23/11
A solução sem custos não funcionou e será necessário a contratação de um fornecedor para executar este projeto. Proposta comercial em análise pelo Banco. Débora 17/11
A solução sem custos não funcionou e será necessário a contratação de um fornecedor para executar este projeto. Proposta comercial em análise pelo Banco. Débora 10/11
A solução sem custos não funcionou e será necessário a contratação de um fornecedor para executar este projeto. Proposta comercial em análise pelo Banco. Débora 03/11
A solução sem custos não funcionou e será necessário a contratação de um fornecedor para executar este projeto. Proposta comercial em análise pelo Banco. Débora 27/10
O piloto está previsto para iniciar em 19/10 à 21/10 no site Mackenzie. Débora 13/10/15.
O piloto está previsto para iniciar em 19/10 à 21/10 no site Mackenzie.
Esse chamado se aplica ao site Santo Amaro. Débora 05/10/15
[Fabiana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
Esse chamado se aplica ao site Santo Amaro.</v>
      </c>
      <c r="V8" s="109" t="s">
        <v>2826</v>
      </c>
      <c r="W8" s="110" t="s">
        <v>3620</v>
      </c>
      <c r="X8" s="131">
        <v>42704</v>
      </c>
      <c r="Y8" s="109" t="s">
        <v>243</v>
      </c>
      <c r="Z8" s="110">
        <v>42704</v>
      </c>
      <c r="AA8" s="109">
        <v>3076</v>
      </c>
      <c r="AB8" s="101" t="s">
        <v>273</v>
      </c>
      <c r="AC8" s="108" t="s">
        <v>2282</v>
      </c>
      <c r="AD8" s="101" t="s">
        <v>273</v>
      </c>
    </row>
    <row r="9" spans="1:30" ht="409.5" x14ac:dyDescent="0.25">
      <c r="A9" s="40" t="s">
        <v>2507</v>
      </c>
      <c r="B9" s="103" t="s">
        <v>2459</v>
      </c>
      <c r="C9" s="103" t="s">
        <v>3087</v>
      </c>
      <c r="D9" s="103" t="s">
        <v>118</v>
      </c>
      <c r="E9" s="103" t="s">
        <v>106</v>
      </c>
      <c r="F9" s="103" t="s">
        <v>3336</v>
      </c>
      <c r="G9" s="103" t="s">
        <v>3342</v>
      </c>
      <c r="H9" s="111" t="s">
        <v>2407</v>
      </c>
      <c r="I9" s="103" t="s">
        <v>2576</v>
      </c>
      <c r="J9" s="103" t="s">
        <v>97</v>
      </c>
      <c r="K9" s="108">
        <v>42291</v>
      </c>
      <c r="L9" s="11">
        <f ca="1">IFERROR(IF(AND(Y9&lt;&gt;"Concluído",Y9&lt;&gt;"Cancelado"),TODAY()-K9+1,Z9-K9),"")</f>
        <v>232</v>
      </c>
      <c r="M9" s="108">
        <v>42299</v>
      </c>
      <c r="N9" s="108" t="s">
        <v>2350</v>
      </c>
      <c r="O9" s="108">
        <v>42402</v>
      </c>
      <c r="P9" s="110">
        <v>42573</v>
      </c>
      <c r="Q9" s="109" t="s">
        <v>2526</v>
      </c>
      <c r="R9" s="45"/>
      <c r="S9" s="109" t="s">
        <v>3621</v>
      </c>
      <c r="T9" s="109" t="str">
        <f t="shared" si="0"/>
        <v xml:space="preserve">                                      
[30/05] - Realizado conferencia com Itau e nossa equipe de redes para entendimento da configuração da Protheus. Necessário a criação de usuário de acesso ao servidor para que a equipe da Protheus possa configurar a aplicação.
[24/05] - Aguardando liberações de rede. Agendado para o dia 25/05 uma reunião de alinhamento com Itaú
[16/05] - Mesmo status
[10/05] - Aguardando liberação de rede para instalação da aplicação do Protheus
[02/05] - Disponibilizado servidor. Aguardando o banco instalar a aplicação do Protheus. Prazo TDB
[25/4] - Mesmo status
[19/4] - Projeto em andamento
[12/4] - Solicitado apoio da equipe do Veloso para iniciar as atividades do projeto. 
[4/4] - Aguardando data do cronograma para inicio das atividades
[29/03] - Mesmo status
[21/3] - Mesmo status
[15/03] - Mesmo status
[08/03]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o projeto. Débora 01/12
Cronograma definido e aguardando a negociação comercial com o banco e a aquisição dos recursos. Débora 23/11.
Cronograma definido e aguardando a negociação comercial com o banco e a aquisição dos recursos. Débora 17/11.
Cronograma definido e aguardando a negociação comercial com o banco e a aquisição dos recursos. Débora 10/11.
Em definição o cronograma de implantação da auditoria automatizada. Este projeto aguarda a implantação do Win7 para desenvolver o cronograma. Débora 03/11 
Em definição o cronograma de implantação da auditoria automatizada. Débora 27/10
22/10 - Auditoria Autómatica: Levantado o custo de implantação, porém está pendente o cronograma de implantação</v>
      </c>
      <c r="V9" s="109" t="s">
        <v>3622</v>
      </c>
      <c r="X9" s="131">
        <v>42527</v>
      </c>
      <c r="Y9" s="109" t="s">
        <v>243</v>
      </c>
      <c r="Z9" s="110">
        <v>42573</v>
      </c>
      <c r="AA9" s="109">
        <v>3076</v>
      </c>
      <c r="AB9" s="101" t="s">
        <v>273</v>
      </c>
      <c r="AC9" s="108" t="s">
        <v>2282</v>
      </c>
      <c r="AD9" s="101" t="s">
        <v>273</v>
      </c>
    </row>
    <row r="10" spans="1:30" ht="409.5" x14ac:dyDescent="0.25">
      <c r="A10" s="40" t="s">
        <v>2508</v>
      </c>
      <c r="B10" s="103" t="s">
        <v>2460</v>
      </c>
      <c r="C10" s="103" t="s">
        <v>3087</v>
      </c>
      <c r="D10" s="103" t="s">
        <v>118</v>
      </c>
      <c r="E10" s="103" t="s">
        <v>106</v>
      </c>
      <c r="F10" s="103" t="s">
        <v>3336</v>
      </c>
      <c r="G10" s="103" t="s">
        <v>3342</v>
      </c>
      <c r="H10" s="111" t="s">
        <v>2407</v>
      </c>
      <c r="I10" s="103" t="s">
        <v>2576</v>
      </c>
      <c r="J10" s="103" t="s">
        <v>97</v>
      </c>
      <c r="K10" s="108">
        <v>42291</v>
      </c>
      <c r="L10" s="11">
        <f ca="1">IFERROR(IF(AND(Y10&lt;&gt;"Concluído",Y10&lt;&gt;"Cancelado"),TODAY()-K10+1,Z10-K10),"")</f>
        <v>232</v>
      </c>
      <c r="M10" s="108">
        <v>42299</v>
      </c>
      <c r="N10" s="108" t="s">
        <v>273</v>
      </c>
      <c r="O10" s="108">
        <v>42503</v>
      </c>
      <c r="P10" s="108" t="s">
        <v>2306</v>
      </c>
      <c r="Q10" s="109" t="s">
        <v>3361</v>
      </c>
      <c r="R10" s="113"/>
      <c r="S10" s="109" t="s">
        <v>3623</v>
      </c>
      <c r="T10" s="109" t="str">
        <f t="shared" si="0"/>
        <v xml:space="preserve">                                      
[30/05] - Mesmo status
[24/05] - Agendado uma nova reunião com equipe interna para entendimento e resolução do projeto.
[16/05] - Aguardando avaliação de SI
[10/5] - Aguardando avaliação de TI e SI sobre as propostas.
[02/05] - As consultorias retornou com as propostas comerciais, mas a equipe da Operação realizou vários questionamentos e teremos que realizar uma conferencia para tirar as dúvidas.
[25/04] - Aguardando retorno da consultoria
[19/04] Consultorias enviou as propostas, porém havia solicitado que a proposta teria que ser dividida entre os sub-projetos do Bolha. Solicitado revisão da proposta.
[12/4] - Aguardando envio de proposta comercial das consultorias. O prazo era até dia 8/4. 
[4/4] - Veloso entregou a lista de equipamentos e SI esta avaliando as informações. Prazo de avaliação 4/4
[29/03] - Mesmo status
[22/03] - Aguardando informações do Veloso 
[15/03] - Mesmo status
[08/03] - Mesmo status                                                                                                                                                                                                                                                                                                              [29/02] - Consultoria analisando a solução.    
[23/02]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Custos enviados pelo Veloso, R$581.768,16 e em análise se infra de TI tem algum custo. Débora 01/12
Custos enviados pelo Veloso, R$581.768,16 e em análise se infra de TI tem algum custo. Débora 23/11
Custos enviados pelo Veloso, R$581.768,16. Débora 17/11
Levantamento de custo e cronograma previsto para 13/11. Débora 10/11
Levantamento de custo e cronograma previsto para 13/11. Débora 03/11
Levantamento de custo e cronograma previsto para 13/11. Débora 27/10
22/10 - Baseline Itaú – Hardenings: Levantamento de custo e cronograma previsto para 13/11. </v>
      </c>
      <c r="V10" s="109" t="s">
        <v>3471</v>
      </c>
      <c r="W10" s="110" t="s">
        <v>3212</v>
      </c>
      <c r="X10" s="131" t="s">
        <v>2525</v>
      </c>
      <c r="Y10" s="109" t="s">
        <v>1515</v>
      </c>
      <c r="Z10" s="110" t="s">
        <v>2525</v>
      </c>
      <c r="AA10" s="109">
        <v>3076</v>
      </c>
      <c r="AB10" s="101" t="s">
        <v>273</v>
      </c>
      <c r="AC10" s="108" t="s">
        <v>2282</v>
      </c>
      <c r="AD10" s="101" t="s">
        <v>273</v>
      </c>
    </row>
    <row r="11" spans="1:30" ht="409.5" x14ac:dyDescent="0.25">
      <c r="A11" s="40" t="s">
        <v>157</v>
      </c>
      <c r="B11" s="103" t="s">
        <v>2464</v>
      </c>
      <c r="C11" s="103" t="s">
        <v>3087</v>
      </c>
      <c r="D11" s="103" t="s">
        <v>118</v>
      </c>
      <c r="E11" s="103" t="s">
        <v>106</v>
      </c>
      <c r="F11" s="103" t="s">
        <v>3336</v>
      </c>
      <c r="G11" s="103" t="s">
        <v>3342</v>
      </c>
      <c r="H11" s="111" t="s">
        <v>2407</v>
      </c>
      <c r="I11" s="103" t="s">
        <v>2576</v>
      </c>
      <c r="J11" s="103" t="s">
        <v>97</v>
      </c>
      <c r="K11" s="108">
        <v>42250</v>
      </c>
      <c r="L11" s="11">
        <f ca="1">IFERROR(IF(AND(Y11&lt;&gt;"Concluído",Y11&lt;&gt;"Cancelado"),TODAY()-K11+1,Z11-K11),"")</f>
        <v>273</v>
      </c>
      <c r="M11" s="108">
        <v>42272</v>
      </c>
      <c r="N11" s="108" t="s">
        <v>2350</v>
      </c>
      <c r="O11" s="108">
        <v>42402</v>
      </c>
      <c r="P11" s="110" t="s">
        <v>3617</v>
      </c>
      <c r="Q11" s="103" t="s">
        <v>2678</v>
      </c>
      <c r="R11" s="113"/>
      <c r="S11" s="109" t="s">
        <v>3624</v>
      </c>
      <c r="T11" s="109" t="str">
        <f t="shared" si="0"/>
        <v xml:space="preserve">                                      
[30/05] - Banco aprovou no dia 23/05 a utlização do tSupervisor. Próximo passo será alinhamento com os sites sobre as viradas e elaboração do cronograma.
[24/05] - Mesmo status
[16/05] - Aguardando aprovação do banco para a utilização do tSupervidor
[10/05] - Banco solicita novamente uma call para tirar dúvidas do tSupervisor.
[02/05] - Banco fez novamente questionamentos sobre a aplicação. Prazo de entrega 04/05
[25/04] - Mesmo status
[19/4] - Mesmo status
[12/4] - Mesmo status
[4/4] - Aguardando aprovação do banco para utilização do tSupervior
[29/03] - Mesmo status
[22/03]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
Aguardando apenas o de acordo para seguir com a migração do t-Supervisor, pois é um pré-requisito para a migração do win7. Débora 01/12
Projeto previsto para iniciar em 17/11 no site e a migração tem duração de 22 dias. Aguardando apenas o de acordo para seguir com a migração do t-Supervisor, pois é um pré-requisito para a migração do win7. Débora 23/11
Projeto previsto para iniciar em 17/11 no site e a migração tem duração de 22 dias. Aguardando apenas o de acordo para seguir com a migração do t-Supervisor, pois é um pré-requisito para a migração do win7. Débora 17/11
Projeto previsto para iniciar em 17/11 no site e a migração tem duração de 22 dias. Aguardando apenas o de acordo para seguir com a migração do t-Supervisor, pois é um pré-requisito para a migração do win7. Débora 03/11
Projeto previsto para iniciar em 17/11 no site e a migração tem duração de 22 dias. Aguardando apenas o de acordo para seguir com a migração do t-Supervisor, pois é um pré-requisito para a migração do win7. Débora 27/10
Em levantamento com os executores a duração para configuração do t-Supervisor, pois é um pré-requisito para implantar o Win7. Débora 20/10/15
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Windows 7 - Rosim concluiu a criação da imagem do Win 7 e iníciou os teste na operação em 25/09 com duração de uma semana  até a conclusão dos testes. Necessário realinhar o cronograma. 
Ainda permanece em andamento a Negociação das Licenças com o Banco (Resp.: Ricardo) / Pendente Mapeamento Operações 2° e 3° onda de PE (Resp.: Rosim).
Esse chamado aplica-se a implantação no Site Santo Amaro. Débora 25/09/15</v>
      </c>
      <c r="V11" s="109" t="s">
        <v>2758</v>
      </c>
      <c r="W11" s="110" t="s">
        <v>2576</v>
      </c>
      <c r="X11" s="109" t="s">
        <v>2525</v>
      </c>
      <c r="Y11" s="109" t="s">
        <v>2886</v>
      </c>
      <c r="Z11" s="110">
        <v>42488</v>
      </c>
      <c r="AA11" s="109">
        <v>3076</v>
      </c>
      <c r="AB11" s="101" t="s">
        <v>273</v>
      </c>
      <c r="AC11" s="108" t="s">
        <v>2282</v>
      </c>
      <c r="AD11" s="101" t="s">
        <v>273</v>
      </c>
    </row>
    <row r="12" spans="1:30" ht="409.5" x14ac:dyDescent="0.25">
      <c r="A12" s="40" t="s">
        <v>2509</v>
      </c>
      <c r="B12" s="103" t="s">
        <v>2461</v>
      </c>
      <c r="C12" s="103" t="s">
        <v>3087</v>
      </c>
      <c r="D12" s="103" t="s">
        <v>118</v>
      </c>
      <c r="E12" s="103" t="s">
        <v>106</v>
      </c>
      <c r="F12" s="103" t="s">
        <v>3336</v>
      </c>
      <c r="G12" s="103" t="s">
        <v>3342</v>
      </c>
      <c r="H12" s="111" t="s">
        <v>2407</v>
      </c>
      <c r="I12" s="103" t="s">
        <v>2576</v>
      </c>
      <c r="J12" s="103" t="s">
        <v>97</v>
      </c>
      <c r="K12" s="108">
        <v>42291</v>
      </c>
      <c r="L12" s="11">
        <f ca="1">IFERROR(IF(AND(Y12&lt;&gt;"Concluído",Y12&lt;&gt;"Cancelado"),TODAY()-K12+1,Z12-K12),"")</f>
        <v>232</v>
      </c>
      <c r="M12" s="108">
        <v>42299</v>
      </c>
      <c r="N12" s="108" t="s">
        <v>2350</v>
      </c>
      <c r="O12" s="108">
        <v>42402</v>
      </c>
      <c r="P12" s="110">
        <v>42573</v>
      </c>
      <c r="Q12" s="109" t="s">
        <v>2526</v>
      </c>
      <c r="R12" s="45"/>
      <c r="S12" s="109" t="s">
        <v>3621</v>
      </c>
      <c r="T12" s="109" t="str">
        <f t="shared" si="0"/>
        <v xml:space="preserve">                                      
[30/05] - Realizado conferencia com Itau e nossa equipe de redes para entendimento da configuração da Protheus. Necessário a criação de usuário de acesso ao servidor para que a equipe da Protheus possa configurar a aplicação.
[24/05] - Aguardando liberações de rede. Agendado para o dia 25/05 uma reunião de alinhamento com Itaú
[16/05] - Mesmo status
[10/05] - Aguardando liberação de rede para instalação da aplicação do Protheus
[02/05] - Disponibilizado servidor. Aguardando o banco instalar a aplicação do Protheus. Prazo TDB
[25/4] - Mesmo status
[19/4] - Projeto em andamento
[12/4] - Solicitado apoio da equipe do Veloso para iniciar as atividades do projeto. 
[4/4] - Aguardando data do cronograma para inicio das atividades
[29/03] - Mesmo status
[21/3] - Mesmo status
[15/03] - Mesmo status
[08/03]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o projeto. Débora 01/12
Cronograma definido e aguardando a negociação comercial com o banco e a aquisição dos recursos. Débora 23/11.
Cronograma definido e aguardando a negociação comercial com o banco e a aquisição dos recursos. Débora 17/11.
Cronograma definido e aguardando a negociação comercial com o banco e a aquisição dos recursos. Débora 10/11.
Em definição o cronograma de implantação da auditoria automatizada. Este projeto aguarda a implantação do Win7 para desenvolver o cronograma. Débora 03/11 
Em definição o cronograma de implantação da auditoria automatizada. Débora 27/10
22/10 - Auditoria Autómatica: Levantado o custo de implantação, porém está pendente o cronograma de implantação</v>
      </c>
      <c r="V12" s="109" t="s">
        <v>3622</v>
      </c>
      <c r="X12" s="131">
        <v>42527</v>
      </c>
      <c r="Y12" s="109" t="s">
        <v>243</v>
      </c>
      <c r="Z12" s="110">
        <v>42573</v>
      </c>
      <c r="AA12" s="109">
        <v>3076</v>
      </c>
      <c r="AB12" s="101" t="s">
        <v>273</v>
      </c>
      <c r="AC12" s="108" t="s">
        <v>2282</v>
      </c>
      <c r="AD12" s="101" t="s">
        <v>273</v>
      </c>
    </row>
    <row r="13" spans="1:30" ht="409.5" x14ac:dyDescent="0.25">
      <c r="A13" s="40" t="s">
        <v>2510</v>
      </c>
      <c r="B13" s="103" t="s">
        <v>2462</v>
      </c>
      <c r="C13" s="103" t="s">
        <v>3087</v>
      </c>
      <c r="D13" s="103" t="s">
        <v>118</v>
      </c>
      <c r="E13" s="103" t="s">
        <v>106</v>
      </c>
      <c r="F13" s="103" t="s">
        <v>3336</v>
      </c>
      <c r="G13" s="103" t="s">
        <v>3342</v>
      </c>
      <c r="H13" s="111" t="s">
        <v>2407</v>
      </c>
      <c r="I13" s="103" t="s">
        <v>2576</v>
      </c>
      <c r="J13" s="103" t="s">
        <v>97</v>
      </c>
      <c r="K13" s="108">
        <v>42291</v>
      </c>
      <c r="L13" s="11">
        <f ca="1">IFERROR(IF(AND(Y13&lt;&gt;"Concluído",Y13&lt;&gt;"Cancelado"),TODAY()-K13+1,Z13-K13),"")</f>
        <v>232</v>
      </c>
      <c r="M13" s="108">
        <v>42299</v>
      </c>
      <c r="N13" s="108" t="s">
        <v>273</v>
      </c>
      <c r="O13" s="108">
        <v>42503</v>
      </c>
      <c r="P13" s="108" t="s">
        <v>2306</v>
      </c>
      <c r="Q13" s="109" t="s">
        <v>3361</v>
      </c>
      <c r="R13" s="113"/>
      <c r="S13" s="109" t="s">
        <v>3623</v>
      </c>
      <c r="T13" s="109" t="str">
        <f t="shared" si="0"/>
        <v xml:space="preserve">                                      
[30/05] - Mesmo status
[24/05] - Agendado uma nova reunião com equipe interna para entendimento e resolução do projeto.
[16/05] - Aguardando avaliação de SI
[10/5] - Aguardando avaliação de TI e SI sobre as propostas.
[02/05] - As consultorias retornou com as propostas comerciais, mas a equipe da Operação realizou vários questionamentos e teremos que realizar uma conferencia para tirar as dúvidas.
[25/04] - Aguardando retorno da consultoria
[19/04] Consultorias enviou as propostas, porém havia solicitado que a proposta teria que ser dividida entre os sub-projetos do Bolha. Solicitado revisão da proposta.
[12/4] - Aguardando envio de proposta comercial das consultorias. O prazo era até dia 8/4. 
[4/4] - Veloso entregou a lista de equipamentos e SI esta avaliando as informações. Prazo de avaliação 4/4
[29/03] - Mesmo status
[22/03] - Aguardando informações do Veloso 
[15/03] - Mesmo status
[08/03] - Mesmo status                                                                                                                                                                                                                                                                                                              [29/02] - Consultoria analisando a solução.    
[23/02]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Custos enviados pelo Veloso, R$581.768,16 e em análise se infra de TI tem algum custo. Débora 01/12
Custos enviados pelo Veloso, R$581.768,16 e em análise se infra de TI tem algum custo. Débora 23/11
Custos enviados pelo Veloso, R$581.768,16. Débora 17/11
Levantamento de custo e cronograma previsto para 13/11. Débora 10/11
Levantamento de custo e cronograma previsto para 13/11. Débora 03/11
Levantamento de custo e cronograma previsto para 13/11. Débora 27/10
22/10 - Baseline Itaú – Hardenings: Levantamento de custo e cronograma previsto para 13/11. </v>
      </c>
      <c r="V13" s="109" t="s">
        <v>3471</v>
      </c>
      <c r="W13" s="110" t="s">
        <v>3212</v>
      </c>
      <c r="X13" s="131" t="s">
        <v>2525</v>
      </c>
      <c r="Y13" s="109" t="s">
        <v>1515</v>
      </c>
      <c r="Z13" s="110" t="s">
        <v>2525</v>
      </c>
      <c r="AA13" s="109">
        <v>3076</v>
      </c>
      <c r="AB13" s="101" t="s">
        <v>273</v>
      </c>
      <c r="AC13" s="108" t="s">
        <v>2282</v>
      </c>
      <c r="AD13" s="101" t="s">
        <v>273</v>
      </c>
    </row>
    <row r="14" spans="1:30" ht="409.5" x14ac:dyDescent="0.25">
      <c r="A14" s="40" t="s">
        <v>24</v>
      </c>
      <c r="B14" s="7" t="s">
        <v>2160</v>
      </c>
      <c r="C14" s="103" t="s">
        <v>3022</v>
      </c>
      <c r="D14" s="103" t="s">
        <v>118</v>
      </c>
      <c r="E14" s="103" t="s">
        <v>155</v>
      </c>
      <c r="F14" s="103" t="s">
        <v>3335</v>
      </c>
      <c r="H14" s="111" t="s">
        <v>2407</v>
      </c>
      <c r="I14" s="103" t="s">
        <v>3362</v>
      </c>
      <c r="J14" s="103" t="s">
        <v>2320</v>
      </c>
      <c r="K14" s="108">
        <v>42151.527777777781</v>
      </c>
      <c r="L14" s="11">
        <f ca="1">IFERROR(IF(AND(Y14&lt;&gt;"Concluído",Y14&lt;&gt;"Cancelado"),TODAY()-K14+1,Z14-K14),"")</f>
        <v>371.47222222221899</v>
      </c>
      <c r="M14" s="108">
        <v>42217</v>
      </c>
      <c r="N14" s="108" t="s">
        <v>2350</v>
      </c>
      <c r="O14" s="108">
        <v>42464</v>
      </c>
      <c r="P14" s="108">
        <v>42518</v>
      </c>
      <c r="Q14" s="103" t="s">
        <v>2350</v>
      </c>
      <c r="R14" s="146"/>
      <c r="S14" s="109" t="s">
        <v>3625</v>
      </c>
      <c r="T14" s="109" t="str">
        <f t="shared" si="0"/>
        <v xml:space="preserve">                                      
[30/05] - Mesmo status
[23/05] - Piloto na operação Fixo foi cancelado devido a desmobilização da operação. Foi solicitado por Negócios o inicio do piloto na operação Renteção PF, porem só no inicio de Junho devido a movimentações e mudanças de layout. 
[16/05] - Piloto na operação Fixo foi cancelado devido a desmobilização da operação. Foi solicitado por Negócios o inicio do piloto na operação Renteção PF, porem só no inicio de Junho devido a movimentações e mudanças de layout. 
[10/05 - Mesmo status
[03/05] - Mesmo status
[25/04] - Em piloto
[19/04] - Piloto iniciado em 18/4
[11/04] - Piloto programado para o dia 18/04/16, conforme solicitação da operação. 
[4/4] - Aguardando validação do site para iniciarmos o piloto no dia 18/4
[29/03] - Operação aprovou iniciar o piloto e sugeriu data do dia 18/4.
 [22/03] - Acompanhamento in loco feito entre os dias 15 e 18 de Março. Posicionamento será feito até o dia 23/03/16. 
[15/03] -  Equipe de automações fará acompanhamento in loco na semana de 15 a 18/03. 
[08/03] - Operação realizou novos testes e foram identificados que os erros não são relacionados ao RTI. Aguardando melhor data para o piloto e informações das 20 PAs para o piloto.                                                                                                                                                                                                                                                                                                                                          01/03/16: Pendente a verificação de erro apontado pela operação.
22/02/16: Piloto será iniciado em 24/02. Data de rollout a ser validada com a operação.
15/02/16 - nova versão corrigida será entregue em 16/02/16 - Data de Piloto e Rollout a ser validada com operação.
10/02 - Mesmo status
05/02 - Encontrado problemas técnicos na aplicação durante período de testes. Em análise pela equipe de RTI. Nova data para início do piloto a ser informada no dia 12/02
01/02: Início do piloto alterado para 02/02 a pedido de negócio.
26/01 - Mesmo status 
18/01/16 - Aguardando formalização de quais os sites e operações deverão receber a solução. Pendência PMO Negócios. Mariana APP </v>
      </c>
      <c r="V14" s="103" t="s">
        <v>2758</v>
      </c>
      <c r="W14" s="103" t="s">
        <v>3362</v>
      </c>
      <c r="X14" s="133">
        <v>42508</v>
      </c>
      <c r="Y14" s="103" t="s">
        <v>3157</v>
      </c>
      <c r="Z14" s="108">
        <v>42518</v>
      </c>
      <c r="AA14" s="103"/>
      <c r="AB14" s="103" t="s">
        <v>2314</v>
      </c>
      <c r="AC14" s="103">
        <v>125.886</v>
      </c>
      <c r="AD14" s="101" t="s">
        <v>2350</v>
      </c>
    </row>
    <row r="15" spans="1:30" ht="409.5" x14ac:dyDescent="0.25">
      <c r="A15" s="40" t="s">
        <v>20</v>
      </c>
      <c r="B15" s="7" t="s">
        <v>2161</v>
      </c>
      <c r="C15" s="103" t="s">
        <v>3022</v>
      </c>
      <c r="D15" s="103" t="s">
        <v>118</v>
      </c>
      <c r="E15" s="103" t="s">
        <v>155</v>
      </c>
      <c r="F15" s="103" t="s">
        <v>3335</v>
      </c>
      <c r="H15" s="111" t="s">
        <v>2407</v>
      </c>
      <c r="I15" s="103" t="s">
        <v>3362</v>
      </c>
      <c r="J15" s="103" t="s">
        <v>2320</v>
      </c>
      <c r="K15" s="108">
        <v>42151.654861111114</v>
      </c>
      <c r="L15" s="11">
        <f ca="1">IFERROR(IF(AND(Y15&lt;&gt;"Concluído",Y15&lt;&gt;"Cancelado"),TODAY()-K15+1,Z15-K15),"")</f>
        <v>371.34513888888614</v>
      </c>
      <c r="M15" s="108">
        <v>42217</v>
      </c>
      <c r="N15" s="108" t="s">
        <v>273</v>
      </c>
      <c r="O15" s="108" t="s">
        <v>2306</v>
      </c>
      <c r="P15" s="108" t="s">
        <v>2306</v>
      </c>
      <c r="Q15" s="108" t="s">
        <v>2306</v>
      </c>
      <c r="R15" s="45"/>
      <c r="S15" s="109" t="s">
        <v>3626</v>
      </c>
      <c r="T15" s="109" t="str">
        <f t="shared" si="0"/>
        <v xml:space="preserve">                                      
[30/05] - Mesmo status.
[23/05] - Mesmo status. 
[16/05] - Testes feitos e o resultado não foi satisfatório. Erros persistem. Aguardando nova agenda com a Nice.
 [09/05] - Mesmo status
[02/05] - Testes feitos e o resultado não foi satisfatório. Erros persistem. Aguardando nova agenda com a Nice. 
[25/04] - Testes internos com solução ajustada previstos para finalizar em 29/04. Somente após resultado dos testes serão replanejados próximos passos.
 [18/04] - Após testes realizados em conjunto com a NICE em 13/04, haverá necessidade de ajuste na solução. Testes internos com solução ajustada previstos para finalizar em 29/04. Somente após resultado dos testes serão replanejados próximos passos. 
[11/04] - Análise realizada pela NICE. Feita alteração na solução. Testes internos até 15/04. 
[4/4] - A avliação do erro esta sendo conduzida pela equipe de desnvolevimento e NICE. Análise com a NICE será feita no dia 04/04/16. 
[29/03] - Aguardando recurso para elaboração de laudo. Previsto para 04/05/16 a 17/05/16 01/03/16: Pendente envio de OG.
 [15/03] - Mesmo status
[08/03] - Aguardando recurso para elaboração de laudo. Previsto para 04/05/16 a 17/05/16 01/03/16: Pendente envio de OG.
22/02/16: Pendente o envio do diagnóstico com análise dos problemas previsto para 04/03.
15/02/16 - data da data para diagnóstico em 17/02/16 - Dificuldades de acesso aos sistemas da operação.
10/02 - Em análise dos problemas com diagnoticos previstos para dia 12/02. Ainda sem previsão quanto ao rollout
01/02: Parecer dos testes será enviado em 02/02.
26/01 – Agendado novos testes com a presença de TI e Negócios na operação para 27 e 28 /01.
18/01/16 - Operação enviará até a data de 18/01 o resultado de novos testes de performance. Aguardando ok para seguir com rollout. 
</v>
      </c>
      <c r="V15" s="103" t="s">
        <v>2345</v>
      </c>
      <c r="W15" s="108" t="s">
        <v>2887</v>
      </c>
      <c r="X15" s="133">
        <v>42507</v>
      </c>
      <c r="Y15" s="103" t="s">
        <v>1515</v>
      </c>
      <c r="Z15" s="108" t="s">
        <v>2525</v>
      </c>
      <c r="AA15" s="103"/>
      <c r="AB15" s="103" t="s">
        <v>2314</v>
      </c>
      <c r="AC15" s="103">
        <v>27.93</v>
      </c>
      <c r="AD15" s="101" t="s">
        <v>2350</v>
      </c>
    </row>
    <row r="16" spans="1:30" ht="409.5" x14ac:dyDescent="0.25">
      <c r="A16" s="101" t="s">
        <v>117</v>
      </c>
      <c r="B16" s="103" t="s">
        <v>128</v>
      </c>
      <c r="C16" s="103" t="s">
        <v>3025</v>
      </c>
      <c r="D16" s="103" t="s">
        <v>118</v>
      </c>
      <c r="E16" s="103" t="s">
        <v>1430</v>
      </c>
      <c r="F16" s="103" t="s">
        <v>3337</v>
      </c>
      <c r="G16" s="103" t="s">
        <v>3345</v>
      </c>
      <c r="H16" s="111" t="s">
        <v>246</v>
      </c>
      <c r="J16" s="103" t="s">
        <v>2358</v>
      </c>
      <c r="K16" s="108">
        <v>42086.57916666667</v>
      </c>
      <c r="L16" s="11">
        <f ca="1">IFERROR(IF(AND(Y16&lt;&gt;"Concluído",Y16&lt;&gt;"Cancelado"),TODAY()-K16+1,Z16-K16),"")</f>
        <v>436.42083333332994</v>
      </c>
      <c r="M16" s="108">
        <v>42217</v>
      </c>
      <c r="N16" s="108" t="s">
        <v>273</v>
      </c>
      <c r="O16" s="108" t="s">
        <v>2306</v>
      </c>
      <c r="P16" s="108" t="s">
        <v>2306</v>
      </c>
      <c r="Q16" s="108" t="s">
        <v>2306</v>
      </c>
      <c r="R16" s="113"/>
      <c r="S16" s="114" t="s">
        <v>3834</v>
      </c>
      <c r="T16" s="109" t="str">
        <f t="shared" si="0"/>
        <v xml:space="preserve">                                      
Edison Nei Siqueira added a comment - 31/Mai/16 16:58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- 10/Mai/16 17:55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- 03/Mai/16 10:53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- 26/Abr/16 11:42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- 20/Abr/16 08:53
Aguardando retorno de engenharia Telecom, pois a demanda visa centralizar todo o DAC da Fixa utilizando o DAC Prado I, o site encontra-se em processo de desmobilização que está em analise por parte da diretoria.
Edison Nei Siqueira added a comment - 12/Abr/16 17:41
Além da necessidade de insumos sinalizada por engenharia, hoje recebi o retorno de que a demanda estará Freezing até que seja definida a situação da regional BH com relação a desmobilização ou não do CPD.
Edison Nei Siqueira added a comment - 05/Abr/16 16:47
Continuamos na busca de insumos junto a controle de ativos, conseguimos os gabinetes e agora estamos buscando 20 placas DS1.
Edison Nei Siqueira added a comment - 29/Mar/16 15:12
Estamos buscando internamente junto a controle de ativos os insumos solicitados pela área de engenharia Telecom. 
20 Placas DS1 e 02 Gabinetes Avaya.
Edison Nei Siqueira added a comment - 08/Mar/16 17:01
Demanda reinserida na fila de engenharia para analise e desenho de solução, previsão de entrega entre 07/03/16 e 18/03/16. Após o retorno vamos agendar o kick off do projeto.
[29/02] - Projeto na fila de execução. Aguardando priorização, para alocação de recurso Telecom 
[16/02] - A equipe Telecom reavaliou o cenário e fez as respectivas considerações e ajustes na topologia. Seguiremos com a centralização dessa ultima onda de ramais para DAC MG A. Ramais sendo mapeados par a oanalise de esforço e criar plano de ação.
Edison Nei Siqueira added a comment - 02/Fev/16 10:57
Recebemos ontem dia 01/02/2016 o retorno da quantidade de PAs envolvidas na demanda, agora vam+os aguardar a conclusão da analise de Engenharia.
Edison Nei Siqueira added a comment - 26/Jan/16 08:13
Demanda em analise junto a engenharia com previsão de entrega da analise para o dia 29/01/2016.
Edison Nei Siqueira added a comment - 21/Jan/16 10:18
Demanda na fila de Engenharia para analise.
Edison Nei Siqueira added a comment - 01/Dez/15 11:34
Fabrício, por gentileza verificar se a demanda seguirá, visto que a mesma requer investimento.
Edison Nei Siqueira added a comment - 03/Nov/15 12:11
Aguardando aprovação interna de investimentos para solicitar a abertura de contratação dos links junto a OI.
Edison Nei Siqueira added a comment - 20/Out/15 17:58
Aguardando aprovação interna de investimentos para solicitar a abertura de contratação dos links junto a OI.
Edison Nei Siqueira added a comment - 05/Out/15 08:39
Aguardando aprovação interna de investimentos para solicitar a abertura de contratação dos links junto a OI.
Edison Nei Siqueira added a comment - 22/Set/15 18:44
Aguardando aprovação interna de investimentos para solicitar a abertura de contratação dos links junto a OI.</v>
      </c>
      <c r="U16" s="114"/>
      <c r="V16" s="109" t="s">
        <v>3455</v>
      </c>
      <c r="W16" s="110" t="s">
        <v>2832</v>
      </c>
      <c r="X16" s="110">
        <v>42447</v>
      </c>
      <c r="Y16" s="109" t="s">
        <v>1515</v>
      </c>
      <c r="AA16" s="109">
        <v>1174</v>
      </c>
      <c r="AB16" s="108" t="s">
        <v>2350</v>
      </c>
      <c r="AC16" s="108" t="s">
        <v>1356</v>
      </c>
      <c r="AD16" s="101" t="s">
        <v>273</v>
      </c>
    </row>
    <row r="17" spans="1:16384" ht="409.5" x14ac:dyDescent="0.25">
      <c r="A17" s="101" t="s">
        <v>59</v>
      </c>
      <c r="B17" s="103" t="s">
        <v>267</v>
      </c>
      <c r="C17" s="103" t="s">
        <v>3071</v>
      </c>
      <c r="D17" s="103" t="s">
        <v>118</v>
      </c>
      <c r="E17" s="103" t="s">
        <v>1430</v>
      </c>
      <c r="F17" s="103" t="s">
        <v>3337</v>
      </c>
      <c r="G17" s="103" t="s">
        <v>3345</v>
      </c>
      <c r="H17" s="111" t="s">
        <v>246</v>
      </c>
      <c r="I17" s="103" t="s">
        <v>3020</v>
      </c>
      <c r="J17" s="103" t="s">
        <v>97</v>
      </c>
      <c r="K17" s="108">
        <v>42219.756249999999</v>
      </c>
      <c r="L17" s="11">
        <f ca="1">IFERROR(IF(AND(Y17&lt;&gt;"Concluído",Y17&lt;&gt;"Cancelado"),TODAY()-K17+1,Z17-K17),"")</f>
        <v>303.24375000000146</v>
      </c>
      <c r="M17" s="108">
        <v>42217</v>
      </c>
      <c r="N17" s="108" t="s">
        <v>273</v>
      </c>
      <c r="O17" s="108" t="s">
        <v>2306</v>
      </c>
      <c r="P17" s="108" t="s">
        <v>2306</v>
      </c>
      <c r="Q17" s="103" t="s">
        <v>2306</v>
      </c>
      <c r="R17" s="45"/>
      <c r="S17" s="114" t="s">
        <v>3835</v>
      </c>
      <c r="T17" s="109" t="str">
        <f t="shared" si="0"/>
        <v xml:space="preserve">                                      
Edison Nei Siqueira added a comment - 31/Mai/16 17:41
Continuamos buscando junto a engenharia a validação da topologia que seja suportada pela OI para instalação dos UMS dentro do ambiente do POP.
Edison Nei Siqueira added a comment - 10/Mai/16 18:24
Estamos realizando reuniões internas de TI analisando cada requisito da EF a Closer, para identificar a melhor solução a ser aplicada para operação.
Edison Nei Siqueira added a comment - 03/Mai/16 10:58
Foi enviado para o cliente OI validar a possibilidade de utilizar o POP da OI para a entrega dos 25 E1s. Estamos aguardando engenharia Contax entregar o desenho definitivo com a nova topologia para avaliação e aprovação da OI, previsão de entrega do desenho prevista para hoje dia 03/05. 
Em analise junto a equipe de aplicações o retorno de operações com as informações dos RF e RFNs que foram esclarecidos.
Edison Nei Siqueira added a comment - 26/Abr/16 11:50
Reunião realizada junto ao fornecedor Aspect, estamos internalizando novamente a demanda em engenharia para novo estudo e desenho da solução.
Edison Nei Siqueira added a comment - 20/Abr/16 08:18
A reunião junto a Aspect e CSE não ocorreu na data acordada, estamos aguardando retorno hoje sobre a evolução do dia de ontem, só podemos evoluir com relação a topologia após ocorrer essa reunião. 
Reunião entre a equipe de aplicações NGR e Closer, foi identificado a necessidade de maior detalhamento de alguma RF e RFN descritos na EF, tal necessidade foi encaminhada para o solicitante da demanda e operações para esclarecimentos, ficamos aguardando esse retorno para informar as respectivas OGs.
Edison Nei Siqueira added a comment - 12/Abr/16 17:44
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
Edison Nei Siqueira added a comment - 05/Abr/16 16:51
Reunião de kick off planejada para a próxima semana junto a Closer, áreas especialistas e operações..
Edison Nei Siqueira added a comment - 29/Mar/16 15:32
SC aprovada e pedido gerado para o fornecedor, o Oi deu previsão de instalação dos links E1s para 18/05. 
Aguardando reunião de kick off junto as áreas especialistas e o fornecedor Closer.
Demanda será inserida no pipe das áreas especialistas para que seja agendada a reunião de kick off.
Edison Nei Siqueira added a comment - 08/Mar/16 17:33
Aprovada a EF pela OI em 29/02 
Aguardando retorno da OI para a disponibilização dos 25 links.Prazo: TBD 
Em levantamento das informações para preparação do material de defesa no comitê de caixa. Foi solicitado apoio para o Fábio Koreeda e Milene, pois não conseguimos identificar o valor da licença mensal do Aspect - Prazo: TBD
[16/02] - Custos do desenvolvimento aguardando aprovação do Comitê de Caixa.
[10/02] - - EF encaminhada para fornecedor e custos de desenvolvimento estão aguardando aprovação comitê caixa
Edison Nei Siqueira added a comment - 02/Fev/16 11:36
aguardando retorno do fornecedor com relação a analise da EF.
Edison Nei Siqueira added a comment - 26/Jan/16 11:52
EF anexada ao chamado de projeto, estamos aguardando o posicionamento com relação a plataforma a ser utilizada e a solicitação dos E1s junto a Oi.
Edison Nei Siqueira added a comment - 21/Jan/16 13:00
Diante da indisponibilidade de polo Aspect para atender a demanda, estamos seguindo com a solução do APC como o discador da operação, em fase de analise de contratação de link de dados e infraestrutura local do site na regional CE.
Edison Nei Siqueira added a comment - 18/Dez/15 11:50
Diante da indisponibilidade de polo Aspect para atender a demanda, estamos seguindo com a solução do APC como o discador da operação, em fase de analise de contratação de link de dados e infraestrutura local do site na regional CE.
Edison Nei Siqueira added a comment - 01/Dez/15 14:44
Previsão de receber até o dia de amanhã 02/12 o desenho da solução por parte de ENG com a solução proposta para a implementação do discador.
Edison Nei Siqueira added a comment - 24/Nov/15 17:02
Começamos a receber hoje as EFs com ajustes solicitados pela equipe de App, assim que for concluída a Análise estaremos dividindo com os envolvidos.
Em Análise de estudo de viabilidade junto a área de ENG para utilizar o polo Aspect SP. 
Foi avaliado e não tem custo de licenças. 
No entanto, este projeto necessita de vários insumos: 
Link de voz 
Customização do fonrt end evalyse 
Carga de mailing 
etc... 
Assim, mesmo que não haja custos envolvidos temos que analisar as precedências para este projeto acontecer sem surpresas.
Edison Nei Siqueira added a comment - 27/Out/15 18:09 
Em Análise de estudo de viabilidade junto a área de ENG para utilizar o polo Aspect SP. 
Foi avaliado e não tem custo de licenças. 
No entanto, este projeto necessita de vários insumos: 
Link de voz 
Customização do fonrt end evalyse 
Carga de mailing 
etc... 
Assim, mesmo que não haja custos envolvidos temos que analisar as precedências para este projeto acontecer sem surpresas. 
Edison Nei Siqueira added a comment - 20/Out/15 19:24
Aguardando retorno da área de negócios com relação ao levantamos de insumos para prover a aprovação da demanda no comitê de gastos.
Edison Nei Siqueira added a comment - 06/Out/15 15:16
Aguardando retorno da área de negócios com relação ao levantamos de insumos para prover a aprovação da demanda no comitê de gastos
Edison Nei Siqueira added a comment - 09/Set/15 15:10 
Recebido e encaminhado para Análise de aplicações NGR, aguardando retorno da priorização. 
+P22</v>
      </c>
      <c r="U17" s="114"/>
      <c r="V17" s="109" t="s">
        <v>2782</v>
      </c>
      <c r="W17" s="110" t="s">
        <v>2835</v>
      </c>
      <c r="X17" s="109" t="s">
        <v>2306</v>
      </c>
      <c r="Y17" s="109" t="s">
        <v>1515</v>
      </c>
      <c r="Z17" s="110" t="s">
        <v>2306</v>
      </c>
      <c r="AA17" s="109">
        <v>250</v>
      </c>
      <c r="AB17" s="108" t="s">
        <v>2350</v>
      </c>
      <c r="AC17" s="108" t="s">
        <v>1356</v>
      </c>
      <c r="AD17" s="101" t="s">
        <v>2350</v>
      </c>
    </row>
    <row r="18" spans="1:16384" ht="409.5" x14ac:dyDescent="0.25">
      <c r="A18" s="40" t="s">
        <v>145</v>
      </c>
      <c r="B18" s="7" t="s">
        <v>425</v>
      </c>
      <c r="D18" s="103" t="s">
        <v>118</v>
      </c>
      <c r="E18" s="103" t="s">
        <v>1430</v>
      </c>
      <c r="F18" s="103" t="s">
        <v>3337</v>
      </c>
      <c r="G18" s="103" t="s">
        <v>3345</v>
      </c>
      <c r="H18" s="111" t="s">
        <v>2407</v>
      </c>
      <c r="I18" s="103" t="s">
        <v>2399</v>
      </c>
      <c r="J18" s="103" t="s">
        <v>2320</v>
      </c>
      <c r="K18" s="108">
        <v>42227.745138888888</v>
      </c>
      <c r="L18" s="11">
        <f ca="1">IFERROR(IF(AND(Y18&lt;&gt;"Concluído",Y18&lt;&gt;"Cancelado"),TODAY()-K18+1,Z18-K18),"")</f>
        <v>295.2548611111124</v>
      </c>
      <c r="M18" s="108">
        <v>42217</v>
      </c>
      <c r="N18" s="108" t="s">
        <v>273</v>
      </c>
      <c r="O18" s="108" t="s">
        <v>2306</v>
      </c>
      <c r="P18" s="108" t="s">
        <v>2306</v>
      </c>
      <c r="Q18" s="108" t="s">
        <v>2306</v>
      </c>
      <c r="R18" s="45"/>
      <c r="S18" s="109" t="s">
        <v>3627</v>
      </c>
      <c r="T18" s="109" t="str">
        <f t="shared" si="0"/>
        <v xml:space="preserve">                                      
[30/05] - Em desenvolvimento
[16/05] - Iniciado o desenvolvimento da solução. 
[10/05] - Aguardando desdenvolvimento
[02/05] - EF entregue. Analise até 04/05. 
[25/04] - Mesmo status
[18/04]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[11/04] - Agendado teste de conectividade do aplicativo Click para os dias 11 e 12/04. Após o resultado do teste de conectividade, planejaremos as próximas atividades. Previsão de publicação das próximas atividades no dia 18/04/16. 
[04/04] Acesso a aplicativo Click está OK, mas usuário aparentemente não tem perfil necessário. Pendente validação do usuário. 
Necessário planejar execução dos testes de conectividade caso usuário esteja ok.
 [29/03] - Pendente acesso ao sistema Click. Foi solicitado a liberação de rede (NAT), porém o recurso de redes informou IP errado na GMUD e será necessário o ajuste na próxima janela (quinta-feira 31/03).
[22/3] - Mesmo status
[14/03] Aguardando resolver pendência de acesso ao sistema Click para a execução de teste de conectividade e planejamento do desenvolvimento da demanda. PMO Negócio informada sobre atraso no projeto em 10/03/16. 
[08/03] - Aguardando liberação de acesso a pasta FTP da OI (Pendência OI)  
01/03/16: Mesmo status
22/02/16: Aguardando teste de conectividade para início do desenvolvimento. Pendência para o teste é o acesso ao sistema Click.
15/02 - Mesmo status
11/02 - Responsável: TI
10/02 - Mesmo status
05/02 - Em estimativa de OGs a ser enviada em 15/02 (dentro do SLA). PONTO DE ATENÇÃO: pendente acesso ao sistema click (chamado aberto em 06/01 - impacto na próxima etapa - testes de conectividade
02/02 - Mesmo status
29/01: EF entregue porém faltam informações. Necessário alinhamento entre TI e Negócios previsto para 01/02.
26/01: 22/01 – Pendente revisão da EF que foi entregue.
18/01 - Em análise de EF. Até 26/01 para retorno OG/ pendências.
Edison Nei Siqueira added a comment - 18/Dez/15 12:03
EF em analise pela área de desenvolvimento, aguardando retorno da operação.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15:31
Entrega das EFs atualizadas pela area de PMO Negócios prevista para o dia 19/11.
dison Nei Siqueira added a comment - 03/Nov/15 14:49
Foi solicitada a revalidação das EFs, levando em consideração que não teremos mais o JIRA e nem identificamos a validação da rotina de carga do mailing e afins.
Edison Nei Siqueira added a comment - 06/Out/15 15:18
Aguardando retorno da área de negócios com relação ao levantamos de insumos para prover a aprovação da demanda no comitê de gastos.
Edison Nei Siqueira added a comment - 09/Set/15 15:09 
recebido e encaminhado para Análise de aplicações NGR, aguardando retorno da priorização. 
</v>
      </c>
      <c r="V18" s="103" t="s">
        <v>2320</v>
      </c>
      <c r="W18" s="108" t="s">
        <v>2887</v>
      </c>
      <c r="X18" s="133">
        <v>42494</v>
      </c>
      <c r="Y18" s="109" t="s">
        <v>243</v>
      </c>
      <c r="Z18" s="108" t="s">
        <v>2525</v>
      </c>
      <c r="AA18" s="103"/>
      <c r="AB18" s="103" t="s">
        <v>2314</v>
      </c>
      <c r="AC18" s="103"/>
      <c r="AD18" s="101" t="s">
        <v>2350</v>
      </c>
    </row>
    <row r="19" spans="1:16384" ht="409.5" x14ac:dyDescent="0.25">
      <c r="A19" s="40" t="s">
        <v>144</v>
      </c>
      <c r="B19" s="7" t="s">
        <v>426</v>
      </c>
      <c r="D19" s="103" t="s">
        <v>118</v>
      </c>
      <c r="E19" s="103" t="s">
        <v>1430</v>
      </c>
      <c r="F19" s="103" t="s">
        <v>3337</v>
      </c>
      <c r="G19" s="103" t="s">
        <v>3345</v>
      </c>
      <c r="H19" s="111" t="s">
        <v>2407</v>
      </c>
      <c r="I19" s="103" t="s">
        <v>2399</v>
      </c>
      <c r="J19" s="103" t="s">
        <v>2320</v>
      </c>
      <c r="K19" s="108">
        <v>42227.746527777781</v>
      </c>
      <c r="L19" s="11">
        <f ca="1">IFERROR(IF(AND(Y19&lt;&gt;"Concluído",Y19&lt;&gt;"Cancelado"),TODAY()-K19+1,Z19-K19),"")</f>
        <v>295.25347222221899</v>
      </c>
      <c r="M19" s="108">
        <v>42217</v>
      </c>
      <c r="N19" s="108" t="s">
        <v>273</v>
      </c>
      <c r="O19" s="108" t="s">
        <v>2306</v>
      </c>
      <c r="P19" s="108" t="s">
        <v>2306</v>
      </c>
      <c r="Q19" s="108" t="s">
        <v>2306</v>
      </c>
      <c r="R19" s="45"/>
      <c r="S19" s="109" t="s">
        <v>3628</v>
      </c>
      <c r="T19" s="109" t="str">
        <f t="shared" si="0"/>
        <v xml:space="preserve">                                      
[30/05] - Em desenvolvimento
[16/05] - Iniciado o desenvolvimento da solução. 
[09/05] - Aguardando inicio do desenvolvimento. 
[02/05] - EF entregue. Analise até 04/05. 
[25/04] - Mesmo status
[18/04]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[11/04] - Agendado teste de conectividade do aplicativo Click para os dias 11 e 12/04. Após o resultado do teste de conectividade, planejaremos as próximas atividades. Previsão de publicação das próximas atividades no dia 18/04/16. 
[04/04] Acesso a aplicativo Click está OK, mas usuário aparentemente não tem perfil necessário. Pendente validação do usuário. 
Necessário planejar execução dos testes de conectividade caso usuário esteja ok.
[29/03] - Pendente acesso ao sistema Click. Foi solicitado a liberação de rede (NAT), porém o recurso de redes informou IP errado na GMUD e será necessário o ajuste na próxima janela (quinta-feira 31/03).
[22/3] - Mesmo status
[14/03] Aguardando resolver pendência de acesso ao sistema Click para a execução de teste de conectividade e planejamento do desenvolvimento da demanda. PMO Negócio informada sobre atraso no projeto em 10/03/16. 
[08/03] - Aguardando liberação de acesso a pasta FTP da OI (Pendência OI)                                                   01/03/16: Mesmo status
22/02/16: Aguardando teste de conectividade para início do desenvolvimento. Pendência para o teste é o acesso ao sistema Click.
15/02 - Mesmo status
11/02 - Responsável: TI
10/02 - Mesmo status
05/02 - Em estimativa de OGs a ser enviada em 15/02 (dentro do SLA). PONTO DE ATENÇÃO: pendente acesso ao sistema click (chamado aberto em 06/01 - impacto na próxima etapa - testes de conectividade
02/02 - Mesmo status
29/01: EF entregue porém faltam informações. Necessário alinhamento entre TI e Negócios previsto para 01/02.
26/01 – Pendente revisão da EF que foi entregue.
18/01 - Aguarda EF
Edison Nei Siqueira added a comment - 18/Dez/15 12:10
EF em analise pela área de desenvolvimento, aguardando retorno da operação.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15:48
Entrega das EFs atualizadas pela area de PMO Negócios prevista para o dia 19/11. 
Edison Nei Siqueira added a comment - 03/Nov/15 14:50
Foi solicitada a revalidação das EFs, levando em consideração que não teremos mais o JIRA e nem identificamos a validação da rotina de carga do mailing e afins. 
Edison Nei Siqueira added a comment - 20/Out/15 19:25
Aguardando retorno da área de negócios com relação ao levantamos de insumos para prover a aprovação da demanda no comitê de gastos. 
Edison Nei Siqueira added a comment - 06/Out/15 15:22
Aguardando retorno da área de negócios com relação ao levantamos de insumos para prover a aprovação da demanda no comitê de gastos.
Edison Nei Siqueira added a comment - 09/Set/15 15:09 
recebido e encaminhado para Análise de aplicações NGR, aguardando retorno da priorização. 
</v>
      </c>
      <c r="V19" s="103" t="s">
        <v>2320</v>
      </c>
      <c r="W19" s="108" t="s">
        <v>2887</v>
      </c>
      <c r="X19" s="133">
        <v>42494</v>
      </c>
      <c r="Y19" s="103" t="s">
        <v>243</v>
      </c>
      <c r="Z19" s="108" t="s">
        <v>2525</v>
      </c>
      <c r="AA19" s="103"/>
      <c r="AB19" s="103" t="s">
        <v>2314</v>
      </c>
      <c r="AC19" s="103"/>
      <c r="AD19" s="101" t="s">
        <v>2350</v>
      </c>
    </row>
    <row r="20" spans="1:16384" ht="409.5" x14ac:dyDescent="0.25">
      <c r="A20" s="40" t="s">
        <v>141</v>
      </c>
      <c r="B20" s="7" t="s">
        <v>428</v>
      </c>
      <c r="D20" s="103" t="s">
        <v>118</v>
      </c>
      <c r="E20" s="103" t="s">
        <v>1430</v>
      </c>
      <c r="F20" s="103" t="s">
        <v>3337</v>
      </c>
      <c r="G20" s="103" t="s">
        <v>3345</v>
      </c>
      <c r="H20" s="111" t="s">
        <v>2407</v>
      </c>
      <c r="I20" s="103" t="s">
        <v>2399</v>
      </c>
      <c r="J20" s="103" t="s">
        <v>2320</v>
      </c>
      <c r="K20" s="108">
        <v>42227.75</v>
      </c>
      <c r="L20" s="11">
        <f ca="1">IFERROR(IF(AND(Y20&lt;&gt;"Concluído",Y20&lt;&gt;"Cancelado"),TODAY()-K20+1,Z20-K20),"")</f>
        <v>295.25</v>
      </c>
      <c r="M20" s="108">
        <v>42217</v>
      </c>
      <c r="N20" s="108" t="s">
        <v>273</v>
      </c>
      <c r="O20" s="108" t="s">
        <v>2306</v>
      </c>
      <c r="P20" s="108" t="s">
        <v>2306</v>
      </c>
      <c r="Q20" s="108" t="s">
        <v>2306</v>
      </c>
      <c r="R20" s="45"/>
      <c r="S20" s="109" t="s">
        <v>3629</v>
      </c>
      <c r="T20" s="109" t="str">
        <f t="shared" si="0"/>
        <v xml:space="preserve">                                      
[30/05] - Usuário CHR entregue. Testes do usuário agendado para 30/05. Após os testes, agendaremos os testes integrados. 
[24/05] - Por solicitação de Negócios, o piloto será adiado devido à não entrega da senha do usuário CHR. Nova data a ser confirmada.
[16/05] - Por solicitação de Negócios, o piloto será adiado devido à não entrega da senha do usuário CHR. Nova data a ser confirmada. 
[09/05] - Aguardando inicio dos testes integrados em 11/05. 
[02/05] - Ambiente não foi entregue no dia 29/04, conforme previsão. Aguardando nova data. Pendente usuário CHR previsto para 28/04; e alinhamento com a Closer para testes integrados.
[25/04] - Infra entregue, porém as liberações de redes não estão ok e precisamos aacionar a Closer para que a liberação seja realizada por eles. 
[18/04] - Em validação de ambiente. PONTO DE ATENÇÃO: Aguardando liberação de acesso ao Banco de Dados por PMO TI. Previsão de entrega das aplicações configuradas até 29/04/16. 
[12/4] - Infra entregue dia 11/4. Aguardando teste de liberação de rede. 
[5/4] - A entrega da infra estava programada para dia 4/4, porém tivemos alguns problemas em produção e será reprogramado a entrega. Novo prazo de entrega da infra 11/4. 
[29/03] - O ambiente de infra será entregue dia 4/4. Pendências: Equipe de desnvolvimento solicitou o usuário CHR especial pra executar macros. Prazo TDB /Necessário Planejamento para UAT, Piloto e Rollout. Prazo TDB
[22/03] Aguardando data para a entrega do ambiente de infra. Previsto 24/3
[14/03] - Nesta semana a solução de engenharia foi aprovada e vamos direcionar para a fila de CSE para a configuração do ambiente e replanejamento da data de UAT.
[08/03] - Solução em desenvolvimento. Ponto de Atenção: está pendente a definição de fluxo para registro de transação no STC.                                                                                      01/03/16: Mesmo status
22/02/16: Em desenvolvimento, pendente criação do ambiente de testes
15/02/16 - OG aprovada em 10/02/16.
15/02 - Início do piloto em 10/03
11/02 - Desenvolvimento até 04/03
10/02 - Mesmo status
05/02 - Enviada OG em 03/02. Aguardando aprovação de negócios
02/02 - Mesmo status
27/01: EF recebida. Em análise por TI para OG até 03/02.
26/01 – Pendente revisão da EF que foi entregue.
18/01 - Aguarda EF
Edison Nei Siqueira added a comment - 18/Dez/15 12:13
Aguardando a elaboração da EF por parte de operações para analise da equipe de desenvolvimento.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Entrega das EFs atualizadas pela area de PMO Negócios prevista para o dia 19/11. 
Edison Nei Siqueira added a comment - 03/Nov/15 14:54
Foi solicitada a revalidação das EFs, levando em consideração que não teremos mais o JIRA e nem identificamos a validação da rotina de carga do mailing e afins.
Edison Nei Siqueira added a comment - 20/Out/15 19:28
Recebido e encaminhado para Análise de aplicações NGR, aguardando retorno da priorização.
Edison Nei Siqueira added a comment - 09/Set/15 15:15
Recebido e encaminhado para Análise de aplicações NGR, aguardando retorno da priorização.</v>
      </c>
      <c r="V20" s="103" t="s">
        <v>2758</v>
      </c>
      <c r="W20" s="108" t="s">
        <v>2835</v>
      </c>
      <c r="X20" s="133">
        <v>42499</v>
      </c>
      <c r="Y20" s="109" t="s">
        <v>243</v>
      </c>
      <c r="Z20" s="108"/>
      <c r="AA20" s="103"/>
      <c r="AB20" s="103" t="s">
        <v>2314</v>
      </c>
      <c r="AC20" s="103"/>
      <c r="AD20" s="101" t="s">
        <v>2350</v>
      </c>
    </row>
    <row r="21" spans="1:16384" ht="409.5" x14ac:dyDescent="0.25">
      <c r="A21" s="40" t="s">
        <v>139</v>
      </c>
      <c r="B21" s="7" t="s">
        <v>430</v>
      </c>
      <c r="D21" s="103" t="s">
        <v>118</v>
      </c>
      <c r="E21" s="103" t="s">
        <v>1430</v>
      </c>
      <c r="F21" s="103" t="s">
        <v>3337</v>
      </c>
      <c r="G21" s="103" t="s">
        <v>3345</v>
      </c>
      <c r="H21" s="111" t="s">
        <v>2407</v>
      </c>
      <c r="I21" s="103" t="s">
        <v>2399</v>
      </c>
      <c r="J21" s="103" t="s">
        <v>2320</v>
      </c>
      <c r="K21" s="108">
        <v>42227.752083333333</v>
      </c>
      <c r="L21" s="11">
        <f ca="1">IFERROR(IF(AND(Y21&lt;&gt;"Concluído",Y21&lt;&gt;"Cancelado"),TODAY()-K21+1,Z21-K21),"")</f>
        <v>295.24791666666715</v>
      </c>
      <c r="M21" s="108">
        <v>42217</v>
      </c>
      <c r="N21" s="108" t="s">
        <v>273</v>
      </c>
      <c r="O21" s="108" t="s">
        <v>2306</v>
      </c>
      <c r="P21" s="108" t="s">
        <v>2306</v>
      </c>
      <c r="Q21" s="108" t="s">
        <v>2306</v>
      </c>
      <c r="R21" s="45"/>
      <c r="S21" s="109" t="s">
        <v>3630</v>
      </c>
      <c r="T21" s="109" t="str">
        <f t="shared" si="0"/>
        <v xml:space="preserve">                                      
[30/05] - Mesmo status
[24/05] - Mesmo status
[16/05] - Aguardando inicio dos desenvolvimentos.
 [10/05] - Aguardando inicio dos desenvolvimentos. 
[03/05] - Mesmo status
[25/04] - Solicitado alteração na EF com as novas telas do site do SERASA.  Aguardando documento até 27/04/16.
[18/04] - Procedimentos da EF estão desatualizados. Aguardando nova versão para realizar testes de acesso e conectividade. 
[11/04] - Usuário do Serasa sem acesso as telas necessárias. Aguardando para dar continuidade nos testes de conectividade.
 [04/04] Aguardando usuários SPC Serasa para iniciar a análise da EF. 
[29/03] - Pendente usuário do SPC e Serasa para validar a EF. Após acesso, será analisado a EF. Prazo de 5 dias úteis.
[22/03] Aguardando devolução da EF previsto para dia 21/03.
[16/03] - Recebimento da EF dia 14/03. Prazo para devolução 21/03.
08/03/16: Mesmo status  
 01/03/16: Mesmo status
22/02/16: Pendente envio de EF
15/02 - Análise de EF
10/02 - Mesmo status
02/02 - Mesmo status
27/01: Aguarda o envio da EF.
26/01 – Pendente revisão da EF que foi entregue.
18/01 - Aguarda EF
Edison Nei Siqueira added a comment - 18/Dez/15 12:31
EF recebida em 08/12, foi concluída a analise pela equipe de aplicações e foi identificada a necessidade de ajustes, estamos aguardando o retorno da operação para prosseguir no desenvolvimento.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17:06
Entrega das EFs atualizadas pela area de PMO Negócios prevista para o dia 19/11.
Edison Nei Siqueira added a comment - 03/Nov/15 15:01
Foi solicitada a revalidação das EFs, levando em consideração que não teremos mais o JIRA e nem identificamos a validação da rotina de carga do mailing e afins. 
Edison Nei Siqueira added a comment - 20/Out/15 19:32
Aguardando retorno da área de negócios com relação ao levantamos de insumos para prover a aprovação da demanda no comitê de gastos.
Edison Nei Siqueira added a comment - 06/Out/15 15:29
Aguardando retorno da área de negócios com relação ao levantamos de insumos para prover a aprovação da demanda no comitê de gastos.
Edison Nei Siqueira added a comment - 09/Set/15 15:15
Recebido e encaminhado para Análise de aplicações NGR, aguardando retorno da priorização.</v>
      </c>
      <c r="V21" s="103" t="s">
        <v>2758</v>
      </c>
      <c r="W21" s="108" t="s">
        <v>2761</v>
      </c>
      <c r="X21" s="133" t="s">
        <v>2525</v>
      </c>
      <c r="Y21" s="103" t="s">
        <v>1515</v>
      </c>
      <c r="Z21" s="108"/>
      <c r="AA21" s="103"/>
      <c r="AB21" s="103" t="s">
        <v>2314</v>
      </c>
      <c r="AC21" s="103"/>
      <c r="AD21" s="101" t="s">
        <v>2350</v>
      </c>
    </row>
    <row r="22" spans="1:16384" ht="409.5" x14ac:dyDescent="0.25">
      <c r="A22" s="101" t="s">
        <v>41</v>
      </c>
      <c r="B22" s="103" t="s">
        <v>347</v>
      </c>
      <c r="C22" s="103" t="s">
        <v>3072</v>
      </c>
      <c r="D22" s="103" t="s">
        <v>118</v>
      </c>
      <c r="E22" s="103" t="s">
        <v>1430</v>
      </c>
      <c r="F22" s="103" t="s">
        <v>3337</v>
      </c>
      <c r="G22" s="103" t="s">
        <v>3345</v>
      </c>
      <c r="H22" s="111" t="s">
        <v>246</v>
      </c>
      <c r="I22" s="103" t="s">
        <v>2313</v>
      </c>
      <c r="J22" s="103" t="s">
        <v>98</v>
      </c>
      <c r="K22" s="108">
        <v>42199.772222222222</v>
      </c>
      <c r="L22" s="11">
        <f ca="1">IFERROR(IF(AND(Y22&lt;&gt;"Concluído",Y22&lt;&gt;"Cancelado"),TODAY()-K22+1,Z22-K22),"")</f>
        <v>323.2277777777781</v>
      </c>
      <c r="M22" s="108">
        <v>42217</v>
      </c>
      <c r="N22" s="108" t="s">
        <v>273</v>
      </c>
      <c r="O22" s="108" t="s">
        <v>2306</v>
      </c>
      <c r="P22" s="108" t="s">
        <v>2306</v>
      </c>
      <c r="Q22" s="103" t="s">
        <v>2306</v>
      </c>
      <c r="R22" s="45"/>
      <c r="S22" s="132" t="s">
        <v>3368</v>
      </c>
      <c r="T22" s="109" t="str">
        <f t="shared" si="0"/>
        <v xml:space="preserve">                                      
Edison Nei Siqueira added a comment - 03/Mai/16 11:05
Continuamos com a necessidade de validação de todos os ramais por parte de operações e CSE. 
Edison Nei Siqueira added a comment - 26/Abr/16 20:43
Continuamos com a necessidade de validação de todos os ramais por parte de operações e CSE.
Edison Nei Siqueira added a comment - 20/Abr/16 08:21
Realizado ajustes em alguns ramais junto a CSE, porém ainda existem inconsistências que estão sendo validadas pela operação, Elaine e Luiz Washington.
Edison Nei Siqueira added a comment - 05/Abr/16 16:54
Pedido para aquisição dos HDs gerado e aguardando o prazo de entrega do fornecedor DELL.
29/03 - Mesmo status
Edison Nei Siqueira added a comment - 08/Mar/16 17:36
SC aprovada aguardando a geração do pedido por parte de suprimentos.
[29/02] -SCs aprovadas, aguardando  criação pedido.
16/02] - SCs aprovadas, aguardando  criação pedido.
[10/02] -  Aguardando Aprovação SC e criação pedidos: (Resp: Koreeda) 
SC 38083
SC 38084
Edison Nei Siqueira added a comment - 26/Jan/16 12:06
SC para aquisição dos HDs lançada e aguardando aprovação.
Edison Nei Siqueira added a comment - 21/Jan/16 13:03
Aguardando lançamento de SC para aquisição de discos e tratar GAPs da regional RJ.
Edison Nei Siqueira added a comment - 18/Dez/15 12:39
Continuamos tratando GAPs pontuais com relação a alguns acessos e problemas de gravações em alguns ramais.
Edison Nei Siqueira added a comment - 17/Nov/15 17:09
Continuamos tratando GAPs pontuais com relação a alguns acessos e problemas de gravações em alguns ramais.
Edison Nei Siqueira added a comment - 20/Out/15 19:42
Em andamento a validação da instalação do NICE Perfomance nas posições de gestão da operação.
Edison Nei Siqueira added a comment - 13/Out/15 14:57
Configuração de infraestrutura concluída e ambas as regionais sendo gravadas. 
Regional CE - 100% configurada. Iniciamos a gravação das PAs da operação SOC PE no dia 02/10. 
Regional RJ - 100% configurada, em andamento a instalação do NICE Perfomance nas posições de gestão da operação.
Edison Nei Siqueira added a comment - 06/Out/15 16:16
Configuração de infraestrutura: 
Regional CE - 100% configurada. Iniciamos a gravação das PAs da operação SOC PE no dia 02/10. 
Regional RJ - 40% configurada, com dificuldade com relação ao Switch extreme, realizamos a instalação física, estamos em processo de configuração lógica.
Edison Nei Siqueira added a comment - 29/Set/15 16:12
Configuração de infraestrutura: 
Regional CE - 85% configurada. 
Regional RJ - 40% configurada, com dificuldade com relação ao Switch extreme.</v>
      </c>
      <c r="U22" s="132"/>
      <c r="V22" s="109" t="s">
        <v>2782</v>
      </c>
      <c r="W22" s="110" t="s">
        <v>2818</v>
      </c>
      <c r="X22" s="109" t="s">
        <v>2306</v>
      </c>
      <c r="Y22" s="109" t="s">
        <v>179</v>
      </c>
      <c r="AA22" s="109">
        <v>702</v>
      </c>
      <c r="AB22" s="108" t="s">
        <v>2350</v>
      </c>
      <c r="AC22" s="108" t="s">
        <v>1356</v>
      </c>
      <c r="AD22" s="101" t="s">
        <v>2350</v>
      </c>
    </row>
    <row r="23" spans="1:16384" ht="409.5" x14ac:dyDescent="0.25">
      <c r="A23" s="101" t="s">
        <v>1414</v>
      </c>
      <c r="B23" s="103" t="s">
        <v>2356</v>
      </c>
      <c r="C23" s="103" t="s">
        <v>3073</v>
      </c>
      <c r="D23" s="103" t="s">
        <v>2288</v>
      </c>
      <c r="E23" s="103" t="s">
        <v>1430</v>
      </c>
      <c r="F23" s="103" t="s">
        <v>3337</v>
      </c>
      <c r="G23" s="103" t="s">
        <v>3345</v>
      </c>
      <c r="H23" s="111" t="s">
        <v>246</v>
      </c>
      <c r="I23" s="103" t="s">
        <v>2399</v>
      </c>
      <c r="J23" s="103" t="s">
        <v>97</v>
      </c>
      <c r="K23" s="108">
        <v>42217</v>
      </c>
      <c r="L23" s="11">
        <f ca="1">IFERROR(IF(AND(Y23&lt;&gt;"Concluído",Y23&lt;&gt;"Cancelado"),TODAY()-K23+1,Z23-K23),"")</f>
        <v>306</v>
      </c>
      <c r="M23" s="108">
        <v>42272</v>
      </c>
      <c r="N23" s="108" t="s">
        <v>273</v>
      </c>
      <c r="O23" s="108" t="s">
        <v>2306</v>
      </c>
      <c r="P23" s="108" t="s">
        <v>2306</v>
      </c>
      <c r="Q23" s="103" t="s">
        <v>2306</v>
      </c>
      <c r="R23" s="45"/>
      <c r="S23" s="114" t="s">
        <v>3456</v>
      </c>
      <c r="T23" s="109" t="str">
        <f t="shared" si="0"/>
        <v xml:space="preserve">                                      
Edison Nei Siqueira added a comment - 10/Mai/16 18:36
Aguardando a aprovação da demanda no comitê de caixa.
Continuamos aguardando .
Edison Nei Siqueira added a comment - 03/Mai/16 11:06
Aguardando aprovação no comitê de caixa, para que o fornecedor prossiga com a homologação junto a operação.
Edison Nei Siqueira added a comment - 26/Abr/16 20:38
Aguardando aprovação no comitê de caixa, para que o fornecedor prossiga com a homologação junto a operação.
Edison Nei Siqueira added a comment - 12/Abr/16 17:46
Aguardando verificação junto ao fornecedor Closer se teremos proposta comercial para o desenvolvimento ou se será diluído no pool de horas junto a Contax.
29/03 - Mesmo status
Edison Nei Siqueira added a comment - 15/Mar/16 09:51
Aguardando posicionamento da área de negócios.
[16/02] - Aguardando retorno Fornecedor. Closer.
02/02 - Mesmo status
Edison Nei Siqueira added a comment - 26/Jan/16 12:09
Aguardando retorno do fornecedor Closer com relação a analise da EF.
Edison Nei Siqueira added a comment - 18/Dez/15 12:55
Aguardando retorno do fornecedor Closer com relação a analise da EF. 
Edison Nei Siqueira added a comment - 17/Nov/15 17:12
Recebida a EF e encaminhada para o fornecedor Close, aguardando posicionamento da área de GSEG para seguir com a abertura dos chamados de liberação e inserção da caixa de e-mail do fornecedor na mailbox da operação.
Edison Nei Siqueira added a comment - 10/Nov/15 17:26
Conforme audio realizada junto a GSEG e o Fornecedor Close, ficamos aguardando a EF atualizada com as informações alinhadas na audio.
Edison Nei Siqueira added a comment - 03/Nov/15 15:25
Aguardando o de acordo da gerente da operação para abertura de chamados de liberações.
Edison Nei Siqueira added a comment - 20/Out/15 19:49
Realizado reunião com o fornecedor Close para entendimento e definição de modos operantes da operação.
Edison Nei Siqueira added a comment - 06/Out/15 16:27
Continuamos aguardando um posicionamento da equipe de melhoria continua e projetos da operação para seguir com a demanda
Edison Nei Siqueira added a comment - 29/Set/15 16:05
Continuamos aguardando um posicionamento da equipe de melhoria continua e projetos da operação para seguir com a demanda
Edison Nei Siqueira added a comment - 16/Set/15 11:17
Continuamos aguardando um posicionamento da equipe de melhoria continua e projetos da operação para seguir com a demanda.</v>
      </c>
      <c r="U23" s="114"/>
      <c r="V23" s="109" t="s">
        <v>2759</v>
      </c>
      <c r="W23" s="110" t="s">
        <v>2837</v>
      </c>
      <c r="X23" s="109" t="s">
        <v>2306</v>
      </c>
      <c r="Y23" s="109" t="s">
        <v>107</v>
      </c>
      <c r="AA23" s="109">
        <v>42</v>
      </c>
      <c r="AB23" s="108" t="s">
        <v>2350</v>
      </c>
      <c r="AC23" s="108" t="s">
        <v>1356</v>
      </c>
      <c r="AD23" s="101" t="s">
        <v>273</v>
      </c>
    </row>
    <row r="24" spans="1:16384" ht="409.5" x14ac:dyDescent="0.25">
      <c r="A24" s="101" t="s">
        <v>2448</v>
      </c>
      <c r="B24" s="103" t="s">
        <v>187</v>
      </c>
      <c r="C24" s="103" t="s">
        <v>3073</v>
      </c>
      <c r="D24" s="103" t="s">
        <v>118</v>
      </c>
      <c r="E24" s="103" t="s">
        <v>1430</v>
      </c>
      <c r="F24" s="103" t="s">
        <v>3337</v>
      </c>
      <c r="G24" s="103" t="s">
        <v>3345</v>
      </c>
      <c r="H24" s="111" t="s">
        <v>244</v>
      </c>
      <c r="J24" s="103" t="s">
        <v>97</v>
      </c>
      <c r="K24" s="108">
        <v>42217</v>
      </c>
      <c r="L24" s="11">
        <f ca="1">IFERROR(IF(AND(Y24&lt;&gt;"Concluído",Y24&lt;&gt;"Cancelado"),TODAY()-K24+1,Z24-K24),"")</f>
        <v>306</v>
      </c>
      <c r="M24" s="108">
        <v>42217</v>
      </c>
      <c r="N24" s="108" t="s">
        <v>273</v>
      </c>
      <c r="O24" s="108" t="s">
        <v>2306</v>
      </c>
      <c r="P24" s="108" t="s">
        <v>2306</v>
      </c>
      <c r="Q24" s="108" t="s">
        <v>2306</v>
      </c>
      <c r="R24" s="113"/>
      <c r="S24" s="114" t="s">
        <v>3842</v>
      </c>
      <c r="T24" s="109" t="str">
        <f t="shared" si="0"/>
        <v xml:space="preserve">                                      
31/05- faltando validar escopo com a operação e fechar contrato com a TQS.
Edison Nei Siqueira added a comment - 26/Abr/16 20:36
Demanda aguardando renovação do contrato junto ao fornecedor TQS.
Edison Nei Siqueira added a comment - 20/Abr/16 08:23
Demanda aguardando a aprovação no comitê de caixa, pois foi solicitado ajustes na quantidade de licenças para essa demanda.
Edison Nei Siqueira added a comment - 05/Abr/16 16:56
SC aprovada, aguardando geração de pedido para o fornecedor.
29/03 - Mesmo status
[16/02] - Aguardando aprovação SCs
[10/02] - Aguardando Aprovação SC e criação pedidos: Resp: ( Marcos Barbosa e Koreeda)
SC 37750
SC 37751
Edison Nei Siqueira added a comment - 26/Jan/16 12:10
Aguardando aprovação da SC e geração do pedido para acionar o fornecedor.
Edison Nei Siqueira added a comment - 21/Jan/16 14:27
Aguardando aprovação da SC e geração do pedido para acionar o fornecedor.
Edison Nei Siqueira added a comment - 03/Nov/15 15:26
Aguardando posicionamento com relação ao comitê de gastos para prosseguir com o lançamento da SC.
Edison Nei Siqueira added a comment - 20/Out/15 19:51
Aguardando posicionamento com relação ao comitê de gastos para prosseguir com o lançamento da SC.
Edison Nei Siqueira added a comment - 06/Out/15 16:29
Aguardando posicionamento com relação ao comitê de gastos para prosseguir com o lançamento da SC.
Edison Nei Siqueira added a comment - 29/Set/15 16:04
aguardando posicionamento com relação ao comitê de gastos para prosseguir com o lançamento da SC.
Edison Nei Siqueira added a comment - 16/Set/15 11:19
Aguardando aprovação da diretoria para providenciar o lançamento da SC para o fornecedor.</v>
      </c>
      <c r="U24" s="114"/>
      <c r="Y24" s="109" t="s">
        <v>107</v>
      </c>
      <c r="AB24" s="108" t="s">
        <v>2350</v>
      </c>
      <c r="AC24" s="108" t="s">
        <v>1356</v>
      </c>
      <c r="AD24" s="101" t="s">
        <v>2350</v>
      </c>
    </row>
    <row r="25" spans="1:16384" ht="409.5" x14ac:dyDescent="0.25">
      <c r="A25" s="101" t="s">
        <v>27</v>
      </c>
      <c r="B25" s="103" t="s">
        <v>2362</v>
      </c>
      <c r="C25" s="103" t="s">
        <v>3075</v>
      </c>
      <c r="D25" s="103" t="s">
        <v>2288</v>
      </c>
      <c r="E25" s="103" t="s">
        <v>1430</v>
      </c>
      <c r="F25" s="103" t="s">
        <v>3337</v>
      </c>
      <c r="G25" s="103" t="s">
        <v>3345</v>
      </c>
      <c r="H25" s="111" t="s">
        <v>246</v>
      </c>
      <c r="I25" s="103" t="s">
        <v>2401</v>
      </c>
      <c r="J25" s="103" t="s">
        <v>97</v>
      </c>
      <c r="K25" s="108">
        <v>42122.445138888892</v>
      </c>
      <c r="L25" s="11">
        <f ca="1">IFERROR(IF(AND(Y25&lt;&gt;"Concluído",Y25&lt;&gt;"Cancelado"),TODAY()-K25+1,Z25-K25),"")</f>
        <v>400.55486111110804</v>
      </c>
      <c r="M25" s="108">
        <v>42217</v>
      </c>
      <c r="N25" s="108" t="s">
        <v>273</v>
      </c>
      <c r="O25" s="108" t="s">
        <v>2306</v>
      </c>
      <c r="P25" s="108" t="s">
        <v>2306</v>
      </c>
      <c r="Q25" s="108" t="s">
        <v>2306</v>
      </c>
      <c r="R25" s="45"/>
      <c r="S25" s="114" t="s">
        <v>3837</v>
      </c>
      <c r="T25" s="109" t="str">
        <f t="shared" si="0"/>
        <v xml:space="preserve">                                      
Edison Nei Siqueira added a comment - 31/Mai/16 17:30
Rollout realizado em 40 PAs da operação Rentabilização, programado o segundo rollout para o dia 13/06 de mais 29 PAs completando toda a operação utilizando Aspect + FF. Estamos com a pendência de disponibilizar a chaves do e-cadop e a homologação de uma nova versão do FF com melhoria solicitada pela operação.
Edison Nei Siqueira added a comment - 18/Mai/16 11:28
Iniciamos o piloto no dia 16/05 utilizando a solução do FF + Aspect, estamos com um daley com relação ao agendamento fidelizado x a plataforma Aspect, já foi aberto chamado junto ao fornecedor para analise, mesmo com essa situação a operação optou por iniciar o piloto com 40 PAs.
Edison Nei Siqueira added a comment - 03/Mai/16 12:26
Homologada a versão versão 4.15009.205.1642 . O erro da janela de motivo de desligamento foi corrigido, porém o erro do número binado permaneceu. 
Na segunda chamada de retorno de agendamento pessoal, o número binado que estava no Screenpop era o terminal da chamada anterior. Também, no momento de encerrar a chamada apareceu o erro de “Object reference no set to na instance of na object”: 
Edison Nei Siqueira added a comment - 26/Abr/16 20:32
Em homologação junto a equipe de projetos, aplicações NGR e NID.
29/03 - Mesmo status
Edison Nei Siqueira added a comment - 07/Mar/16 15:01
Aguardando retorno do teste dos 20 agendamentos para analise de CSE Discadores.
[16/02] - Aguardando retorno cliente Oi.
02/02 - Mesmo status
Edison Nei Siqueira added a comment - 26/Jan/16 13:29
Aguardando retorno com relação aos testes de agendamento solicitado pela equipe de discadores.
Edison Nei Siqueira added a comment - 18/Dez/15 13:52
Continuamos em homologação , pois o agendamento fidelizado continua apresentando inconsistência. 
Edison Nei Siqueira added a comment - 10/Nov/15 17:30
Em Análise a questão de agendamento x horário de verão.
Edison Nei Siqueira added a comment - 03/Nov/15 15:28
Evoluímos, porém ainda precisamos da Análise com relação ao tratamento do horário de verão nos agendamentos. 
Edison Nei Siqueira added a comment - 20/Out/15 19:54
Realizado audio hoje onde foi tratado o tom de ocupado após as chamadas para telefone fixo, amanhã será dado sequência no agendamento.
Edison Nei Siqueira added a comment - 06/Out/15 17:00
Continuamos em homologação com relação a inconsistência no agendamento de contato no Aspect + FF, vamos retornar os testes essa semana ainda.
Edison Nei Siqueira added a comment - 16/Set/15 11:22
Continuamos em homologação com relação a inconsistência no agendamento de contato no Aspect + FF.</v>
      </c>
      <c r="U25" s="114"/>
      <c r="V25" s="109" t="s">
        <v>3457</v>
      </c>
      <c r="W25" s="110" t="s">
        <v>2838</v>
      </c>
      <c r="X25" s="109" t="s">
        <v>2306</v>
      </c>
      <c r="Y25" s="109" t="s">
        <v>231</v>
      </c>
      <c r="AA25" s="109">
        <v>585</v>
      </c>
      <c r="AB25" s="108" t="s">
        <v>2350</v>
      </c>
      <c r="AC25" s="108" t="s">
        <v>1356</v>
      </c>
      <c r="AD25" s="101" t="s">
        <v>273</v>
      </c>
    </row>
    <row r="26" spans="1:16384" ht="409.5" x14ac:dyDescent="0.25">
      <c r="A26" s="101" t="s">
        <v>2511</v>
      </c>
      <c r="B26" s="109" t="s">
        <v>2732</v>
      </c>
      <c r="C26" s="109" t="s">
        <v>3038</v>
      </c>
      <c r="D26" s="103" t="s">
        <v>118</v>
      </c>
      <c r="E26" s="103" t="s">
        <v>1430</v>
      </c>
      <c r="F26" s="103" t="s">
        <v>3337</v>
      </c>
      <c r="G26" s="103" t="s">
        <v>3345</v>
      </c>
      <c r="H26" s="111" t="s">
        <v>245</v>
      </c>
      <c r="I26" s="103" t="s">
        <v>3357</v>
      </c>
      <c r="J26" s="103" t="s">
        <v>98</v>
      </c>
      <c r="K26" s="108">
        <v>42030.73541666667</v>
      </c>
      <c r="L26" s="11">
        <f ca="1">IFERROR(IF(AND(Y26&lt;&gt;"Concluído",Y26&lt;&gt;"Cancelado"),TODAY()-K26+1,Z26-K26),"")</f>
        <v>492.26458333332994</v>
      </c>
      <c r="M26" s="108">
        <v>42217</v>
      </c>
      <c r="N26" s="108" t="s">
        <v>3358</v>
      </c>
      <c r="O26" s="108" t="s">
        <v>2306</v>
      </c>
      <c r="P26" s="108" t="s">
        <v>2306</v>
      </c>
      <c r="Q26" s="103" t="s">
        <v>2306</v>
      </c>
      <c r="R26" s="45"/>
      <c r="S26" s="109" t="s">
        <v>3764</v>
      </c>
      <c r="T26" s="109" t="str">
        <f t="shared" si="0"/>
        <v xml:space="preserve">                                      
31/05 - Está em comitê de aprovação.
24/05 - Está em comitê de aprovação. 
17/05 - Desde: 04/03/2016 - Aguardando aprovação do comitê de Caixa para envio do Pedido de compra. Sendo verificado  renovação de contrato com a TQS.
10/05 - Sendo incluso no fluxo de OG perante a última EF anexada no dia 09/05/2016 pelo solicitante Rodrigo Ribeiro. Em análise com TI / Fornecedor.
03/05 - Conforme solicitante,  a EF do TLV Blended será revista e anexada até o dia 06/05. 
25/04 - Solicitado a confirmação  da  importância/prioridade deste projeto e respectivo anexo no tprocess da documentação em falta: EF Revalidada e Aprovação de Comitê. Caso não tenhamos a EF/informação disponibilizada em 15 dias esse chamado será cancelado/fechado. 
19/04 - Mesmo status
12/04 - Comitê, conforme interação com a analista de Projetos Contax - Sem previsão.
04/04 - Comitê
28/03 - Comitê
15/03- Comitê
23/02 - Mesmo status em relação a TI pela análise de Engenharia, porém demanda está no momento em Comitê.
15/02 - Solicitante Rodrigo não conseguiu participar da Conferência, aguardando o retorno da  operação perante esta definição desde o dia 21/01.
10/02 - Mesmo Status
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18/12 - Em Comitê.
24/11 - Em Comitê.
Em paralelo, está sendo realizado interações com o Fornecedor peraante as regras de Negócios, Infra , Discador.
17/11 - Aguardando retorno do cliente perante a análise da proposta do fornecedor, interação referente as regras de negócio e verificando questões de licença
30/10 - Proposta enviada pelo Fornecedor. Em análise. Estimativa de OG. AGUARDANDO OK PARA CONTRATAÇÃO DA TQS. DISCUSSÃO DE LINKS LICENÇAS DISCADOR.
13/10 - Em comitê
06/10 - Em Comitê
29/09 - Em fase de Aprovação da Proposta Comercial
----------------------------------------------
22/09 - 1) Não temos licenças de TLV disponível para este crescimento – Verificando com a operação orçamento disponível para abrir um processo de compra de Licenças
2) O Planejamento destas Operações precisa dimensionar o crescimento de troncos, com base nesta informação saberemos se temos espaço disponível nos DCPs para inclusão de novos troncos.
</v>
      </c>
      <c r="V26" s="109" t="s">
        <v>3429</v>
      </c>
      <c r="W26" s="109" t="s">
        <v>3029</v>
      </c>
      <c r="X26" s="110" t="s">
        <v>2306</v>
      </c>
      <c r="Y26" s="109" t="s">
        <v>107</v>
      </c>
      <c r="Z26" s="110">
        <v>42493</v>
      </c>
      <c r="AA26" s="109">
        <v>185</v>
      </c>
      <c r="AB26" s="108" t="s">
        <v>273</v>
      </c>
      <c r="AC26" s="108" t="s">
        <v>2282</v>
      </c>
      <c r="AD26" s="101" t="s">
        <v>2350</v>
      </c>
    </row>
    <row r="27" spans="1:16384" ht="409.5" x14ac:dyDescent="0.25">
      <c r="A27" s="101" t="s">
        <v>54</v>
      </c>
      <c r="B27" s="103" t="s">
        <v>3490</v>
      </c>
      <c r="C27" s="103" t="s">
        <v>3038</v>
      </c>
      <c r="D27" s="103" t="s">
        <v>118</v>
      </c>
      <c r="E27" s="103" t="s">
        <v>1430</v>
      </c>
      <c r="F27" s="103" t="s">
        <v>3337</v>
      </c>
      <c r="G27" s="103" t="s">
        <v>3345</v>
      </c>
      <c r="H27" s="111" t="s">
        <v>245</v>
      </c>
      <c r="I27" s="103" t="s">
        <v>3357</v>
      </c>
      <c r="J27" s="103" t="s">
        <v>97</v>
      </c>
      <c r="K27" s="108">
        <v>42164.45</v>
      </c>
      <c r="L27" s="11">
        <f ca="1">IFERROR(IF(AND(Y27&lt;&gt;"Concluído",Y27&lt;&gt;"Cancelado"),TODAY()-K27+1,Z27-K27),"")</f>
        <v>358.55000000000291</v>
      </c>
      <c r="M27" s="108">
        <v>42217</v>
      </c>
      <c r="N27" s="108" t="s">
        <v>3358</v>
      </c>
      <c r="O27" s="108" t="s">
        <v>2306</v>
      </c>
      <c r="P27" s="108" t="s">
        <v>2306</v>
      </c>
      <c r="Q27" s="103" t="s">
        <v>2306</v>
      </c>
      <c r="R27" s="45"/>
      <c r="S27" s="109" t="s">
        <v>3765</v>
      </c>
      <c r="T27" s="109" t="str">
        <f t="shared" si="0"/>
        <v xml:space="preserve">                                      
31/05 - Conforme interação com a TQS, pacote está sendo finalizado para testes. Incluindo também a demanda CTXNITSP-172611_Alteração da regra de carga do Mailing no TLV.
24/05 - Mesmo status.
17/05 - Considerando a data de 27/06 para entrega do TLV Preview pela TQS.
10/05 - Sendo analisado o escopo junto ao fornecedor pois a demanda já foi paga pelo cliente.
03/05 - Sendo analisado a alteração  de escopo. Retirada do Preditivo, prevalecendo somente o Preview, sendo que neste caso o Tlv atende.
25/04 - Solicitado a confirmação  da  importância/prioridade deste projeto e respectivo anexo no tprocess da documentação em falta: EF Revalidada e Aprovação de Comitê. Caso não tenhamos a EF/informação disponibilizada em 15 dias esse chamado será cancelado/fechado
19/04 - Mesmo Status.
12/04 - Mesmo Status, aguardando definição do analista de projetos contax.
04/04 - Aguardando a validação do escopo pelos stakeholders
28/03 - Foi solicitado ajuda a negócios para que o cliente defina o escopo desta demanda.
21/03 - Foi solicitado ajuda a negócios para que o cliente defina o escopo desta demanda.
15/03 - Mesmo Status
07/03 - Aguardando retorno da operação referente a alteração de Escopo
01/03 - Em discussão de alteração de escopo
23/02 - Mesmo status em relação a TI pela análise de Engenharia, porém em paralelo está sendo realizada a  interação com o Fornecedor referente a regras de negocio operacionais.
15/02 - Solicitante Rodrigo não conseguiu participar da Conferência, aguardando o retorno da  operação perante esta definição desde o dia 21/01.
10/02 - Mesmo Status
02/02 - A solução encontrada é migrar as 02 operações para o Polo Pernambuco onde poderemos efetuar tanto o crescimento do Velox e Fixo, além da implantação da OI TV, foram informadas as premissas para a operação, aguardando o retorno.
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
18/12 - Em Comitê
08/12 - Em Comitê
24/11 - Em Comitê
17/11 - Interação com o fornecedor referente as regras operacionais,
30/10 - Em processo de handover com analista de Projetos. Em paralelo interação com o fornecedor referente a proposta enviada.
20/10 - Validação de algumas inf na operação em relação a proposta anterior que foram inclusos o Oi Tv.
13/10 - Aguardando retorno do Fornecedor perante as documentações de regra de negócio operacional.
06/10 - Em análise da árvore enviada pelo cliente.
29/09 - Aguardando a árvore do Oi Tv
------------------------------------------------
22/09 - Já foi diagnosticado pelo fornecedor que temos uma demanda que tem o Oi Tv, com o recebendo do mailing e exibindo na tela os dados do contato, sem integração com o Sinn.
Aguardando a operação enviar um arquivo do produto OiTV nesse layout, podendo ser um arquivo teste e também a árvore de marcação para esse produto, pois nesse projeto as marcações são liberadas conforme a campanha que se está trabalhando
16/09 - Verificando questões de quantidade de licença do Discador.</v>
      </c>
      <c r="V27" s="109" t="s">
        <v>3430</v>
      </c>
      <c r="W27" s="109" t="s">
        <v>3032</v>
      </c>
      <c r="X27" s="109" t="s">
        <v>2306</v>
      </c>
      <c r="Y27" s="109" t="s">
        <v>243</v>
      </c>
      <c r="AA27" s="109">
        <v>20</v>
      </c>
      <c r="AB27" s="108" t="s">
        <v>273</v>
      </c>
      <c r="AC27" s="108" t="s">
        <v>2282</v>
      </c>
      <c r="AD27" s="101" t="s">
        <v>2350</v>
      </c>
    </row>
    <row r="28" spans="1:16384" ht="409.5" x14ac:dyDescent="0.25">
      <c r="A28" s="101" t="s">
        <v>113</v>
      </c>
      <c r="B28" s="103" t="s">
        <v>127</v>
      </c>
      <c r="C28" s="101" t="s">
        <v>3040</v>
      </c>
      <c r="D28" s="103" t="s">
        <v>118</v>
      </c>
      <c r="E28" s="103" t="s">
        <v>1430</v>
      </c>
      <c r="F28" s="103" t="s">
        <v>3337</v>
      </c>
      <c r="G28" s="103" t="s">
        <v>3345</v>
      </c>
      <c r="H28" s="111" t="s">
        <v>245</v>
      </c>
      <c r="I28" s="103" t="s">
        <v>3357</v>
      </c>
      <c r="J28" s="103" t="s">
        <v>97</v>
      </c>
      <c r="K28" s="108">
        <v>42037.625</v>
      </c>
      <c r="L28" s="11">
        <f ca="1">IFERROR(IF(AND(Y28&lt;&gt;"Concluído",Y28&lt;&gt;"Cancelado"),TODAY()-K28+1,Z28-K28),"")</f>
        <v>485.375</v>
      </c>
      <c r="M28" s="108">
        <v>42217</v>
      </c>
      <c r="N28" s="108" t="s">
        <v>273</v>
      </c>
      <c r="O28" s="108" t="s">
        <v>2306</v>
      </c>
      <c r="P28" s="108" t="s">
        <v>2306</v>
      </c>
      <c r="Q28" s="103" t="s">
        <v>2306</v>
      </c>
      <c r="R28" s="45"/>
      <c r="S28" s="109" t="s">
        <v>3766</v>
      </c>
      <c r="T28" s="109" t="str">
        <f t="shared" si="0"/>
        <v xml:space="preserve">                                      
31/05- Piloto retornará amanhã, devido a solicitação do cliente Oi. Em paralelo, estamos aguardando retorno do Doc sobre a FASE 2 que compreende a substituição do Unific pelo Evalyze (Fornecedor Closer).
24/05 - Mesmo  status
17/05 - Previsão de Piloto (10 pa´s) hoje na parte da tarde.
Verificando algumas questões para sermos mais assertivos como:
Validação Riscos Processo de Tramitação, o arquivo ser disponibilizado 
para tratamento em paralelo da operação não impactando o sla,
UF segregada pela Oi, processo na operação da tabela verdade,
Validação Riscos Regra Tramitação,Análise arquivo retorno 
10/05 - Pré-Piloto em andamento com 2 pa´s
Piloto previsto com 10 pa´s para amanhã 11/05
Eventos sendo analisados no Pré- Piloto por Telecom e Oi:
Lig Muda
Numero não reconhecido.
03/05 - Pré-Piloto iniciou ontem com 2 pa´s, dentro do processo manual de expurgo. Em paralelo está sendo verificado com Engenharia e CSE as questões da liberação para a Automatização do mesmo.
25/04 - Alinhamentos sendo realizados internamente e com o cliente.
Possibilidade de Retorno do Piloto 02/05.
Processos sendo verificados abaixo:
1 - Cadastro de Operadores
2 - Alteração DAC na operação  10 PAs
3 - Atividades NID (48h):
    cadastramento campanhas
    configurações
    limpeza base, etc
4 - Validação configuração Discador
5 - Acesso Bco de Dados MIS (Automatização)
6 - Automatização processo expurgo (24h)
7 - Teste 2 PAs antes do Piloto
8 - Verificação senhas usuários STC com OI
9 - Alinhar junto a OI a UF que vamos Pilotar
10 - Criar rotina dos AGs abertos x tratamento (analisar possíveis  AGs vencidos e sem tratamento por falta de contato)
11 - Criar rotina para extração dos dados ( AG+ Data/hora abertura+ Data/hora View)
19/04 - Equipe de TI está analisando a solução referente ao Discador que se encaixa melhor nas regras de negocios operacionais da demanda
12/04 - Dentro do tópico crítico que é o tempo de carga de mailing,  foi analisado pelo NID quanto a possibilidade de diminuirmos esse tempo de carga, contudo de acordo com o laudo da AVAYA não é recomendado a carga menor que 30min para operação com mailing pequeno.
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
*Sendo estudado esta possibilidade pela operação. Hoje faremos uma conferência com o cliente para detalhar esta solução. O piloto no momento está parado.
04/04 - Stressando ao maximo um dos Itens em "Pendência" que é o Time da Carga de Mailing.Ti analisando o cenário atual, ainda esta semana faremos uma conferência interna Contax para alinhamento.
28/03 - Piloto parado devido a solicitação do cliente. 
Aguardando definições da área de NID, MIS e TI.
21/03 - Foi enviado laudo detalhado aguardando definição da Oi, do retorno do Piloto. 
15/03 - Piloto está parado devido aos 8 Itens, porém 5 estão ok, aguardando retorno do Piloto para homologação.
07/03 -Ocorrências Piloto- 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Em paralelo se faz necessário uma atualização na EF pela operação perante os processos de View da Oi e Processos de Expurgo.
01/03 - Em  piloto
23/02 - Em piloto com 9 pas, segue abaixo  os detalhes: 
1.View Com Problemas: 
As 14h:00  - View da OI voltou a trazer dados da regional RNE (PE), porém a view trouxe a data de abertura com o formato errado, não está trazendo o horário.
O processo de carga foi parado. 
View voltou a funcionar por volta das 15:50h com formato correto.
Os protocolos  enviados estão muito abaixo do padrão, o dia todo só foram carregados em torno de 354 registros.
2.Carregamento do Raw no Discador no APC
Para resolver problema do Discador, além do Edson que tem nos apoiado, envolveremos o Bruno Cordeiro de Curitiba que acompanhou todo o processo junto a programação de atualização de tempo das cargas para verificar o tempo de cargas.
Integração tGuidance com UNIFIC: já reportado pela Erica. Todos os casos estão com agendamento na base do UNIFIC, sendo assim a ferramenta só devolve no horário do agendamento.
Estamos envolvendo os respectivos departamentos, pois somente com todos os processos em 100% é que TI poderá pilotar o processo final com apoio da operação.
Estamos recebendo o arquivo da Oi, com dados tratados, para darmos sequência no piloto hoje.
-------
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
Conforme conferência hoje 15/02 foi acordado, o início do Piloto 16/02.
-----------
10/02 -  iniciaremos o Piloto no dia 11/02.
-----------
26/01 - Conforme aprovação das áreas envolvidas (NID, CSE e Aplicações), foi enviado novo cronograma, no qual iniciaremos o Piloto no dia 11/02.
----------
19/01 - O escopo do projeto foi alterado no dia 06/01 e por isso o Piloto não aumentou para 10 PAs e já nem está com 2 PAs (o Piloto parou).
Assim, o projeto necessita de ser replanejado, pois são necessárias atividades da equipe de desenvolvimento e CSE novamente. Como sabem os recursos estão 100% alocados e as filas das equipes vão se organizando com outros projetos prioritários.
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
08/12 - Aumentamos o Piloto em 5 pas, estamos monitorando o comportamento para darmos sequencia.
01/12 - Estamos em definição de aumento do Piloto, devido a alguns cenários ainda impeditivos.
1. Número excessivo de motivos Telefonia: chamado aberto junto a Oi para solução do problema nos circuitos (Resp.: Wenderson);
2. Discagem Horizontal apenas até o 2° Telefone: análise junto ao especialista Avaya para que possamos, após atuação, monitorar a solução aplicada (Resp.: Adalton  - Início Monitoramento: 01/12);
3. Atualização do Mailing: solução já aplicada e em processo de monitoramento (Resp.: Adalton – Parecer sobre a solução: 30/12);
4. Eficiência das Macros: análise a respeito da informação foi realizada e está sendo afetada pelo Item 2. Após solução do mesmo, informações estarão consistentes (Resp.: Adalton);
5. Análise de Protocolo Telefone Único: este caso também está na dependência da solução do Item 2 (Responsável: Adalton).
24/11 - Conforme conferência realizada no dia 19/11 foram discutidos alguns cenários impeditivos para o aumento do Piloto, estes cenários 
estão sendo verificados entre NID e Equipe de Desenvolvimento TI. Hoje 24/11, será realizado uma conferência para a análise da estratégia de discagem. Foram diagnosticadas ações na eficiência das macros quando não se utiliza o discador, sendo acompanhado os protocolos 
para identificação no que se refere a distribuição.
Foi criada uma nova campanha com novas configurações e iniciada dia 19/11 nas PA’s. Estamos acompanhando o comportamento 
do discador nos momentos de atualização do mailing. 
 Foi identificado na análise de Protocolo Telefone Único que alguns protocolos apresentam apenas um telefone, pela regra isso não deveria acontecer devido a análise do histórico, este assunto será discutido em detalhes hoje na reunião com o Wenderson NID.
17/11 - Fase 1 - a UF de Pernambuco está sendo disponibilizada.  Ainda está sendo visto a questão da Telefonia, por esse motivo ainda não temos previsão de aumento do Piloto.
Fase 2 - Foi informado o valor das licenças, prazo do fornecedor (2 meses). Foi solicitado:
_Ok formalizado para iniciarmos a contratação do serviço (Lançamento de SC, Aprovações e geração de pedido).
_Entrega de pedido gerado para contagem do prazo.
_Entrega do detalhamento do escopo do UNIFIC (Processo, telas e informações) ou a árvore de workflow que a Oi gostaria de desenvolver no Evalyze antes da data de início do desenvolvimento.
Aguardando o retorno do solicitante com as devidas informações.
-------------
10/11 - Constatados  casos de problemas que afetam a integração entre discador e UNIFIC e classificação erronea de status de chamadas, refletidas nos relatórios de produtividade. Ti contax e fornecedor atuando em conjunto. Piloto seguem com 2 PAs.
03/11 -  Iniciaremos o piloto no dia de hoje com a UF PE, o discador fará processo em afim sem a geração da macro gerando do mailing, fechamento de AG e abertura de BD antes do vencimento do SLA.
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
27/10- o Front-Fácil acaba de ser configurado para aguardar pelo perfilamento "sem tempo limite".
Desta forma, o operador poderá finalizar o perfilamento do UNIFIC com a garantia de que nenhuma outra chamada será entregue na PA enquanto o operador não preencher o “Motivo de Desligamento” no Front-Fácil.
Com esta configuração, não será necessária qualquer alteração/melhoria em nenhuma das ferramentas para que o piloto seja iniciado. Porém, há alguns pontos de atenção que não podemos deixar de alertar:
• Os operadores terão a oportunidade de retardar o atendimento depois desta nova configuração. No nosso entendimento, trata-se de uma ação contraditória à implantação do discador automático de chamadas, que visa a máxima produtividade dos colaboradores;
•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
• A solução também ainda estará sujeita ao problema original (chegada de chamada sem o screen-pop no UNIFIC), se o operador enviar o “Motivo de Desligamento” pelo Front-Fácil e permanecer com o protocolo em tratamento no UNIFIC, o que impossibilitaria o pop-up do novo protocolo.
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Estamos verificando com a Wenderson para criar uma nova coluna no mailing, exclusivamente para o UNIFIC.
---------------------
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
------------------------------
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
-----------------------------------------------
29/09 - Eventos de atraso na entrega dos links da Oi e Criação de login de STC impactaram no início do Piloto hoje 29/09, conforme cronograma. 
 - Foi diagnosticado ontem pela área de Desenvolvimento a necessidade de liberação de IP por parte da Oi;
- Os logins STC foram encaminhado na sexta passada 25/09, mas estavam com problemas na senha de acesso. Prazo de retorno da operação Hoje 29/09.
*Caso não tenhamos retorno das duas ações acima irá impactar novamente no início do Piloto, previsto para  o dia 05/10
-----------------------------------------------
22/09 - Validação de Mailing da Oi =  tivemos alterações de escopo sendo que a Oi já validou, estando em processo de desenvolvimento com risco de atraso, porém ainda não confirmado pelo Marquinhos.
_Atraso na entrega dos links da Oi =  a Entrega foi feita hoje dia 22/09, tendo impacto no cronograma das ações posteriores inserindo.
</v>
      </c>
      <c r="V28" s="109" t="s">
        <v>3431</v>
      </c>
      <c r="W28" s="109" t="s">
        <v>3156</v>
      </c>
      <c r="X28" s="109" t="s">
        <v>2306</v>
      </c>
      <c r="Y28" s="109" t="s">
        <v>231</v>
      </c>
      <c r="AA28" s="109">
        <v>150</v>
      </c>
      <c r="AB28" s="108" t="s">
        <v>2350</v>
      </c>
      <c r="AC28" s="108" t="s">
        <v>185</v>
      </c>
      <c r="AD28" s="101" t="s">
        <v>2350</v>
      </c>
    </row>
    <row r="29" spans="1:16384" ht="409.5" x14ac:dyDescent="0.25">
      <c r="A29" s="101" t="s">
        <v>39</v>
      </c>
      <c r="B29" s="7" t="s">
        <v>401</v>
      </c>
      <c r="C29" s="6" t="s">
        <v>3040</v>
      </c>
      <c r="D29" s="103" t="s">
        <v>118</v>
      </c>
      <c r="E29" s="103" t="s">
        <v>1430</v>
      </c>
      <c r="F29" s="103" t="s">
        <v>3337</v>
      </c>
      <c r="G29" s="103" t="s">
        <v>3345</v>
      </c>
      <c r="H29" s="111" t="s">
        <v>245</v>
      </c>
      <c r="I29" s="103" t="s">
        <v>3357</v>
      </c>
      <c r="J29" s="103" t="s">
        <v>97</v>
      </c>
      <c r="K29" s="108">
        <v>42214.658333333333</v>
      </c>
      <c r="L29" s="11">
        <f ca="1">IFERROR(IF(AND(Y29&lt;&gt;"Concluído",Y29&lt;&gt;"Cancelado"),TODAY()-K29+1,Z29-K29),"")</f>
        <v>308.34166666666715</v>
      </c>
      <c r="M29" s="108">
        <v>42217</v>
      </c>
      <c r="N29" s="108" t="s">
        <v>3358</v>
      </c>
      <c r="O29" s="108" t="s">
        <v>2306</v>
      </c>
      <c r="P29" s="108" t="s">
        <v>2306</v>
      </c>
      <c r="Q29" s="103" t="s">
        <v>2306</v>
      </c>
      <c r="R29" s="44"/>
      <c r="S29" s="109" t="s">
        <v>3767</v>
      </c>
      <c r="T29" s="109" t="str">
        <f t="shared" si="0"/>
        <v xml:space="preserve">                                      
31/05 - Mesmo Status
24/05 - Mesmo Status
17/05 - Mesmo Status
10/05 - Devido a alteração de escopo o piloto parou, aguardando Desenvolvimento do Item Conferência (CTXRECSA-475951)
03/05 - Devido a alteração de escopo o piloto parou, aguardando Desenvolvimento do Item Conferência (CTXRECSA-475951)
25/04 -  Devido a alteração de escopo o piloto parou, aguardando Desenvolvimento do Item Conferência (CTXRECSA-475951)
19/04 - Piloto parado, aguardando Desenvolvimento do Item Conferência (CTXRECSA-475951)
12/04 - Piloto parado, aguardando Desenvolvimento do Item Conferência (CTXRECSA-475951).
04/04 - Mesmo status
28/03 - 1. Cenário de ação de Conferência na operação, no qual não foi solicitado na EF.
      Ação: Operação abriu o chamado CTXRECSA-475951, com a EF atualizada. Em análise.
2. Cenário da Base do Click, no qual, foi alinhado que seria aberto uma nova demanda devido a complexidade do Desenvolvimento.
Ação: Solicitado a operação em conferência no dia 08/12 a abertura de um chamado no TProcess, no qual mencionasse esta necessidade que refere-se a Base do Click.
          Demanda do CRV, hoje em Piloto, foi desenvolvida em cima do que foi exposto na última versão da EF em que não contemplava a Base do Click, somente no que refere-se a relatório.
          Ressalto que em fórum paralelo foi solicitado ao Anthonny que abrisse um novo chamado para esta solicitação.
21/03 - Piloto em andamento conforme cronograma (2 pas).
15/03 - Cronograma permanece o mesmo . Piloto Início: 17/03.
07/03 - Conforme cronograma alinhado, o Piloto teria início no dia 17/03, porém tivemos atraso na homologação do Perficall.
Aguardando retorno da operação.
01/03 - O solicitante informou novamente sobre a alteração de Dac, 
podendo assim retardar esta demanda. Aguardando definição  
23/02 - Ontem foi solicitado a Estimativa de esforço para o Site dentro das ações necessárias.
Desenvolvimento Perficall -  OK
Desenvolvimento tGuidance - 15/02 à 29/02
15/02 - A operação informou hoje a questão do Dac e envio da planilha de Insumos. Devido ao atraso nas informações, temos um novo prazo para o Desenvolvimento do TGuidance fica do dia 15/02 à 29/02.
10/02 - Mesmo Status
02/02 - Conforme conferência, devido ao problema do headset na operação iremos aguardar até o dia 12/02 (Início de Desenvolvimento) para confirmarmos esta migração de Dac.
Sendo assim, seguimos com o Desenvolvimento em paralelo no período de 12/02 à 25/02.
Abaixo algumas ações citadas:
_Necessário o cadastro dos Insumos se houver migração até o dia 11/02;
_Necessário a liberação de rede, instalação da aplicação do TGuidance com Suporte local, etc., se não houver migração;
_o Item de relatório será priorizado com a outra área de TI.
26/01 -  Enviado a EF no dia 13/01, Equipe de Aplicações está analisando a mesma. Em paralelo estamos vendo se há necessidade de liberações de rede, etc. na operação. Prazo de Cronograma de Desenv TI - 27/02
18/12 - Em definição de EF , aguardando retorno da operação
08/12 - Conforme conferência, estamos aguardando a EF com o escopo solicitado.
01/12 - A Conferência hoje foi cancelada, reagendada para dia 03/12 Qui.
24/11 - Aguardando o Doc solicitado no dia 27/11.
17/11 - Foi solicitada o doc ao cliente com todo o processo detalhado do atendimento, com prints de tela do passo a passo do atendimento, prazo de recebimento anterior no dia 12/11, porém sem sucesso. Prazo atual no dia 27/11 Sext . 
03/11 - Já foi solicitado  a EF  atualizada, e se possível uma conf com a operação só para entendimento de processo
27/10 - Aguardando a EF atualizada.
20/10 - Conforme conferência estamos aguardando a EF. Em estimativa de OG.
13/10 - Aguardando a árvore. Este Projeto esta em estimativa de OG
06/10 - Aguardando a árvore. Este Projeto esta em estimativa de OG 
29/09 - Aguardando o envio da EF/ Em estimativa de OG
--------------------------------
22/09 - Aguardando o envio da EF.</v>
      </c>
      <c r="V29" s="109" t="s">
        <v>3432</v>
      </c>
      <c r="W29" s="109" t="s">
        <v>3033</v>
      </c>
      <c r="X29" s="131" t="s">
        <v>3300</v>
      </c>
      <c r="Y29" s="109" t="s">
        <v>243</v>
      </c>
      <c r="AA29" s="109">
        <v>100</v>
      </c>
      <c r="AB29" s="108" t="s">
        <v>273</v>
      </c>
      <c r="AC29" s="108" t="s">
        <v>2282</v>
      </c>
      <c r="AD29" s="101" t="s">
        <v>2350</v>
      </c>
    </row>
    <row r="30" spans="1:16384" ht="409.5" x14ac:dyDescent="0.25">
      <c r="A30" s="101" t="s">
        <v>3197</v>
      </c>
      <c r="B30" s="7" t="s">
        <v>3198</v>
      </c>
      <c r="C30" s="6" t="s">
        <v>3040</v>
      </c>
      <c r="D30" s="103" t="s">
        <v>118</v>
      </c>
      <c r="E30" s="103" t="s">
        <v>1430</v>
      </c>
      <c r="F30" s="103" t="s">
        <v>3337</v>
      </c>
      <c r="G30" s="103" t="s">
        <v>3357</v>
      </c>
      <c r="H30" s="111" t="s">
        <v>245</v>
      </c>
      <c r="I30" s="103" t="s">
        <v>2773</v>
      </c>
      <c r="J30" s="103" t="s">
        <v>97</v>
      </c>
      <c r="K30" s="108">
        <v>42087.773611111108</v>
      </c>
      <c r="L30" s="11">
        <f ca="1">IFERROR(IF(AND(Y30&lt;&gt;"Concluído",Y30&lt;&gt;"Cancelado"),TODAY()-K30+1,Z30-K30),"")</f>
        <v>435.22638888889196</v>
      </c>
      <c r="M30" s="108">
        <v>42087</v>
      </c>
      <c r="N30" s="108" t="s">
        <v>2350</v>
      </c>
      <c r="O30" s="108">
        <v>42521</v>
      </c>
      <c r="P30" s="108">
        <v>42531</v>
      </c>
      <c r="Q30" s="103" t="s">
        <v>2389</v>
      </c>
      <c r="R30" s="44"/>
      <c r="S30" s="109" t="s">
        <v>3768</v>
      </c>
      <c r="T30" s="109" t="str">
        <f t="shared" si="0"/>
        <v xml:space="preserve">                                      
31/05 -  Em Desenvolvimento por Aplicações TI - Prazo Resp: TI - 31/05 Hoje
24/05 - Em Desenvolvimento por Aplicações TI - Prazo Resp: TI - 31/05
17/05 - Em Desenvolvimento por Aplicações TI - Prazo Resp: TI - 31/05
10/05 - Em Desenvolvimento por Aplicações TI - Prazo Resp: TI - 31/05
03/05 - Mesmo Status
25/04 -  Em Desenvolvimento por Aplicações TI - Prazo Resp: TI - 31/05
19/04 - Em Desenvolvimento por Aplicações TI - Prazo Resp: TI - 31/05
12/04 - Necessidade de desenvolvimento do item conferência que não estava previsto na EF inicial, aberto chamado CTXRECSA-475951 para resolução.
Necessária resolução do chamado CTXRECSA-475951 para continuidade do piloto  (Chamado CTXRECSA-407337)  - Resp: TI - Prazo: 31/05 </v>
      </c>
      <c r="V30" s="109" t="s">
        <v>3433</v>
      </c>
      <c r="W30" s="109" t="s">
        <v>3199</v>
      </c>
      <c r="X30" s="131">
        <v>42521</v>
      </c>
      <c r="Y30" s="109" t="s">
        <v>243</v>
      </c>
      <c r="AA30" s="109">
        <v>100</v>
      </c>
      <c r="AB30" s="108" t="s">
        <v>273</v>
      </c>
      <c r="AC30" s="108" t="s">
        <v>2282</v>
      </c>
      <c r="AD30" s="101" t="s">
        <v>2350</v>
      </c>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c r="DK30" s="101"/>
      <c r="DL30" s="101"/>
      <c r="DM30" s="101"/>
      <c r="DN30" s="101"/>
      <c r="DO30" s="101"/>
      <c r="DP30" s="101"/>
      <c r="DQ30" s="101"/>
      <c r="DR30" s="101"/>
      <c r="DS30" s="101"/>
      <c r="DT30" s="101"/>
      <c r="DU30" s="101"/>
      <c r="DV30" s="101"/>
      <c r="DW30" s="101"/>
      <c r="DX30" s="101"/>
      <c r="DY30" s="101"/>
      <c r="DZ30" s="101"/>
      <c r="EA30" s="101"/>
      <c r="EB30" s="101"/>
      <c r="EC30" s="101"/>
      <c r="ED30" s="101"/>
      <c r="EE30" s="101"/>
      <c r="EF30" s="101"/>
      <c r="EG30" s="101"/>
      <c r="EH30" s="101"/>
      <c r="EI30" s="101"/>
      <c r="EJ30" s="101"/>
      <c r="EK30" s="101"/>
      <c r="EL30" s="101"/>
      <c r="EM30" s="101"/>
      <c r="EN30" s="101"/>
      <c r="EO30" s="101"/>
      <c r="EP30" s="101"/>
      <c r="EQ30" s="101"/>
      <c r="ER30" s="101"/>
      <c r="ES30" s="101"/>
      <c r="ET30" s="101"/>
      <c r="EU30" s="101"/>
      <c r="EV30" s="101"/>
      <c r="EW30" s="101"/>
      <c r="EX30" s="101"/>
      <c r="EY30" s="101"/>
      <c r="EZ30" s="101"/>
      <c r="FA30" s="101"/>
      <c r="FB30" s="101"/>
      <c r="FC30" s="101"/>
      <c r="FD30" s="101"/>
      <c r="FE30" s="101"/>
      <c r="FF30" s="101"/>
      <c r="FG30" s="101"/>
      <c r="FH30" s="101"/>
      <c r="FI30" s="101"/>
      <c r="FJ30" s="101"/>
      <c r="FK30" s="101"/>
      <c r="FL30" s="101"/>
      <c r="FM30" s="101"/>
      <c r="FN30" s="101"/>
      <c r="FO30" s="101"/>
      <c r="FP30" s="101"/>
      <c r="FQ30" s="101"/>
      <c r="FR30" s="101"/>
      <c r="FS30" s="101"/>
      <c r="FT30" s="101"/>
      <c r="FU30" s="101"/>
      <c r="FV30" s="101"/>
      <c r="FW30" s="101"/>
      <c r="FX30" s="101"/>
      <c r="FY30" s="101"/>
      <c r="FZ30" s="101"/>
      <c r="GA30" s="101"/>
      <c r="GB30" s="101"/>
      <c r="GC30" s="101"/>
      <c r="GD30" s="101"/>
      <c r="GE30" s="101"/>
      <c r="GF30" s="101"/>
      <c r="GG30" s="101"/>
      <c r="GH30" s="101"/>
      <c r="GI30" s="101"/>
      <c r="GJ30" s="101"/>
      <c r="GK30" s="101"/>
      <c r="GL30" s="101"/>
      <c r="GM30" s="101"/>
      <c r="GN30" s="101"/>
      <c r="GO30" s="101"/>
      <c r="GP30" s="101"/>
      <c r="GQ30" s="101"/>
      <c r="GR30" s="101"/>
      <c r="GS30" s="101"/>
      <c r="GT30" s="101"/>
      <c r="GU30" s="101"/>
      <c r="GV30" s="101"/>
      <c r="GW30" s="101"/>
      <c r="GX30" s="101"/>
      <c r="GY30" s="101"/>
      <c r="GZ30" s="101"/>
      <c r="HA30" s="101"/>
      <c r="HB30" s="101"/>
      <c r="HC30" s="101"/>
      <c r="HD30" s="101"/>
      <c r="HE30" s="101"/>
      <c r="HF30" s="101"/>
      <c r="HG30" s="101"/>
      <c r="HH30" s="101"/>
      <c r="HI30" s="101"/>
      <c r="HJ30" s="101"/>
      <c r="HK30" s="101"/>
      <c r="HL30" s="101"/>
      <c r="HM30" s="101"/>
      <c r="HN30" s="101"/>
      <c r="HO30" s="101"/>
      <c r="HP30" s="101"/>
      <c r="HQ30" s="101"/>
      <c r="HR30" s="101"/>
      <c r="HS30" s="101"/>
      <c r="HT30" s="101"/>
      <c r="HU30" s="101"/>
      <c r="HV30" s="101"/>
      <c r="HW30" s="101"/>
      <c r="HX30" s="101"/>
      <c r="HY30" s="101"/>
      <c r="HZ30" s="101"/>
      <c r="IA30" s="101"/>
      <c r="IB30" s="101"/>
      <c r="IC30" s="101"/>
      <c r="ID30" s="101"/>
      <c r="IE30" s="101"/>
      <c r="IF30" s="101"/>
      <c r="IG30" s="101"/>
      <c r="IH30" s="101"/>
      <c r="II30" s="101"/>
      <c r="IJ30" s="101"/>
      <c r="IK30" s="101"/>
      <c r="IL30" s="101"/>
      <c r="IM30" s="101"/>
      <c r="IN30" s="101"/>
      <c r="IO30" s="101"/>
      <c r="IP30" s="101"/>
      <c r="IQ30" s="101"/>
      <c r="IR30" s="101"/>
      <c r="IS30" s="101"/>
      <c r="IT30" s="101"/>
      <c r="IU30" s="101"/>
      <c r="IV30" s="101"/>
      <c r="IW30" s="101"/>
      <c r="IX30" s="101"/>
      <c r="IY30" s="101"/>
      <c r="IZ30" s="101"/>
      <c r="JA30" s="101"/>
      <c r="JB30" s="101"/>
      <c r="JC30" s="101"/>
      <c r="JD30" s="101"/>
      <c r="JE30" s="101"/>
      <c r="JF30" s="101"/>
      <c r="JG30" s="101"/>
      <c r="JH30" s="101"/>
      <c r="JI30" s="101"/>
      <c r="JJ30" s="101"/>
      <c r="JK30" s="101"/>
      <c r="JL30" s="101"/>
      <c r="JM30" s="101"/>
      <c r="JN30" s="101"/>
      <c r="JO30" s="101"/>
      <c r="JP30" s="101"/>
      <c r="JQ30" s="101"/>
      <c r="JR30" s="101"/>
      <c r="JS30" s="101"/>
      <c r="JT30" s="101"/>
      <c r="JU30" s="101"/>
      <c r="JV30" s="101"/>
      <c r="JW30" s="101"/>
      <c r="JX30" s="101"/>
      <c r="JY30" s="101"/>
      <c r="JZ30" s="101"/>
      <c r="KA30" s="101"/>
      <c r="KB30" s="101"/>
      <c r="KC30" s="101"/>
      <c r="KD30" s="101"/>
      <c r="KE30" s="101"/>
      <c r="KF30" s="101"/>
      <c r="KG30" s="101"/>
      <c r="KH30" s="101"/>
      <c r="KI30" s="101"/>
      <c r="KJ30" s="101"/>
      <c r="KK30" s="101"/>
      <c r="KL30" s="101"/>
      <c r="KM30" s="101"/>
      <c r="KN30" s="101"/>
      <c r="KO30" s="101"/>
      <c r="KP30" s="101"/>
      <c r="KQ30" s="101"/>
      <c r="KR30" s="101"/>
      <c r="KS30" s="101"/>
      <c r="KT30" s="101"/>
      <c r="KU30" s="101"/>
      <c r="KV30" s="101"/>
      <c r="KW30" s="101"/>
      <c r="KX30" s="101"/>
      <c r="KY30" s="101"/>
      <c r="KZ30" s="101"/>
      <c r="LA30" s="101"/>
      <c r="LB30" s="101"/>
      <c r="LC30" s="101"/>
      <c r="LD30" s="101"/>
      <c r="LE30" s="101"/>
      <c r="LF30" s="101"/>
      <c r="LG30" s="101"/>
      <c r="LH30" s="101"/>
      <c r="LI30" s="101"/>
      <c r="LJ30" s="101"/>
      <c r="LK30" s="101"/>
      <c r="LL30" s="101"/>
      <c r="LM30" s="101"/>
      <c r="LN30" s="101"/>
      <c r="LO30" s="101"/>
      <c r="LP30" s="101"/>
      <c r="LQ30" s="101"/>
      <c r="LR30" s="101"/>
      <c r="LS30" s="101"/>
      <c r="LT30" s="101"/>
      <c r="LU30" s="101"/>
      <c r="LV30" s="101"/>
      <c r="LW30" s="101"/>
      <c r="LX30" s="101"/>
      <c r="LY30" s="101"/>
      <c r="LZ30" s="101"/>
      <c r="MA30" s="101"/>
      <c r="MB30" s="101"/>
      <c r="MC30" s="101"/>
      <c r="MD30" s="101"/>
      <c r="ME30" s="101"/>
      <c r="MF30" s="101"/>
      <c r="MG30" s="101"/>
      <c r="MH30" s="101"/>
      <c r="MI30" s="101"/>
      <c r="MJ30" s="101"/>
      <c r="MK30" s="101"/>
      <c r="ML30" s="101"/>
      <c r="MM30" s="101"/>
      <c r="MN30" s="101"/>
      <c r="MO30" s="101"/>
      <c r="MP30" s="101"/>
      <c r="MQ30" s="101"/>
      <c r="MR30" s="101"/>
      <c r="MS30" s="101"/>
      <c r="MT30" s="101"/>
      <c r="MU30" s="101"/>
      <c r="MV30" s="101"/>
      <c r="MW30" s="101"/>
      <c r="MX30" s="101"/>
      <c r="MY30" s="101"/>
      <c r="MZ30" s="101"/>
      <c r="NA30" s="101"/>
      <c r="NB30" s="101"/>
      <c r="NC30" s="101"/>
      <c r="ND30" s="101"/>
      <c r="NE30" s="101"/>
      <c r="NF30" s="101"/>
      <c r="NG30" s="101"/>
      <c r="NH30" s="101"/>
      <c r="NI30" s="101"/>
      <c r="NJ30" s="101"/>
      <c r="NK30" s="101"/>
      <c r="NL30" s="101"/>
      <c r="NM30" s="101"/>
      <c r="NN30" s="101"/>
      <c r="NO30" s="101"/>
      <c r="NP30" s="101"/>
      <c r="NQ30" s="101"/>
      <c r="NR30" s="101"/>
      <c r="NS30" s="101"/>
      <c r="NT30" s="101"/>
      <c r="NU30" s="101"/>
      <c r="NV30" s="101"/>
      <c r="NW30" s="101"/>
      <c r="NX30" s="101"/>
      <c r="NY30" s="101"/>
      <c r="NZ30" s="101"/>
      <c r="OA30" s="101"/>
      <c r="OB30" s="101"/>
      <c r="OC30" s="101"/>
      <c r="OD30" s="101"/>
      <c r="OE30" s="101"/>
      <c r="OF30" s="101"/>
      <c r="OG30" s="101"/>
      <c r="OH30" s="101"/>
      <c r="OI30" s="101"/>
      <c r="OJ30" s="101"/>
      <c r="OK30" s="101"/>
      <c r="OL30" s="101"/>
      <c r="OM30" s="101"/>
      <c r="ON30" s="101"/>
      <c r="OO30" s="101"/>
      <c r="OP30" s="101"/>
      <c r="OQ30" s="101"/>
      <c r="OR30" s="101"/>
      <c r="OS30" s="101"/>
      <c r="OT30" s="101"/>
      <c r="OU30" s="101"/>
      <c r="OV30" s="101"/>
      <c r="OW30" s="101"/>
      <c r="OX30" s="101"/>
      <c r="OY30" s="101"/>
      <c r="OZ30" s="101"/>
      <c r="PA30" s="101"/>
      <c r="PB30" s="101"/>
      <c r="PC30" s="101"/>
      <c r="PD30" s="101"/>
      <c r="PE30" s="101"/>
      <c r="PF30" s="101"/>
      <c r="PG30" s="101"/>
      <c r="PH30" s="101"/>
      <c r="PI30" s="101"/>
      <c r="PJ30" s="101"/>
      <c r="PK30" s="101"/>
      <c r="PL30" s="101"/>
      <c r="PM30" s="101"/>
      <c r="PN30" s="101"/>
      <c r="PO30" s="101"/>
      <c r="PP30" s="101"/>
      <c r="PQ30" s="101"/>
      <c r="PR30" s="101"/>
      <c r="PS30" s="101"/>
      <c r="PT30" s="101"/>
      <c r="PU30" s="101"/>
      <c r="PV30" s="101"/>
      <c r="PW30" s="101"/>
      <c r="PX30" s="101"/>
      <c r="PY30" s="101"/>
      <c r="PZ30" s="101"/>
      <c r="QA30" s="101"/>
      <c r="QB30" s="101"/>
      <c r="QC30" s="101"/>
      <c r="QD30" s="101"/>
      <c r="QE30" s="101"/>
      <c r="QF30" s="101"/>
      <c r="QG30" s="101"/>
      <c r="QH30" s="101"/>
      <c r="QI30" s="101"/>
      <c r="QJ30" s="101"/>
      <c r="QK30" s="101"/>
      <c r="QL30" s="101"/>
      <c r="QM30" s="101"/>
      <c r="QN30" s="101"/>
      <c r="QO30" s="101"/>
      <c r="QP30" s="101"/>
      <c r="QQ30" s="101"/>
      <c r="QR30" s="101"/>
      <c r="QS30" s="101"/>
      <c r="QT30" s="101"/>
      <c r="QU30" s="101"/>
      <c r="QV30" s="101"/>
      <c r="QW30" s="101"/>
      <c r="QX30" s="101"/>
      <c r="QY30" s="101"/>
      <c r="QZ30" s="101"/>
      <c r="RA30" s="101"/>
      <c r="RB30" s="101"/>
      <c r="RC30" s="101"/>
      <c r="RD30" s="101"/>
      <c r="RE30" s="101"/>
      <c r="RF30" s="101"/>
      <c r="RG30" s="101"/>
      <c r="RH30" s="101"/>
      <c r="RI30" s="101"/>
      <c r="RJ30" s="101"/>
      <c r="RK30" s="101"/>
      <c r="RL30" s="101"/>
      <c r="RM30" s="101"/>
      <c r="RN30" s="101"/>
      <c r="RO30" s="101"/>
      <c r="RP30" s="101"/>
      <c r="RQ30" s="101"/>
      <c r="RR30" s="101"/>
      <c r="RS30" s="101"/>
      <c r="RT30" s="101"/>
      <c r="RU30" s="101"/>
      <c r="RV30" s="101"/>
      <c r="RW30" s="101"/>
      <c r="RX30" s="101"/>
      <c r="RY30" s="101"/>
      <c r="RZ30" s="101"/>
      <c r="SA30" s="101"/>
      <c r="SB30" s="101"/>
      <c r="SC30" s="101"/>
      <c r="SD30" s="101"/>
      <c r="SE30" s="101"/>
      <c r="SF30" s="101"/>
      <c r="SG30" s="101"/>
      <c r="SH30" s="101"/>
      <c r="SI30" s="101"/>
      <c r="SJ30" s="101"/>
      <c r="SK30" s="101"/>
      <c r="SL30" s="101"/>
      <c r="SM30" s="101"/>
      <c r="SN30" s="101"/>
      <c r="SO30" s="101"/>
      <c r="SP30" s="101"/>
      <c r="SQ30" s="101"/>
      <c r="SR30" s="101"/>
      <c r="SS30" s="101"/>
      <c r="ST30" s="101"/>
      <c r="SU30" s="101"/>
      <c r="SV30" s="101"/>
      <c r="SW30" s="101"/>
      <c r="SX30" s="101"/>
      <c r="SY30" s="101"/>
      <c r="SZ30" s="101"/>
      <c r="TA30" s="101"/>
      <c r="TB30" s="101"/>
      <c r="TC30" s="101"/>
      <c r="TD30" s="101"/>
      <c r="TE30" s="101"/>
      <c r="TF30" s="101"/>
      <c r="TG30" s="101"/>
      <c r="TH30" s="101"/>
      <c r="TI30" s="101"/>
      <c r="TJ30" s="101"/>
      <c r="TK30" s="101"/>
      <c r="TL30" s="101"/>
      <c r="TM30" s="101"/>
      <c r="TN30" s="101"/>
      <c r="TO30" s="101"/>
      <c r="TP30" s="101"/>
      <c r="TQ30" s="101"/>
      <c r="TR30" s="101"/>
      <c r="TS30" s="101"/>
      <c r="TT30" s="101"/>
      <c r="TU30" s="101"/>
      <c r="TV30" s="101"/>
      <c r="TW30" s="101"/>
      <c r="TX30" s="101"/>
      <c r="TY30" s="101"/>
      <c r="TZ30" s="101"/>
      <c r="UA30" s="101"/>
      <c r="UB30" s="101"/>
      <c r="UC30" s="101"/>
      <c r="UD30" s="101"/>
      <c r="UE30" s="101"/>
      <c r="UF30" s="101"/>
      <c r="UG30" s="101"/>
      <c r="UH30" s="101"/>
      <c r="UI30" s="101"/>
      <c r="UJ30" s="101"/>
      <c r="UK30" s="101"/>
      <c r="UL30" s="101"/>
      <c r="UM30" s="101"/>
      <c r="UN30" s="101"/>
      <c r="UO30" s="101"/>
      <c r="UP30" s="101"/>
      <c r="UQ30" s="101"/>
      <c r="UR30" s="101"/>
      <c r="US30" s="101"/>
      <c r="UT30" s="101"/>
      <c r="UU30" s="101"/>
      <c r="UV30" s="101"/>
      <c r="UW30" s="101"/>
      <c r="UX30" s="101"/>
      <c r="UY30" s="101"/>
      <c r="UZ30" s="101"/>
      <c r="VA30" s="101"/>
      <c r="VB30" s="101"/>
      <c r="VC30" s="101"/>
      <c r="VD30" s="101"/>
      <c r="VE30" s="101"/>
      <c r="VF30" s="101"/>
      <c r="VG30" s="101"/>
      <c r="VH30" s="101"/>
      <c r="VI30" s="101"/>
      <c r="VJ30" s="101"/>
      <c r="VK30" s="101"/>
      <c r="VL30" s="101"/>
      <c r="VM30" s="101"/>
      <c r="VN30" s="101"/>
      <c r="VO30" s="101"/>
      <c r="VP30" s="101"/>
      <c r="VQ30" s="101"/>
      <c r="VR30" s="101"/>
      <c r="VS30" s="101"/>
      <c r="VT30" s="101"/>
      <c r="VU30" s="101"/>
      <c r="VV30" s="101"/>
      <c r="VW30" s="101"/>
      <c r="VX30" s="101"/>
      <c r="VY30" s="101"/>
      <c r="VZ30" s="101"/>
      <c r="WA30" s="101"/>
      <c r="WB30" s="101"/>
      <c r="WC30" s="101"/>
      <c r="WD30" s="101"/>
      <c r="WE30" s="101"/>
      <c r="WF30" s="101"/>
      <c r="WG30" s="101"/>
      <c r="WH30" s="101"/>
      <c r="WI30" s="101"/>
      <c r="WJ30" s="101"/>
      <c r="WK30" s="101"/>
      <c r="WL30" s="101"/>
      <c r="WM30" s="101"/>
      <c r="WN30" s="101"/>
      <c r="WO30" s="101"/>
      <c r="WP30" s="101"/>
      <c r="WQ30" s="101"/>
      <c r="WR30" s="101"/>
      <c r="WS30" s="101"/>
      <c r="WT30" s="101"/>
      <c r="WU30" s="101"/>
      <c r="WV30" s="101"/>
      <c r="WW30" s="101"/>
      <c r="WX30" s="101"/>
      <c r="WY30" s="101"/>
      <c r="WZ30" s="101"/>
      <c r="XA30" s="101"/>
      <c r="XB30" s="101"/>
      <c r="XC30" s="101"/>
      <c r="XD30" s="101"/>
      <c r="XE30" s="101"/>
      <c r="XF30" s="101"/>
      <c r="XG30" s="101"/>
      <c r="XH30" s="101"/>
      <c r="XI30" s="101"/>
      <c r="XJ30" s="101"/>
      <c r="XK30" s="101"/>
      <c r="XL30" s="101"/>
      <c r="XM30" s="101"/>
      <c r="XN30" s="101"/>
      <c r="XO30" s="101"/>
      <c r="XP30" s="101"/>
      <c r="XQ30" s="101"/>
      <c r="XR30" s="101"/>
      <c r="XS30" s="101"/>
      <c r="XT30" s="101"/>
      <c r="XU30" s="101"/>
      <c r="XV30" s="101"/>
      <c r="XW30" s="101"/>
      <c r="XX30" s="101"/>
      <c r="XY30" s="101"/>
      <c r="XZ30" s="101"/>
      <c r="YA30" s="101"/>
      <c r="YB30" s="101"/>
      <c r="YC30" s="101"/>
      <c r="YD30" s="101"/>
      <c r="YE30" s="101"/>
      <c r="YF30" s="101"/>
      <c r="YG30" s="101"/>
      <c r="YH30" s="101"/>
      <c r="YI30" s="101"/>
      <c r="YJ30" s="101"/>
      <c r="YK30" s="101"/>
      <c r="YL30" s="101"/>
      <c r="YM30" s="101"/>
      <c r="YN30" s="101"/>
      <c r="YO30" s="101"/>
      <c r="YP30" s="101"/>
      <c r="YQ30" s="101"/>
      <c r="YR30" s="101"/>
      <c r="YS30" s="101"/>
      <c r="YT30" s="101"/>
      <c r="YU30" s="101"/>
      <c r="YV30" s="101"/>
      <c r="YW30" s="101"/>
      <c r="YX30" s="101"/>
      <c r="YY30" s="101"/>
      <c r="YZ30" s="101"/>
      <c r="ZA30" s="101"/>
      <c r="ZB30" s="101"/>
      <c r="ZC30" s="101"/>
      <c r="ZD30" s="101"/>
      <c r="ZE30" s="101"/>
      <c r="ZF30" s="101"/>
      <c r="ZG30" s="101"/>
      <c r="ZH30" s="101"/>
      <c r="ZI30" s="101"/>
      <c r="ZJ30" s="101"/>
      <c r="ZK30" s="101"/>
      <c r="ZL30" s="101"/>
      <c r="ZM30" s="101"/>
      <c r="ZN30" s="101"/>
      <c r="ZO30" s="101"/>
      <c r="ZP30" s="101"/>
      <c r="ZQ30" s="101"/>
      <c r="ZR30" s="101"/>
      <c r="ZS30" s="101"/>
      <c r="ZT30" s="101"/>
      <c r="ZU30" s="101"/>
      <c r="ZV30" s="101"/>
      <c r="ZW30" s="101"/>
      <c r="ZX30" s="101"/>
      <c r="ZY30" s="101"/>
      <c r="ZZ30" s="101"/>
      <c r="AAA30" s="101"/>
      <c r="AAB30" s="101"/>
      <c r="AAC30" s="101"/>
      <c r="AAD30" s="101"/>
      <c r="AAE30" s="101"/>
      <c r="AAF30" s="101"/>
      <c r="AAG30" s="101"/>
      <c r="AAH30" s="101"/>
      <c r="AAI30" s="101"/>
      <c r="AAJ30" s="101"/>
      <c r="AAK30" s="101"/>
      <c r="AAL30" s="101"/>
      <c r="AAM30" s="101"/>
      <c r="AAN30" s="101"/>
      <c r="AAO30" s="101"/>
      <c r="AAP30" s="101"/>
      <c r="AAQ30" s="101"/>
      <c r="AAR30" s="101"/>
      <c r="AAS30" s="101"/>
      <c r="AAT30" s="101"/>
      <c r="AAU30" s="101"/>
      <c r="AAV30" s="101"/>
      <c r="AAW30" s="101"/>
      <c r="AAX30" s="101"/>
      <c r="AAY30" s="101"/>
      <c r="AAZ30" s="101"/>
      <c r="ABA30" s="101"/>
      <c r="ABB30" s="101"/>
      <c r="ABC30" s="101"/>
      <c r="ABD30" s="101"/>
      <c r="ABE30" s="101"/>
      <c r="ABF30" s="101"/>
      <c r="ABG30" s="101"/>
      <c r="ABH30" s="101"/>
      <c r="ABI30" s="101"/>
      <c r="ABJ30" s="101"/>
      <c r="ABK30" s="101"/>
      <c r="ABL30" s="101"/>
      <c r="ABM30" s="101"/>
      <c r="ABN30" s="101"/>
      <c r="ABO30" s="101"/>
      <c r="ABP30" s="101"/>
      <c r="ABQ30" s="101"/>
      <c r="ABR30" s="101"/>
      <c r="ABS30" s="101"/>
      <c r="ABT30" s="101"/>
      <c r="ABU30" s="101"/>
      <c r="ABV30" s="101"/>
      <c r="ABW30" s="101"/>
      <c r="ABX30" s="101"/>
      <c r="ABY30" s="101"/>
      <c r="ABZ30" s="101"/>
      <c r="ACA30" s="101"/>
      <c r="ACB30" s="101"/>
      <c r="ACC30" s="101"/>
      <c r="ACD30" s="101"/>
      <c r="ACE30" s="101"/>
      <c r="ACF30" s="101"/>
      <c r="ACG30" s="101"/>
      <c r="ACH30" s="101"/>
      <c r="ACI30" s="101"/>
      <c r="ACJ30" s="101"/>
      <c r="ACK30" s="101"/>
      <c r="ACL30" s="101"/>
      <c r="ACM30" s="101"/>
      <c r="ACN30" s="101"/>
      <c r="ACO30" s="101"/>
      <c r="ACP30" s="101"/>
      <c r="ACQ30" s="101"/>
      <c r="ACR30" s="101"/>
      <c r="ACS30" s="101"/>
      <c r="ACT30" s="101"/>
      <c r="ACU30" s="101"/>
      <c r="ACV30" s="101"/>
      <c r="ACW30" s="101"/>
      <c r="ACX30" s="101"/>
      <c r="ACY30" s="101"/>
      <c r="ACZ30" s="101"/>
      <c r="ADA30" s="101"/>
      <c r="ADB30" s="101"/>
      <c r="ADC30" s="101"/>
      <c r="ADD30" s="101"/>
      <c r="ADE30" s="101"/>
      <c r="ADF30" s="101"/>
      <c r="ADG30" s="101"/>
      <c r="ADH30" s="101"/>
      <c r="ADI30" s="101"/>
      <c r="ADJ30" s="101"/>
      <c r="ADK30" s="101"/>
      <c r="ADL30" s="101"/>
      <c r="ADM30" s="101"/>
      <c r="ADN30" s="101"/>
      <c r="ADO30" s="101"/>
      <c r="ADP30" s="101"/>
      <c r="ADQ30" s="101"/>
      <c r="ADR30" s="101"/>
      <c r="ADS30" s="101"/>
      <c r="ADT30" s="101"/>
      <c r="ADU30" s="101"/>
      <c r="ADV30" s="101"/>
      <c r="ADW30" s="101"/>
      <c r="ADX30" s="101"/>
      <c r="ADY30" s="101"/>
      <c r="ADZ30" s="101"/>
      <c r="AEA30" s="101"/>
      <c r="AEB30" s="101"/>
      <c r="AEC30" s="101"/>
      <c r="AED30" s="101"/>
      <c r="AEE30" s="101"/>
      <c r="AEF30" s="101"/>
      <c r="AEG30" s="101"/>
      <c r="AEH30" s="101"/>
      <c r="AEI30" s="101"/>
      <c r="AEJ30" s="101"/>
      <c r="AEK30" s="101"/>
      <c r="AEL30" s="101"/>
      <c r="AEM30" s="101"/>
      <c r="AEN30" s="101"/>
      <c r="AEO30" s="101"/>
      <c r="AEP30" s="101"/>
      <c r="AEQ30" s="101"/>
      <c r="AER30" s="101"/>
      <c r="AES30" s="101"/>
      <c r="AET30" s="101"/>
      <c r="AEU30" s="101"/>
      <c r="AEV30" s="101"/>
      <c r="AEW30" s="101"/>
      <c r="AEX30" s="101"/>
      <c r="AEY30" s="101"/>
      <c r="AEZ30" s="101"/>
      <c r="AFA30" s="101"/>
      <c r="AFB30" s="101"/>
      <c r="AFC30" s="101"/>
      <c r="AFD30" s="101"/>
      <c r="AFE30" s="101"/>
      <c r="AFF30" s="101"/>
      <c r="AFG30" s="101"/>
      <c r="AFH30" s="101"/>
      <c r="AFI30" s="101"/>
      <c r="AFJ30" s="101"/>
      <c r="AFK30" s="101"/>
      <c r="AFL30" s="101"/>
      <c r="AFM30" s="101"/>
      <c r="AFN30" s="101"/>
      <c r="AFO30" s="101"/>
      <c r="AFP30" s="101"/>
      <c r="AFQ30" s="101"/>
      <c r="AFR30" s="101"/>
      <c r="AFS30" s="101"/>
      <c r="AFT30" s="101"/>
      <c r="AFU30" s="101"/>
      <c r="AFV30" s="101"/>
      <c r="AFW30" s="101"/>
      <c r="AFX30" s="101"/>
      <c r="AFY30" s="101"/>
      <c r="AFZ30" s="101"/>
      <c r="AGA30" s="101"/>
      <c r="AGB30" s="101"/>
      <c r="AGC30" s="101"/>
      <c r="AGD30" s="101"/>
      <c r="AGE30" s="101"/>
      <c r="AGF30" s="101"/>
      <c r="AGG30" s="101"/>
      <c r="AGH30" s="101"/>
      <c r="AGI30" s="101"/>
      <c r="AGJ30" s="101"/>
      <c r="AGK30" s="101"/>
      <c r="AGL30" s="101"/>
      <c r="AGM30" s="101"/>
      <c r="AGN30" s="101"/>
      <c r="AGO30" s="101"/>
      <c r="AGP30" s="101"/>
      <c r="AGQ30" s="101"/>
      <c r="AGR30" s="101"/>
      <c r="AGS30" s="101"/>
      <c r="AGT30" s="101"/>
      <c r="AGU30" s="101"/>
      <c r="AGV30" s="101"/>
      <c r="AGW30" s="101"/>
      <c r="AGX30" s="101"/>
      <c r="AGY30" s="101"/>
      <c r="AGZ30" s="101"/>
      <c r="AHA30" s="101"/>
      <c r="AHB30" s="101"/>
      <c r="AHC30" s="101"/>
      <c r="AHD30" s="101"/>
      <c r="AHE30" s="101"/>
      <c r="AHF30" s="101"/>
      <c r="AHG30" s="101"/>
      <c r="AHH30" s="101"/>
      <c r="AHI30" s="101"/>
      <c r="AHJ30" s="101"/>
      <c r="AHK30" s="101"/>
      <c r="AHL30" s="101"/>
      <c r="AHM30" s="101"/>
      <c r="AHN30" s="101"/>
      <c r="AHO30" s="101"/>
      <c r="AHP30" s="101"/>
      <c r="AHQ30" s="101"/>
      <c r="AHR30" s="101"/>
      <c r="AHS30" s="101"/>
      <c r="AHT30" s="101"/>
      <c r="AHU30" s="101"/>
      <c r="AHV30" s="101"/>
      <c r="AHW30" s="101"/>
      <c r="AHX30" s="101"/>
      <c r="AHY30" s="101"/>
      <c r="AHZ30" s="101"/>
      <c r="AIA30" s="101"/>
      <c r="AIB30" s="101"/>
      <c r="AIC30" s="101"/>
      <c r="AID30" s="101"/>
      <c r="AIE30" s="101"/>
      <c r="AIF30" s="101"/>
      <c r="AIG30" s="101"/>
      <c r="AIH30" s="101"/>
      <c r="AII30" s="101"/>
      <c r="AIJ30" s="101"/>
      <c r="AIK30" s="101"/>
      <c r="AIL30" s="101"/>
      <c r="AIM30" s="101"/>
      <c r="AIN30" s="101"/>
      <c r="AIO30" s="101"/>
      <c r="AIP30" s="101"/>
      <c r="AIQ30" s="101"/>
      <c r="AIR30" s="101"/>
      <c r="AIS30" s="101"/>
      <c r="AIT30" s="101"/>
      <c r="AIU30" s="101"/>
      <c r="AIV30" s="101"/>
      <c r="AIW30" s="101"/>
      <c r="AIX30" s="101"/>
      <c r="AIY30" s="101"/>
      <c r="AIZ30" s="101"/>
      <c r="AJA30" s="101"/>
      <c r="AJB30" s="101"/>
      <c r="AJC30" s="101"/>
      <c r="AJD30" s="101"/>
      <c r="AJE30" s="101"/>
      <c r="AJF30" s="101"/>
      <c r="AJG30" s="101"/>
      <c r="AJH30" s="101"/>
      <c r="AJI30" s="101"/>
      <c r="AJJ30" s="101"/>
      <c r="AJK30" s="101"/>
      <c r="AJL30" s="101"/>
      <c r="AJM30" s="101"/>
      <c r="AJN30" s="101"/>
      <c r="AJO30" s="101"/>
      <c r="AJP30" s="101"/>
      <c r="AJQ30" s="101"/>
      <c r="AJR30" s="101"/>
      <c r="AJS30" s="101"/>
      <c r="AJT30" s="101"/>
      <c r="AJU30" s="101"/>
      <c r="AJV30" s="101"/>
      <c r="AJW30" s="101"/>
      <c r="AJX30" s="101"/>
      <c r="AJY30" s="101"/>
      <c r="AJZ30" s="101"/>
      <c r="AKA30" s="101"/>
      <c r="AKB30" s="101"/>
      <c r="AKC30" s="101"/>
      <c r="AKD30" s="101"/>
      <c r="AKE30" s="101"/>
      <c r="AKF30" s="101"/>
      <c r="AKG30" s="101"/>
      <c r="AKH30" s="101"/>
      <c r="AKI30" s="101"/>
      <c r="AKJ30" s="101"/>
      <c r="AKK30" s="101"/>
      <c r="AKL30" s="101"/>
      <c r="AKM30" s="101"/>
      <c r="AKN30" s="101"/>
      <c r="AKO30" s="101"/>
      <c r="AKP30" s="101"/>
      <c r="AKQ30" s="101"/>
      <c r="AKR30" s="101"/>
      <c r="AKS30" s="101"/>
      <c r="AKT30" s="101"/>
      <c r="AKU30" s="101"/>
      <c r="AKV30" s="101"/>
      <c r="AKW30" s="101"/>
      <c r="AKX30" s="101"/>
      <c r="AKY30" s="101"/>
      <c r="AKZ30" s="101"/>
      <c r="ALA30" s="101"/>
      <c r="ALB30" s="101"/>
      <c r="ALC30" s="101"/>
      <c r="ALD30" s="101"/>
      <c r="ALE30" s="101"/>
      <c r="ALF30" s="101"/>
      <c r="ALG30" s="101"/>
      <c r="ALH30" s="101"/>
      <c r="ALI30" s="101"/>
      <c r="ALJ30" s="101"/>
      <c r="ALK30" s="101"/>
      <c r="ALL30" s="101"/>
      <c r="ALM30" s="101"/>
      <c r="ALN30" s="101"/>
      <c r="ALO30" s="101"/>
      <c r="ALP30" s="101"/>
      <c r="ALQ30" s="101"/>
      <c r="ALR30" s="101"/>
      <c r="ALS30" s="101"/>
      <c r="ALT30" s="101"/>
      <c r="ALU30" s="101"/>
      <c r="ALV30" s="101"/>
      <c r="ALW30" s="101"/>
      <c r="ALX30" s="101"/>
      <c r="ALY30" s="101"/>
      <c r="ALZ30" s="101"/>
      <c r="AMA30" s="101"/>
      <c r="AMB30" s="101"/>
      <c r="AMC30" s="101"/>
      <c r="AMD30" s="101"/>
      <c r="AME30" s="101"/>
      <c r="AMF30" s="101"/>
      <c r="AMG30" s="101"/>
      <c r="AMH30" s="101"/>
      <c r="AMI30" s="101"/>
      <c r="AMJ30" s="101"/>
      <c r="AMK30" s="101"/>
      <c r="AML30" s="101"/>
      <c r="AMM30" s="101"/>
      <c r="AMN30" s="101"/>
      <c r="AMO30" s="101"/>
      <c r="AMP30" s="101"/>
      <c r="AMQ30" s="101"/>
      <c r="AMR30" s="101"/>
      <c r="AMS30" s="101"/>
      <c r="AMT30" s="101"/>
      <c r="AMU30" s="101"/>
      <c r="AMV30" s="101"/>
      <c r="AMW30" s="101"/>
      <c r="AMX30" s="101"/>
      <c r="AMY30" s="101"/>
      <c r="AMZ30" s="101"/>
      <c r="ANA30" s="101"/>
      <c r="ANB30" s="101"/>
      <c r="ANC30" s="101"/>
      <c r="AND30" s="101"/>
      <c r="ANE30" s="101"/>
      <c r="ANF30" s="101"/>
      <c r="ANG30" s="101"/>
      <c r="ANH30" s="101"/>
      <c r="ANI30" s="101"/>
      <c r="ANJ30" s="101"/>
      <c r="ANK30" s="101"/>
      <c r="ANL30" s="101"/>
      <c r="ANM30" s="101"/>
      <c r="ANN30" s="101"/>
      <c r="ANO30" s="101"/>
      <c r="ANP30" s="101"/>
      <c r="ANQ30" s="101"/>
      <c r="ANR30" s="101"/>
      <c r="ANS30" s="101"/>
      <c r="ANT30" s="101"/>
      <c r="ANU30" s="101"/>
      <c r="ANV30" s="101"/>
      <c r="ANW30" s="101"/>
      <c r="ANX30" s="101"/>
      <c r="ANY30" s="101"/>
      <c r="ANZ30" s="101"/>
      <c r="AOA30" s="101"/>
      <c r="AOB30" s="101"/>
      <c r="AOC30" s="101"/>
      <c r="AOD30" s="101"/>
      <c r="AOE30" s="101"/>
      <c r="AOF30" s="101"/>
      <c r="AOG30" s="101"/>
      <c r="AOH30" s="101"/>
      <c r="AOI30" s="101"/>
      <c r="AOJ30" s="101"/>
      <c r="AOK30" s="101"/>
      <c r="AOL30" s="101"/>
      <c r="AOM30" s="101"/>
      <c r="AON30" s="101"/>
      <c r="AOO30" s="101"/>
      <c r="AOP30" s="101"/>
      <c r="AOQ30" s="101"/>
      <c r="AOR30" s="101"/>
      <c r="AOS30" s="101"/>
      <c r="AOT30" s="101"/>
      <c r="AOU30" s="101"/>
      <c r="AOV30" s="101"/>
      <c r="AOW30" s="101"/>
      <c r="AOX30" s="101"/>
      <c r="AOY30" s="101"/>
      <c r="AOZ30" s="101"/>
      <c r="APA30" s="101"/>
      <c r="APB30" s="101"/>
      <c r="APC30" s="101"/>
      <c r="APD30" s="101"/>
      <c r="APE30" s="101"/>
      <c r="APF30" s="101"/>
      <c r="APG30" s="101"/>
      <c r="APH30" s="101"/>
      <c r="API30" s="101"/>
      <c r="APJ30" s="101"/>
      <c r="APK30" s="101"/>
      <c r="APL30" s="101"/>
      <c r="APM30" s="101"/>
      <c r="APN30" s="101"/>
      <c r="APO30" s="101"/>
      <c r="APP30" s="101"/>
      <c r="APQ30" s="101"/>
      <c r="APR30" s="101"/>
      <c r="APS30" s="101"/>
      <c r="APT30" s="101"/>
      <c r="APU30" s="101"/>
      <c r="APV30" s="101"/>
      <c r="APW30" s="101"/>
      <c r="APX30" s="101"/>
      <c r="APY30" s="101"/>
      <c r="APZ30" s="101"/>
      <c r="AQA30" s="101"/>
      <c r="AQB30" s="101"/>
      <c r="AQC30" s="101"/>
      <c r="AQD30" s="101"/>
      <c r="AQE30" s="101"/>
      <c r="AQF30" s="101"/>
      <c r="AQG30" s="101"/>
      <c r="AQH30" s="101"/>
      <c r="AQI30" s="101"/>
      <c r="AQJ30" s="101"/>
      <c r="AQK30" s="101"/>
      <c r="AQL30" s="101"/>
      <c r="AQM30" s="101"/>
      <c r="AQN30" s="101"/>
      <c r="AQO30" s="101"/>
      <c r="AQP30" s="101"/>
      <c r="AQQ30" s="101"/>
      <c r="AQR30" s="101"/>
      <c r="AQS30" s="101"/>
      <c r="AQT30" s="101"/>
      <c r="AQU30" s="101"/>
      <c r="AQV30" s="101"/>
      <c r="AQW30" s="101"/>
      <c r="AQX30" s="101"/>
      <c r="AQY30" s="101"/>
      <c r="AQZ30" s="101"/>
      <c r="ARA30" s="101"/>
      <c r="ARB30" s="101"/>
      <c r="ARC30" s="101"/>
      <c r="ARD30" s="101"/>
      <c r="ARE30" s="101"/>
      <c r="ARF30" s="101"/>
      <c r="ARG30" s="101"/>
      <c r="ARH30" s="101"/>
      <c r="ARI30" s="101"/>
      <c r="ARJ30" s="101"/>
      <c r="ARK30" s="101"/>
      <c r="ARL30" s="101"/>
      <c r="ARM30" s="101"/>
      <c r="ARN30" s="101"/>
      <c r="ARO30" s="101"/>
      <c r="ARP30" s="101"/>
      <c r="ARQ30" s="101"/>
      <c r="ARR30" s="101"/>
      <c r="ARS30" s="101"/>
      <c r="ART30" s="101"/>
      <c r="ARU30" s="101"/>
      <c r="ARV30" s="101"/>
      <c r="ARW30" s="101"/>
      <c r="ARX30" s="101"/>
      <c r="ARY30" s="101"/>
      <c r="ARZ30" s="101"/>
      <c r="ASA30" s="101"/>
      <c r="ASB30" s="101"/>
      <c r="ASC30" s="101"/>
      <c r="ASD30" s="101"/>
      <c r="ASE30" s="101"/>
      <c r="ASF30" s="101"/>
      <c r="ASG30" s="101"/>
      <c r="ASH30" s="101"/>
      <c r="ASI30" s="101"/>
      <c r="ASJ30" s="101"/>
      <c r="ASK30" s="101"/>
      <c r="ASL30" s="101"/>
      <c r="ASM30" s="101"/>
      <c r="ASN30" s="101"/>
      <c r="ASO30" s="101"/>
      <c r="ASP30" s="101"/>
      <c r="ASQ30" s="101"/>
      <c r="ASR30" s="101"/>
      <c r="ASS30" s="101"/>
      <c r="AST30" s="101"/>
      <c r="ASU30" s="101"/>
      <c r="ASV30" s="101"/>
      <c r="ASW30" s="101"/>
      <c r="ASX30" s="101"/>
      <c r="ASY30" s="101"/>
      <c r="ASZ30" s="101"/>
      <c r="ATA30" s="101"/>
      <c r="ATB30" s="101"/>
      <c r="ATC30" s="101"/>
      <c r="ATD30" s="101"/>
      <c r="ATE30" s="101"/>
      <c r="ATF30" s="101"/>
      <c r="ATG30" s="101"/>
      <c r="ATH30" s="101"/>
      <c r="ATI30" s="101"/>
      <c r="ATJ30" s="101"/>
      <c r="ATK30" s="101"/>
      <c r="ATL30" s="101"/>
      <c r="ATM30" s="101"/>
      <c r="ATN30" s="101"/>
      <c r="ATO30" s="101"/>
      <c r="ATP30" s="101"/>
      <c r="ATQ30" s="101"/>
      <c r="ATR30" s="101"/>
      <c r="ATS30" s="101"/>
      <c r="ATT30" s="101"/>
      <c r="ATU30" s="101"/>
      <c r="ATV30" s="101"/>
      <c r="ATW30" s="101"/>
      <c r="ATX30" s="101"/>
      <c r="ATY30" s="101"/>
      <c r="ATZ30" s="101"/>
      <c r="AUA30" s="101"/>
      <c r="AUB30" s="101"/>
      <c r="AUC30" s="101"/>
      <c r="AUD30" s="101"/>
      <c r="AUE30" s="101"/>
      <c r="AUF30" s="101"/>
      <c r="AUG30" s="101"/>
      <c r="AUH30" s="101"/>
      <c r="AUI30" s="101"/>
      <c r="AUJ30" s="101"/>
      <c r="AUK30" s="101"/>
      <c r="AUL30" s="101"/>
      <c r="AUM30" s="101"/>
      <c r="AUN30" s="101"/>
      <c r="AUO30" s="101"/>
      <c r="AUP30" s="101"/>
      <c r="AUQ30" s="101"/>
      <c r="AUR30" s="101"/>
      <c r="AUS30" s="101"/>
      <c r="AUT30" s="101"/>
      <c r="AUU30" s="101"/>
      <c r="AUV30" s="101"/>
      <c r="AUW30" s="101"/>
      <c r="AUX30" s="101"/>
      <c r="AUY30" s="101"/>
      <c r="AUZ30" s="101"/>
      <c r="AVA30" s="101"/>
      <c r="AVB30" s="101"/>
      <c r="AVC30" s="101"/>
      <c r="AVD30" s="101"/>
      <c r="AVE30" s="101"/>
      <c r="AVF30" s="101"/>
      <c r="AVG30" s="101"/>
      <c r="AVH30" s="101"/>
      <c r="AVI30" s="101"/>
      <c r="AVJ30" s="101"/>
      <c r="AVK30" s="101"/>
      <c r="AVL30" s="101"/>
      <c r="AVM30" s="101"/>
      <c r="AVN30" s="101"/>
      <c r="AVO30" s="101"/>
      <c r="AVP30" s="101"/>
      <c r="AVQ30" s="101"/>
      <c r="AVR30" s="101"/>
      <c r="AVS30" s="101"/>
      <c r="AVT30" s="101"/>
      <c r="AVU30" s="101"/>
      <c r="AVV30" s="101"/>
      <c r="AVW30" s="101"/>
      <c r="AVX30" s="101"/>
      <c r="AVY30" s="101"/>
      <c r="AVZ30" s="101"/>
      <c r="AWA30" s="101"/>
      <c r="AWB30" s="101"/>
      <c r="AWC30" s="101"/>
      <c r="AWD30" s="101"/>
      <c r="AWE30" s="101"/>
      <c r="AWF30" s="101"/>
      <c r="AWG30" s="101"/>
      <c r="AWH30" s="101"/>
      <c r="AWI30" s="101"/>
      <c r="AWJ30" s="101"/>
      <c r="AWK30" s="101"/>
      <c r="AWL30" s="101"/>
      <c r="AWM30" s="101"/>
      <c r="AWN30" s="101"/>
      <c r="AWO30" s="101"/>
      <c r="AWP30" s="101"/>
      <c r="AWQ30" s="101"/>
      <c r="AWR30" s="101"/>
      <c r="AWS30" s="101"/>
      <c r="AWT30" s="101"/>
      <c r="AWU30" s="101"/>
      <c r="AWV30" s="101"/>
      <c r="AWW30" s="101"/>
      <c r="AWX30" s="101"/>
      <c r="AWY30" s="101"/>
      <c r="AWZ30" s="101"/>
      <c r="AXA30" s="101"/>
      <c r="AXB30" s="101"/>
      <c r="AXC30" s="101"/>
      <c r="AXD30" s="101"/>
      <c r="AXE30" s="101"/>
      <c r="AXF30" s="101"/>
      <c r="AXG30" s="101"/>
      <c r="AXH30" s="101"/>
      <c r="AXI30" s="101"/>
      <c r="AXJ30" s="101"/>
      <c r="AXK30" s="101"/>
      <c r="AXL30" s="101"/>
      <c r="AXM30" s="101"/>
      <c r="AXN30" s="101"/>
      <c r="AXO30" s="101"/>
      <c r="AXP30" s="101"/>
      <c r="AXQ30" s="101"/>
      <c r="AXR30" s="101"/>
      <c r="AXS30" s="101"/>
      <c r="AXT30" s="101"/>
      <c r="AXU30" s="101"/>
      <c r="AXV30" s="101"/>
      <c r="AXW30" s="101"/>
      <c r="AXX30" s="101"/>
      <c r="AXY30" s="101"/>
      <c r="AXZ30" s="101"/>
      <c r="AYA30" s="101"/>
      <c r="AYB30" s="101"/>
      <c r="AYC30" s="101"/>
      <c r="AYD30" s="101"/>
      <c r="AYE30" s="101"/>
      <c r="AYF30" s="101"/>
      <c r="AYG30" s="101"/>
      <c r="AYH30" s="101"/>
      <c r="AYI30" s="101"/>
      <c r="AYJ30" s="101"/>
      <c r="AYK30" s="101"/>
      <c r="AYL30" s="101"/>
      <c r="AYM30" s="101"/>
      <c r="AYN30" s="101"/>
      <c r="AYO30" s="101"/>
      <c r="AYP30" s="101"/>
      <c r="AYQ30" s="101"/>
      <c r="AYR30" s="101"/>
      <c r="AYS30" s="101"/>
      <c r="AYT30" s="101"/>
      <c r="AYU30" s="101"/>
      <c r="AYV30" s="101"/>
      <c r="AYW30" s="101"/>
      <c r="AYX30" s="101"/>
      <c r="AYY30" s="101"/>
      <c r="AYZ30" s="101"/>
      <c r="AZA30" s="101"/>
      <c r="AZB30" s="101"/>
      <c r="AZC30" s="101"/>
      <c r="AZD30" s="101"/>
      <c r="AZE30" s="101"/>
      <c r="AZF30" s="101"/>
      <c r="AZG30" s="101"/>
      <c r="AZH30" s="101"/>
      <c r="AZI30" s="101"/>
      <c r="AZJ30" s="101"/>
      <c r="AZK30" s="101"/>
      <c r="AZL30" s="101"/>
      <c r="AZM30" s="101"/>
      <c r="AZN30" s="101"/>
      <c r="AZO30" s="101"/>
      <c r="AZP30" s="101"/>
      <c r="AZQ30" s="101"/>
      <c r="AZR30" s="101"/>
      <c r="AZS30" s="101"/>
      <c r="AZT30" s="101"/>
      <c r="AZU30" s="101"/>
      <c r="AZV30" s="101"/>
      <c r="AZW30" s="101"/>
      <c r="AZX30" s="101"/>
      <c r="AZY30" s="101"/>
      <c r="AZZ30" s="101"/>
      <c r="BAA30" s="101"/>
      <c r="BAB30" s="101"/>
      <c r="BAC30" s="101"/>
      <c r="BAD30" s="101"/>
      <c r="BAE30" s="101"/>
      <c r="BAF30" s="101"/>
      <c r="BAG30" s="101"/>
      <c r="BAH30" s="101"/>
      <c r="BAI30" s="101"/>
      <c r="BAJ30" s="101"/>
      <c r="BAK30" s="101"/>
      <c r="BAL30" s="101"/>
      <c r="BAM30" s="101"/>
      <c r="BAN30" s="101"/>
      <c r="BAO30" s="101"/>
      <c r="BAP30" s="101"/>
      <c r="BAQ30" s="101"/>
      <c r="BAR30" s="101"/>
      <c r="BAS30" s="101"/>
      <c r="BAT30" s="101"/>
      <c r="BAU30" s="101"/>
      <c r="BAV30" s="101"/>
      <c r="BAW30" s="101"/>
      <c r="BAX30" s="101"/>
      <c r="BAY30" s="101"/>
      <c r="BAZ30" s="101"/>
      <c r="BBA30" s="101"/>
      <c r="BBB30" s="101"/>
      <c r="BBC30" s="101"/>
      <c r="BBD30" s="101"/>
      <c r="BBE30" s="101"/>
      <c r="BBF30" s="101"/>
      <c r="BBG30" s="101"/>
      <c r="BBH30" s="101"/>
      <c r="BBI30" s="101"/>
      <c r="BBJ30" s="101"/>
      <c r="BBK30" s="101"/>
      <c r="BBL30" s="101"/>
      <c r="BBM30" s="101"/>
      <c r="BBN30" s="101"/>
      <c r="BBO30" s="101"/>
      <c r="BBP30" s="101"/>
      <c r="BBQ30" s="101"/>
      <c r="BBR30" s="101"/>
      <c r="BBS30" s="101"/>
      <c r="BBT30" s="101"/>
      <c r="BBU30" s="101"/>
      <c r="BBV30" s="101"/>
      <c r="BBW30" s="101"/>
      <c r="BBX30" s="101"/>
      <c r="BBY30" s="101"/>
      <c r="BBZ30" s="101"/>
      <c r="BCA30" s="101"/>
      <c r="BCB30" s="101"/>
      <c r="BCC30" s="101"/>
      <c r="BCD30" s="101"/>
      <c r="BCE30" s="101"/>
      <c r="BCF30" s="101"/>
      <c r="BCG30" s="101"/>
      <c r="BCH30" s="101"/>
      <c r="BCI30" s="101"/>
      <c r="BCJ30" s="101"/>
      <c r="BCK30" s="101"/>
      <c r="BCL30" s="101"/>
      <c r="BCM30" s="101"/>
      <c r="BCN30" s="101"/>
      <c r="BCO30" s="101"/>
      <c r="BCP30" s="101"/>
      <c r="BCQ30" s="101"/>
      <c r="BCR30" s="101"/>
      <c r="BCS30" s="101"/>
      <c r="BCT30" s="101"/>
      <c r="BCU30" s="101"/>
      <c r="BCV30" s="101"/>
      <c r="BCW30" s="101"/>
      <c r="BCX30" s="101"/>
      <c r="BCY30" s="101"/>
      <c r="BCZ30" s="101"/>
      <c r="BDA30" s="101"/>
      <c r="BDB30" s="101"/>
      <c r="BDC30" s="101"/>
      <c r="BDD30" s="101"/>
      <c r="BDE30" s="101"/>
      <c r="BDF30" s="101"/>
      <c r="BDG30" s="101"/>
      <c r="BDH30" s="101"/>
      <c r="BDI30" s="101"/>
      <c r="BDJ30" s="101"/>
      <c r="BDK30" s="101"/>
      <c r="BDL30" s="101"/>
      <c r="BDM30" s="101"/>
      <c r="BDN30" s="101"/>
      <c r="BDO30" s="101"/>
      <c r="BDP30" s="101"/>
      <c r="BDQ30" s="101"/>
      <c r="BDR30" s="101"/>
      <c r="BDS30" s="101"/>
      <c r="BDT30" s="101"/>
      <c r="BDU30" s="101"/>
      <c r="BDV30" s="101"/>
      <c r="BDW30" s="101"/>
      <c r="BDX30" s="101"/>
      <c r="BDY30" s="101"/>
      <c r="BDZ30" s="101"/>
      <c r="BEA30" s="101"/>
      <c r="BEB30" s="101"/>
      <c r="BEC30" s="101"/>
      <c r="BED30" s="101"/>
      <c r="BEE30" s="101"/>
      <c r="BEF30" s="101"/>
      <c r="BEG30" s="101"/>
      <c r="BEH30" s="101"/>
      <c r="BEI30" s="101"/>
      <c r="BEJ30" s="101"/>
      <c r="BEK30" s="101"/>
      <c r="BEL30" s="101"/>
      <c r="BEM30" s="101"/>
      <c r="BEN30" s="101"/>
      <c r="BEO30" s="101"/>
      <c r="BEP30" s="101"/>
      <c r="BEQ30" s="101"/>
      <c r="BER30" s="101"/>
      <c r="BES30" s="101"/>
      <c r="BET30" s="101"/>
      <c r="BEU30" s="101"/>
      <c r="BEV30" s="101"/>
      <c r="BEW30" s="101"/>
      <c r="BEX30" s="101"/>
      <c r="BEY30" s="101"/>
      <c r="BEZ30" s="101"/>
      <c r="BFA30" s="101"/>
      <c r="BFB30" s="101"/>
      <c r="BFC30" s="101"/>
      <c r="BFD30" s="101"/>
      <c r="BFE30" s="101"/>
      <c r="BFF30" s="101"/>
      <c r="BFG30" s="101"/>
      <c r="BFH30" s="101"/>
      <c r="BFI30" s="101"/>
      <c r="BFJ30" s="101"/>
      <c r="BFK30" s="101"/>
      <c r="BFL30" s="101"/>
      <c r="BFM30" s="101"/>
      <c r="BFN30" s="101"/>
      <c r="BFO30" s="101"/>
      <c r="BFP30" s="101"/>
      <c r="BFQ30" s="101"/>
      <c r="BFR30" s="101"/>
      <c r="BFS30" s="101"/>
      <c r="BFT30" s="101"/>
      <c r="BFU30" s="101"/>
      <c r="BFV30" s="101"/>
      <c r="BFW30" s="101"/>
      <c r="BFX30" s="101"/>
      <c r="BFY30" s="101"/>
      <c r="BFZ30" s="101"/>
      <c r="BGA30" s="101"/>
      <c r="BGB30" s="101"/>
      <c r="BGC30" s="101"/>
      <c r="BGD30" s="101"/>
      <c r="BGE30" s="101"/>
      <c r="BGF30" s="101"/>
      <c r="BGG30" s="101"/>
      <c r="BGH30" s="101"/>
      <c r="BGI30" s="101"/>
      <c r="BGJ30" s="101"/>
      <c r="BGK30" s="101"/>
      <c r="BGL30" s="101"/>
      <c r="BGM30" s="101"/>
      <c r="BGN30" s="101"/>
      <c r="BGO30" s="101"/>
      <c r="BGP30" s="101"/>
      <c r="BGQ30" s="101"/>
      <c r="BGR30" s="101"/>
      <c r="BGS30" s="101"/>
      <c r="BGT30" s="101"/>
      <c r="BGU30" s="101"/>
      <c r="BGV30" s="101"/>
      <c r="BGW30" s="101"/>
      <c r="BGX30" s="101"/>
      <c r="BGY30" s="101"/>
      <c r="BGZ30" s="101"/>
      <c r="BHA30" s="101"/>
      <c r="BHB30" s="101"/>
      <c r="BHC30" s="101"/>
      <c r="BHD30" s="101"/>
      <c r="BHE30" s="101"/>
      <c r="BHF30" s="101"/>
      <c r="BHG30" s="101"/>
      <c r="BHH30" s="101"/>
      <c r="BHI30" s="101"/>
      <c r="BHJ30" s="101"/>
      <c r="BHK30" s="101"/>
      <c r="BHL30" s="101"/>
      <c r="BHM30" s="101"/>
      <c r="BHN30" s="101"/>
      <c r="BHO30" s="101"/>
      <c r="BHP30" s="101"/>
      <c r="BHQ30" s="101"/>
      <c r="BHR30" s="101"/>
      <c r="BHS30" s="101"/>
      <c r="BHT30" s="101"/>
      <c r="BHU30" s="101"/>
      <c r="BHV30" s="101"/>
      <c r="BHW30" s="101"/>
      <c r="BHX30" s="101"/>
      <c r="BHY30" s="101"/>
      <c r="BHZ30" s="101"/>
      <c r="BIA30" s="101"/>
      <c r="BIB30" s="101"/>
      <c r="BIC30" s="101"/>
      <c r="BID30" s="101"/>
      <c r="BIE30" s="101"/>
      <c r="BIF30" s="101"/>
      <c r="BIG30" s="101"/>
      <c r="BIH30" s="101"/>
      <c r="BII30" s="101"/>
      <c r="BIJ30" s="101"/>
      <c r="BIK30" s="101"/>
      <c r="BIL30" s="101"/>
      <c r="BIM30" s="101"/>
      <c r="BIN30" s="101"/>
      <c r="BIO30" s="101"/>
      <c r="BIP30" s="101"/>
      <c r="BIQ30" s="101"/>
      <c r="BIR30" s="101"/>
      <c r="BIS30" s="101"/>
      <c r="BIT30" s="101"/>
      <c r="BIU30" s="101"/>
      <c r="BIV30" s="101"/>
      <c r="BIW30" s="101"/>
      <c r="BIX30" s="101"/>
      <c r="BIY30" s="101"/>
      <c r="BIZ30" s="101"/>
      <c r="BJA30" s="101"/>
      <c r="BJB30" s="101"/>
      <c r="BJC30" s="101"/>
      <c r="BJD30" s="101"/>
      <c r="BJE30" s="101"/>
      <c r="BJF30" s="101"/>
      <c r="BJG30" s="101"/>
      <c r="BJH30" s="101"/>
      <c r="BJI30" s="101"/>
      <c r="BJJ30" s="101"/>
      <c r="BJK30" s="101"/>
      <c r="BJL30" s="101"/>
      <c r="BJM30" s="101"/>
      <c r="BJN30" s="101"/>
      <c r="BJO30" s="101"/>
      <c r="BJP30" s="101"/>
      <c r="BJQ30" s="101"/>
      <c r="BJR30" s="101"/>
      <c r="BJS30" s="101"/>
      <c r="BJT30" s="101"/>
      <c r="BJU30" s="101"/>
      <c r="BJV30" s="101"/>
      <c r="BJW30" s="101"/>
      <c r="BJX30" s="101"/>
      <c r="BJY30" s="101"/>
      <c r="BJZ30" s="101"/>
      <c r="BKA30" s="101"/>
      <c r="BKB30" s="101"/>
      <c r="BKC30" s="101"/>
      <c r="BKD30" s="101"/>
      <c r="BKE30" s="101"/>
      <c r="BKF30" s="101"/>
      <c r="BKG30" s="101"/>
      <c r="BKH30" s="101"/>
      <c r="BKI30" s="101"/>
      <c r="BKJ30" s="101"/>
      <c r="BKK30" s="101"/>
      <c r="BKL30" s="101"/>
      <c r="BKM30" s="101"/>
      <c r="BKN30" s="101"/>
      <c r="BKO30" s="101"/>
      <c r="BKP30" s="101"/>
      <c r="BKQ30" s="101"/>
      <c r="BKR30" s="101"/>
      <c r="BKS30" s="101"/>
      <c r="BKT30" s="101"/>
      <c r="BKU30" s="101"/>
      <c r="BKV30" s="101"/>
      <c r="BKW30" s="101"/>
      <c r="BKX30" s="101"/>
      <c r="BKY30" s="101"/>
      <c r="BKZ30" s="101"/>
      <c r="BLA30" s="101"/>
      <c r="BLB30" s="101"/>
      <c r="BLC30" s="101"/>
      <c r="BLD30" s="101"/>
      <c r="BLE30" s="101"/>
      <c r="BLF30" s="101"/>
      <c r="BLG30" s="101"/>
      <c r="BLH30" s="101"/>
      <c r="BLI30" s="101"/>
      <c r="BLJ30" s="101"/>
      <c r="BLK30" s="101"/>
      <c r="BLL30" s="101"/>
      <c r="BLM30" s="101"/>
      <c r="BLN30" s="101"/>
      <c r="BLO30" s="101"/>
      <c r="BLP30" s="101"/>
      <c r="BLQ30" s="101"/>
      <c r="BLR30" s="101"/>
      <c r="BLS30" s="101"/>
      <c r="BLT30" s="101"/>
      <c r="BLU30" s="101"/>
      <c r="BLV30" s="101"/>
      <c r="BLW30" s="101"/>
      <c r="BLX30" s="101"/>
      <c r="BLY30" s="101"/>
      <c r="BLZ30" s="101"/>
      <c r="BMA30" s="101"/>
      <c r="BMB30" s="101"/>
      <c r="BMC30" s="101"/>
      <c r="BMD30" s="101"/>
      <c r="BME30" s="101"/>
      <c r="BMF30" s="101"/>
      <c r="BMG30" s="101"/>
      <c r="BMH30" s="101"/>
      <c r="BMI30" s="101"/>
      <c r="BMJ30" s="101"/>
      <c r="BMK30" s="101"/>
      <c r="BML30" s="101"/>
      <c r="BMM30" s="101"/>
      <c r="BMN30" s="101"/>
      <c r="BMO30" s="101"/>
      <c r="BMP30" s="101"/>
      <c r="BMQ30" s="101"/>
      <c r="BMR30" s="101"/>
      <c r="BMS30" s="101"/>
      <c r="BMT30" s="101"/>
      <c r="BMU30" s="101"/>
      <c r="BMV30" s="101"/>
      <c r="BMW30" s="101"/>
      <c r="BMX30" s="101"/>
      <c r="BMY30" s="101"/>
      <c r="BMZ30" s="101"/>
      <c r="BNA30" s="101"/>
      <c r="BNB30" s="101"/>
      <c r="BNC30" s="101"/>
      <c r="BND30" s="101"/>
      <c r="BNE30" s="101"/>
      <c r="BNF30" s="101"/>
      <c r="BNG30" s="101"/>
      <c r="BNH30" s="101"/>
      <c r="BNI30" s="101"/>
      <c r="BNJ30" s="101"/>
      <c r="BNK30" s="101"/>
      <c r="BNL30" s="101"/>
      <c r="BNM30" s="101"/>
      <c r="BNN30" s="101"/>
      <c r="BNO30" s="101"/>
      <c r="BNP30" s="101"/>
      <c r="BNQ30" s="101"/>
      <c r="BNR30" s="101"/>
      <c r="BNS30" s="101"/>
      <c r="BNT30" s="101"/>
      <c r="BNU30" s="101"/>
      <c r="BNV30" s="101"/>
      <c r="BNW30" s="101"/>
      <c r="BNX30" s="101"/>
      <c r="BNY30" s="101"/>
      <c r="BNZ30" s="101"/>
      <c r="BOA30" s="101"/>
      <c r="BOB30" s="101"/>
      <c r="BOC30" s="101"/>
      <c r="BOD30" s="101"/>
      <c r="BOE30" s="101"/>
      <c r="BOF30" s="101"/>
      <c r="BOG30" s="101"/>
      <c r="BOH30" s="101"/>
      <c r="BOI30" s="101"/>
      <c r="BOJ30" s="101"/>
      <c r="BOK30" s="101"/>
      <c r="BOL30" s="101"/>
      <c r="BOM30" s="101"/>
      <c r="BON30" s="101"/>
      <c r="BOO30" s="101"/>
      <c r="BOP30" s="101"/>
      <c r="BOQ30" s="101"/>
      <c r="BOR30" s="101"/>
      <c r="BOS30" s="101"/>
      <c r="BOT30" s="101"/>
      <c r="BOU30" s="101"/>
      <c r="BOV30" s="101"/>
      <c r="BOW30" s="101"/>
      <c r="BOX30" s="101"/>
      <c r="BOY30" s="101"/>
      <c r="BOZ30" s="101"/>
      <c r="BPA30" s="101"/>
      <c r="BPB30" s="101"/>
      <c r="BPC30" s="101"/>
      <c r="BPD30" s="101"/>
      <c r="BPE30" s="101"/>
      <c r="BPF30" s="101"/>
      <c r="BPG30" s="101"/>
      <c r="BPH30" s="101"/>
      <c r="BPI30" s="101"/>
      <c r="BPJ30" s="101"/>
      <c r="BPK30" s="101"/>
      <c r="BPL30" s="101"/>
      <c r="BPM30" s="101"/>
      <c r="BPN30" s="101"/>
      <c r="BPO30" s="101"/>
      <c r="BPP30" s="101"/>
      <c r="BPQ30" s="101"/>
      <c r="BPR30" s="101"/>
      <c r="BPS30" s="101"/>
      <c r="BPT30" s="101"/>
      <c r="BPU30" s="101"/>
      <c r="BPV30" s="101"/>
      <c r="BPW30" s="101"/>
      <c r="BPX30" s="101"/>
      <c r="BPY30" s="101"/>
      <c r="BPZ30" s="101"/>
      <c r="BQA30" s="101"/>
      <c r="BQB30" s="101"/>
      <c r="BQC30" s="101"/>
      <c r="BQD30" s="101"/>
      <c r="BQE30" s="101"/>
      <c r="BQF30" s="101"/>
      <c r="BQG30" s="101"/>
      <c r="BQH30" s="101"/>
      <c r="BQI30" s="101"/>
      <c r="BQJ30" s="101"/>
      <c r="BQK30" s="101"/>
      <c r="BQL30" s="101"/>
      <c r="BQM30" s="101"/>
      <c r="BQN30" s="101"/>
      <c r="BQO30" s="101"/>
      <c r="BQP30" s="101"/>
      <c r="BQQ30" s="101"/>
      <c r="BQR30" s="101"/>
      <c r="BQS30" s="101"/>
      <c r="BQT30" s="101"/>
      <c r="BQU30" s="101"/>
      <c r="BQV30" s="101"/>
      <c r="BQW30" s="101"/>
      <c r="BQX30" s="101"/>
      <c r="BQY30" s="101"/>
      <c r="BQZ30" s="101"/>
      <c r="BRA30" s="101"/>
      <c r="BRB30" s="101"/>
      <c r="BRC30" s="101"/>
      <c r="BRD30" s="101"/>
      <c r="BRE30" s="101"/>
      <c r="BRF30" s="101"/>
      <c r="BRG30" s="101"/>
      <c r="BRH30" s="101"/>
      <c r="BRI30" s="101"/>
      <c r="BRJ30" s="101"/>
      <c r="BRK30" s="101"/>
      <c r="BRL30" s="101"/>
      <c r="BRM30" s="101"/>
      <c r="BRN30" s="101"/>
      <c r="BRO30" s="101"/>
      <c r="BRP30" s="101"/>
      <c r="BRQ30" s="101"/>
      <c r="BRR30" s="101"/>
      <c r="BRS30" s="101"/>
      <c r="BRT30" s="101"/>
      <c r="BRU30" s="101"/>
      <c r="BRV30" s="101"/>
      <c r="BRW30" s="101"/>
      <c r="BRX30" s="101"/>
      <c r="BRY30" s="101"/>
      <c r="BRZ30" s="101"/>
      <c r="BSA30" s="101"/>
      <c r="BSB30" s="101"/>
      <c r="BSC30" s="101"/>
      <c r="BSD30" s="101"/>
      <c r="BSE30" s="101"/>
      <c r="BSF30" s="101"/>
      <c r="BSG30" s="101"/>
      <c r="BSH30" s="101"/>
      <c r="BSI30" s="101"/>
      <c r="BSJ30" s="101"/>
      <c r="BSK30" s="101"/>
      <c r="BSL30" s="101"/>
      <c r="BSM30" s="101"/>
      <c r="BSN30" s="101"/>
      <c r="BSO30" s="101"/>
      <c r="BSP30" s="101"/>
      <c r="BSQ30" s="101"/>
      <c r="BSR30" s="101"/>
      <c r="BSS30" s="101"/>
      <c r="BST30" s="101"/>
      <c r="BSU30" s="101"/>
      <c r="BSV30" s="101"/>
      <c r="BSW30" s="101"/>
      <c r="BSX30" s="101"/>
      <c r="BSY30" s="101"/>
      <c r="BSZ30" s="101"/>
      <c r="BTA30" s="101"/>
      <c r="BTB30" s="101"/>
      <c r="BTC30" s="101"/>
      <c r="BTD30" s="101"/>
      <c r="BTE30" s="101"/>
      <c r="BTF30" s="101"/>
      <c r="BTG30" s="101"/>
      <c r="BTH30" s="101"/>
      <c r="BTI30" s="101"/>
      <c r="BTJ30" s="101"/>
      <c r="BTK30" s="101"/>
      <c r="BTL30" s="101"/>
      <c r="BTM30" s="101"/>
      <c r="BTN30" s="101"/>
      <c r="BTO30" s="101"/>
      <c r="BTP30" s="101"/>
      <c r="BTQ30" s="101"/>
      <c r="BTR30" s="101"/>
      <c r="BTS30" s="101"/>
      <c r="BTT30" s="101"/>
      <c r="BTU30" s="101"/>
      <c r="BTV30" s="101"/>
      <c r="BTW30" s="101"/>
      <c r="BTX30" s="101"/>
      <c r="BTY30" s="101"/>
      <c r="BTZ30" s="101"/>
      <c r="BUA30" s="101"/>
      <c r="BUB30" s="101"/>
      <c r="BUC30" s="101"/>
      <c r="BUD30" s="101"/>
      <c r="BUE30" s="101"/>
      <c r="BUF30" s="101"/>
      <c r="BUG30" s="101"/>
      <c r="BUH30" s="101"/>
      <c r="BUI30" s="101"/>
      <c r="BUJ30" s="101"/>
      <c r="BUK30" s="101"/>
      <c r="BUL30" s="101"/>
      <c r="BUM30" s="101"/>
      <c r="BUN30" s="101"/>
      <c r="BUO30" s="101"/>
      <c r="BUP30" s="101"/>
      <c r="BUQ30" s="101"/>
      <c r="BUR30" s="101"/>
      <c r="BUS30" s="101"/>
      <c r="BUT30" s="101"/>
      <c r="BUU30" s="101"/>
      <c r="BUV30" s="101"/>
      <c r="BUW30" s="101"/>
      <c r="BUX30" s="101"/>
      <c r="BUY30" s="101"/>
      <c r="BUZ30" s="101"/>
      <c r="BVA30" s="101"/>
      <c r="BVB30" s="101"/>
      <c r="BVC30" s="101"/>
      <c r="BVD30" s="101"/>
      <c r="BVE30" s="101"/>
      <c r="BVF30" s="101"/>
      <c r="BVG30" s="101"/>
      <c r="BVH30" s="101"/>
      <c r="BVI30" s="101"/>
      <c r="BVJ30" s="101"/>
      <c r="BVK30" s="101"/>
      <c r="BVL30" s="101"/>
      <c r="BVM30" s="101"/>
      <c r="BVN30" s="101"/>
      <c r="BVO30" s="101"/>
      <c r="BVP30" s="101"/>
      <c r="BVQ30" s="101"/>
      <c r="BVR30" s="101"/>
      <c r="BVS30" s="101"/>
      <c r="BVT30" s="101"/>
      <c r="BVU30" s="101"/>
      <c r="BVV30" s="101"/>
      <c r="BVW30" s="101"/>
      <c r="BVX30" s="101"/>
      <c r="BVY30" s="101"/>
      <c r="BVZ30" s="101"/>
      <c r="BWA30" s="101"/>
      <c r="BWB30" s="101"/>
      <c r="BWC30" s="101"/>
      <c r="BWD30" s="101"/>
      <c r="BWE30" s="101"/>
      <c r="BWF30" s="101"/>
      <c r="BWG30" s="101"/>
      <c r="BWH30" s="101"/>
      <c r="BWI30" s="101"/>
      <c r="BWJ30" s="101"/>
      <c r="BWK30" s="101"/>
      <c r="BWL30" s="101"/>
      <c r="BWM30" s="101"/>
      <c r="BWN30" s="101"/>
      <c r="BWO30" s="101"/>
      <c r="BWP30" s="101"/>
      <c r="BWQ30" s="101"/>
      <c r="BWR30" s="101"/>
      <c r="BWS30" s="101"/>
      <c r="BWT30" s="101"/>
      <c r="BWU30" s="101"/>
      <c r="BWV30" s="101"/>
      <c r="BWW30" s="101"/>
      <c r="BWX30" s="101"/>
      <c r="BWY30" s="101"/>
      <c r="BWZ30" s="101"/>
      <c r="BXA30" s="101"/>
      <c r="BXB30" s="101"/>
      <c r="BXC30" s="101"/>
      <c r="BXD30" s="101"/>
      <c r="BXE30" s="101"/>
      <c r="BXF30" s="101"/>
      <c r="BXG30" s="101"/>
      <c r="BXH30" s="101"/>
      <c r="BXI30" s="101"/>
      <c r="BXJ30" s="101"/>
      <c r="BXK30" s="101"/>
      <c r="BXL30" s="101"/>
      <c r="BXM30" s="101"/>
      <c r="BXN30" s="101"/>
      <c r="BXO30" s="101"/>
      <c r="BXP30" s="101"/>
      <c r="BXQ30" s="101"/>
      <c r="BXR30" s="101"/>
      <c r="BXS30" s="101"/>
      <c r="BXT30" s="101"/>
      <c r="BXU30" s="101"/>
      <c r="BXV30" s="101"/>
      <c r="BXW30" s="101"/>
      <c r="BXX30" s="101"/>
      <c r="BXY30" s="101"/>
      <c r="BXZ30" s="101"/>
      <c r="BYA30" s="101"/>
      <c r="BYB30" s="101"/>
      <c r="BYC30" s="101"/>
      <c r="BYD30" s="101"/>
      <c r="BYE30" s="101"/>
      <c r="BYF30" s="101"/>
      <c r="BYG30" s="101"/>
      <c r="BYH30" s="101"/>
      <c r="BYI30" s="101"/>
      <c r="BYJ30" s="101"/>
      <c r="BYK30" s="101"/>
      <c r="BYL30" s="101"/>
      <c r="BYM30" s="101"/>
      <c r="BYN30" s="101"/>
      <c r="BYO30" s="101"/>
      <c r="BYP30" s="101"/>
      <c r="BYQ30" s="101"/>
      <c r="BYR30" s="101"/>
      <c r="BYS30" s="101"/>
      <c r="BYT30" s="101"/>
      <c r="BYU30" s="101"/>
      <c r="BYV30" s="101"/>
      <c r="BYW30" s="101"/>
      <c r="BYX30" s="101"/>
      <c r="BYY30" s="101"/>
      <c r="BYZ30" s="101"/>
      <c r="BZA30" s="101"/>
      <c r="BZB30" s="101"/>
      <c r="BZC30" s="101"/>
      <c r="BZD30" s="101"/>
      <c r="BZE30" s="101"/>
      <c r="BZF30" s="101"/>
      <c r="BZG30" s="101"/>
      <c r="BZH30" s="101"/>
      <c r="BZI30" s="101"/>
      <c r="BZJ30" s="101"/>
      <c r="BZK30" s="101"/>
      <c r="BZL30" s="101"/>
      <c r="BZM30" s="101"/>
      <c r="BZN30" s="101"/>
      <c r="BZO30" s="101"/>
      <c r="BZP30" s="101"/>
      <c r="BZQ30" s="101"/>
      <c r="BZR30" s="101"/>
      <c r="BZS30" s="101"/>
      <c r="BZT30" s="101"/>
      <c r="BZU30" s="101"/>
      <c r="BZV30" s="101"/>
      <c r="BZW30" s="101"/>
      <c r="BZX30" s="101"/>
      <c r="BZY30" s="101"/>
      <c r="BZZ30" s="101"/>
      <c r="CAA30" s="101"/>
      <c r="CAB30" s="101"/>
      <c r="CAC30" s="101"/>
      <c r="CAD30" s="101"/>
      <c r="CAE30" s="101"/>
      <c r="CAF30" s="101"/>
      <c r="CAG30" s="101"/>
      <c r="CAH30" s="101"/>
      <c r="CAI30" s="101"/>
      <c r="CAJ30" s="101"/>
      <c r="CAK30" s="101"/>
      <c r="CAL30" s="101"/>
      <c r="CAM30" s="101"/>
      <c r="CAN30" s="101"/>
      <c r="CAO30" s="101"/>
      <c r="CAP30" s="101"/>
      <c r="CAQ30" s="101"/>
      <c r="CAR30" s="101"/>
      <c r="CAS30" s="101"/>
      <c r="CAT30" s="101"/>
      <c r="CAU30" s="101"/>
      <c r="CAV30" s="101"/>
      <c r="CAW30" s="101"/>
      <c r="CAX30" s="101"/>
      <c r="CAY30" s="101"/>
      <c r="CAZ30" s="101"/>
      <c r="CBA30" s="101"/>
      <c r="CBB30" s="101"/>
      <c r="CBC30" s="101"/>
      <c r="CBD30" s="101"/>
      <c r="CBE30" s="101"/>
      <c r="CBF30" s="101"/>
      <c r="CBG30" s="101"/>
      <c r="CBH30" s="101"/>
      <c r="CBI30" s="101"/>
      <c r="CBJ30" s="101"/>
      <c r="CBK30" s="101"/>
      <c r="CBL30" s="101"/>
      <c r="CBM30" s="101"/>
      <c r="CBN30" s="101"/>
      <c r="CBO30" s="101"/>
      <c r="CBP30" s="101"/>
      <c r="CBQ30" s="101"/>
      <c r="CBR30" s="101"/>
      <c r="CBS30" s="101"/>
      <c r="CBT30" s="101"/>
      <c r="CBU30" s="101"/>
      <c r="CBV30" s="101"/>
      <c r="CBW30" s="101"/>
      <c r="CBX30" s="101"/>
      <c r="CBY30" s="101"/>
      <c r="CBZ30" s="101"/>
      <c r="CCA30" s="101"/>
      <c r="CCB30" s="101"/>
      <c r="CCC30" s="101"/>
      <c r="CCD30" s="101"/>
      <c r="CCE30" s="101"/>
      <c r="CCF30" s="101"/>
      <c r="CCG30" s="101"/>
      <c r="CCH30" s="101"/>
      <c r="CCI30" s="101"/>
      <c r="CCJ30" s="101"/>
      <c r="CCK30" s="101"/>
      <c r="CCL30" s="101"/>
      <c r="CCM30" s="101"/>
      <c r="CCN30" s="101"/>
      <c r="CCO30" s="101"/>
      <c r="CCP30" s="101"/>
      <c r="CCQ30" s="101"/>
      <c r="CCR30" s="101"/>
      <c r="CCS30" s="101"/>
      <c r="CCT30" s="101"/>
      <c r="CCU30" s="101"/>
      <c r="CCV30" s="101"/>
      <c r="CCW30" s="101"/>
      <c r="CCX30" s="101"/>
      <c r="CCY30" s="101"/>
      <c r="CCZ30" s="101"/>
      <c r="CDA30" s="101"/>
      <c r="CDB30" s="101"/>
      <c r="CDC30" s="101"/>
      <c r="CDD30" s="101"/>
      <c r="CDE30" s="101"/>
      <c r="CDF30" s="101"/>
      <c r="CDG30" s="101"/>
      <c r="CDH30" s="101"/>
      <c r="CDI30" s="101"/>
      <c r="CDJ30" s="101"/>
      <c r="CDK30" s="101"/>
      <c r="CDL30" s="101"/>
      <c r="CDM30" s="101"/>
      <c r="CDN30" s="101"/>
      <c r="CDO30" s="101"/>
      <c r="CDP30" s="101"/>
      <c r="CDQ30" s="101"/>
      <c r="CDR30" s="101"/>
      <c r="CDS30" s="101"/>
      <c r="CDT30" s="101"/>
      <c r="CDU30" s="101"/>
      <c r="CDV30" s="101"/>
      <c r="CDW30" s="101"/>
      <c r="CDX30" s="101"/>
      <c r="CDY30" s="101"/>
      <c r="CDZ30" s="101"/>
      <c r="CEA30" s="101"/>
      <c r="CEB30" s="101"/>
      <c r="CEC30" s="101"/>
      <c r="CED30" s="101"/>
      <c r="CEE30" s="101"/>
      <c r="CEF30" s="101"/>
      <c r="CEG30" s="101"/>
      <c r="CEH30" s="101"/>
      <c r="CEI30" s="101"/>
      <c r="CEJ30" s="101"/>
      <c r="CEK30" s="101"/>
      <c r="CEL30" s="101"/>
      <c r="CEM30" s="101"/>
      <c r="CEN30" s="101"/>
      <c r="CEO30" s="101"/>
      <c r="CEP30" s="101"/>
      <c r="CEQ30" s="101"/>
      <c r="CER30" s="101"/>
      <c r="CES30" s="101"/>
      <c r="CET30" s="101"/>
      <c r="CEU30" s="101"/>
      <c r="CEV30" s="101"/>
      <c r="CEW30" s="101"/>
      <c r="CEX30" s="101"/>
      <c r="CEY30" s="101"/>
      <c r="CEZ30" s="101"/>
      <c r="CFA30" s="101"/>
      <c r="CFB30" s="101"/>
      <c r="CFC30" s="101"/>
      <c r="CFD30" s="101"/>
      <c r="CFE30" s="101"/>
      <c r="CFF30" s="101"/>
      <c r="CFG30" s="101"/>
      <c r="CFH30" s="101"/>
      <c r="CFI30" s="101"/>
      <c r="CFJ30" s="101"/>
      <c r="CFK30" s="101"/>
      <c r="CFL30" s="101"/>
      <c r="CFM30" s="101"/>
      <c r="CFN30" s="101"/>
      <c r="CFO30" s="101"/>
      <c r="CFP30" s="101"/>
      <c r="CFQ30" s="101"/>
      <c r="CFR30" s="101"/>
      <c r="CFS30" s="101"/>
      <c r="CFT30" s="101"/>
      <c r="CFU30" s="101"/>
      <c r="CFV30" s="101"/>
      <c r="CFW30" s="101"/>
      <c r="CFX30" s="101"/>
      <c r="CFY30" s="101"/>
      <c r="CFZ30" s="101"/>
      <c r="CGA30" s="101"/>
      <c r="CGB30" s="101"/>
      <c r="CGC30" s="101"/>
      <c r="CGD30" s="101"/>
      <c r="CGE30" s="101"/>
      <c r="CGF30" s="101"/>
      <c r="CGG30" s="101"/>
      <c r="CGH30" s="101"/>
      <c r="CGI30" s="101"/>
      <c r="CGJ30" s="101"/>
      <c r="CGK30" s="101"/>
      <c r="CGL30" s="101"/>
      <c r="CGM30" s="101"/>
      <c r="CGN30" s="101"/>
      <c r="CGO30" s="101"/>
      <c r="CGP30" s="101"/>
      <c r="CGQ30" s="101"/>
      <c r="CGR30" s="101"/>
      <c r="CGS30" s="101"/>
      <c r="CGT30" s="101"/>
      <c r="CGU30" s="101"/>
      <c r="CGV30" s="101"/>
      <c r="CGW30" s="101"/>
      <c r="CGX30" s="101"/>
      <c r="CGY30" s="101"/>
      <c r="CGZ30" s="101"/>
      <c r="CHA30" s="101"/>
      <c r="CHB30" s="101"/>
      <c r="CHC30" s="101"/>
      <c r="CHD30" s="101"/>
      <c r="CHE30" s="101"/>
      <c r="CHF30" s="101"/>
      <c r="CHG30" s="101"/>
      <c r="CHH30" s="101"/>
      <c r="CHI30" s="101"/>
      <c r="CHJ30" s="101"/>
      <c r="CHK30" s="101"/>
      <c r="CHL30" s="101"/>
      <c r="CHM30" s="101"/>
      <c r="CHN30" s="101"/>
      <c r="CHO30" s="101"/>
      <c r="CHP30" s="101"/>
      <c r="CHQ30" s="101"/>
      <c r="CHR30" s="101"/>
      <c r="CHS30" s="101"/>
      <c r="CHT30" s="101"/>
      <c r="CHU30" s="101"/>
      <c r="CHV30" s="101"/>
      <c r="CHW30" s="101"/>
      <c r="CHX30" s="101"/>
      <c r="CHY30" s="101"/>
      <c r="CHZ30" s="101"/>
      <c r="CIA30" s="101"/>
      <c r="CIB30" s="101"/>
      <c r="CIC30" s="101"/>
      <c r="CID30" s="101"/>
      <c r="CIE30" s="101"/>
      <c r="CIF30" s="101"/>
      <c r="CIG30" s="101"/>
      <c r="CIH30" s="101"/>
      <c r="CII30" s="101"/>
      <c r="CIJ30" s="101"/>
      <c r="CIK30" s="101"/>
      <c r="CIL30" s="101"/>
      <c r="CIM30" s="101"/>
      <c r="CIN30" s="101"/>
      <c r="CIO30" s="101"/>
      <c r="CIP30" s="101"/>
      <c r="CIQ30" s="101"/>
      <c r="CIR30" s="101"/>
      <c r="CIS30" s="101"/>
      <c r="CIT30" s="101"/>
      <c r="CIU30" s="101"/>
      <c r="CIV30" s="101"/>
      <c r="CIW30" s="101"/>
      <c r="CIX30" s="101"/>
      <c r="CIY30" s="101"/>
      <c r="CIZ30" s="101"/>
      <c r="CJA30" s="101"/>
      <c r="CJB30" s="101"/>
      <c r="CJC30" s="101"/>
      <c r="CJD30" s="101"/>
      <c r="CJE30" s="101"/>
      <c r="CJF30" s="101"/>
      <c r="CJG30" s="101"/>
      <c r="CJH30" s="101"/>
      <c r="CJI30" s="101"/>
      <c r="CJJ30" s="101"/>
      <c r="CJK30" s="101"/>
      <c r="CJL30" s="101"/>
      <c r="CJM30" s="101"/>
      <c r="CJN30" s="101"/>
      <c r="CJO30" s="101"/>
      <c r="CJP30" s="101"/>
      <c r="CJQ30" s="101"/>
      <c r="CJR30" s="101"/>
      <c r="CJS30" s="101"/>
      <c r="CJT30" s="101"/>
      <c r="CJU30" s="101"/>
      <c r="CJV30" s="101"/>
      <c r="CJW30" s="101"/>
      <c r="CJX30" s="101"/>
      <c r="CJY30" s="101"/>
      <c r="CJZ30" s="101"/>
      <c r="CKA30" s="101"/>
      <c r="CKB30" s="101"/>
      <c r="CKC30" s="101"/>
      <c r="CKD30" s="101"/>
      <c r="CKE30" s="101"/>
      <c r="CKF30" s="101"/>
      <c r="CKG30" s="101"/>
      <c r="CKH30" s="101"/>
      <c r="CKI30" s="101"/>
      <c r="CKJ30" s="101"/>
      <c r="CKK30" s="101"/>
      <c r="CKL30" s="101"/>
      <c r="CKM30" s="101"/>
      <c r="CKN30" s="101"/>
      <c r="CKO30" s="101"/>
      <c r="CKP30" s="101"/>
      <c r="CKQ30" s="101"/>
      <c r="CKR30" s="101"/>
      <c r="CKS30" s="101"/>
      <c r="CKT30" s="101"/>
      <c r="CKU30" s="101"/>
      <c r="CKV30" s="101"/>
      <c r="CKW30" s="101"/>
      <c r="CKX30" s="101"/>
      <c r="CKY30" s="101"/>
      <c r="CKZ30" s="101"/>
      <c r="CLA30" s="101"/>
      <c r="CLB30" s="101"/>
      <c r="CLC30" s="101"/>
      <c r="CLD30" s="101"/>
      <c r="CLE30" s="101"/>
      <c r="CLF30" s="101"/>
      <c r="CLG30" s="101"/>
      <c r="CLH30" s="101"/>
      <c r="CLI30" s="101"/>
      <c r="CLJ30" s="101"/>
      <c r="CLK30" s="101"/>
      <c r="CLL30" s="101"/>
      <c r="CLM30" s="101"/>
      <c r="CLN30" s="101"/>
      <c r="CLO30" s="101"/>
      <c r="CLP30" s="101"/>
      <c r="CLQ30" s="101"/>
      <c r="CLR30" s="101"/>
      <c r="CLS30" s="101"/>
      <c r="CLT30" s="101"/>
      <c r="CLU30" s="101"/>
      <c r="CLV30" s="101"/>
      <c r="CLW30" s="101"/>
      <c r="CLX30" s="101"/>
      <c r="CLY30" s="101"/>
      <c r="CLZ30" s="101"/>
      <c r="CMA30" s="101"/>
      <c r="CMB30" s="101"/>
      <c r="CMC30" s="101"/>
      <c r="CMD30" s="101"/>
      <c r="CME30" s="101"/>
      <c r="CMF30" s="101"/>
      <c r="CMG30" s="101"/>
      <c r="CMH30" s="101"/>
      <c r="CMI30" s="101"/>
      <c r="CMJ30" s="101"/>
      <c r="CMK30" s="101"/>
      <c r="CML30" s="101"/>
      <c r="CMM30" s="101"/>
      <c r="CMN30" s="101"/>
      <c r="CMO30" s="101"/>
      <c r="CMP30" s="101"/>
      <c r="CMQ30" s="101"/>
      <c r="CMR30" s="101"/>
      <c r="CMS30" s="101"/>
      <c r="CMT30" s="101"/>
      <c r="CMU30" s="101"/>
      <c r="CMV30" s="101"/>
      <c r="CMW30" s="101"/>
      <c r="CMX30" s="101"/>
      <c r="CMY30" s="101"/>
      <c r="CMZ30" s="101"/>
      <c r="CNA30" s="101"/>
      <c r="CNB30" s="101"/>
      <c r="CNC30" s="101"/>
      <c r="CND30" s="101"/>
      <c r="CNE30" s="101"/>
      <c r="CNF30" s="101"/>
      <c r="CNG30" s="101"/>
      <c r="CNH30" s="101"/>
      <c r="CNI30" s="101"/>
      <c r="CNJ30" s="101"/>
      <c r="CNK30" s="101"/>
      <c r="CNL30" s="101"/>
      <c r="CNM30" s="101"/>
      <c r="CNN30" s="101"/>
      <c r="CNO30" s="101"/>
      <c r="CNP30" s="101"/>
      <c r="CNQ30" s="101"/>
      <c r="CNR30" s="101"/>
      <c r="CNS30" s="101"/>
      <c r="CNT30" s="101"/>
      <c r="CNU30" s="101"/>
      <c r="CNV30" s="101"/>
      <c r="CNW30" s="101"/>
      <c r="CNX30" s="101"/>
      <c r="CNY30" s="101"/>
      <c r="CNZ30" s="101"/>
      <c r="COA30" s="101"/>
      <c r="COB30" s="101"/>
      <c r="COC30" s="101"/>
      <c r="COD30" s="101"/>
      <c r="COE30" s="101"/>
      <c r="COF30" s="101"/>
      <c r="COG30" s="101"/>
      <c r="COH30" s="101"/>
      <c r="COI30" s="101"/>
      <c r="COJ30" s="101"/>
      <c r="COK30" s="101"/>
      <c r="COL30" s="101"/>
      <c r="COM30" s="101"/>
      <c r="CON30" s="101"/>
      <c r="COO30" s="101"/>
      <c r="COP30" s="101"/>
      <c r="COQ30" s="101"/>
      <c r="COR30" s="101"/>
      <c r="COS30" s="101"/>
      <c r="COT30" s="101"/>
      <c r="COU30" s="101"/>
      <c r="COV30" s="101"/>
      <c r="COW30" s="101"/>
      <c r="COX30" s="101"/>
      <c r="COY30" s="101"/>
      <c r="COZ30" s="101"/>
      <c r="CPA30" s="101"/>
      <c r="CPB30" s="101"/>
      <c r="CPC30" s="101"/>
      <c r="CPD30" s="101"/>
      <c r="CPE30" s="101"/>
      <c r="CPF30" s="101"/>
      <c r="CPG30" s="101"/>
      <c r="CPH30" s="101"/>
      <c r="CPI30" s="101"/>
      <c r="CPJ30" s="101"/>
      <c r="CPK30" s="101"/>
      <c r="CPL30" s="101"/>
      <c r="CPM30" s="101"/>
      <c r="CPN30" s="101"/>
      <c r="CPO30" s="101"/>
      <c r="CPP30" s="101"/>
      <c r="CPQ30" s="101"/>
      <c r="CPR30" s="101"/>
      <c r="CPS30" s="101"/>
      <c r="CPT30" s="101"/>
      <c r="CPU30" s="101"/>
      <c r="CPV30" s="101"/>
      <c r="CPW30" s="101"/>
      <c r="CPX30" s="101"/>
      <c r="CPY30" s="101"/>
      <c r="CPZ30" s="101"/>
      <c r="CQA30" s="101"/>
      <c r="CQB30" s="101"/>
      <c r="CQC30" s="101"/>
      <c r="CQD30" s="101"/>
      <c r="CQE30" s="101"/>
      <c r="CQF30" s="101"/>
      <c r="CQG30" s="101"/>
      <c r="CQH30" s="101"/>
      <c r="CQI30" s="101"/>
      <c r="CQJ30" s="101"/>
      <c r="CQK30" s="101"/>
      <c r="CQL30" s="101"/>
      <c r="CQM30" s="101"/>
      <c r="CQN30" s="101"/>
      <c r="CQO30" s="101"/>
      <c r="CQP30" s="101"/>
      <c r="CQQ30" s="101"/>
      <c r="CQR30" s="101"/>
      <c r="CQS30" s="101"/>
      <c r="CQT30" s="101"/>
      <c r="CQU30" s="101"/>
      <c r="CQV30" s="101"/>
      <c r="CQW30" s="101"/>
      <c r="CQX30" s="101"/>
      <c r="CQY30" s="101"/>
      <c r="CQZ30" s="101"/>
      <c r="CRA30" s="101"/>
      <c r="CRB30" s="101"/>
      <c r="CRC30" s="101"/>
      <c r="CRD30" s="101"/>
      <c r="CRE30" s="101"/>
      <c r="CRF30" s="101"/>
      <c r="CRG30" s="101"/>
      <c r="CRH30" s="101"/>
      <c r="CRI30" s="101"/>
      <c r="CRJ30" s="101"/>
      <c r="CRK30" s="101"/>
      <c r="CRL30" s="101"/>
      <c r="CRM30" s="101"/>
      <c r="CRN30" s="101"/>
      <c r="CRO30" s="101"/>
      <c r="CRP30" s="101"/>
      <c r="CRQ30" s="101"/>
      <c r="CRR30" s="101"/>
      <c r="CRS30" s="101"/>
      <c r="CRT30" s="101"/>
      <c r="CRU30" s="101"/>
      <c r="CRV30" s="101"/>
      <c r="CRW30" s="101"/>
      <c r="CRX30" s="101"/>
      <c r="CRY30" s="101"/>
      <c r="CRZ30" s="101"/>
      <c r="CSA30" s="101"/>
      <c r="CSB30" s="101"/>
      <c r="CSC30" s="101"/>
      <c r="CSD30" s="101"/>
      <c r="CSE30" s="101"/>
      <c r="CSF30" s="101"/>
      <c r="CSG30" s="101"/>
      <c r="CSH30" s="101"/>
      <c r="CSI30" s="101"/>
      <c r="CSJ30" s="101"/>
      <c r="CSK30" s="101"/>
      <c r="CSL30" s="101"/>
      <c r="CSM30" s="101"/>
      <c r="CSN30" s="101"/>
      <c r="CSO30" s="101"/>
      <c r="CSP30" s="101"/>
      <c r="CSQ30" s="101"/>
      <c r="CSR30" s="101"/>
      <c r="CSS30" s="101"/>
      <c r="CST30" s="101"/>
      <c r="CSU30" s="101"/>
      <c r="CSV30" s="101"/>
      <c r="CSW30" s="101"/>
      <c r="CSX30" s="101"/>
      <c r="CSY30" s="101"/>
      <c r="CSZ30" s="101"/>
      <c r="CTA30" s="101"/>
      <c r="CTB30" s="101"/>
      <c r="CTC30" s="101"/>
      <c r="CTD30" s="101"/>
      <c r="CTE30" s="101"/>
      <c r="CTF30" s="101"/>
      <c r="CTG30" s="101"/>
      <c r="CTH30" s="101"/>
      <c r="CTI30" s="101"/>
      <c r="CTJ30" s="101"/>
      <c r="CTK30" s="101"/>
      <c r="CTL30" s="101"/>
      <c r="CTM30" s="101"/>
      <c r="CTN30" s="101"/>
      <c r="CTO30" s="101"/>
      <c r="CTP30" s="101"/>
      <c r="CTQ30" s="101"/>
      <c r="CTR30" s="101"/>
      <c r="CTS30" s="101"/>
      <c r="CTT30" s="101"/>
      <c r="CTU30" s="101"/>
      <c r="CTV30" s="101"/>
      <c r="CTW30" s="101"/>
      <c r="CTX30" s="101"/>
      <c r="CTY30" s="101"/>
      <c r="CTZ30" s="101"/>
      <c r="CUA30" s="101"/>
      <c r="CUB30" s="101"/>
      <c r="CUC30" s="101"/>
      <c r="CUD30" s="101"/>
      <c r="CUE30" s="101"/>
      <c r="CUF30" s="101"/>
      <c r="CUG30" s="101"/>
      <c r="CUH30" s="101"/>
      <c r="CUI30" s="101"/>
      <c r="CUJ30" s="101"/>
      <c r="CUK30" s="101"/>
      <c r="CUL30" s="101"/>
      <c r="CUM30" s="101"/>
      <c r="CUN30" s="101"/>
      <c r="CUO30" s="101"/>
      <c r="CUP30" s="101"/>
      <c r="CUQ30" s="101"/>
      <c r="CUR30" s="101"/>
      <c r="CUS30" s="101"/>
      <c r="CUT30" s="101"/>
      <c r="CUU30" s="101"/>
      <c r="CUV30" s="101"/>
      <c r="CUW30" s="101"/>
      <c r="CUX30" s="101"/>
      <c r="CUY30" s="101"/>
      <c r="CUZ30" s="101"/>
      <c r="CVA30" s="101"/>
      <c r="CVB30" s="101"/>
      <c r="CVC30" s="101"/>
      <c r="CVD30" s="101"/>
      <c r="CVE30" s="101"/>
      <c r="CVF30" s="101"/>
      <c r="CVG30" s="101"/>
      <c r="CVH30" s="101"/>
      <c r="CVI30" s="101"/>
      <c r="CVJ30" s="101"/>
      <c r="CVK30" s="101"/>
      <c r="CVL30" s="101"/>
      <c r="CVM30" s="101"/>
      <c r="CVN30" s="101"/>
      <c r="CVO30" s="101"/>
      <c r="CVP30" s="101"/>
      <c r="CVQ30" s="101"/>
      <c r="CVR30" s="101"/>
      <c r="CVS30" s="101"/>
      <c r="CVT30" s="101"/>
      <c r="CVU30" s="101"/>
      <c r="CVV30" s="101"/>
      <c r="CVW30" s="101"/>
      <c r="CVX30" s="101"/>
      <c r="CVY30" s="101"/>
      <c r="CVZ30" s="101"/>
      <c r="CWA30" s="101"/>
      <c r="CWB30" s="101"/>
      <c r="CWC30" s="101"/>
      <c r="CWD30" s="101"/>
      <c r="CWE30" s="101"/>
      <c r="CWF30" s="101"/>
      <c r="CWG30" s="101"/>
      <c r="CWH30" s="101"/>
      <c r="CWI30" s="101"/>
      <c r="CWJ30" s="101"/>
      <c r="CWK30" s="101"/>
      <c r="CWL30" s="101"/>
      <c r="CWM30" s="101"/>
      <c r="CWN30" s="101"/>
      <c r="CWO30" s="101"/>
      <c r="CWP30" s="101"/>
      <c r="CWQ30" s="101"/>
      <c r="CWR30" s="101"/>
      <c r="CWS30" s="101"/>
      <c r="CWT30" s="101"/>
      <c r="CWU30" s="101"/>
      <c r="CWV30" s="101"/>
      <c r="CWW30" s="101"/>
      <c r="CWX30" s="101"/>
      <c r="CWY30" s="101"/>
      <c r="CWZ30" s="101"/>
      <c r="CXA30" s="101"/>
      <c r="CXB30" s="101"/>
      <c r="CXC30" s="101"/>
      <c r="CXD30" s="101"/>
      <c r="CXE30" s="101"/>
      <c r="CXF30" s="101"/>
      <c r="CXG30" s="101"/>
      <c r="CXH30" s="101"/>
      <c r="CXI30" s="101"/>
      <c r="CXJ30" s="101"/>
      <c r="CXK30" s="101"/>
      <c r="CXL30" s="101"/>
      <c r="CXM30" s="101"/>
      <c r="CXN30" s="101"/>
      <c r="CXO30" s="101"/>
      <c r="CXP30" s="101"/>
      <c r="CXQ30" s="101"/>
      <c r="CXR30" s="101"/>
      <c r="CXS30" s="101"/>
      <c r="CXT30" s="101"/>
      <c r="CXU30" s="101"/>
      <c r="CXV30" s="101"/>
      <c r="CXW30" s="101"/>
      <c r="CXX30" s="101"/>
      <c r="CXY30" s="101"/>
      <c r="CXZ30" s="101"/>
      <c r="CYA30" s="101"/>
      <c r="CYB30" s="101"/>
      <c r="CYC30" s="101"/>
      <c r="CYD30" s="101"/>
      <c r="CYE30" s="101"/>
      <c r="CYF30" s="101"/>
      <c r="CYG30" s="101"/>
      <c r="CYH30" s="101"/>
      <c r="CYI30" s="101"/>
      <c r="CYJ30" s="101"/>
      <c r="CYK30" s="101"/>
      <c r="CYL30" s="101"/>
      <c r="CYM30" s="101"/>
      <c r="CYN30" s="101"/>
      <c r="CYO30" s="101"/>
      <c r="CYP30" s="101"/>
      <c r="CYQ30" s="101"/>
      <c r="CYR30" s="101"/>
      <c r="CYS30" s="101"/>
      <c r="CYT30" s="101"/>
      <c r="CYU30" s="101"/>
      <c r="CYV30" s="101"/>
      <c r="CYW30" s="101"/>
      <c r="CYX30" s="101"/>
      <c r="CYY30" s="101"/>
      <c r="CYZ30" s="101"/>
      <c r="CZA30" s="101"/>
      <c r="CZB30" s="101"/>
      <c r="CZC30" s="101"/>
      <c r="CZD30" s="101"/>
      <c r="CZE30" s="101"/>
      <c r="CZF30" s="101"/>
      <c r="CZG30" s="101"/>
      <c r="CZH30" s="101"/>
      <c r="CZI30" s="101"/>
      <c r="CZJ30" s="101"/>
      <c r="CZK30" s="101"/>
      <c r="CZL30" s="101"/>
      <c r="CZM30" s="101"/>
      <c r="CZN30" s="101"/>
      <c r="CZO30" s="101"/>
      <c r="CZP30" s="101"/>
      <c r="CZQ30" s="101"/>
      <c r="CZR30" s="101"/>
      <c r="CZS30" s="101"/>
      <c r="CZT30" s="101"/>
      <c r="CZU30" s="101"/>
      <c r="CZV30" s="101"/>
      <c r="CZW30" s="101"/>
      <c r="CZX30" s="101"/>
      <c r="CZY30" s="101"/>
      <c r="CZZ30" s="101"/>
      <c r="DAA30" s="101"/>
      <c r="DAB30" s="101"/>
      <c r="DAC30" s="101"/>
      <c r="DAD30" s="101"/>
      <c r="DAE30" s="101"/>
      <c r="DAF30" s="101"/>
      <c r="DAG30" s="101"/>
      <c r="DAH30" s="101"/>
      <c r="DAI30" s="101"/>
      <c r="DAJ30" s="101"/>
      <c r="DAK30" s="101"/>
      <c r="DAL30" s="101"/>
      <c r="DAM30" s="101"/>
      <c r="DAN30" s="101"/>
      <c r="DAO30" s="101"/>
      <c r="DAP30" s="101"/>
      <c r="DAQ30" s="101"/>
      <c r="DAR30" s="101"/>
      <c r="DAS30" s="101"/>
      <c r="DAT30" s="101"/>
      <c r="DAU30" s="101"/>
      <c r="DAV30" s="101"/>
      <c r="DAW30" s="101"/>
      <c r="DAX30" s="101"/>
      <c r="DAY30" s="101"/>
      <c r="DAZ30" s="101"/>
      <c r="DBA30" s="101"/>
      <c r="DBB30" s="101"/>
      <c r="DBC30" s="101"/>
      <c r="DBD30" s="101"/>
      <c r="DBE30" s="101"/>
      <c r="DBF30" s="101"/>
      <c r="DBG30" s="101"/>
      <c r="DBH30" s="101"/>
      <c r="DBI30" s="101"/>
      <c r="DBJ30" s="101"/>
      <c r="DBK30" s="101"/>
      <c r="DBL30" s="101"/>
      <c r="DBM30" s="101"/>
      <c r="DBN30" s="101"/>
      <c r="DBO30" s="101"/>
      <c r="DBP30" s="101"/>
      <c r="DBQ30" s="101"/>
      <c r="DBR30" s="101"/>
      <c r="DBS30" s="101"/>
      <c r="DBT30" s="101"/>
      <c r="DBU30" s="101"/>
      <c r="DBV30" s="101"/>
      <c r="DBW30" s="101"/>
      <c r="DBX30" s="101"/>
      <c r="DBY30" s="101"/>
      <c r="DBZ30" s="101"/>
      <c r="DCA30" s="101"/>
      <c r="DCB30" s="101"/>
      <c r="DCC30" s="101"/>
      <c r="DCD30" s="101"/>
      <c r="DCE30" s="101"/>
      <c r="DCF30" s="101"/>
      <c r="DCG30" s="101"/>
      <c r="DCH30" s="101"/>
      <c r="DCI30" s="101"/>
      <c r="DCJ30" s="101"/>
      <c r="DCK30" s="101"/>
      <c r="DCL30" s="101"/>
      <c r="DCM30" s="101"/>
      <c r="DCN30" s="101"/>
      <c r="DCO30" s="101"/>
      <c r="DCP30" s="101"/>
      <c r="DCQ30" s="101"/>
      <c r="DCR30" s="101"/>
      <c r="DCS30" s="101"/>
      <c r="DCT30" s="101"/>
      <c r="DCU30" s="101"/>
      <c r="DCV30" s="101"/>
      <c r="DCW30" s="101"/>
      <c r="DCX30" s="101"/>
      <c r="DCY30" s="101"/>
      <c r="DCZ30" s="101"/>
      <c r="DDA30" s="101"/>
      <c r="DDB30" s="101"/>
      <c r="DDC30" s="101"/>
      <c r="DDD30" s="101"/>
      <c r="DDE30" s="101"/>
      <c r="DDF30" s="101"/>
      <c r="DDG30" s="101"/>
      <c r="DDH30" s="101"/>
      <c r="DDI30" s="101"/>
      <c r="DDJ30" s="101"/>
      <c r="DDK30" s="101"/>
      <c r="DDL30" s="101"/>
      <c r="DDM30" s="101"/>
      <c r="DDN30" s="101"/>
      <c r="DDO30" s="101"/>
      <c r="DDP30" s="101"/>
      <c r="DDQ30" s="101"/>
      <c r="DDR30" s="101"/>
      <c r="DDS30" s="101"/>
      <c r="DDT30" s="101"/>
      <c r="DDU30" s="101"/>
      <c r="DDV30" s="101"/>
      <c r="DDW30" s="101"/>
      <c r="DDX30" s="101"/>
      <c r="DDY30" s="101"/>
      <c r="DDZ30" s="101"/>
      <c r="DEA30" s="101"/>
      <c r="DEB30" s="101"/>
      <c r="DEC30" s="101"/>
      <c r="DED30" s="101"/>
      <c r="DEE30" s="101"/>
      <c r="DEF30" s="101"/>
      <c r="DEG30" s="101"/>
      <c r="DEH30" s="101"/>
      <c r="DEI30" s="101"/>
      <c r="DEJ30" s="101"/>
      <c r="DEK30" s="101"/>
      <c r="DEL30" s="101"/>
      <c r="DEM30" s="101"/>
      <c r="DEN30" s="101"/>
      <c r="DEO30" s="101"/>
      <c r="DEP30" s="101"/>
      <c r="DEQ30" s="101"/>
      <c r="DER30" s="101"/>
      <c r="DES30" s="101"/>
      <c r="DET30" s="101"/>
      <c r="DEU30" s="101"/>
      <c r="DEV30" s="101"/>
      <c r="DEW30" s="101"/>
      <c r="DEX30" s="101"/>
      <c r="DEY30" s="101"/>
      <c r="DEZ30" s="101"/>
      <c r="DFA30" s="101"/>
      <c r="DFB30" s="101"/>
      <c r="DFC30" s="101"/>
      <c r="DFD30" s="101"/>
      <c r="DFE30" s="101"/>
      <c r="DFF30" s="101"/>
      <c r="DFG30" s="101"/>
      <c r="DFH30" s="101"/>
      <c r="DFI30" s="101"/>
      <c r="DFJ30" s="101"/>
      <c r="DFK30" s="101"/>
      <c r="DFL30" s="101"/>
      <c r="DFM30" s="101"/>
      <c r="DFN30" s="101"/>
      <c r="DFO30" s="101"/>
      <c r="DFP30" s="101"/>
      <c r="DFQ30" s="101"/>
      <c r="DFR30" s="101"/>
      <c r="DFS30" s="101"/>
      <c r="DFT30" s="101"/>
      <c r="DFU30" s="101"/>
      <c r="DFV30" s="101"/>
      <c r="DFW30" s="101"/>
      <c r="DFX30" s="101"/>
      <c r="DFY30" s="101"/>
      <c r="DFZ30" s="101"/>
      <c r="DGA30" s="101"/>
      <c r="DGB30" s="101"/>
      <c r="DGC30" s="101"/>
      <c r="DGD30" s="101"/>
      <c r="DGE30" s="101"/>
      <c r="DGF30" s="101"/>
      <c r="DGG30" s="101"/>
      <c r="DGH30" s="101"/>
      <c r="DGI30" s="101"/>
      <c r="DGJ30" s="101"/>
      <c r="DGK30" s="101"/>
      <c r="DGL30" s="101"/>
      <c r="DGM30" s="101"/>
      <c r="DGN30" s="101"/>
      <c r="DGO30" s="101"/>
      <c r="DGP30" s="101"/>
      <c r="DGQ30" s="101"/>
      <c r="DGR30" s="101"/>
      <c r="DGS30" s="101"/>
      <c r="DGT30" s="101"/>
      <c r="DGU30" s="101"/>
      <c r="DGV30" s="101"/>
      <c r="DGW30" s="101"/>
      <c r="DGX30" s="101"/>
      <c r="DGY30" s="101"/>
      <c r="DGZ30" s="101"/>
      <c r="DHA30" s="101"/>
      <c r="DHB30" s="101"/>
      <c r="DHC30" s="101"/>
      <c r="DHD30" s="101"/>
      <c r="DHE30" s="101"/>
      <c r="DHF30" s="101"/>
      <c r="DHG30" s="101"/>
      <c r="DHH30" s="101"/>
      <c r="DHI30" s="101"/>
      <c r="DHJ30" s="101"/>
      <c r="DHK30" s="101"/>
      <c r="DHL30" s="101"/>
      <c r="DHM30" s="101"/>
      <c r="DHN30" s="101"/>
      <c r="DHO30" s="101"/>
      <c r="DHP30" s="101"/>
      <c r="DHQ30" s="101"/>
      <c r="DHR30" s="101"/>
      <c r="DHS30" s="101"/>
      <c r="DHT30" s="101"/>
      <c r="DHU30" s="101"/>
      <c r="DHV30" s="101"/>
      <c r="DHW30" s="101"/>
      <c r="DHX30" s="101"/>
      <c r="DHY30" s="101"/>
      <c r="DHZ30" s="101"/>
      <c r="DIA30" s="101"/>
      <c r="DIB30" s="101"/>
      <c r="DIC30" s="101"/>
      <c r="DID30" s="101"/>
      <c r="DIE30" s="101"/>
      <c r="DIF30" s="101"/>
      <c r="DIG30" s="101"/>
      <c r="DIH30" s="101"/>
      <c r="DII30" s="101"/>
      <c r="DIJ30" s="101"/>
      <c r="DIK30" s="101"/>
      <c r="DIL30" s="101"/>
      <c r="DIM30" s="101"/>
      <c r="DIN30" s="101"/>
      <c r="DIO30" s="101"/>
      <c r="DIP30" s="101"/>
      <c r="DIQ30" s="101"/>
      <c r="DIR30" s="101"/>
      <c r="DIS30" s="101"/>
      <c r="DIT30" s="101"/>
      <c r="DIU30" s="101"/>
      <c r="DIV30" s="101"/>
      <c r="DIW30" s="101"/>
      <c r="DIX30" s="101"/>
      <c r="DIY30" s="101"/>
      <c r="DIZ30" s="101"/>
      <c r="DJA30" s="101"/>
      <c r="DJB30" s="101"/>
      <c r="DJC30" s="101"/>
      <c r="DJD30" s="101"/>
      <c r="DJE30" s="101"/>
      <c r="DJF30" s="101"/>
      <c r="DJG30" s="101"/>
      <c r="DJH30" s="101"/>
      <c r="DJI30" s="101"/>
      <c r="DJJ30" s="101"/>
      <c r="DJK30" s="101"/>
      <c r="DJL30" s="101"/>
      <c r="DJM30" s="101"/>
      <c r="DJN30" s="101"/>
      <c r="DJO30" s="101"/>
      <c r="DJP30" s="101"/>
      <c r="DJQ30" s="101"/>
      <c r="DJR30" s="101"/>
      <c r="DJS30" s="101"/>
      <c r="DJT30" s="101"/>
      <c r="DJU30" s="101"/>
      <c r="DJV30" s="101"/>
      <c r="DJW30" s="101"/>
      <c r="DJX30" s="101"/>
      <c r="DJY30" s="101"/>
      <c r="DJZ30" s="101"/>
      <c r="DKA30" s="101"/>
      <c r="DKB30" s="101"/>
      <c r="DKC30" s="101"/>
      <c r="DKD30" s="101"/>
      <c r="DKE30" s="101"/>
      <c r="DKF30" s="101"/>
      <c r="DKG30" s="101"/>
      <c r="DKH30" s="101"/>
      <c r="DKI30" s="101"/>
      <c r="DKJ30" s="101"/>
      <c r="DKK30" s="101"/>
      <c r="DKL30" s="101"/>
      <c r="DKM30" s="101"/>
      <c r="DKN30" s="101"/>
      <c r="DKO30" s="101"/>
      <c r="DKP30" s="101"/>
      <c r="DKQ30" s="101"/>
      <c r="DKR30" s="101"/>
      <c r="DKS30" s="101"/>
      <c r="DKT30" s="101"/>
      <c r="DKU30" s="101"/>
      <c r="DKV30" s="101"/>
      <c r="DKW30" s="101"/>
      <c r="DKX30" s="101"/>
      <c r="DKY30" s="101"/>
      <c r="DKZ30" s="101"/>
      <c r="DLA30" s="101"/>
      <c r="DLB30" s="101"/>
      <c r="DLC30" s="101"/>
      <c r="DLD30" s="101"/>
      <c r="DLE30" s="101"/>
      <c r="DLF30" s="101"/>
      <c r="DLG30" s="101"/>
      <c r="DLH30" s="101"/>
      <c r="DLI30" s="101"/>
      <c r="DLJ30" s="101"/>
      <c r="DLK30" s="101"/>
      <c r="DLL30" s="101"/>
      <c r="DLM30" s="101"/>
      <c r="DLN30" s="101"/>
      <c r="DLO30" s="101"/>
      <c r="DLP30" s="101"/>
      <c r="DLQ30" s="101"/>
      <c r="DLR30" s="101"/>
      <c r="DLS30" s="101"/>
      <c r="DLT30" s="101"/>
      <c r="DLU30" s="101"/>
      <c r="DLV30" s="101"/>
      <c r="DLW30" s="101"/>
      <c r="DLX30" s="101"/>
      <c r="DLY30" s="101"/>
      <c r="DLZ30" s="101"/>
      <c r="DMA30" s="101"/>
      <c r="DMB30" s="101"/>
      <c r="DMC30" s="101"/>
      <c r="DMD30" s="101"/>
      <c r="DME30" s="101"/>
      <c r="DMF30" s="101"/>
      <c r="DMG30" s="101"/>
      <c r="DMH30" s="101"/>
      <c r="DMI30" s="101"/>
      <c r="DMJ30" s="101"/>
      <c r="DMK30" s="101"/>
      <c r="DML30" s="101"/>
      <c r="DMM30" s="101"/>
      <c r="DMN30" s="101"/>
      <c r="DMO30" s="101"/>
      <c r="DMP30" s="101"/>
      <c r="DMQ30" s="101"/>
      <c r="DMR30" s="101"/>
      <c r="DMS30" s="101"/>
      <c r="DMT30" s="101"/>
      <c r="DMU30" s="101"/>
      <c r="DMV30" s="101"/>
      <c r="DMW30" s="101"/>
      <c r="DMX30" s="101"/>
      <c r="DMY30" s="101"/>
      <c r="DMZ30" s="101"/>
      <c r="DNA30" s="101"/>
      <c r="DNB30" s="101"/>
      <c r="DNC30" s="101"/>
      <c r="DND30" s="101"/>
      <c r="DNE30" s="101"/>
      <c r="DNF30" s="101"/>
      <c r="DNG30" s="101"/>
      <c r="DNH30" s="101"/>
      <c r="DNI30" s="101"/>
      <c r="DNJ30" s="101"/>
      <c r="DNK30" s="101"/>
      <c r="DNL30" s="101"/>
      <c r="DNM30" s="101"/>
      <c r="DNN30" s="101"/>
      <c r="DNO30" s="101"/>
      <c r="DNP30" s="101"/>
      <c r="DNQ30" s="101"/>
      <c r="DNR30" s="101"/>
      <c r="DNS30" s="101"/>
      <c r="DNT30" s="101"/>
      <c r="DNU30" s="101"/>
      <c r="DNV30" s="101"/>
      <c r="DNW30" s="101"/>
      <c r="DNX30" s="101"/>
      <c r="DNY30" s="101"/>
      <c r="DNZ30" s="101"/>
      <c r="DOA30" s="101"/>
      <c r="DOB30" s="101"/>
      <c r="DOC30" s="101"/>
      <c r="DOD30" s="101"/>
      <c r="DOE30" s="101"/>
      <c r="DOF30" s="101"/>
      <c r="DOG30" s="101"/>
      <c r="DOH30" s="101"/>
      <c r="DOI30" s="101"/>
      <c r="DOJ30" s="101"/>
      <c r="DOK30" s="101"/>
      <c r="DOL30" s="101"/>
      <c r="DOM30" s="101"/>
      <c r="DON30" s="101"/>
      <c r="DOO30" s="101"/>
      <c r="DOP30" s="101"/>
      <c r="DOQ30" s="101"/>
      <c r="DOR30" s="101"/>
      <c r="DOS30" s="101"/>
      <c r="DOT30" s="101"/>
      <c r="DOU30" s="101"/>
      <c r="DOV30" s="101"/>
      <c r="DOW30" s="101"/>
      <c r="DOX30" s="101"/>
      <c r="DOY30" s="101"/>
      <c r="DOZ30" s="101"/>
      <c r="DPA30" s="101"/>
      <c r="DPB30" s="101"/>
      <c r="DPC30" s="101"/>
      <c r="DPD30" s="101"/>
      <c r="DPE30" s="101"/>
      <c r="DPF30" s="101"/>
      <c r="DPG30" s="101"/>
      <c r="DPH30" s="101"/>
      <c r="DPI30" s="101"/>
      <c r="DPJ30" s="101"/>
      <c r="DPK30" s="101"/>
      <c r="DPL30" s="101"/>
      <c r="DPM30" s="101"/>
      <c r="DPN30" s="101"/>
      <c r="DPO30" s="101"/>
      <c r="DPP30" s="101"/>
      <c r="DPQ30" s="101"/>
      <c r="DPR30" s="101"/>
      <c r="DPS30" s="101"/>
      <c r="DPT30" s="101"/>
      <c r="DPU30" s="101"/>
      <c r="DPV30" s="101"/>
      <c r="DPW30" s="101"/>
      <c r="DPX30" s="101"/>
      <c r="DPY30" s="101"/>
      <c r="DPZ30" s="101"/>
      <c r="DQA30" s="101"/>
      <c r="DQB30" s="101"/>
      <c r="DQC30" s="101"/>
      <c r="DQD30" s="101"/>
      <c r="DQE30" s="101"/>
      <c r="DQF30" s="101"/>
      <c r="DQG30" s="101"/>
      <c r="DQH30" s="101"/>
      <c r="DQI30" s="101"/>
      <c r="DQJ30" s="101"/>
      <c r="DQK30" s="101"/>
      <c r="DQL30" s="101"/>
      <c r="DQM30" s="101"/>
      <c r="DQN30" s="101"/>
      <c r="DQO30" s="101"/>
      <c r="DQP30" s="101"/>
      <c r="DQQ30" s="101"/>
      <c r="DQR30" s="101"/>
      <c r="DQS30" s="101"/>
      <c r="DQT30" s="101"/>
      <c r="DQU30" s="101"/>
      <c r="DQV30" s="101"/>
      <c r="DQW30" s="101"/>
      <c r="DQX30" s="101"/>
      <c r="DQY30" s="101"/>
      <c r="DQZ30" s="101"/>
      <c r="DRA30" s="101"/>
      <c r="DRB30" s="101"/>
      <c r="DRC30" s="101"/>
      <c r="DRD30" s="101"/>
      <c r="DRE30" s="101"/>
      <c r="DRF30" s="101"/>
      <c r="DRG30" s="101"/>
      <c r="DRH30" s="101"/>
      <c r="DRI30" s="101"/>
      <c r="DRJ30" s="101"/>
      <c r="DRK30" s="101"/>
      <c r="DRL30" s="101"/>
      <c r="DRM30" s="101"/>
      <c r="DRN30" s="101"/>
      <c r="DRO30" s="101"/>
      <c r="DRP30" s="101"/>
      <c r="DRQ30" s="101"/>
      <c r="DRR30" s="101"/>
      <c r="DRS30" s="101"/>
      <c r="DRT30" s="101"/>
      <c r="DRU30" s="101"/>
      <c r="DRV30" s="101"/>
      <c r="DRW30" s="101"/>
      <c r="DRX30" s="101"/>
      <c r="DRY30" s="101"/>
      <c r="DRZ30" s="101"/>
      <c r="DSA30" s="101"/>
      <c r="DSB30" s="101"/>
      <c r="DSC30" s="101"/>
      <c r="DSD30" s="101"/>
      <c r="DSE30" s="101"/>
      <c r="DSF30" s="101"/>
      <c r="DSG30" s="101"/>
      <c r="DSH30" s="101"/>
      <c r="DSI30" s="101"/>
      <c r="DSJ30" s="101"/>
      <c r="DSK30" s="101"/>
      <c r="DSL30" s="101"/>
      <c r="DSM30" s="101"/>
      <c r="DSN30" s="101"/>
      <c r="DSO30" s="101"/>
      <c r="DSP30" s="101"/>
      <c r="DSQ30" s="101"/>
      <c r="DSR30" s="101"/>
      <c r="DSS30" s="101"/>
      <c r="DST30" s="101"/>
      <c r="DSU30" s="101"/>
      <c r="DSV30" s="101"/>
      <c r="DSW30" s="101"/>
      <c r="DSX30" s="101"/>
      <c r="DSY30" s="101"/>
      <c r="DSZ30" s="101"/>
      <c r="DTA30" s="101"/>
      <c r="DTB30" s="101"/>
      <c r="DTC30" s="101"/>
      <c r="DTD30" s="101"/>
      <c r="DTE30" s="101"/>
      <c r="DTF30" s="101"/>
      <c r="DTG30" s="101"/>
      <c r="DTH30" s="101"/>
      <c r="DTI30" s="101"/>
      <c r="DTJ30" s="101"/>
      <c r="DTK30" s="101"/>
      <c r="DTL30" s="101"/>
      <c r="DTM30" s="101"/>
      <c r="DTN30" s="101"/>
      <c r="DTO30" s="101"/>
      <c r="DTP30" s="101"/>
      <c r="DTQ30" s="101"/>
      <c r="DTR30" s="101"/>
      <c r="DTS30" s="101"/>
      <c r="DTT30" s="101"/>
      <c r="DTU30" s="101"/>
      <c r="DTV30" s="101"/>
      <c r="DTW30" s="101"/>
      <c r="DTX30" s="101"/>
      <c r="DTY30" s="101"/>
      <c r="DTZ30" s="101"/>
      <c r="DUA30" s="101"/>
      <c r="DUB30" s="101"/>
      <c r="DUC30" s="101"/>
      <c r="DUD30" s="101"/>
      <c r="DUE30" s="101"/>
      <c r="DUF30" s="101"/>
      <c r="DUG30" s="101"/>
      <c r="DUH30" s="101"/>
      <c r="DUI30" s="101"/>
      <c r="DUJ30" s="101"/>
      <c r="DUK30" s="101"/>
      <c r="DUL30" s="101"/>
      <c r="DUM30" s="101"/>
      <c r="DUN30" s="101"/>
      <c r="DUO30" s="101"/>
      <c r="DUP30" s="101"/>
      <c r="DUQ30" s="101"/>
      <c r="DUR30" s="101"/>
      <c r="DUS30" s="101"/>
      <c r="DUT30" s="101"/>
      <c r="DUU30" s="101"/>
      <c r="DUV30" s="101"/>
      <c r="DUW30" s="101"/>
      <c r="DUX30" s="101"/>
      <c r="DUY30" s="101"/>
      <c r="DUZ30" s="101"/>
      <c r="DVA30" s="101"/>
      <c r="DVB30" s="101"/>
      <c r="DVC30" s="101"/>
      <c r="DVD30" s="101"/>
      <c r="DVE30" s="101"/>
      <c r="DVF30" s="101"/>
      <c r="DVG30" s="101"/>
      <c r="DVH30" s="101"/>
      <c r="DVI30" s="101"/>
      <c r="DVJ30" s="101"/>
      <c r="DVK30" s="101"/>
      <c r="DVL30" s="101"/>
      <c r="DVM30" s="101"/>
      <c r="DVN30" s="101"/>
      <c r="DVO30" s="101"/>
      <c r="DVP30" s="101"/>
      <c r="DVQ30" s="101"/>
      <c r="DVR30" s="101"/>
      <c r="DVS30" s="101"/>
      <c r="DVT30" s="101"/>
      <c r="DVU30" s="101"/>
      <c r="DVV30" s="101"/>
      <c r="DVW30" s="101"/>
      <c r="DVX30" s="101"/>
      <c r="DVY30" s="101"/>
      <c r="DVZ30" s="101"/>
      <c r="DWA30" s="101"/>
      <c r="DWB30" s="101"/>
      <c r="DWC30" s="101"/>
      <c r="DWD30" s="101"/>
      <c r="DWE30" s="101"/>
      <c r="DWF30" s="101"/>
      <c r="DWG30" s="101"/>
      <c r="DWH30" s="101"/>
      <c r="DWI30" s="101"/>
      <c r="DWJ30" s="101"/>
      <c r="DWK30" s="101"/>
      <c r="DWL30" s="101"/>
      <c r="DWM30" s="101"/>
      <c r="DWN30" s="101"/>
      <c r="DWO30" s="101"/>
      <c r="DWP30" s="101"/>
      <c r="DWQ30" s="101"/>
      <c r="DWR30" s="101"/>
      <c r="DWS30" s="101"/>
      <c r="DWT30" s="101"/>
      <c r="DWU30" s="101"/>
      <c r="DWV30" s="101"/>
      <c r="DWW30" s="101"/>
      <c r="DWX30" s="101"/>
      <c r="DWY30" s="101"/>
      <c r="DWZ30" s="101"/>
      <c r="DXA30" s="101"/>
      <c r="DXB30" s="101"/>
      <c r="DXC30" s="101"/>
      <c r="DXD30" s="101"/>
      <c r="DXE30" s="101"/>
      <c r="DXF30" s="101"/>
      <c r="DXG30" s="101"/>
      <c r="DXH30" s="101"/>
      <c r="DXI30" s="101"/>
      <c r="DXJ30" s="101"/>
      <c r="DXK30" s="101"/>
      <c r="DXL30" s="101"/>
      <c r="DXM30" s="101"/>
      <c r="DXN30" s="101"/>
      <c r="DXO30" s="101"/>
      <c r="DXP30" s="101"/>
      <c r="DXQ30" s="101"/>
      <c r="DXR30" s="101"/>
      <c r="DXS30" s="101"/>
      <c r="DXT30" s="101"/>
      <c r="DXU30" s="101"/>
      <c r="DXV30" s="101"/>
      <c r="DXW30" s="101"/>
      <c r="DXX30" s="101"/>
      <c r="DXY30" s="101"/>
      <c r="DXZ30" s="101"/>
      <c r="DYA30" s="101"/>
      <c r="DYB30" s="101"/>
      <c r="DYC30" s="101"/>
      <c r="DYD30" s="101"/>
      <c r="DYE30" s="101"/>
      <c r="DYF30" s="101"/>
      <c r="DYG30" s="101"/>
      <c r="DYH30" s="101"/>
      <c r="DYI30" s="101"/>
      <c r="DYJ30" s="101"/>
      <c r="DYK30" s="101"/>
      <c r="DYL30" s="101"/>
      <c r="DYM30" s="101"/>
      <c r="DYN30" s="101"/>
      <c r="DYO30" s="101"/>
      <c r="DYP30" s="101"/>
      <c r="DYQ30" s="101"/>
      <c r="DYR30" s="101"/>
      <c r="DYS30" s="101"/>
      <c r="DYT30" s="101"/>
      <c r="DYU30" s="101"/>
      <c r="DYV30" s="101"/>
      <c r="DYW30" s="101"/>
      <c r="DYX30" s="101"/>
      <c r="DYY30" s="101"/>
      <c r="DYZ30" s="101"/>
      <c r="DZA30" s="101"/>
      <c r="DZB30" s="101"/>
      <c r="DZC30" s="101"/>
      <c r="DZD30" s="101"/>
      <c r="DZE30" s="101"/>
      <c r="DZF30" s="101"/>
      <c r="DZG30" s="101"/>
      <c r="DZH30" s="101"/>
      <c r="DZI30" s="101"/>
      <c r="DZJ30" s="101"/>
      <c r="DZK30" s="101"/>
      <c r="DZL30" s="101"/>
      <c r="DZM30" s="101"/>
      <c r="DZN30" s="101"/>
      <c r="DZO30" s="101"/>
      <c r="DZP30" s="101"/>
      <c r="DZQ30" s="101"/>
      <c r="DZR30" s="101"/>
      <c r="DZS30" s="101"/>
      <c r="DZT30" s="101"/>
      <c r="DZU30" s="101"/>
      <c r="DZV30" s="101"/>
      <c r="DZW30" s="101"/>
      <c r="DZX30" s="101"/>
      <c r="DZY30" s="101"/>
      <c r="DZZ30" s="101"/>
      <c r="EAA30" s="101"/>
      <c r="EAB30" s="101"/>
      <c r="EAC30" s="101"/>
      <c r="EAD30" s="101"/>
      <c r="EAE30" s="101"/>
      <c r="EAF30" s="101"/>
      <c r="EAG30" s="101"/>
      <c r="EAH30" s="101"/>
      <c r="EAI30" s="101"/>
      <c r="EAJ30" s="101"/>
      <c r="EAK30" s="101"/>
      <c r="EAL30" s="101"/>
      <c r="EAM30" s="101"/>
      <c r="EAN30" s="101"/>
      <c r="EAO30" s="101"/>
      <c r="EAP30" s="101"/>
      <c r="EAQ30" s="101"/>
      <c r="EAR30" s="101"/>
      <c r="EAS30" s="101"/>
      <c r="EAT30" s="101"/>
      <c r="EAU30" s="101"/>
      <c r="EAV30" s="101"/>
      <c r="EAW30" s="101"/>
      <c r="EAX30" s="101"/>
      <c r="EAY30" s="101"/>
      <c r="EAZ30" s="101"/>
      <c r="EBA30" s="101"/>
      <c r="EBB30" s="101"/>
      <c r="EBC30" s="101"/>
      <c r="EBD30" s="101"/>
      <c r="EBE30" s="101"/>
      <c r="EBF30" s="101"/>
      <c r="EBG30" s="101"/>
      <c r="EBH30" s="101"/>
      <c r="EBI30" s="101"/>
      <c r="EBJ30" s="101"/>
      <c r="EBK30" s="101"/>
      <c r="EBL30" s="101"/>
      <c r="EBM30" s="101"/>
      <c r="EBN30" s="101"/>
      <c r="EBO30" s="101"/>
      <c r="EBP30" s="101"/>
      <c r="EBQ30" s="101"/>
      <c r="EBR30" s="101"/>
      <c r="EBS30" s="101"/>
      <c r="EBT30" s="101"/>
      <c r="EBU30" s="101"/>
      <c r="EBV30" s="101"/>
      <c r="EBW30" s="101"/>
      <c r="EBX30" s="101"/>
      <c r="EBY30" s="101"/>
      <c r="EBZ30" s="101"/>
      <c r="ECA30" s="101"/>
      <c r="ECB30" s="101"/>
      <c r="ECC30" s="101"/>
      <c r="ECD30" s="101"/>
      <c r="ECE30" s="101"/>
      <c r="ECF30" s="101"/>
      <c r="ECG30" s="101"/>
      <c r="ECH30" s="101"/>
      <c r="ECI30" s="101"/>
      <c r="ECJ30" s="101"/>
      <c r="ECK30" s="101"/>
      <c r="ECL30" s="101"/>
      <c r="ECM30" s="101"/>
      <c r="ECN30" s="101"/>
      <c r="ECO30" s="101"/>
      <c r="ECP30" s="101"/>
      <c r="ECQ30" s="101"/>
      <c r="ECR30" s="101"/>
      <c r="ECS30" s="101"/>
      <c r="ECT30" s="101"/>
      <c r="ECU30" s="101"/>
      <c r="ECV30" s="101"/>
      <c r="ECW30" s="101"/>
      <c r="ECX30" s="101"/>
      <c r="ECY30" s="101"/>
      <c r="ECZ30" s="101"/>
      <c r="EDA30" s="101"/>
      <c r="EDB30" s="101"/>
      <c r="EDC30" s="101"/>
      <c r="EDD30" s="101"/>
      <c r="EDE30" s="101"/>
      <c r="EDF30" s="101"/>
      <c r="EDG30" s="101"/>
      <c r="EDH30" s="101"/>
      <c r="EDI30" s="101"/>
      <c r="EDJ30" s="101"/>
      <c r="EDK30" s="101"/>
      <c r="EDL30" s="101"/>
      <c r="EDM30" s="101"/>
      <c r="EDN30" s="101"/>
      <c r="EDO30" s="101"/>
      <c r="EDP30" s="101"/>
      <c r="EDQ30" s="101"/>
      <c r="EDR30" s="101"/>
      <c r="EDS30" s="101"/>
      <c r="EDT30" s="101"/>
      <c r="EDU30" s="101"/>
      <c r="EDV30" s="101"/>
      <c r="EDW30" s="101"/>
      <c r="EDX30" s="101"/>
      <c r="EDY30" s="101"/>
      <c r="EDZ30" s="101"/>
      <c r="EEA30" s="101"/>
      <c r="EEB30" s="101"/>
      <c r="EEC30" s="101"/>
      <c r="EED30" s="101"/>
      <c r="EEE30" s="101"/>
      <c r="EEF30" s="101"/>
      <c r="EEG30" s="101"/>
      <c r="EEH30" s="101"/>
      <c r="EEI30" s="101"/>
      <c r="EEJ30" s="101"/>
      <c r="EEK30" s="101"/>
      <c r="EEL30" s="101"/>
      <c r="EEM30" s="101"/>
      <c r="EEN30" s="101"/>
      <c r="EEO30" s="101"/>
      <c r="EEP30" s="101"/>
      <c r="EEQ30" s="101"/>
      <c r="EER30" s="101"/>
      <c r="EES30" s="101"/>
      <c r="EET30" s="101"/>
      <c r="EEU30" s="101"/>
      <c r="EEV30" s="101"/>
      <c r="EEW30" s="101"/>
      <c r="EEX30" s="101"/>
      <c r="EEY30" s="101"/>
      <c r="EEZ30" s="101"/>
      <c r="EFA30" s="101"/>
      <c r="EFB30" s="101"/>
      <c r="EFC30" s="101"/>
      <c r="EFD30" s="101"/>
      <c r="EFE30" s="101"/>
      <c r="EFF30" s="101"/>
      <c r="EFG30" s="101"/>
      <c r="EFH30" s="101"/>
      <c r="EFI30" s="101"/>
      <c r="EFJ30" s="101"/>
      <c r="EFK30" s="101"/>
      <c r="EFL30" s="101"/>
      <c r="EFM30" s="101"/>
      <c r="EFN30" s="101"/>
      <c r="EFO30" s="101"/>
      <c r="EFP30" s="101"/>
      <c r="EFQ30" s="101"/>
      <c r="EFR30" s="101"/>
      <c r="EFS30" s="101"/>
      <c r="EFT30" s="101"/>
      <c r="EFU30" s="101"/>
      <c r="EFV30" s="101"/>
      <c r="EFW30" s="101"/>
      <c r="EFX30" s="101"/>
      <c r="EFY30" s="101"/>
      <c r="EFZ30" s="101"/>
      <c r="EGA30" s="101"/>
      <c r="EGB30" s="101"/>
      <c r="EGC30" s="101"/>
      <c r="EGD30" s="101"/>
      <c r="EGE30" s="101"/>
      <c r="EGF30" s="101"/>
      <c r="EGG30" s="101"/>
      <c r="EGH30" s="101"/>
      <c r="EGI30" s="101"/>
      <c r="EGJ30" s="101"/>
      <c r="EGK30" s="101"/>
      <c r="EGL30" s="101"/>
      <c r="EGM30" s="101"/>
      <c r="EGN30" s="101"/>
      <c r="EGO30" s="101"/>
      <c r="EGP30" s="101"/>
      <c r="EGQ30" s="101"/>
      <c r="EGR30" s="101"/>
      <c r="EGS30" s="101"/>
      <c r="EGT30" s="101"/>
      <c r="EGU30" s="101"/>
      <c r="EGV30" s="101"/>
      <c r="EGW30" s="101"/>
      <c r="EGX30" s="101"/>
      <c r="EGY30" s="101"/>
      <c r="EGZ30" s="101"/>
      <c r="EHA30" s="101"/>
      <c r="EHB30" s="101"/>
      <c r="EHC30" s="101"/>
      <c r="EHD30" s="101"/>
      <c r="EHE30" s="101"/>
      <c r="EHF30" s="101"/>
      <c r="EHG30" s="101"/>
      <c r="EHH30" s="101"/>
      <c r="EHI30" s="101"/>
      <c r="EHJ30" s="101"/>
      <c r="EHK30" s="101"/>
      <c r="EHL30" s="101"/>
      <c r="EHM30" s="101"/>
      <c r="EHN30" s="101"/>
      <c r="EHO30" s="101"/>
      <c r="EHP30" s="101"/>
      <c r="EHQ30" s="101"/>
      <c r="EHR30" s="101"/>
      <c r="EHS30" s="101"/>
      <c r="EHT30" s="101"/>
      <c r="EHU30" s="101"/>
      <c r="EHV30" s="101"/>
      <c r="EHW30" s="101"/>
      <c r="EHX30" s="101"/>
      <c r="EHY30" s="101"/>
      <c r="EHZ30" s="101"/>
      <c r="EIA30" s="101"/>
      <c r="EIB30" s="101"/>
      <c r="EIC30" s="101"/>
      <c r="EID30" s="101"/>
      <c r="EIE30" s="101"/>
      <c r="EIF30" s="101"/>
      <c r="EIG30" s="101"/>
      <c r="EIH30" s="101"/>
      <c r="EII30" s="101"/>
      <c r="EIJ30" s="101"/>
      <c r="EIK30" s="101"/>
      <c r="EIL30" s="101"/>
      <c r="EIM30" s="101"/>
      <c r="EIN30" s="101"/>
      <c r="EIO30" s="101"/>
      <c r="EIP30" s="101"/>
      <c r="EIQ30" s="101"/>
      <c r="EIR30" s="101"/>
      <c r="EIS30" s="101"/>
      <c r="EIT30" s="101"/>
      <c r="EIU30" s="101"/>
      <c r="EIV30" s="101"/>
      <c r="EIW30" s="101"/>
      <c r="EIX30" s="101"/>
      <c r="EIY30" s="101"/>
      <c r="EIZ30" s="101"/>
      <c r="EJA30" s="101"/>
      <c r="EJB30" s="101"/>
      <c r="EJC30" s="101"/>
      <c r="EJD30" s="101"/>
      <c r="EJE30" s="101"/>
      <c r="EJF30" s="101"/>
      <c r="EJG30" s="101"/>
      <c r="EJH30" s="101"/>
      <c r="EJI30" s="101"/>
      <c r="EJJ30" s="101"/>
      <c r="EJK30" s="101"/>
      <c r="EJL30" s="101"/>
      <c r="EJM30" s="101"/>
      <c r="EJN30" s="101"/>
      <c r="EJO30" s="101"/>
      <c r="EJP30" s="101"/>
      <c r="EJQ30" s="101"/>
      <c r="EJR30" s="101"/>
      <c r="EJS30" s="101"/>
      <c r="EJT30" s="101"/>
      <c r="EJU30" s="101"/>
      <c r="EJV30" s="101"/>
      <c r="EJW30" s="101"/>
      <c r="EJX30" s="101"/>
      <c r="EJY30" s="101"/>
      <c r="EJZ30" s="101"/>
      <c r="EKA30" s="101"/>
      <c r="EKB30" s="101"/>
      <c r="EKC30" s="101"/>
      <c r="EKD30" s="101"/>
      <c r="EKE30" s="101"/>
      <c r="EKF30" s="101"/>
      <c r="EKG30" s="101"/>
      <c r="EKH30" s="101"/>
      <c r="EKI30" s="101"/>
      <c r="EKJ30" s="101"/>
      <c r="EKK30" s="101"/>
      <c r="EKL30" s="101"/>
      <c r="EKM30" s="101"/>
      <c r="EKN30" s="101"/>
      <c r="EKO30" s="101"/>
      <c r="EKP30" s="101"/>
      <c r="EKQ30" s="101"/>
      <c r="EKR30" s="101"/>
      <c r="EKS30" s="101"/>
      <c r="EKT30" s="101"/>
      <c r="EKU30" s="101"/>
      <c r="EKV30" s="101"/>
      <c r="EKW30" s="101"/>
      <c r="EKX30" s="101"/>
      <c r="EKY30" s="101"/>
      <c r="EKZ30" s="101"/>
      <c r="ELA30" s="101"/>
      <c r="ELB30" s="101"/>
      <c r="ELC30" s="101"/>
      <c r="ELD30" s="101"/>
      <c r="ELE30" s="101"/>
      <c r="ELF30" s="101"/>
      <c r="ELG30" s="101"/>
      <c r="ELH30" s="101"/>
      <c r="ELI30" s="101"/>
      <c r="ELJ30" s="101"/>
      <c r="ELK30" s="101"/>
      <c r="ELL30" s="101"/>
      <c r="ELM30" s="101"/>
      <c r="ELN30" s="101"/>
      <c r="ELO30" s="101"/>
      <c r="ELP30" s="101"/>
      <c r="ELQ30" s="101"/>
      <c r="ELR30" s="101"/>
      <c r="ELS30" s="101"/>
      <c r="ELT30" s="101"/>
      <c r="ELU30" s="101"/>
      <c r="ELV30" s="101"/>
      <c r="ELW30" s="101"/>
      <c r="ELX30" s="101"/>
      <c r="ELY30" s="101"/>
      <c r="ELZ30" s="101"/>
      <c r="EMA30" s="101"/>
      <c r="EMB30" s="101"/>
      <c r="EMC30" s="101"/>
      <c r="EMD30" s="101"/>
      <c r="EME30" s="101"/>
      <c r="EMF30" s="101"/>
      <c r="EMG30" s="101"/>
      <c r="EMH30" s="101"/>
      <c r="EMI30" s="101"/>
      <c r="EMJ30" s="101"/>
      <c r="EMK30" s="101"/>
      <c r="EML30" s="101"/>
      <c r="EMM30" s="101"/>
      <c r="EMN30" s="101"/>
      <c r="EMO30" s="101"/>
      <c r="EMP30" s="101"/>
      <c r="EMQ30" s="101"/>
      <c r="EMR30" s="101"/>
      <c r="EMS30" s="101"/>
      <c r="EMT30" s="101"/>
      <c r="EMU30" s="101"/>
      <c r="EMV30" s="101"/>
      <c r="EMW30" s="101"/>
      <c r="EMX30" s="101"/>
      <c r="EMY30" s="101"/>
      <c r="EMZ30" s="101"/>
      <c r="ENA30" s="101"/>
      <c r="ENB30" s="101"/>
      <c r="ENC30" s="101"/>
      <c r="END30" s="101"/>
      <c r="ENE30" s="101"/>
      <c r="ENF30" s="101"/>
      <c r="ENG30" s="101"/>
      <c r="ENH30" s="101"/>
      <c r="ENI30" s="101"/>
      <c r="ENJ30" s="101"/>
      <c r="ENK30" s="101"/>
      <c r="ENL30" s="101"/>
      <c r="ENM30" s="101"/>
      <c r="ENN30" s="101"/>
      <c r="ENO30" s="101"/>
      <c r="ENP30" s="101"/>
      <c r="ENQ30" s="101"/>
      <c r="ENR30" s="101"/>
      <c r="ENS30" s="101"/>
      <c r="ENT30" s="101"/>
      <c r="ENU30" s="101"/>
      <c r="ENV30" s="101"/>
      <c r="ENW30" s="101"/>
      <c r="ENX30" s="101"/>
      <c r="ENY30" s="101"/>
      <c r="ENZ30" s="101"/>
      <c r="EOA30" s="101"/>
      <c r="EOB30" s="101"/>
      <c r="EOC30" s="101"/>
      <c r="EOD30" s="101"/>
      <c r="EOE30" s="101"/>
      <c r="EOF30" s="101"/>
      <c r="EOG30" s="101"/>
      <c r="EOH30" s="101"/>
      <c r="EOI30" s="101"/>
      <c r="EOJ30" s="101"/>
      <c r="EOK30" s="101"/>
      <c r="EOL30" s="101"/>
      <c r="EOM30" s="101"/>
      <c r="EON30" s="101"/>
      <c r="EOO30" s="101"/>
      <c r="EOP30" s="101"/>
      <c r="EOQ30" s="101"/>
      <c r="EOR30" s="101"/>
      <c r="EOS30" s="101"/>
      <c r="EOT30" s="101"/>
      <c r="EOU30" s="101"/>
      <c r="EOV30" s="101"/>
      <c r="EOW30" s="101"/>
      <c r="EOX30" s="101"/>
      <c r="EOY30" s="101"/>
      <c r="EOZ30" s="101"/>
      <c r="EPA30" s="101"/>
      <c r="EPB30" s="101"/>
      <c r="EPC30" s="101"/>
      <c r="EPD30" s="101"/>
      <c r="EPE30" s="101"/>
      <c r="EPF30" s="101"/>
      <c r="EPG30" s="101"/>
      <c r="EPH30" s="101"/>
      <c r="EPI30" s="101"/>
      <c r="EPJ30" s="101"/>
      <c r="EPK30" s="101"/>
      <c r="EPL30" s="101"/>
      <c r="EPM30" s="101"/>
      <c r="EPN30" s="101"/>
      <c r="EPO30" s="101"/>
      <c r="EPP30" s="101"/>
      <c r="EPQ30" s="101"/>
      <c r="EPR30" s="101"/>
      <c r="EPS30" s="101"/>
      <c r="EPT30" s="101"/>
      <c r="EPU30" s="101"/>
      <c r="EPV30" s="101"/>
      <c r="EPW30" s="101"/>
      <c r="EPX30" s="101"/>
      <c r="EPY30" s="101"/>
      <c r="EPZ30" s="101"/>
      <c r="EQA30" s="101"/>
      <c r="EQB30" s="101"/>
      <c r="EQC30" s="101"/>
      <c r="EQD30" s="101"/>
      <c r="EQE30" s="101"/>
      <c r="EQF30" s="101"/>
      <c r="EQG30" s="101"/>
      <c r="EQH30" s="101"/>
      <c r="EQI30" s="101"/>
      <c r="EQJ30" s="101"/>
      <c r="EQK30" s="101"/>
      <c r="EQL30" s="101"/>
      <c r="EQM30" s="101"/>
      <c r="EQN30" s="101"/>
      <c r="EQO30" s="101"/>
      <c r="EQP30" s="101"/>
      <c r="EQQ30" s="101"/>
      <c r="EQR30" s="101"/>
      <c r="EQS30" s="101"/>
      <c r="EQT30" s="101"/>
      <c r="EQU30" s="101"/>
      <c r="EQV30" s="101"/>
      <c r="EQW30" s="101"/>
      <c r="EQX30" s="101"/>
      <c r="EQY30" s="101"/>
      <c r="EQZ30" s="101"/>
      <c r="ERA30" s="101"/>
      <c r="ERB30" s="101"/>
      <c r="ERC30" s="101"/>
      <c r="ERD30" s="101"/>
      <c r="ERE30" s="101"/>
      <c r="ERF30" s="101"/>
      <c r="ERG30" s="101"/>
      <c r="ERH30" s="101"/>
      <c r="ERI30" s="101"/>
      <c r="ERJ30" s="101"/>
      <c r="ERK30" s="101"/>
      <c r="ERL30" s="101"/>
      <c r="ERM30" s="101"/>
      <c r="ERN30" s="101"/>
      <c r="ERO30" s="101"/>
      <c r="ERP30" s="101"/>
      <c r="ERQ30" s="101"/>
      <c r="ERR30" s="101"/>
      <c r="ERS30" s="101"/>
      <c r="ERT30" s="101"/>
      <c r="ERU30" s="101"/>
      <c r="ERV30" s="101"/>
      <c r="ERW30" s="101"/>
      <c r="ERX30" s="101"/>
      <c r="ERY30" s="101"/>
      <c r="ERZ30" s="101"/>
      <c r="ESA30" s="101"/>
      <c r="ESB30" s="101"/>
      <c r="ESC30" s="101"/>
      <c r="ESD30" s="101"/>
      <c r="ESE30" s="101"/>
      <c r="ESF30" s="101"/>
      <c r="ESG30" s="101"/>
      <c r="ESH30" s="101"/>
      <c r="ESI30" s="101"/>
      <c r="ESJ30" s="101"/>
      <c r="ESK30" s="101"/>
      <c r="ESL30" s="101"/>
      <c r="ESM30" s="101"/>
      <c r="ESN30" s="101"/>
      <c r="ESO30" s="101"/>
      <c r="ESP30" s="101"/>
      <c r="ESQ30" s="101"/>
      <c r="ESR30" s="101"/>
      <c r="ESS30" s="101"/>
      <c r="EST30" s="101"/>
      <c r="ESU30" s="101"/>
      <c r="ESV30" s="101"/>
      <c r="ESW30" s="101"/>
      <c r="ESX30" s="101"/>
      <c r="ESY30" s="101"/>
      <c r="ESZ30" s="101"/>
      <c r="ETA30" s="101"/>
      <c r="ETB30" s="101"/>
      <c r="ETC30" s="101"/>
      <c r="ETD30" s="101"/>
      <c r="ETE30" s="101"/>
      <c r="ETF30" s="101"/>
      <c r="ETG30" s="101"/>
      <c r="ETH30" s="101"/>
      <c r="ETI30" s="101"/>
      <c r="ETJ30" s="101"/>
      <c r="ETK30" s="101"/>
      <c r="ETL30" s="101"/>
      <c r="ETM30" s="101"/>
      <c r="ETN30" s="101"/>
      <c r="ETO30" s="101"/>
      <c r="ETP30" s="101"/>
      <c r="ETQ30" s="101"/>
      <c r="ETR30" s="101"/>
      <c r="ETS30" s="101"/>
      <c r="ETT30" s="101"/>
      <c r="ETU30" s="101"/>
      <c r="ETV30" s="101"/>
      <c r="ETW30" s="101"/>
      <c r="ETX30" s="101"/>
      <c r="ETY30" s="101"/>
      <c r="ETZ30" s="101"/>
      <c r="EUA30" s="101"/>
      <c r="EUB30" s="101"/>
      <c r="EUC30" s="101"/>
      <c r="EUD30" s="101"/>
      <c r="EUE30" s="101"/>
      <c r="EUF30" s="101"/>
      <c r="EUG30" s="101"/>
      <c r="EUH30" s="101"/>
      <c r="EUI30" s="101"/>
      <c r="EUJ30" s="101"/>
      <c r="EUK30" s="101"/>
      <c r="EUL30" s="101"/>
      <c r="EUM30" s="101"/>
      <c r="EUN30" s="101"/>
      <c r="EUO30" s="101"/>
      <c r="EUP30" s="101"/>
      <c r="EUQ30" s="101"/>
      <c r="EUR30" s="101"/>
      <c r="EUS30" s="101"/>
      <c r="EUT30" s="101"/>
      <c r="EUU30" s="101"/>
      <c r="EUV30" s="101"/>
      <c r="EUW30" s="101"/>
      <c r="EUX30" s="101"/>
      <c r="EUY30" s="101"/>
      <c r="EUZ30" s="101"/>
      <c r="EVA30" s="101"/>
      <c r="EVB30" s="101"/>
      <c r="EVC30" s="101"/>
      <c r="EVD30" s="101"/>
      <c r="EVE30" s="101"/>
      <c r="EVF30" s="101"/>
      <c r="EVG30" s="101"/>
      <c r="EVH30" s="101"/>
      <c r="EVI30" s="101"/>
      <c r="EVJ30" s="101"/>
      <c r="EVK30" s="101"/>
      <c r="EVL30" s="101"/>
      <c r="EVM30" s="101"/>
      <c r="EVN30" s="101"/>
      <c r="EVO30" s="101"/>
      <c r="EVP30" s="101"/>
      <c r="EVQ30" s="101"/>
      <c r="EVR30" s="101"/>
      <c r="EVS30" s="101"/>
      <c r="EVT30" s="101"/>
      <c r="EVU30" s="101"/>
      <c r="EVV30" s="101"/>
      <c r="EVW30" s="101"/>
      <c r="EVX30" s="101"/>
      <c r="EVY30" s="101"/>
      <c r="EVZ30" s="101"/>
      <c r="EWA30" s="101"/>
      <c r="EWB30" s="101"/>
      <c r="EWC30" s="101"/>
      <c r="EWD30" s="101"/>
      <c r="EWE30" s="101"/>
      <c r="EWF30" s="101"/>
      <c r="EWG30" s="101"/>
      <c r="EWH30" s="101"/>
      <c r="EWI30" s="101"/>
      <c r="EWJ30" s="101"/>
      <c r="EWK30" s="101"/>
      <c r="EWL30" s="101"/>
      <c r="EWM30" s="101"/>
      <c r="EWN30" s="101"/>
      <c r="EWO30" s="101"/>
      <c r="EWP30" s="101"/>
      <c r="EWQ30" s="101"/>
      <c r="EWR30" s="101"/>
      <c r="EWS30" s="101"/>
      <c r="EWT30" s="101"/>
      <c r="EWU30" s="101"/>
      <c r="EWV30" s="101"/>
      <c r="EWW30" s="101"/>
      <c r="EWX30" s="101"/>
      <c r="EWY30" s="101"/>
      <c r="EWZ30" s="101"/>
      <c r="EXA30" s="101"/>
      <c r="EXB30" s="101"/>
      <c r="EXC30" s="101"/>
      <c r="EXD30" s="101"/>
      <c r="EXE30" s="101"/>
      <c r="EXF30" s="101"/>
      <c r="EXG30" s="101"/>
      <c r="EXH30" s="101"/>
      <c r="EXI30" s="101"/>
      <c r="EXJ30" s="101"/>
      <c r="EXK30" s="101"/>
      <c r="EXL30" s="101"/>
      <c r="EXM30" s="101"/>
      <c r="EXN30" s="101"/>
      <c r="EXO30" s="101"/>
      <c r="EXP30" s="101"/>
      <c r="EXQ30" s="101"/>
      <c r="EXR30" s="101"/>
      <c r="EXS30" s="101"/>
      <c r="EXT30" s="101"/>
      <c r="EXU30" s="101"/>
      <c r="EXV30" s="101"/>
      <c r="EXW30" s="101"/>
      <c r="EXX30" s="101"/>
      <c r="EXY30" s="101"/>
      <c r="EXZ30" s="101"/>
      <c r="EYA30" s="101"/>
      <c r="EYB30" s="101"/>
      <c r="EYC30" s="101"/>
      <c r="EYD30" s="101"/>
      <c r="EYE30" s="101"/>
      <c r="EYF30" s="101"/>
      <c r="EYG30" s="101"/>
      <c r="EYH30" s="101"/>
      <c r="EYI30" s="101"/>
      <c r="EYJ30" s="101"/>
      <c r="EYK30" s="101"/>
      <c r="EYL30" s="101"/>
      <c r="EYM30" s="101"/>
      <c r="EYN30" s="101"/>
      <c r="EYO30" s="101"/>
      <c r="EYP30" s="101"/>
      <c r="EYQ30" s="101"/>
      <c r="EYR30" s="101"/>
      <c r="EYS30" s="101"/>
      <c r="EYT30" s="101"/>
      <c r="EYU30" s="101"/>
      <c r="EYV30" s="101"/>
      <c r="EYW30" s="101"/>
      <c r="EYX30" s="101"/>
      <c r="EYY30" s="101"/>
      <c r="EYZ30" s="101"/>
      <c r="EZA30" s="101"/>
      <c r="EZB30" s="101"/>
      <c r="EZC30" s="101"/>
      <c r="EZD30" s="101"/>
      <c r="EZE30" s="101"/>
      <c r="EZF30" s="101"/>
      <c r="EZG30" s="101"/>
      <c r="EZH30" s="101"/>
      <c r="EZI30" s="101"/>
      <c r="EZJ30" s="101"/>
      <c r="EZK30" s="101"/>
      <c r="EZL30" s="101"/>
      <c r="EZM30" s="101"/>
      <c r="EZN30" s="101"/>
      <c r="EZO30" s="101"/>
      <c r="EZP30" s="101"/>
      <c r="EZQ30" s="101"/>
      <c r="EZR30" s="101"/>
      <c r="EZS30" s="101"/>
      <c r="EZT30" s="101"/>
      <c r="EZU30" s="101"/>
      <c r="EZV30" s="101"/>
      <c r="EZW30" s="101"/>
      <c r="EZX30" s="101"/>
      <c r="EZY30" s="101"/>
      <c r="EZZ30" s="101"/>
      <c r="FAA30" s="101"/>
      <c r="FAB30" s="101"/>
      <c r="FAC30" s="101"/>
      <c r="FAD30" s="101"/>
      <c r="FAE30" s="101"/>
      <c r="FAF30" s="101"/>
      <c r="FAG30" s="101"/>
      <c r="FAH30" s="101"/>
      <c r="FAI30" s="101"/>
      <c r="FAJ30" s="101"/>
      <c r="FAK30" s="101"/>
      <c r="FAL30" s="101"/>
      <c r="FAM30" s="101"/>
      <c r="FAN30" s="101"/>
      <c r="FAO30" s="101"/>
      <c r="FAP30" s="101"/>
      <c r="FAQ30" s="101"/>
      <c r="FAR30" s="101"/>
      <c r="FAS30" s="101"/>
      <c r="FAT30" s="101"/>
      <c r="FAU30" s="101"/>
      <c r="FAV30" s="101"/>
      <c r="FAW30" s="101"/>
      <c r="FAX30" s="101"/>
      <c r="FAY30" s="101"/>
      <c r="FAZ30" s="101"/>
      <c r="FBA30" s="101"/>
      <c r="FBB30" s="101"/>
      <c r="FBC30" s="101"/>
      <c r="FBD30" s="101"/>
      <c r="FBE30" s="101"/>
      <c r="FBF30" s="101"/>
      <c r="FBG30" s="101"/>
      <c r="FBH30" s="101"/>
      <c r="FBI30" s="101"/>
      <c r="FBJ30" s="101"/>
      <c r="FBK30" s="101"/>
      <c r="FBL30" s="101"/>
      <c r="FBM30" s="101"/>
      <c r="FBN30" s="101"/>
      <c r="FBO30" s="101"/>
      <c r="FBP30" s="101"/>
      <c r="FBQ30" s="101"/>
      <c r="FBR30" s="101"/>
      <c r="FBS30" s="101"/>
      <c r="FBT30" s="101"/>
      <c r="FBU30" s="101"/>
      <c r="FBV30" s="101"/>
      <c r="FBW30" s="101"/>
      <c r="FBX30" s="101"/>
      <c r="FBY30" s="101"/>
      <c r="FBZ30" s="101"/>
      <c r="FCA30" s="101"/>
      <c r="FCB30" s="101"/>
      <c r="FCC30" s="101"/>
      <c r="FCD30" s="101"/>
      <c r="FCE30" s="101"/>
      <c r="FCF30" s="101"/>
      <c r="FCG30" s="101"/>
      <c r="FCH30" s="101"/>
      <c r="FCI30" s="101"/>
      <c r="FCJ30" s="101"/>
      <c r="FCK30" s="101"/>
      <c r="FCL30" s="101"/>
      <c r="FCM30" s="101"/>
      <c r="FCN30" s="101"/>
      <c r="FCO30" s="101"/>
      <c r="FCP30" s="101"/>
      <c r="FCQ30" s="101"/>
      <c r="FCR30" s="101"/>
      <c r="FCS30" s="101"/>
      <c r="FCT30" s="101"/>
      <c r="FCU30" s="101"/>
      <c r="FCV30" s="101"/>
      <c r="FCW30" s="101"/>
      <c r="FCX30" s="101"/>
      <c r="FCY30" s="101"/>
      <c r="FCZ30" s="101"/>
      <c r="FDA30" s="101"/>
      <c r="FDB30" s="101"/>
      <c r="FDC30" s="101"/>
      <c r="FDD30" s="101"/>
      <c r="FDE30" s="101"/>
      <c r="FDF30" s="101"/>
      <c r="FDG30" s="101"/>
      <c r="FDH30" s="101"/>
      <c r="FDI30" s="101"/>
      <c r="FDJ30" s="101"/>
      <c r="FDK30" s="101"/>
      <c r="FDL30" s="101"/>
      <c r="FDM30" s="101"/>
      <c r="FDN30" s="101"/>
      <c r="FDO30" s="101"/>
      <c r="FDP30" s="101"/>
      <c r="FDQ30" s="101"/>
      <c r="FDR30" s="101"/>
      <c r="FDS30" s="101"/>
      <c r="FDT30" s="101"/>
      <c r="FDU30" s="101"/>
      <c r="FDV30" s="101"/>
      <c r="FDW30" s="101"/>
      <c r="FDX30" s="101"/>
      <c r="FDY30" s="101"/>
      <c r="FDZ30" s="101"/>
      <c r="FEA30" s="101"/>
      <c r="FEB30" s="101"/>
      <c r="FEC30" s="101"/>
      <c r="FED30" s="101"/>
      <c r="FEE30" s="101"/>
      <c r="FEF30" s="101"/>
      <c r="FEG30" s="101"/>
      <c r="FEH30" s="101"/>
      <c r="FEI30" s="101"/>
      <c r="FEJ30" s="101"/>
      <c r="FEK30" s="101"/>
      <c r="FEL30" s="101"/>
      <c r="FEM30" s="101"/>
      <c r="FEN30" s="101"/>
      <c r="FEO30" s="101"/>
      <c r="FEP30" s="101"/>
      <c r="FEQ30" s="101"/>
      <c r="FER30" s="101"/>
      <c r="FES30" s="101"/>
      <c r="FET30" s="101"/>
      <c r="FEU30" s="101"/>
      <c r="FEV30" s="101"/>
      <c r="FEW30" s="101"/>
      <c r="FEX30" s="101"/>
      <c r="FEY30" s="101"/>
      <c r="FEZ30" s="101"/>
      <c r="FFA30" s="101"/>
      <c r="FFB30" s="101"/>
      <c r="FFC30" s="101"/>
      <c r="FFD30" s="101"/>
      <c r="FFE30" s="101"/>
      <c r="FFF30" s="101"/>
      <c r="FFG30" s="101"/>
      <c r="FFH30" s="101"/>
      <c r="FFI30" s="101"/>
      <c r="FFJ30" s="101"/>
      <c r="FFK30" s="101"/>
      <c r="FFL30" s="101"/>
      <c r="FFM30" s="101"/>
      <c r="FFN30" s="101"/>
      <c r="FFO30" s="101"/>
      <c r="FFP30" s="101"/>
      <c r="FFQ30" s="101"/>
      <c r="FFR30" s="101"/>
      <c r="FFS30" s="101"/>
      <c r="FFT30" s="101"/>
      <c r="FFU30" s="101"/>
      <c r="FFV30" s="101"/>
      <c r="FFW30" s="101"/>
      <c r="FFX30" s="101"/>
      <c r="FFY30" s="101"/>
      <c r="FFZ30" s="101"/>
      <c r="FGA30" s="101"/>
      <c r="FGB30" s="101"/>
      <c r="FGC30" s="101"/>
      <c r="FGD30" s="101"/>
      <c r="FGE30" s="101"/>
      <c r="FGF30" s="101"/>
      <c r="FGG30" s="101"/>
      <c r="FGH30" s="101"/>
      <c r="FGI30" s="101"/>
      <c r="FGJ30" s="101"/>
      <c r="FGK30" s="101"/>
      <c r="FGL30" s="101"/>
      <c r="FGM30" s="101"/>
      <c r="FGN30" s="101"/>
      <c r="FGO30" s="101"/>
      <c r="FGP30" s="101"/>
      <c r="FGQ30" s="101"/>
      <c r="FGR30" s="101"/>
      <c r="FGS30" s="101"/>
      <c r="FGT30" s="101"/>
      <c r="FGU30" s="101"/>
      <c r="FGV30" s="101"/>
      <c r="FGW30" s="101"/>
      <c r="FGX30" s="101"/>
      <c r="FGY30" s="101"/>
      <c r="FGZ30" s="101"/>
      <c r="FHA30" s="101"/>
      <c r="FHB30" s="101"/>
      <c r="FHC30" s="101"/>
      <c r="FHD30" s="101"/>
      <c r="FHE30" s="101"/>
      <c r="FHF30" s="101"/>
      <c r="FHG30" s="101"/>
      <c r="FHH30" s="101"/>
      <c r="FHI30" s="101"/>
      <c r="FHJ30" s="101"/>
      <c r="FHK30" s="101"/>
      <c r="FHL30" s="101"/>
      <c r="FHM30" s="101"/>
      <c r="FHN30" s="101"/>
      <c r="FHO30" s="101"/>
      <c r="FHP30" s="101"/>
      <c r="FHQ30" s="101"/>
      <c r="FHR30" s="101"/>
      <c r="FHS30" s="101"/>
      <c r="FHT30" s="101"/>
      <c r="FHU30" s="101"/>
      <c r="FHV30" s="101"/>
      <c r="FHW30" s="101"/>
      <c r="FHX30" s="101"/>
      <c r="FHY30" s="101"/>
      <c r="FHZ30" s="101"/>
      <c r="FIA30" s="101"/>
      <c r="FIB30" s="101"/>
      <c r="FIC30" s="101"/>
      <c r="FID30" s="101"/>
      <c r="FIE30" s="101"/>
      <c r="FIF30" s="101"/>
      <c r="FIG30" s="101"/>
      <c r="FIH30" s="101"/>
      <c r="FII30" s="101"/>
      <c r="FIJ30" s="101"/>
      <c r="FIK30" s="101"/>
      <c r="FIL30" s="101"/>
      <c r="FIM30" s="101"/>
      <c r="FIN30" s="101"/>
      <c r="FIO30" s="101"/>
      <c r="FIP30" s="101"/>
      <c r="FIQ30" s="101"/>
      <c r="FIR30" s="101"/>
      <c r="FIS30" s="101"/>
      <c r="FIT30" s="101"/>
      <c r="FIU30" s="101"/>
      <c r="FIV30" s="101"/>
      <c r="FIW30" s="101"/>
      <c r="FIX30" s="101"/>
      <c r="FIY30" s="101"/>
      <c r="FIZ30" s="101"/>
      <c r="FJA30" s="101"/>
      <c r="FJB30" s="101"/>
      <c r="FJC30" s="101"/>
      <c r="FJD30" s="101"/>
      <c r="FJE30" s="101"/>
      <c r="FJF30" s="101"/>
      <c r="FJG30" s="101"/>
      <c r="FJH30" s="101"/>
      <c r="FJI30" s="101"/>
      <c r="FJJ30" s="101"/>
      <c r="FJK30" s="101"/>
      <c r="FJL30" s="101"/>
      <c r="FJM30" s="101"/>
      <c r="FJN30" s="101"/>
      <c r="FJO30" s="101"/>
      <c r="FJP30" s="101"/>
      <c r="FJQ30" s="101"/>
      <c r="FJR30" s="101"/>
      <c r="FJS30" s="101"/>
      <c r="FJT30" s="101"/>
      <c r="FJU30" s="101"/>
      <c r="FJV30" s="101"/>
      <c r="FJW30" s="101"/>
      <c r="FJX30" s="101"/>
      <c r="FJY30" s="101"/>
      <c r="FJZ30" s="101"/>
      <c r="FKA30" s="101"/>
      <c r="FKB30" s="101"/>
      <c r="FKC30" s="101"/>
      <c r="FKD30" s="101"/>
      <c r="FKE30" s="101"/>
      <c r="FKF30" s="101"/>
      <c r="FKG30" s="101"/>
      <c r="FKH30" s="101"/>
      <c r="FKI30" s="101"/>
      <c r="FKJ30" s="101"/>
      <c r="FKK30" s="101"/>
      <c r="FKL30" s="101"/>
      <c r="FKM30" s="101"/>
      <c r="FKN30" s="101"/>
      <c r="FKO30" s="101"/>
      <c r="FKP30" s="101"/>
      <c r="FKQ30" s="101"/>
      <c r="FKR30" s="101"/>
      <c r="FKS30" s="101"/>
      <c r="FKT30" s="101"/>
      <c r="FKU30" s="101"/>
      <c r="FKV30" s="101"/>
      <c r="FKW30" s="101"/>
      <c r="FKX30" s="101"/>
      <c r="FKY30" s="101"/>
      <c r="FKZ30" s="101"/>
      <c r="FLA30" s="101"/>
      <c r="FLB30" s="101"/>
      <c r="FLC30" s="101"/>
      <c r="FLD30" s="101"/>
      <c r="FLE30" s="101"/>
      <c r="FLF30" s="101"/>
      <c r="FLG30" s="101"/>
      <c r="FLH30" s="101"/>
      <c r="FLI30" s="101"/>
      <c r="FLJ30" s="101"/>
      <c r="FLK30" s="101"/>
      <c r="FLL30" s="101"/>
      <c r="FLM30" s="101"/>
      <c r="FLN30" s="101"/>
      <c r="FLO30" s="101"/>
      <c r="FLP30" s="101"/>
      <c r="FLQ30" s="101"/>
      <c r="FLR30" s="101"/>
      <c r="FLS30" s="101"/>
      <c r="FLT30" s="101"/>
      <c r="FLU30" s="101"/>
      <c r="FLV30" s="101"/>
      <c r="FLW30" s="101"/>
      <c r="FLX30" s="101"/>
      <c r="FLY30" s="101"/>
      <c r="FLZ30" s="101"/>
      <c r="FMA30" s="101"/>
      <c r="FMB30" s="101"/>
      <c r="FMC30" s="101"/>
      <c r="FMD30" s="101"/>
      <c r="FME30" s="101"/>
      <c r="FMF30" s="101"/>
      <c r="FMG30" s="101"/>
      <c r="FMH30" s="101"/>
      <c r="FMI30" s="101"/>
      <c r="FMJ30" s="101"/>
      <c r="FMK30" s="101"/>
      <c r="FML30" s="101"/>
      <c r="FMM30" s="101"/>
      <c r="FMN30" s="101"/>
      <c r="FMO30" s="101"/>
      <c r="FMP30" s="101"/>
      <c r="FMQ30" s="101"/>
      <c r="FMR30" s="101"/>
      <c r="FMS30" s="101"/>
      <c r="FMT30" s="101"/>
      <c r="FMU30" s="101"/>
      <c r="FMV30" s="101"/>
      <c r="FMW30" s="101"/>
      <c r="FMX30" s="101"/>
      <c r="FMY30" s="101"/>
      <c r="FMZ30" s="101"/>
      <c r="FNA30" s="101"/>
      <c r="FNB30" s="101"/>
      <c r="FNC30" s="101"/>
      <c r="FND30" s="101"/>
      <c r="FNE30" s="101"/>
      <c r="FNF30" s="101"/>
      <c r="FNG30" s="101"/>
      <c r="FNH30" s="101"/>
      <c r="FNI30" s="101"/>
      <c r="FNJ30" s="101"/>
      <c r="FNK30" s="101"/>
      <c r="FNL30" s="101"/>
      <c r="FNM30" s="101"/>
      <c r="FNN30" s="101"/>
      <c r="FNO30" s="101"/>
      <c r="FNP30" s="101"/>
      <c r="FNQ30" s="101"/>
      <c r="FNR30" s="101"/>
      <c r="FNS30" s="101"/>
      <c r="FNT30" s="101"/>
      <c r="FNU30" s="101"/>
      <c r="FNV30" s="101"/>
      <c r="FNW30" s="101"/>
      <c r="FNX30" s="101"/>
      <c r="FNY30" s="101"/>
      <c r="FNZ30" s="101"/>
      <c r="FOA30" s="101"/>
      <c r="FOB30" s="101"/>
      <c r="FOC30" s="101"/>
      <c r="FOD30" s="101"/>
      <c r="FOE30" s="101"/>
      <c r="FOF30" s="101"/>
      <c r="FOG30" s="101"/>
      <c r="FOH30" s="101"/>
      <c r="FOI30" s="101"/>
      <c r="FOJ30" s="101"/>
      <c r="FOK30" s="101"/>
      <c r="FOL30" s="101"/>
      <c r="FOM30" s="101"/>
      <c r="FON30" s="101"/>
      <c r="FOO30" s="101"/>
      <c r="FOP30" s="101"/>
      <c r="FOQ30" s="101"/>
      <c r="FOR30" s="101"/>
      <c r="FOS30" s="101"/>
      <c r="FOT30" s="101"/>
      <c r="FOU30" s="101"/>
      <c r="FOV30" s="101"/>
      <c r="FOW30" s="101"/>
      <c r="FOX30" s="101"/>
      <c r="FOY30" s="101"/>
      <c r="FOZ30" s="101"/>
      <c r="FPA30" s="101"/>
      <c r="FPB30" s="101"/>
      <c r="FPC30" s="101"/>
      <c r="FPD30" s="101"/>
      <c r="FPE30" s="101"/>
      <c r="FPF30" s="101"/>
      <c r="FPG30" s="101"/>
      <c r="FPH30" s="101"/>
      <c r="FPI30" s="101"/>
      <c r="FPJ30" s="101"/>
      <c r="FPK30" s="101"/>
      <c r="FPL30" s="101"/>
      <c r="FPM30" s="101"/>
      <c r="FPN30" s="101"/>
      <c r="FPO30" s="101"/>
      <c r="FPP30" s="101"/>
      <c r="FPQ30" s="101"/>
      <c r="FPR30" s="101"/>
      <c r="FPS30" s="101"/>
      <c r="FPT30" s="101"/>
      <c r="FPU30" s="101"/>
      <c r="FPV30" s="101"/>
      <c r="FPW30" s="101"/>
      <c r="FPX30" s="101"/>
      <c r="FPY30" s="101"/>
      <c r="FPZ30" s="101"/>
      <c r="FQA30" s="101"/>
      <c r="FQB30" s="101"/>
      <c r="FQC30" s="101"/>
      <c r="FQD30" s="101"/>
      <c r="FQE30" s="101"/>
      <c r="FQF30" s="101"/>
      <c r="FQG30" s="101"/>
      <c r="FQH30" s="101"/>
      <c r="FQI30" s="101"/>
      <c r="FQJ30" s="101"/>
      <c r="FQK30" s="101"/>
      <c r="FQL30" s="101"/>
      <c r="FQM30" s="101"/>
      <c r="FQN30" s="101"/>
      <c r="FQO30" s="101"/>
      <c r="FQP30" s="101"/>
      <c r="FQQ30" s="101"/>
      <c r="FQR30" s="101"/>
      <c r="FQS30" s="101"/>
      <c r="FQT30" s="101"/>
      <c r="FQU30" s="101"/>
      <c r="FQV30" s="101"/>
      <c r="FQW30" s="101"/>
      <c r="FQX30" s="101"/>
      <c r="FQY30" s="101"/>
      <c r="FQZ30" s="101"/>
      <c r="FRA30" s="101"/>
      <c r="FRB30" s="101"/>
      <c r="FRC30" s="101"/>
      <c r="FRD30" s="101"/>
      <c r="FRE30" s="101"/>
      <c r="FRF30" s="101"/>
      <c r="FRG30" s="101"/>
      <c r="FRH30" s="101"/>
      <c r="FRI30" s="101"/>
      <c r="FRJ30" s="101"/>
      <c r="FRK30" s="101"/>
      <c r="FRL30" s="101"/>
      <c r="FRM30" s="101"/>
      <c r="FRN30" s="101"/>
      <c r="FRO30" s="101"/>
      <c r="FRP30" s="101"/>
      <c r="FRQ30" s="101"/>
      <c r="FRR30" s="101"/>
      <c r="FRS30" s="101"/>
      <c r="FRT30" s="101"/>
      <c r="FRU30" s="101"/>
      <c r="FRV30" s="101"/>
      <c r="FRW30" s="101"/>
      <c r="FRX30" s="101"/>
      <c r="FRY30" s="101"/>
      <c r="FRZ30" s="101"/>
      <c r="FSA30" s="101"/>
      <c r="FSB30" s="101"/>
      <c r="FSC30" s="101"/>
      <c r="FSD30" s="101"/>
      <c r="FSE30" s="101"/>
      <c r="FSF30" s="101"/>
      <c r="FSG30" s="101"/>
      <c r="FSH30" s="101"/>
      <c r="FSI30" s="101"/>
      <c r="FSJ30" s="101"/>
      <c r="FSK30" s="101"/>
      <c r="FSL30" s="101"/>
      <c r="FSM30" s="101"/>
      <c r="FSN30" s="101"/>
      <c r="FSO30" s="101"/>
      <c r="FSP30" s="101"/>
      <c r="FSQ30" s="101"/>
      <c r="FSR30" s="101"/>
      <c r="FSS30" s="101"/>
      <c r="FST30" s="101"/>
      <c r="FSU30" s="101"/>
      <c r="FSV30" s="101"/>
      <c r="FSW30" s="101"/>
      <c r="FSX30" s="101"/>
      <c r="FSY30" s="101"/>
      <c r="FSZ30" s="101"/>
      <c r="FTA30" s="101"/>
      <c r="FTB30" s="101"/>
      <c r="FTC30" s="101"/>
      <c r="FTD30" s="101"/>
      <c r="FTE30" s="101"/>
      <c r="FTF30" s="101"/>
      <c r="FTG30" s="101"/>
      <c r="FTH30" s="101"/>
      <c r="FTI30" s="101"/>
      <c r="FTJ30" s="101"/>
      <c r="FTK30" s="101"/>
      <c r="FTL30" s="101"/>
      <c r="FTM30" s="101"/>
      <c r="FTN30" s="101"/>
      <c r="FTO30" s="101"/>
      <c r="FTP30" s="101"/>
      <c r="FTQ30" s="101"/>
      <c r="FTR30" s="101"/>
      <c r="FTS30" s="101"/>
      <c r="FTT30" s="101"/>
      <c r="FTU30" s="101"/>
      <c r="FTV30" s="101"/>
      <c r="FTW30" s="101"/>
      <c r="FTX30" s="101"/>
      <c r="FTY30" s="101"/>
      <c r="FTZ30" s="101"/>
      <c r="FUA30" s="101"/>
      <c r="FUB30" s="101"/>
      <c r="FUC30" s="101"/>
      <c r="FUD30" s="101"/>
      <c r="FUE30" s="101"/>
      <c r="FUF30" s="101"/>
      <c r="FUG30" s="101"/>
      <c r="FUH30" s="101"/>
      <c r="FUI30" s="101"/>
      <c r="FUJ30" s="101"/>
      <c r="FUK30" s="101"/>
      <c r="FUL30" s="101"/>
      <c r="FUM30" s="101"/>
      <c r="FUN30" s="101"/>
      <c r="FUO30" s="101"/>
      <c r="FUP30" s="101"/>
      <c r="FUQ30" s="101"/>
      <c r="FUR30" s="101"/>
      <c r="FUS30" s="101"/>
      <c r="FUT30" s="101"/>
      <c r="FUU30" s="101"/>
      <c r="FUV30" s="101"/>
      <c r="FUW30" s="101"/>
      <c r="FUX30" s="101"/>
      <c r="FUY30" s="101"/>
      <c r="FUZ30" s="101"/>
      <c r="FVA30" s="101"/>
      <c r="FVB30" s="101"/>
      <c r="FVC30" s="101"/>
      <c r="FVD30" s="101"/>
      <c r="FVE30" s="101"/>
      <c r="FVF30" s="101"/>
      <c r="FVG30" s="101"/>
      <c r="FVH30" s="101"/>
      <c r="FVI30" s="101"/>
      <c r="FVJ30" s="101"/>
      <c r="FVK30" s="101"/>
      <c r="FVL30" s="101"/>
      <c r="FVM30" s="101"/>
      <c r="FVN30" s="101"/>
      <c r="FVO30" s="101"/>
      <c r="FVP30" s="101"/>
      <c r="FVQ30" s="101"/>
      <c r="FVR30" s="101"/>
      <c r="FVS30" s="101"/>
      <c r="FVT30" s="101"/>
      <c r="FVU30" s="101"/>
      <c r="FVV30" s="101"/>
      <c r="FVW30" s="101"/>
      <c r="FVX30" s="101"/>
      <c r="FVY30" s="101"/>
      <c r="FVZ30" s="101"/>
      <c r="FWA30" s="101"/>
      <c r="FWB30" s="101"/>
      <c r="FWC30" s="101"/>
      <c r="FWD30" s="101"/>
      <c r="FWE30" s="101"/>
      <c r="FWF30" s="101"/>
      <c r="FWG30" s="101"/>
      <c r="FWH30" s="101"/>
      <c r="FWI30" s="101"/>
      <c r="FWJ30" s="101"/>
      <c r="FWK30" s="101"/>
      <c r="FWL30" s="101"/>
      <c r="FWM30" s="101"/>
      <c r="FWN30" s="101"/>
      <c r="FWO30" s="101"/>
      <c r="FWP30" s="101"/>
      <c r="FWQ30" s="101"/>
      <c r="FWR30" s="101"/>
      <c r="FWS30" s="101"/>
      <c r="FWT30" s="101"/>
      <c r="FWU30" s="101"/>
      <c r="FWV30" s="101"/>
      <c r="FWW30" s="101"/>
      <c r="FWX30" s="101"/>
      <c r="FWY30" s="101"/>
      <c r="FWZ30" s="101"/>
      <c r="FXA30" s="101"/>
      <c r="FXB30" s="101"/>
      <c r="FXC30" s="101"/>
      <c r="FXD30" s="101"/>
      <c r="FXE30" s="101"/>
      <c r="FXF30" s="101"/>
      <c r="FXG30" s="101"/>
      <c r="FXH30" s="101"/>
      <c r="FXI30" s="101"/>
      <c r="FXJ30" s="101"/>
      <c r="FXK30" s="101"/>
      <c r="FXL30" s="101"/>
      <c r="FXM30" s="101"/>
      <c r="FXN30" s="101"/>
      <c r="FXO30" s="101"/>
      <c r="FXP30" s="101"/>
      <c r="FXQ30" s="101"/>
      <c r="FXR30" s="101"/>
      <c r="FXS30" s="101"/>
      <c r="FXT30" s="101"/>
      <c r="FXU30" s="101"/>
      <c r="FXV30" s="101"/>
      <c r="FXW30" s="101"/>
      <c r="FXX30" s="101"/>
      <c r="FXY30" s="101"/>
      <c r="FXZ30" s="101"/>
      <c r="FYA30" s="101"/>
      <c r="FYB30" s="101"/>
      <c r="FYC30" s="101"/>
      <c r="FYD30" s="101"/>
      <c r="FYE30" s="101"/>
      <c r="FYF30" s="101"/>
      <c r="FYG30" s="101"/>
      <c r="FYH30" s="101"/>
      <c r="FYI30" s="101"/>
      <c r="FYJ30" s="101"/>
      <c r="FYK30" s="101"/>
      <c r="FYL30" s="101"/>
      <c r="FYM30" s="101"/>
      <c r="FYN30" s="101"/>
      <c r="FYO30" s="101"/>
      <c r="FYP30" s="101"/>
      <c r="FYQ30" s="101"/>
      <c r="FYR30" s="101"/>
      <c r="FYS30" s="101"/>
      <c r="FYT30" s="101"/>
      <c r="FYU30" s="101"/>
      <c r="FYV30" s="101"/>
      <c r="FYW30" s="101"/>
      <c r="FYX30" s="101"/>
      <c r="FYY30" s="101"/>
      <c r="FYZ30" s="101"/>
      <c r="FZA30" s="101"/>
      <c r="FZB30" s="101"/>
      <c r="FZC30" s="101"/>
      <c r="FZD30" s="101"/>
      <c r="FZE30" s="101"/>
      <c r="FZF30" s="101"/>
      <c r="FZG30" s="101"/>
      <c r="FZH30" s="101"/>
      <c r="FZI30" s="101"/>
      <c r="FZJ30" s="101"/>
      <c r="FZK30" s="101"/>
      <c r="FZL30" s="101"/>
      <c r="FZM30" s="101"/>
      <c r="FZN30" s="101"/>
      <c r="FZO30" s="101"/>
      <c r="FZP30" s="101"/>
      <c r="FZQ30" s="101"/>
      <c r="FZR30" s="101"/>
      <c r="FZS30" s="101"/>
      <c r="FZT30" s="101"/>
      <c r="FZU30" s="101"/>
      <c r="FZV30" s="101"/>
      <c r="FZW30" s="101"/>
      <c r="FZX30" s="101"/>
      <c r="FZY30" s="101"/>
      <c r="FZZ30" s="101"/>
      <c r="GAA30" s="101"/>
      <c r="GAB30" s="101"/>
      <c r="GAC30" s="101"/>
      <c r="GAD30" s="101"/>
      <c r="GAE30" s="101"/>
      <c r="GAF30" s="101"/>
      <c r="GAG30" s="101"/>
      <c r="GAH30" s="101"/>
      <c r="GAI30" s="101"/>
      <c r="GAJ30" s="101"/>
      <c r="GAK30" s="101"/>
      <c r="GAL30" s="101"/>
      <c r="GAM30" s="101"/>
      <c r="GAN30" s="101"/>
      <c r="GAO30" s="101"/>
      <c r="GAP30" s="101"/>
      <c r="GAQ30" s="101"/>
      <c r="GAR30" s="101"/>
      <c r="GAS30" s="101"/>
      <c r="GAT30" s="101"/>
      <c r="GAU30" s="101"/>
      <c r="GAV30" s="101"/>
      <c r="GAW30" s="101"/>
      <c r="GAX30" s="101"/>
      <c r="GAY30" s="101"/>
      <c r="GAZ30" s="101"/>
      <c r="GBA30" s="101"/>
      <c r="GBB30" s="101"/>
      <c r="GBC30" s="101"/>
      <c r="GBD30" s="101"/>
      <c r="GBE30" s="101"/>
      <c r="GBF30" s="101"/>
      <c r="GBG30" s="101"/>
      <c r="GBH30" s="101"/>
      <c r="GBI30" s="101"/>
      <c r="GBJ30" s="101"/>
      <c r="GBK30" s="101"/>
      <c r="GBL30" s="101"/>
      <c r="GBM30" s="101"/>
      <c r="GBN30" s="101"/>
      <c r="GBO30" s="101"/>
      <c r="GBP30" s="101"/>
      <c r="GBQ30" s="101"/>
      <c r="GBR30" s="101"/>
      <c r="GBS30" s="101"/>
      <c r="GBT30" s="101"/>
      <c r="GBU30" s="101"/>
      <c r="GBV30" s="101"/>
      <c r="GBW30" s="101"/>
      <c r="GBX30" s="101"/>
      <c r="GBY30" s="101"/>
      <c r="GBZ30" s="101"/>
      <c r="GCA30" s="101"/>
      <c r="GCB30" s="101"/>
      <c r="GCC30" s="101"/>
      <c r="GCD30" s="101"/>
      <c r="GCE30" s="101"/>
      <c r="GCF30" s="101"/>
      <c r="GCG30" s="101"/>
      <c r="GCH30" s="101"/>
      <c r="GCI30" s="101"/>
      <c r="GCJ30" s="101"/>
      <c r="GCK30" s="101"/>
      <c r="GCL30" s="101"/>
      <c r="GCM30" s="101"/>
      <c r="GCN30" s="101"/>
      <c r="GCO30" s="101"/>
      <c r="GCP30" s="101"/>
      <c r="GCQ30" s="101"/>
      <c r="GCR30" s="101"/>
      <c r="GCS30" s="101"/>
      <c r="GCT30" s="101"/>
      <c r="GCU30" s="101"/>
      <c r="GCV30" s="101"/>
      <c r="GCW30" s="101"/>
      <c r="GCX30" s="101"/>
      <c r="GCY30" s="101"/>
      <c r="GCZ30" s="101"/>
      <c r="GDA30" s="101"/>
      <c r="GDB30" s="101"/>
      <c r="GDC30" s="101"/>
      <c r="GDD30" s="101"/>
      <c r="GDE30" s="101"/>
      <c r="GDF30" s="101"/>
      <c r="GDG30" s="101"/>
      <c r="GDH30" s="101"/>
      <c r="GDI30" s="101"/>
      <c r="GDJ30" s="101"/>
      <c r="GDK30" s="101"/>
      <c r="GDL30" s="101"/>
      <c r="GDM30" s="101"/>
      <c r="GDN30" s="101"/>
      <c r="GDO30" s="101"/>
      <c r="GDP30" s="101"/>
      <c r="GDQ30" s="101"/>
      <c r="GDR30" s="101"/>
      <c r="GDS30" s="101"/>
      <c r="GDT30" s="101"/>
      <c r="GDU30" s="101"/>
      <c r="GDV30" s="101"/>
      <c r="GDW30" s="101"/>
      <c r="GDX30" s="101"/>
      <c r="GDY30" s="101"/>
      <c r="GDZ30" s="101"/>
      <c r="GEA30" s="101"/>
      <c r="GEB30" s="101"/>
      <c r="GEC30" s="101"/>
      <c r="GED30" s="101"/>
      <c r="GEE30" s="101"/>
      <c r="GEF30" s="101"/>
      <c r="GEG30" s="101"/>
      <c r="GEH30" s="101"/>
      <c r="GEI30" s="101"/>
      <c r="GEJ30" s="101"/>
      <c r="GEK30" s="101"/>
      <c r="GEL30" s="101"/>
      <c r="GEM30" s="101"/>
      <c r="GEN30" s="101"/>
      <c r="GEO30" s="101"/>
      <c r="GEP30" s="101"/>
      <c r="GEQ30" s="101"/>
      <c r="GER30" s="101"/>
      <c r="GES30" s="101"/>
      <c r="GET30" s="101"/>
      <c r="GEU30" s="101"/>
      <c r="GEV30" s="101"/>
      <c r="GEW30" s="101"/>
      <c r="GEX30" s="101"/>
      <c r="GEY30" s="101"/>
      <c r="GEZ30" s="101"/>
      <c r="GFA30" s="101"/>
      <c r="GFB30" s="101"/>
      <c r="GFC30" s="101"/>
      <c r="GFD30" s="101"/>
      <c r="GFE30" s="101"/>
      <c r="GFF30" s="101"/>
      <c r="GFG30" s="101"/>
      <c r="GFH30" s="101"/>
      <c r="GFI30" s="101"/>
      <c r="GFJ30" s="101"/>
      <c r="GFK30" s="101"/>
      <c r="GFL30" s="101"/>
      <c r="GFM30" s="101"/>
      <c r="GFN30" s="101"/>
      <c r="GFO30" s="101"/>
      <c r="GFP30" s="101"/>
      <c r="GFQ30" s="101"/>
      <c r="GFR30" s="101"/>
      <c r="GFS30" s="101"/>
      <c r="GFT30" s="101"/>
      <c r="GFU30" s="101"/>
      <c r="GFV30" s="101"/>
      <c r="GFW30" s="101"/>
      <c r="GFX30" s="101"/>
      <c r="GFY30" s="101"/>
      <c r="GFZ30" s="101"/>
      <c r="GGA30" s="101"/>
      <c r="GGB30" s="101"/>
      <c r="GGC30" s="101"/>
      <c r="GGD30" s="101"/>
      <c r="GGE30" s="101"/>
      <c r="GGF30" s="101"/>
      <c r="GGG30" s="101"/>
      <c r="GGH30" s="101"/>
      <c r="GGI30" s="101"/>
      <c r="GGJ30" s="101"/>
      <c r="GGK30" s="101"/>
      <c r="GGL30" s="101"/>
      <c r="GGM30" s="101"/>
      <c r="GGN30" s="101"/>
      <c r="GGO30" s="101"/>
      <c r="GGP30" s="101"/>
      <c r="GGQ30" s="101"/>
      <c r="GGR30" s="101"/>
      <c r="GGS30" s="101"/>
      <c r="GGT30" s="101"/>
      <c r="GGU30" s="101"/>
      <c r="GGV30" s="101"/>
      <c r="GGW30" s="101"/>
      <c r="GGX30" s="101"/>
      <c r="GGY30" s="101"/>
      <c r="GGZ30" s="101"/>
      <c r="GHA30" s="101"/>
      <c r="GHB30" s="101"/>
      <c r="GHC30" s="101"/>
      <c r="GHD30" s="101"/>
      <c r="GHE30" s="101"/>
      <c r="GHF30" s="101"/>
      <c r="GHG30" s="101"/>
      <c r="GHH30" s="101"/>
      <c r="GHI30" s="101"/>
      <c r="GHJ30" s="101"/>
      <c r="GHK30" s="101"/>
      <c r="GHL30" s="101"/>
      <c r="GHM30" s="101"/>
      <c r="GHN30" s="101"/>
      <c r="GHO30" s="101"/>
      <c r="GHP30" s="101"/>
      <c r="GHQ30" s="101"/>
      <c r="GHR30" s="101"/>
      <c r="GHS30" s="101"/>
      <c r="GHT30" s="101"/>
      <c r="GHU30" s="101"/>
      <c r="GHV30" s="101"/>
      <c r="GHW30" s="101"/>
      <c r="GHX30" s="101"/>
      <c r="GHY30" s="101"/>
      <c r="GHZ30" s="101"/>
      <c r="GIA30" s="101"/>
      <c r="GIB30" s="101"/>
      <c r="GIC30" s="101"/>
      <c r="GID30" s="101"/>
      <c r="GIE30" s="101"/>
      <c r="GIF30" s="101"/>
      <c r="GIG30" s="101"/>
      <c r="GIH30" s="101"/>
      <c r="GII30" s="101"/>
      <c r="GIJ30" s="101"/>
      <c r="GIK30" s="101"/>
      <c r="GIL30" s="101"/>
      <c r="GIM30" s="101"/>
      <c r="GIN30" s="101"/>
      <c r="GIO30" s="101"/>
      <c r="GIP30" s="101"/>
      <c r="GIQ30" s="101"/>
      <c r="GIR30" s="101"/>
      <c r="GIS30" s="101"/>
      <c r="GIT30" s="101"/>
      <c r="GIU30" s="101"/>
      <c r="GIV30" s="101"/>
      <c r="GIW30" s="101"/>
      <c r="GIX30" s="101"/>
      <c r="GIY30" s="101"/>
      <c r="GIZ30" s="101"/>
      <c r="GJA30" s="101"/>
      <c r="GJB30" s="101"/>
      <c r="GJC30" s="101"/>
      <c r="GJD30" s="101"/>
      <c r="GJE30" s="101"/>
      <c r="GJF30" s="101"/>
      <c r="GJG30" s="101"/>
      <c r="GJH30" s="101"/>
      <c r="GJI30" s="101"/>
      <c r="GJJ30" s="101"/>
      <c r="GJK30" s="101"/>
      <c r="GJL30" s="101"/>
      <c r="GJM30" s="101"/>
      <c r="GJN30" s="101"/>
      <c r="GJO30" s="101"/>
      <c r="GJP30" s="101"/>
      <c r="GJQ30" s="101"/>
      <c r="GJR30" s="101"/>
      <c r="GJS30" s="101"/>
      <c r="GJT30" s="101"/>
      <c r="GJU30" s="101"/>
      <c r="GJV30" s="101"/>
      <c r="GJW30" s="101"/>
      <c r="GJX30" s="101"/>
      <c r="GJY30" s="101"/>
      <c r="GJZ30" s="101"/>
      <c r="GKA30" s="101"/>
      <c r="GKB30" s="101"/>
      <c r="GKC30" s="101"/>
      <c r="GKD30" s="101"/>
      <c r="GKE30" s="101"/>
      <c r="GKF30" s="101"/>
      <c r="GKG30" s="101"/>
      <c r="GKH30" s="101"/>
      <c r="GKI30" s="101"/>
      <c r="GKJ30" s="101"/>
      <c r="GKK30" s="101"/>
      <c r="GKL30" s="101"/>
      <c r="GKM30" s="101"/>
      <c r="GKN30" s="101"/>
      <c r="GKO30" s="101"/>
      <c r="GKP30" s="101"/>
      <c r="GKQ30" s="101"/>
      <c r="GKR30" s="101"/>
      <c r="GKS30" s="101"/>
      <c r="GKT30" s="101"/>
      <c r="GKU30" s="101"/>
      <c r="GKV30" s="101"/>
      <c r="GKW30" s="101"/>
      <c r="GKX30" s="101"/>
      <c r="GKY30" s="101"/>
      <c r="GKZ30" s="101"/>
      <c r="GLA30" s="101"/>
      <c r="GLB30" s="101"/>
      <c r="GLC30" s="101"/>
      <c r="GLD30" s="101"/>
      <c r="GLE30" s="101"/>
      <c r="GLF30" s="101"/>
      <c r="GLG30" s="101"/>
      <c r="GLH30" s="101"/>
      <c r="GLI30" s="101"/>
      <c r="GLJ30" s="101"/>
      <c r="GLK30" s="101"/>
      <c r="GLL30" s="101"/>
      <c r="GLM30" s="101"/>
      <c r="GLN30" s="101"/>
      <c r="GLO30" s="101"/>
      <c r="GLP30" s="101"/>
      <c r="GLQ30" s="101"/>
      <c r="GLR30" s="101"/>
      <c r="GLS30" s="101"/>
      <c r="GLT30" s="101"/>
      <c r="GLU30" s="101"/>
      <c r="GLV30" s="101"/>
      <c r="GLW30" s="101"/>
      <c r="GLX30" s="101"/>
      <c r="GLY30" s="101"/>
      <c r="GLZ30" s="101"/>
      <c r="GMA30" s="101"/>
      <c r="GMB30" s="101"/>
      <c r="GMC30" s="101"/>
      <c r="GMD30" s="101"/>
      <c r="GME30" s="101"/>
      <c r="GMF30" s="101"/>
      <c r="GMG30" s="101"/>
      <c r="GMH30" s="101"/>
      <c r="GMI30" s="101"/>
      <c r="GMJ30" s="101"/>
      <c r="GMK30" s="101"/>
      <c r="GML30" s="101"/>
      <c r="GMM30" s="101"/>
      <c r="GMN30" s="101"/>
      <c r="GMO30" s="101"/>
      <c r="GMP30" s="101"/>
      <c r="GMQ30" s="101"/>
      <c r="GMR30" s="101"/>
      <c r="GMS30" s="101"/>
      <c r="GMT30" s="101"/>
      <c r="GMU30" s="101"/>
      <c r="GMV30" s="101"/>
      <c r="GMW30" s="101"/>
      <c r="GMX30" s="101"/>
      <c r="GMY30" s="101"/>
      <c r="GMZ30" s="101"/>
      <c r="GNA30" s="101"/>
      <c r="GNB30" s="101"/>
      <c r="GNC30" s="101"/>
      <c r="GND30" s="101"/>
      <c r="GNE30" s="101"/>
      <c r="GNF30" s="101"/>
      <c r="GNG30" s="101"/>
      <c r="GNH30" s="101"/>
      <c r="GNI30" s="101"/>
      <c r="GNJ30" s="101"/>
      <c r="GNK30" s="101"/>
      <c r="GNL30" s="101"/>
      <c r="GNM30" s="101"/>
      <c r="GNN30" s="101"/>
      <c r="GNO30" s="101"/>
      <c r="GNP30" s="101"/>
      <c r="GNQ30" s="101"/>
      <c r="GNR30" s="101"/>
      <c r="GNS30" s="101"/>
      <c r="GNT30" s="101"/>
      <c r="GNU30" s="101"/>
      <c r="GNV30" s="101"/>
      <c r="GNW30" s="101"/>
      <c r="GNX30" s="101"/>
      <c r="GNY30" s="101"/>
      <c r="GNZ30" s="101"/>
      <c r="GOA30" s="101"/>
      <c r="GOB30" s="101"/>
      <c r="GOC30" s="101"/>
      <c r="GOD30" s="101"/>
      <c r="GOE30" s="101"/>
      <c r="GOF30" s="101"/>
      <c r="GOG30" s="101"/>
      <c r="GOH30" s="101"/>
      <c r="GOI30" s="101"/>
      <c r="GOJ30" s="101"/>
      <c r="GOK30" s="101"/>
      <c r="GOL30" s="101"/>
      <c r="GOM30" s="101"/>
      <c r="GON30" s="101"/>
      <c r="GOO30" s="101"/>
      <c r="GOP30" s="101"/>
      <c r="GOQ30" s="101"/>
      <c r="GOR30" s="101"/>
      <c r="GOS30" s="101"/>
      <c r="GOT30" s="101"/>
      <c r="GOU30" s="101"/>
      <c r="GOV30" s="101"/>
      <c r="GOW30" s="101"/>
      <c r="GOX30" s="101"/>
      <c r="GOY30" s="101"/>
      <c r="GOZ30" s="101"/>
      <c r="GPA30" s="101"/>
      <c r="GPB30" s="101"/>
      <c r="GPC30" s="101"/>
      <c r="GPD30" s="101"/>
      <c r="GPE30" s="101"/>
      <c r="GPF30" s="101"/>
      <c r="GPG30" s="101"/>
      <c r="GPH30" s="101"/>
      <c r="GPI30" s="101"/>
      <c r="GPJ30" s="101"/>
      <c r="GPK30" s="101"/>
      <c r="GPL30" s="101"/>
      <c r="GPM30" s="101"/>
      <c r="GPN30" s="101"/>
      <c r="GPO30" s="101"/>
      <c r="GPP30" s="101"/>
      <c r="GPQ30" s="101"/>
      <c r="GPR30" s="101"/>
      <c r="GPS30" s="101"/>
      <c r="GPT30" s="101"/>
      <c r="GPU30" s="101"/>
      <c r="GPV30" s="101"/>
      <c r="GPW30" s="101"/>
      <c r="GPX30" s="101"/>
      <c r="GPY30" s="101"/>
      <c r="GPZ30" s="101"/>
      <c r="GQA30" s="101"/>
      <c r="GQB30" s="101"/>
      <c r="GQC30" s="101"/>
      <c r="GQD30" s="101"/>
      <c r="GQE30" s="101"/>
      <c r="GQF30" s="101"/>
      <c r="GQG30" s="101"/>
      <c r="GQH30" s="101"/>
      <c r="GQI30" s="101"/>
      <c r="GQJ30" s="101"/>
      <c r="GQK30" s="101"/>
      <c r="GQL30" s="101"/>
      <c r="GQM30" s="101"/>
      <c r="GQN30" s="101"/>
      <c r="GQO30" s="101"/>
      <c r="GQP30" s="101"/>
      <c r="GQQ30" s="101"/>
      <c r="GQR30" s="101"/>
      <c r="GQS30" s="101"/>
      <c r="GQT30" s="101"/>
      <c r="GQU30" s="101"/>
      <c r="GQV30" s="101"/>
      <c r="GQW30" s="101"/>
      <c r="GQX30" s="101"/>
      <c r="GQY30" s="101"/>
      <c r="GQZ30" s="101"/>
      <c r="GRA30" s="101"/>
      <c r="GRB30" s="101"/>
      <c r="GRC30" s="101"/>
      <c r="GRD30" s="101"/>
      <c r="GRE30" s="101"/>
      <c r="GRF30" s="101"/>
      <c r="GRG30" s="101"/>
      <c r="GRH30" s="101"/>
      <c r="GRI30" s="101"/>
      <c r="GRJ30" s="101"/>
      <c r="GRK30" s="101"/>
      <c r="GRL30" s="101"/>
      <c r="GRM30" s="101"/>
      <c r="GRN30" s="101"/>
      <c r="GRO30" s="101"/>
      <c r="GRP30" s="101"/>
      <c r="GRQ30" s="101"/>
      <c r="GRR30" s="101"/>
      <c r="GRS30" s="101"/>
      <c r="GRT30" s="101"/>
      <c r="GRU30" s="101"/>
      <c r="GRV30" s="101"/>
      <c r="GRW30" s="101"/>
      <c r="GRX30" s="101"/>
      <c r="GRY30" s="101"/>
      <c r="GRZ30" s="101"/>
      <c r="GSA30" s="101"/>
      <c r="GSB30" s="101"/>
      <c r="GSC30" s="101"/>
      <c r="GSD30" s="101"/>
      <c r="GSE30" s="101"/>
      <c r="GSF30" s="101"/>
      <c r="GSG30" s="101"/>
      <c r="GSH30" s="101"/>
      <c r="GSI30" s="101"/>
      <c r="GSJ30" s="101"/>
      <c r="GSK30" s="101"/>
      <c r="GSL30" s="101"/>
      <c r="GSM30" s="101"/>
      <c r="GSN30" s="101"/>
      <c r="GSO30" s="101"/>
      <c r="GSP30" s="101"/>
      <c r="GSQ30" s="101"/>
      <c r="GSR30" s="101"/>
      <c r="GSS30" s="101"/>
      <c r="GST30" s="101"/>
      <c r="GSU30" s="101"/>
      <c r="GSV30" s="101"/>
      <c r="GSW30" s="101"/>
      <c r="GSX30" s="101"/>
      <c r="GSY30" s="101"/>
      <c r="GSZ30" s="101"/>
      <c r="GTA30" s="101"/>
      <c r="GTB30" s="101"/>
      <c r="GTC30" s="101"/>
      <c r="GTD30" s="101"/>
      <c r="GTE30" s="101"/>
      <c r="GTF30" s="101"/>
      <c r="GTG30" s="101"/>
      <c r="GTH30" s="101"/>
      <c r="GTI30" s="101"/>
      <c r="GTJ30" s="101"/>
      <c r="GTK30" s="101"/>
      <c r="GTL30" s="101"/>
      <c r="GTM30" s="101"/>
      <c r="GTN30" s="101"/>
      <c r="GTO30" s="101"/>
      <c r="GTP30" s="101"/>
      <c r="GTQ30" s="101"/>
      <c r="GTR30" s="101"/>
      <c r="GTS30" s="101"/>
      <c r="GTT30" s="101"/>
      <c r="GTU30" s="101"/>
      <c r="GTV30" s="101"/>
      <c r="GTW30" s="101"/>
      <c r="GTX30" s="101"/>
      <c r="GTY30" s="101"/>
      <c r="GTZ30" s="101"/>
      <c r="GUA30" s="101"/>
      <c r="GUB30" s="101"/>
      <c r="GUC30" s="101"/>
      <c r="GUD30" s="101"/>
      <c r="GUE30" s="101"/>
      <c r="GUF30" s="101"/>
      <c r="GUG30" s="101"/>
      <c r="GUH30" s="101"/>
      <c r="GUI30" s="101"/>
      <c r="GUJ30" s="101"/>
      <c r="GUK30" s="101"/>
      <c r="GUL30" s="101"/>
      <c r="GUM30" s="101"/>
      <c r="GUN30" s="101"/>
      <c r="GUO30" s="101"/>
      <c r="GUP30" s="101"/>
      <c r="GUQ30" s="101"/>
      <c r="GUR30" s="101"/>
      <c r="GUS30" s="101"/>
      <c r="GUT30" s="101"/>
      <c r="GUU30" s="101"/>
      <c r="GUV30" s="101"/>
      <c r="GUW30" s="101"/>
      <c r="GUX30" s="101"/>
      <c r="GUY30" s="101"/>
      <c r="GUZ30" s="101"/>
      <c r="GVA30" s="101"/>
      <c r="GVB30" s="101"/>
      <c r="GVC30" s="101"/>
      <c r="GVD30" s="101"/>
      <c r="GVE30" s="101"/>
      <c r="GVF30" s="101"/>
      <c r="GVG30" s="101"/>
      <c r="GVH30" s="101"/>
      <c r="GVI30" s="101"/>
      <c r="GVJ30" s="101"/>
      <c r="GVK30" s="101"/>
      <c r="GVL30" s="101"/>
      <c r="GVM30" s="101"/>
      <c r="GVN30" s="101"/>
      <c r="GVO30" s="101"/>
      <c r="GVP30" s="101"/>
      <c r="GVQ30" s="101"/>
      <c r="GVR30" s="101"/>
      <c r="GVS30" s="101"/>
      <c r="GVT30" s="101"/>
      <c r="GVU30" s="101"/>
      <c r="GVV30" s="101"/>
      <c r="GVW30" s="101"/>
      <c r="GVX30" s="101"/>
      <c r="GVY30" s="101"/>
      <c r="GVZ30" s="101"/>
      <c r="GWA30" s="101"/>
      <c r="GWB30" s="101"/>
      <c r="GWC30" s="101"/>
      <c r="GWD30" s="101"/>
      <c r="GWE30" s="101"/>
      <c r="GWF30" s="101"/>
      <c r="GWG30" s="101"/>
      <c r="GWH30" s="101"/>
      <c r="GWI30" s="101"/>
      <c r="GWJ30" s="101"/>
      <c r="GWK30" s="101"/>
      <c r="GWL30" s="101"/>
      <c r="GWM30" s="101"/>
      <c r="GWN30" s="101"/>
      <c r="GWO30" s="101"/>
      <c r="GWP30" s="101"/>
      <c r="GWQ30" s="101"/>
      <c r="GWR30" s="101"/>
      <c r="GWS30" s="101"/>
      <c r="GWT30" s="101"/>
      <c r="GWU30" s="101"/>
      <c r="GWV30" s="101"/>
      <c r="GWW30" s="101"/>
      <c r="GWX30" s="101"/>
      <c r="GWY30" s="101"/>
      <c r="GWZ30" s="101"/>
      <c r="GXA30" s="101"/>
      <c r="GXB30" s="101"/>
      <c r="GXC30" s="101"/>
      <c r="GXD30" s="101"/>
      <c r="GXE30" s="101"/>
      <c r="GXF30" s="101"/>
      <c r="GXG30" s="101"/>
      <c r="GXH30" s="101"/>
      <c r="GXI30" s="101"/>
      <c r="GXJ30" s="101"/>
      <c r="GXK30" s="101"/>
      <c r="GXL30" s="101"/>
      <c r="GXM30" s="101"/>
      <c r="GXN30" s="101"/>
      <c r="GXO30" s="101"/>
      <c r="GXP30" s="101"/>
      <c r="GXQ30" s="101"/>
      <c r="GXR30" s="101"/>
      <c r="GXS30" s="101"/>
      <c r="GXT30" s="101"/>
      <c r="GXU30" s="101"/>
      <c r="GXV30" s="101"/>
      <c r="GXW30" s="101"/>
      <c r="GXX30" s="101"/>
      <c r="GXY30" s="101"/>
      <c r="GXZ30" s="101"/>
      <c r="GYA30" s="101"/>
      <c r="GYB30" s="101"/>
      <c r="GYC30" s="101"/>
      <c r="GYD30" s="101"/>
      <c r="GYE30" s="101"/>
      <c r="GYF30" s="101"/>
      <c r="GYG30" s="101"/>
      <c r="GYH30" s="101"/>
      <c r="GYI30" s="101"/>
      <c r="GYJ30" s="101"/>
      <c r="GYK30" s="101"/>
      <c r="GYL30" s="101"/>
      <c r="GYM30" s="101"/>
      <c r="GYN30" s="101"/>
      <c r="GYO30" s="101"/>
      <c r="GYP30" s="101"/>
      <c r="GYQ30" s="101"/>
      <c r="GYR30" s="101"/>
      <c r="GYS30" s="101"/>
      <c r="GYT30" s="101"/>
      <c r="GYU30" s="101"/>
      <c r="GYV30" s="101"/>
      <c r="GYW30" s="101"/>
      <c r="GYX30" s="101"/>
      <c r="GYY30" s="101"/>
      <c r="GYZ30" s="101"/>
      <c r="GZA30" s="101"/>
      <c r="GZB30" s="101"/>
      <c r="GZC30" s="101"/>
      <c r="GZD30" s="101"/>
      <c r="GZE30" s="101"/>
      <c r="GZF30" s="101"/>
      <c r="GZG30" s="101"/>
      <c r="GZH30" s="101"/>
      <c r="GZI30" s="101"/>
      <c r="GZJ30" s="101"/>
      <c r="GZK30" s="101"/>
      <c r="GZL30" s="101"/>
      <c r="GZM30" s="101"/>
      <c r="GZN30" s="101"/>
      <c r="GZO30" s="101"/>
      <c r="GZP30" s="101"/>
      <c r="GZQ30" s="101"/>
      <c r="GZR30" s="101"/>
      <c r="GZS30" s="101"/>
      <c r="GZT30" s="101"/>
      <c r="GZU30" s="101"/>
      <c r="GZV30" s="101"/>
      <c r="GZW30" s="101"/>
      <c r="GZX30" s="101"/>
      <c r="GZY30" s="101"/>
      <c r="GZZ30" s="101"/>
      <c r="HAA30" s="101"/>
      <c r="HAB30" s="101"/>
      <c r="HAC30" s="101"/>
      <c r="HAD30" s="101"/>
      <c r="HAE30" s="101"/>
      <c r="HAF30" s="101"/>
      <c r="HAG30" s="101"/>
      <c r="HAH30" s="101"/>
      <c r="HAI30" s="101"/>
      <c r="HAJ30" s="101"/>
      <c r="HAK30" s="101"/>
      <c r="HAL30" s="101"/>
      <c r="HAM30" s="101"/>
      <c r="HAN30" s="101"/>
      <c r="HAO30" s="101"/>
      <c r="HAP30" s="101"/>
      <c r="HAQ30" s="101"/>
      <c r="HAR30" s="101"/>
      <c r="HAS30" s="101"/>
      <c r="HAT30" s="101"/>
      <c r="HAU30" s="101"/>
      <c r="HAV30" s="101"/>
      <c r="HAW30" s="101"/>
      <c r="HAX30" s="101"/>
      <c r="HAY30" s="101"/>
      <c r="HAZ30" s="101"/>
      <c r="HBA30" s="101"/>
      <c r="HBB30" s="101"/>
      <c r="HBC30" s="101"/>
      <c r="HBD30" s="101"/>
      <c r="HBE30" s="101"/>
      <c r="HBF30" s="101"/>
      <c r="HBG30" s="101"/>
      <c r="HBH30" s="101"/>
      <c r="HBI30" s="101"/>
      <c r="HBJ30" s="101"/>
      <c r="HBK30" s="101"/>
      <c r="HBL30" s="101"/>
      <c r="HBM30" s="101"/>
      <c r="HBN30" s="101"/>
      <c r="HBO30" s="101"/>
      <c r="HBP30" s="101"/>
      <c r="HBQ30" s="101"/>
      <c r="HBR30" s="101"/>
      <c r="HBS30" s="101"/>
      <c r="HBT30" s="101"/>
      <c r="HBU30" s="101"/>
      <c r="HBV30" s="101"/>
      <c r="HBW30" s="101"/>
      <c r="HBX30" s="101"/>
      <c r="HBY30" s="101"/>
      <c r="HBZ30" s="101"/>
      <c r="HCA30" s="101"/>
      <c r="HCB30" s="101"/>
      <c r="HCC30" s="101"/>
      <c r="HCD30" s="101"/>
      <c r="HCE30" s="101"/>
      <c r="HCF30" s="101"/>
      <c r="HCG30" s="101"/>
      <c r="HCH30" s="101"/>
      <c r="HCI30" s="101"/>
      <c r="HCJ30" s="101"/>
      <c r="HCK30" s="101"/>
      <c r="HCL30" s="101"/>
      <c r="HCM30" s="101"/>
      <c r="HCN30" s="101"/>
      <c r="HCO30" s="101"/>
      <c r="HCP30" s="101"/>
      <c r="HCQ30" s="101"/>
      <c r="HCR30" s="101"/>
      <c r="HCS30" s="101"/>
      <c r="HCT30" s="101"/>
      <c r="HCU30" s="101"/>
      <c r="HCV30" s="101"/>
      <c r="HCW30" s="101"/>
      <c r="HCX30" s="101"/>
      <c r="HCY30" s="101"/>
      <c r="HCZ30" s="101"/>
      <c r="HDA30" s="101"/>
      <c r="HDB30" s="101"/>
      <c r="HDC30" s="101"/>
      <c r="HDD30" s="101"/>
      <c r="HDE30" s="101"/>
      <c r="HDF30" s="101"/>
      <c r="HDG30" s="101"/>
      <c r="HDH30" s="101"/>
      <c r="HDI30" s="101"/>
      <c r="HDJ30" s="101"/>
      <c r="HDK30" s="101"/>
      <c r="HDL30" s="101"/>
      <c r="HDM30" s="101"/>
      <c r="HDN30" s="101"/>
      <c r="HDO30" s="101"/>
      <c r="HDP30" s="101"/>
      <c r="HDQ30" s="101"/>
      <c r="HDR30" s="101"/>
      <c r="HDS30" s="101"/>
      <c r="HDT30" s="101"/>
      <c r="HDU30" s="101"/>
      <c r="HDV30" s="101"/>
      <c r="HDW30" s="101"/>
      <c r="HDX30" s="101"/>
      <c r="HDY30" s="101"/>
      <c r="HDZ30" s="101"/>
      <c r="HEA30" s="101"/>
      <c r="HEB30" s="101"/>
      <c r="HEC30" s="101"/>
      <c r="HED30" s="101"/>
      <c r="HEE30" s="101"/>
      <c r="HEF30" s="101"/>
      <c r="HEG30" s="101"/>
      <c r="HEH30" s="101"/>
      <c r="HEI30" s="101"/>
      <c r="HEJ30" s="101"/>
      <c r="HEK30" s="101"/>
      <c r="HEL30" s="101"/>
      <c r="HEM30" s="101"/>
      <c r="HEN30" s="101"/>
      <c r="HEO30" s="101"/>
      <c r="HEP30" s="101"/>
      <c r="HEQ30" s="101"/>
      <c r="HER30" s="101"/>
      <c r="HES30" s="101"/>
      <c r="HET30" s="101"/>
      <c r="HEU30" s="101"/>
      <c r="HEV30" s="101"/>
      <c r="HEW30" s="101"/>
      <c r="HEX30" s="101"/>
      <c r="HEY30" s="101"/>
      <c r="HEZ30" s="101"/>
      <c r="HFA30" s="101"/>
      <c r="HFB30" s="101"/>
      <c r="HFC30" s="101"/>
      <c r="HFD30" s="101"/>
      <c r="HFE30" s="101"/>
      <c r="HFF30" s="101"/>
      <c r="HFG30" s="101"/>
      <c r="HFH30" s="101"/>
      <c r="HFI30" s="101"/>
      <c r="HFJ30" s="101"/>
      <c r="HFK30" s="101"/>
      <c r="HFL30" s="101"/>
      <c r="HFM30" s="101"/>
      <c r="HFN30" s="101"/>
      <c r="HFO30" s="101"/>
      <c r="HFP30" s="101"/>
      <c r="HFQ30" s="101"/>
      <c r="HFR30" s="101"/>
      <c r="HFS30" s="101"/>
      <c r="HFT30" s="101"/>
      <c r="HFU30" s="101"/>
      <c r="HFV30" s="101"/>
      <c r="HFW30" s="101"/>
      <c r="HFX30" s="101"/>
      <c r="HFY30" s="101"/>
      <c r="HFZ30" s="101"/>
      <c r="HGA30" s="101"/>
      <c r="HGB30" s="101"/>
      <c r="HGC30" s="101"/>
      <c r="HGD30" s="101"/>
      <c r="HGE30" s="101"/>
      <c r="HGF30" s="101"/>
      <c r="HGG30" s="101"/>
      <c r="HGH30" s="101"/>
      <c r="HGI30" s="101"/>
      <c r="HGJ30" s="101"/>
      <c r="HGK30" s="101"/>
      <c r="HGL30" s="101"/>
      <c r="HGM30" s="101"/>
      <c r="HGN30" s="101"/>
      <c r="HGO30" s="101"/>
      <c r="HGP30" s="101"/>
      <c r="HGQ30" s="101"/>
      <c r="HGR30" s="101"/>
      <c r="HGS30" s="101"/>
      <c r="HGT30" s="101"/>
      <c r="HGU30" s="101"/>
      <c r="HGV30" s="101"/>
      <c r="HGW30" s="101"/>
      <c r="HGX30" s="101"/>
      <c r="HGY30" s="101"/>
      <c r="HGZ30" s="101"/>
      <c r="HHA30" s="101"/>
      <c r="HHB30" s="101"/>
      <c r="HHC30" s="101"/>
      <c r="HHD30" s="101"/>
      <c r="HHE30" s="101"/>
      <c r="HHF30" s="101"/>
      <c r="HHG30" s="101"/>
      <c r="HHH30" s="101"/>
      <c r="HHI30" s="101"/>
      <c r="HHJ30" s="101"/>
      <c r="HHK30" s="101"/>
      <c r="HHL30" s="101"/>
      <c r="HHM30" s="101"/>
      <c r="HHN30" s="101"/>
      <c r="HHO30" s="101"/>
      <c r="HHP30" s="101"/>
      <c r="HHQ30" s="101"/>
      <c r="HHR30" s="101"/>
      <c r="HHS30" s="101"/>
      <c r="HHT30" s="101"/>
      <c r="HHU30" s="101"/>
      <c r="HHV30" s="101"/>
      <c r="HHW30" s="101"/>
      <c r="HHX30" s="101"/>
      <c r="HHY30" s="101"/>
      <c r="HHZ30" s="101"/>
      <c r="HIA30" s="101"/>
      <c r="HIB30" s="101"/>
      <c r="HIC30" s="101"/>
      <c r="HID30" s="101"/>
      <c r="HIE30" s="101"/>
      <c r="HIF30" s="101"/>
      <c r="HIG30" s="101"/>
      <c r="HIH30" s="101"/>
      <c r="HII30" s="101"/>
      <c r="HIJ30" s="101"/>
      <c r="HIK30" s="101"/>
      <c r="HIL30" s="101"/>
      <c r="HIM30" s="101"/>
      <c r="HIN30" s="101"/>
      <c r="HIO30" s="101"/>
      <c r="HIP30" s="101"/>
      <c r="HIQ30" s="101"/>
      <c r="HIR30" s="101"/>
      <c r="HIS30" s="101"/>
      <c r="HIT30" s="101"/>
      <c r="HIU30" s="101"/>
      <c r="HIV30" s="101"/>
      <c r="HIW30" s="101"/>
      <c r="HIX30" s="101"/>
      <c r="HIY30" s="101"/>
      <c r="HIZ30" s="101"/>
      <c r="HJA30" s="101"/>
      <c r="HJB30" s="101"/>
      <c r="HJC30" s="101"/>
      <c r="HJD30" s="101"/>
      <c r="HJE30" s="101"/>
      <c r="HJF30" s="101"/>
      <c r="HJG30" s="101"/>
      <c r="HJH30" s="101"/>
      <c r="HJI30" s="101"/>
      <c r="HJJ30" s="101"/>
      <c r="HJK30" s="101"/>
      <c r="HJL30" s="101"/>
      <c r="HJM30" s="101"/>
      <c r="HJN30" s="101"/>
      <c r="HJO30" s="101"/>
      <c r="HJP30" s="101"/>
      <c r="HJQ30" s="101"/>
      <c r="HJR30" s="101"/>
      <c r="HJS30" s="101"/>
      <c r="HJT30" s="101"/>
      <c r="HJU30" s="101"/>
      <c r="HJV30" s="101"/>
      <c r="HJW30" s="101"/>
      <c r="HJX30" s="101"/>
      <c r="HJY30" s="101"/>
      <c r="HJZ30" s="101"/>
      <c r="HKA30" s="101"/>
      <c r="HKB30" s="101"/>
      <c r="HKC30" s="101"/>
      <c r="HKD30" s="101"/>
      <c r="HKE30" s="101"/>
      <c r="HKF30" s="101"/>
      <c r="HKG30" s="101"/>
      <c r="HKH30" s="101"/>
      <c r="HKI30" s="101"/>
      <c r="HKJ30" s="101"/>
      <c r="HKK30" s="101"/>
      <c r="HKL30" s="101"/>
      <c r="HKM30" s="101"/>
      <c r="HKN30" s="101"/>
      <c r="HKO30" s="101"/>
      <c r="HKP30" s="101"/>
      <c r="HKQ30" s="101"/>
      <c r="HKR30" s="101"/>
      <c r="HKS30" s="101"/>
      <c r="HKT30" s="101"/>
      <c r="HKU30" s="101"/>
      <c r="HKV30" s="101"/>
      <c r="HKW30" s="101"/>
      <c r="HKX30" s="101"/>
      <c r="HKY30" s="101"/>
      <c r="HKZ30" s="101"/>
      <c r="HLA30" s="101"/>
      <c r="HLB30" s="101"/>
      <c r="HLC30" s="101"/>
      <c r="HLD30" s="101"/>
      <c r="HLE30" s="101"/>
      <c r="HLF30" s="101"/>
      <c r="HLG30" s="101"/>
      <c r="HLH30" s="101"/>
      <c r="HLI30" s="101"/>
      <c r="HLJ30" s="101"/>
      <c r="HLK30" s="101"/>
      <c r="HLL30" s="101"/>
      <c r="HLM30" s="101"/>
      <c r="HLN30" s="101"/>
      <c r="HLO30" s="101"/>
      <c r="HLP30" s="101"/>
      <c r="HLQ30" s="101"/>
      <c r="HLR30" s="101"/>
      <c r="HLS30" s="101"/>
      <c r="HLT30" s="101"/>
      <c r="HLU30" s="101"/>
      <c r="HLV30" s="101"/>
      <c r="HLW30" s="101"/>
      <c r="HLX30" s="101"/>
      <c r="HLY30" s="101"/>
      <c r="HLZ30" s="101"/>
      <c r="HMA30" s="101"/>
      <c r="HMB30" s="101"/>
      <c r="HMC30" s="101"/>
      <c r="HMD30" s="101"/>
      <c r="HME30" s="101"/>
      <c r="HMF30" s="101"/>
      <c r="HMG30" s="101"/>
      <c r="HMH30" s="101"/>
      <c r="HMI30" s="101"/>
      <c r="HMJ30" s="101"/>
      <c r="HMK30" s="101"/>
      <c r="HML30" s="101"/>
      <c r="HMM30" s="101"/>
      <c r="HMN30" s="101"/>
      <c r="HMO30" s="101"/>
      <c r="HMP30" s="101"/>
      <c r="HMQ30" s="101"/>
      <c r="HMR30" s="101"/>
      <c r="HMS30" s="101"/>
      <c r="HMT30" s="101"/>
      <c r="HMU30" s="101"/>
      <c r="HMV30" s="101"/>
      <c r="HMW30" s="101"/>
      <c r="HMX30" s="101"/>
      <c r="HMY30" s="101"/>
      <c r="HMZ30" s="101"/>
      <c r="HNA30" s="101"/>
      <c r="HNB30" s="101"/>
      <c r="HNC30" s="101"/>
      <c r="HND30" s="101"/>
      <c r="HNE30" s="101"/>
      <c r="HNF30" s="101"/>
      <c r="HNG30" s="101"/>
      <c r="HNH30" s="101"/>
      <c r="HNI30" s="101"/>
      <c r="HNJ30" s="101"/>
      <c r="HNK30" s="101"/>
      <c r="HNL30" s="101"/>
      <c r="HNM30" s="101"/>
      <c r="HNN30" s="101"/>
      <c r="HNO30" s="101"/>
      <c r="HNP30" s="101"/>
      <c r="HNQ30" s="101"/>
      <c r="HNR30" s="101"/>
      <c r="HNS30" s="101"/>
      <c r="HNT30" s="101"/>
      <c r="HNU30" s="101"/>
      <c r="HNV30" s="101"/>
      <c r="HNW30" s="101"/>
      <c r="HNX30" s="101"/>
      <c r="HNY30" s="101"/>
      <c r="HNZ30" s="101"/>
      <c r="HOA30" s="101"/>
      <c r="HOB30" s="101"/>
      <c r="HOC30" s="101"/>
      <c r="HOD30" s="101"/>
      <c r="HOE30" s="101"/>
      <c r="HOF30" s="101"/>
      <c r="HOG30" s="101"/>
      <c r="HOH30" s="101"/>
      <c r="HOI30" s="101"/>
      <c r="HOJ30" s="101"/>
      <c r="HOK30" s="101"/>
      <c r="HOL30" s="101"/>
      <c r="HOM30" s="101"/>
      <c r="HON30" s="101"/>
      <c r="HOO30" s="101"/>
      <c r="HOP30" s="101"/>
      <c r="HOQ30" s="101"/>
      <c r="HOR30" s="101"/>
      <c r="HOS30" s="101"/>
      <c r="HOT30" s="101"/>
      <c r="HOU30" s="101"/>
      <c r="HOV30" s="101"/>
      <c r="HOW30" s="101"/>
      <c r="HOX30" s="101"/>
      <c r="HOY30" s="101"/>
      <c r="HOZ30" s="101"/>
      <c r="HPA30" s="101"/>
      <c r="HPB30" s="101"/>
      <c r="HPC30" s="101"/>
      <c r="HPD30" s="101"/>
      <c r="HPE30" s="101"/>
      <c r="HPF30" s="101"/>
      <c r="HPG30" s="101"/>
      <c r="HPH30" s="101"/>
      <c r="HPI30" s="101"/>
      <c r="HPJ30" s="101"/>
      <c r="HPK30" s="101"/>
      <c r="HPL30" s="101"/>
      <c r="HPM30" s="101"/>
      <c r="HPN30" s="101"/>
      <c r="HPO30" s="101"/>
      <c r="HPP30" s="101"/>
      <c r="HPQ30" s="101"/>
      <c r="HPR30" s="101"/>
      <c r="HPS30" s="101"/>
      <c r="HPT30" s="101"/>
      <c r="HPU30" s="101"/>
      <c r="HPV30" s="101"/>
      <c r="HPW30" s="101"/>
      <c r="HPX30" s="101"/>
      <c r="HPY30" s="101"/>
      <c r="HPZ30" s="101"/>
      <c r="HQA30" s="101"/>
      <c r="HQB30" s="101"/>
      <c r="HQC30" s="101"/>
      <c r="HQD30" s="101"/>
      <c r="HQE30" s="101"/>
      <c r="HQF30" s="101"/>
      <c r="HQG30" s="101"/>
      <c r="HQH30" s="101"/>
      <c r="HQI30" s="101"/>
      <c r="HQJ30" s="101"/>
      <c r="HQK30" s="101"/>
      <c r="HQL30" s="101"/>
      <c r="HQM30" s="101"/>
      <c r="HQN30" s="101"/>
      <c r="HQO30" s="101"/>
      <c r="HQP30" s="101"/>
      <c r="HQQ30" s="101"/>
      <c r="HQR30" s="101"/>
      <c r="HQS30" s="101"/>
      <c r="HQT30" s="101"/>
      <c r="HQU30" s="101"/>
      <c r="HQV30" s="101"/>
      <c r="HQW30" s="101"/>
      <c r="HQX30" s="101"/>
      <c r="HQY30" s="101"/>
      <c r="HQZ30" s="101"/>
      <c r="HRA30" s="101"/>
      <c r="HRB30" s="101"/>
      <c r="HRC30" s="101"/>
      <c r="HRD30" s="101"/>
      <c r="HRE30" s="101"/>
      <c r="HRF30" s="101"/>
      <c r="HRG30" s="101"/>
      <c r="HRH30" s="101"/>
      <c r="HRI30" s="101"/>
      <c r="HRJ30" s="101"/>
      <c r="HRK30" s="101"/>
      <c r="HRL30" s="101"/>
      <c r="HRM30" s="101"/>
      <c r="HRN30" s="101"/>
      <c r="HRO30" s="101"/>
      <c r="HRP30" s="101"/>
      <c r="HRQ30" s="101"/>
      <c r="HRR30" s="101"/>
      <c r="HRS30" s="101"/>
      <c r="HRT30" s="101"/>
      <c r="HRU30" s="101"/>
      <c r="HRV30" s="101"/>
      <c r="HRW30" s="101"/>
      <c r="HRX30" s="101"/>
      <c r="HRY30" s="101"/>
      <c r="HRZ30" s="101"/>
      <c r="HSA30" s="101"/>
      <c r="HSB30" s="101"/>
      <c r="HSC30" s="101"/>
      <c r="HSD30" s="101"/>
      <c r="HSE30" s="101"/>
      <c r="HSF30" s="101"/>
      <c r="HSG30" s="101"/>
      <c r="HSH30" s="101"/>
      <c r="HSI30" s="101"/>
      <c r="HSJ30" s="101"/>
      <c r="HSK30" s="101"/>
      <c r="HSL30" s="101"/>
      <c r="HSM30" s="101"/>
      <c r="HSN30" s="101"/>
      <c r="HSO30" s="101"/>
      <c r="HSP30" s="101"/>
      <c r="HSQ30" s="101"/>
      <c r="HSR30" s="101"/>
      <c r="HSS30" s="101"/>
      <c r="HST30" s="101"/>
      <c r="HSU30" s="101"/>
      <c r="HSV30" s="101"/>
      <c r="HSW30" s="101"/>
      <c r="HSX30" s="101"/>
      <c r="HSY30" s="101"/>
      <c r="HSZ30" s="101"/>
      <c r="HTA30" s="101"/>
      <c r="HTB30" s="101"/>
      <c r="HTC30" s="101"/>
      <c r="HTD30" s="101"/>
      <c r="HTE30" s="101"/>
      <c r="HTF30" s="101"/>
      <c r="HTG30" s="101"/>
      <c r="HTH30" s="101"/>
      <c r="HTI30" s="101"/>
      <c r="HTJ30" s="101"/>
      <c r="HTK30" s="101"/>
      <c r="HTL30" s="101"/>
      <c r="HTM30" s="101"/>
      <c r="HTN30" s="101"/>
      <c r="HTO30" s="101"/>
      <c r="HTP30" s="101"/>
      <c r="HTQ30" s="101"/>
      <c r="HTR30" s="101"/>
      <c r="HTS30" s="101"/>
      <c r="HTT30" s="101"/>
      <c r="HTU30" s="101"/>
      <c r="HTV30" s="101"/>
      <c r="HTW30" s="101"/>
      <c r="HTX30" s="101"/>
      <c r="HTY30" s="101"/>
      <c r="HTZ30" s="101"/>
      <c r="HUA30" s="101"/>
      <c r="HUB30" s="101"/>
      <c r="HUC30" s="101"/>
      <c r="HUD30" s="101"/>
      <c r="HUE30" s="101"/>
      <c r="HUF30" s="101"/>
      <c r="HUG30" s="101"/>
      <c r="HUH30" s="101"/>
      <c r="HUI30" s="101"/>
      <c r="HUJ30" s="101"/>
      <c r="HUK30" s="101"/>
      <c r="HUL30" s="101"/>
      <c r="HUM30" s="101"/>
      <c r="HUN30" s="101"/>
      <c r="HUO30" s="101"/>
      <c r="HUP30" s="101"/>
      <c r="HUQ30" s="101"/>
      <c r="HUR30" s="101"/>
      <c r="HUS30" s="101"/>
      <c r="HUT30" s="101"/>
      <c r="HUU30" s="101"/>
      <c r="HUV30" s="101"/>
      <c r="HUW30" s="101"/>
      <c r="HUX30" s="101"/>
      <c r="HUY30" s="101"/>
      <c r="HUZ30" s="101"/>
      <c r="HVA30" s="101"/>
      <c r="HVB30" s="101"/>
      <c r="HVC30" s="101"/>
      <c r="HVD30" s="101"/>
      <c r="HVE30" s="101"/>
      <c r="HVF30" s="101"/>
      <c r="HVG30" s="101"/>
      <c r="HVH30" s="101"/>
      <c r="HVI30" s="101"/>
      <c r="HVJ30" s="101"/>
      <c r="HVK30" s="101"/>
      <c r="HVL30" s="101"/>
      <c r="HVM30" s="101"/>
      <c r="HVN30" s="101"/>
      <c r="HVO30" s="101"/>
      <c r="HVP30" s="101"/>
      <c r="HVQ30" s="101"/>
      <c r="HVR30" s="101"/>
      <c r="HVS30" s="101"/>
      <c r="HVT30" s="101"/>
      <c r="HVU30" s="101"/>
      <c r="HVV30" s="101"/>
      <c r="HVW30" s="101"/>
      <c r="HVX30" s="101"/>
      <c r="HVY30" s="101"/>
      <c r="HVZ30" s="101"/>
      <c r="HWA30" s="101"/>
      <c r="HWB30" s="101"/>
      <c r="HWC30" s="101"/>
      <c r="HWD30" s="101"/>
      <c r="HWE30" s="101"/>
      <c r="HWF30" s="101"/>
      <c r="HWG30" s="101"/>
      <c r="HWH30" s="101"/>
      <c r="HWI30" s="101"/>
      <c r="HWJ30" s="101"/>
      <c r="HWK30" s="101"/>
      <c r="HWL30" s="101"/>
      <c r="HWM30" s="101"/>
      <c r="HWN30" s="101"/>
      <c r="HWO30" s="101"/>
      <c r="HWP30" s="101"/>
      <c r="HWQ30" s="101"/>
      <c r="HWR30" s="101"/>
      <c r="HWS30" s="101"/>
      <c r="HWT30" s="101"/>
      <c r="HWU30" s="101"/>
      <c r="HWV30" s="101"/>
      <c r="HWW30" s="101"/>
      <c r="HWX30" s="101"/>
      <c r="HWY30" s="101"/>
      <c r="HWZ30" s="101"/>
      <c r="HXA30" s="101"/>
      <c r="HXB30" s="101"/>
      <c r="HXC30" s="101"/>
      <c r="HXD30" s="101"/>
      <c r="HXE30" s="101"/>
      <c r="HXF30" s="101"/>
      <c r="HXG30" s="101"/>
      <c r="HXH30" s="101"/>
      <c r="HXI30" s="101"/>
      <c r="HXJ30" s="101"/>
      <c r="HXK30" s="101"/>
      <c r="HXL30" s="101"/>
      <c r="HXM30" s="101"/>
      <c r="HXN30" s="101"/>
      <c r="HXO30" s="101"/>
      <c r="HXP30" s="101"/>
      <c r="HXQ30" s="101"/>
      <c r="HXR30" s="101"/>
      <c r="HXS30" s="101"/>
      <c r="HXT30" s="101"/>
      <c r="HXU30" s="101"/>
      <c r="HXV30" s="101"/>
      <c r="HXW30" s="101"/>
      <c r="HXX30" s="101"/>
      <c r="HXY30" s="101"/>
      <c r="HXZ30" s="101"/>
      <c r="HYA30" s="101"/>
      <c r="HYB30" s="101"/>
      <c r="HYC30" s="101"/>
      <c r="HYD30" s="101"/>
      <c r="HYE30" s="101"/>
      <c r="HYF30" s="101"/>
      <c r="HYG30" s="101"/>
      <c r="HYH30" s="101"/>
      <c r="HYI30" s="101"/>
      <c r="HYJ30" s="101"/>
      <c r="HYK30" s="101"/>
      <c r="HYL30" s="101"/>
      <c r="HYM30" s="101"/>
      <c r="HYN30" s="101"/>
      <c r="HYO30" s="101"/>
      <c r="HYP30" s="101"/>
      <c r="HYQ30" s="101"/>
      <c r="HYR30" s="101"/>
      <c r="HYS30" s="101"/>
      <c r="HYT30" s="101"/>
      <c r="HYU30" s="101"/>
      <c r="HYV30" s="101"/>
      <c r="HYW30" s="101"/>
      <c r="HYX30" s="101"/>
      <c r="HYY30" s="101"/>
      <c r="HYZ30" s="101"/>
      <c r="HZA30" s="101"/>
      <c r="HZB30" s="101"/>
      <c r="HZC30" s="101"/>
      <c r="HZD30" s="101"/>
      <c r="HZE30" s="101"/>
      <c r="HZF30" s="101"/>
      <c r="HZG30" s="101"/>
      <c r="HZH30" s="101"/>
      <c r="HZI30" s="101"/>
      <c r="HZJ30" s="101"/>
      <c r="HZK30" s="101"/>
      <c r="HZL30" s="101"/>
      <c r="HZM30" s="101"/>
      <c r="HZN30" s="101"/>
      <c r="HZO30" s="101"/>
      <c r="HZP30" s="101"/>
      <c r="HZQ30" s="101"/>
      <c r="HZR30" s="101"/>
      <c r="HZS30" s="101"/>
      <c r="HZT30" s="101"/>
      <c r="HZU30" s="101"/>
      <c r="HZV30" s="101"/>
      <c r="HZW30" s="101"/>
      <c r="HZX30" s="101"/>
      <c r="HZY30" s="101"/>
      <c r="HZZ30" s="101"/>
      <c r="IAA30" s="101"/>
      <c r="IAB30" s="101"/>
      <c r="IAC30" s="101"/>
      <c r="IAD30" s="101"/>
      <c r="IAE30" s="101"/>
      <c r="IAF30" s="101"/>
      <c r="IAG30" s="101"/>
      <c r="IAH30" s="101"/>
      <c r="IAI30" s="101"/>
      <c r="IAJ30" s="101"/>
      <c r="IAK30" s="101"/>
      <c r="IAL30" s="101"/>
      <c r="IAM30" s="101"/>
      <c r="IAN30" s="101"/>
      <c r="IAO30" s="101"/>
      <c r="IAP30" s="101"/>
      <c r="IAQ30" s="101"/>
      <c r="IAR30" s="101"/>
      <c r="IAS30" s="101"/>
      <c r="IAT30" s="101"/>
      <c r="IAU30" s="101"/>
      <c r="IAV30" s="101"/>
      <c r="IAW30" s="101"/>
      <c r="IAX30" s="101"/>
      <c r="IAY30" s="101"/>
      <c r="IAZ30" s="101"/>
      <c r="IBA30" s="101"/>
      <c r="IBB30" s="101"/>
      <c r="IBC30" s="101"/>
      <c r="IBD30" s="101"/>
      <c r="IBE30" s="101"/>
      <c r="IBF30" s="101"/>
      <c r="IBG30" s="101"/>
      <c r="IBH30" s="101"/>
      <c r="IBI30" s="101"/>
      <c r="IBJ30" s="101"/>
      <c r="IBK30" s="101"/>
      <c r="IBL30" s="101"/>
      <c r="IBM30" s="101"/>
      <c r="IBN30" s="101"/>
      <c r="IBO30" s="101"/>
      <c r="IBP30" s="101"/>
      <c r="IBQ30" s="101"/>
      <c r="IBR30" s="101"/>
      <c r="IBS30" s="101"/>
      <c r="IBT30" s="101"/>
      <c r="IBU30" s="101"/>
      <c r="IBV30" s="101"/>
      <c r="IBW30" s="101"/>
      <c r="IBX30" s="101"/>
      <c r="IBY30" s="101"/>
      <c r="IBZ30" s="101"/>
      <c r="ICA30" s="101"/>
      <c r="ICB30" s="101"/>
      <c r="ICC30" s="101"/>
      <c r="ICD30" s="101"/>
      <c r="ICE30" s="101"/>
      <c r="ICF30" s="101"/>
      <c r="ICG30" s="101"/>
      <c r="ICH30" s="101"/>
      <c r="ICI30" s="101"/>
      <c r="ICJ30" s="101"/>
      <c r="ICK30" s="101"/>
      <c r="ICL30" s="101"/>
      <c r="ICM30" s="101"/>
      <c r="ICN30" s="101"/>
      <c r="ICO30" s="101"/>
      <c r="ICP30" s="101"/>
      <c r="ICQ30" s="101"/>
      <c r="ICR30" s="101"/>
      <c r="ICS30" s="101"/>
      <c r="ICT30" s="101"/>
      <c r="ICU30" s="101"/>
      <c r="ICV30" s="101"/>
      <c r="ICW30" s="101"/>
      <c r="ICX30" s="101"/>
      <c r="ICY30" s="101"/>
      <c r="ICZ30" s="101"/>
      <c r="IDA30" s="101"/>
      <c r="IDB30" s="101"/>
      <c r="IDC30" s="101"/>
      <c r="IDD30" s="101"/>
      <c r="IDE30" s="101"/>
      <c r="IDF30" s="101"/>
      <c r="IDG30" s="101"/>
      <c r="IDH30" s="101"/>
      <c r="IDI30" s="101"/>
      <c r="IDJ30" s="101"/>
      <c r="IDK30" s="101"/>
      <c r="IDL30" s="101"/>
      <c r="IDM30" s="101"/>
      <c r="IDN30" s="101"/>
      <c r="IDO30" s="101"/>
      <c r="IDP30" s="101"/>
      <c r="IDQ30" s="101"/>
      <c r="IDR30" s="101"/>
      <c r="IDS30" s="101"/>
      <c r="IDT30" s="101"/>
      <c r="IDU30" s="101"/>
      <c r="IDV30" s="101"/>
      <c r="IDW30" s="101"/>
      <c r="IDX30" s="101"/>
      <c r="IDY30" s="101"/>
      <c r="IDZ30" s="101"/>
      <c r="IEA30" s="101"/>
      <c r="IEB30" s="101"/>
      <c r="IEC30" s="101"/>
      <c r="IED30" s="101"/>
      <c r="IEE30" s="101"/>
      <c r="IEF30" s="101"/>
      <c r="IEG30" s="101"/>
      <c r="IEH30" s="101"/>
      <c r="IEI30" s="101"/>
      <c r="IEJ30" s="101"/>
      <c r="IEK30" s="101"/>
      <c r="IEL30" s="101"/>
      <c r="IEM30" s="101"/>
      <c r="IEN30" s="101"/>
      <c r="IEO30" s="101"/>
      <c r="IEP30" s="101"/>
      <c r="IEQ30" s="101"/>
      <c r="IER30" s="101"/>
      <c r="IES30" s="101"/>
      <c r="IET30" s="101"/>
      <c r="IEU30" s="101"/>
      <c r="IEV30" s="101"/>
      <c r="IEW30" s="101"/>
      <c r="IEX30" s="101"/>
      <c r="IEY30" s="101"/>
      <c r="IEZ30" s="101"/>
      <c r="IFA30" s="101"/>
      <c r="IFB30" s="101"/>
      <c r="IFC30" s="101"/>
      <c r="IFD30" s="101"/>
      <c r="IFE30" s="101"/>
      <c r="IFF30" s="101"/>
      <c r="IFG30" s="101"/>
      <c r="IFH30" s="101"/>
      <c r="IFI30" s="101"/>
      <c r="IFJ30" s="101"/>
      <c r="IFK30" s="101"/>
      <c r="IFL30" s="101"/>
      <c r="IFM30" s="101"/>
      <c r="IFN30" s="101"/>
      <c r="IFO30" s="101"/>
      <c r="IFP30" s="101"/>
      <c r="IFQ30" s="101"/>
      <c r="IFR30" s="101"/>
      <c r="IFS30" s="101"/>
      <c r="IFT30" s="101"/>
      <c r="IFU30" s="101"/>
      <c r="IFV30" s="101"/>
      <c r="IFW30" s="101"/>
      <c r="IFX30" s="101"/>
      <c r="IFY30" s="101"/>
      <c r="IFZ30" s="101"/>
      <c r="IGA30" s="101"/>
      <c r="IGB30" s="101"/>
      <c r="IGC30" s="101"/>
      <c r="IGD30" s="101"/>
      <c r="IGE30" s="101"/>
      <c r="IGF30" s="101"/>
      <c r="IGG30" s="101"/>
      <c r="IGH30" s="101"/>
      <c r="IGI30" s="101"/>
      <c r="IGJ30" s="101"/>
      <c r="IGK30" s="101"/>
      <c r="IGL30" s="101"/>
      <c r="IGM30" s="101"/>
      <c r="IGN30" s="101"/>
      <c r="IGO30" s="101"/>
      <c r="IGP30" s="101"/>
      <c r="IGQ30" s="101"/>
      <c r="IGR30" s="101"/>
      <c r="IGS30" s="101"/>
      <c r="IGT30" s="101"/>
      <c r="IGU30" s="101"/>
      <c r="IGV30" s="101"/>
      <c r="IGW30" s="101"/>
      <c r="IGX30" s="101"/>
      <c r="IGY30" s="101"/>
      <c r="IGZ30" s="101"/>
      <c r="IHA30" s="101"/>
      <c r="IHB30" s="101"/>
      <c r="IHC30" s="101"/>
      <c r="IHD30" s="101"/>
      <c r="IHE30" s="101"/>
      <c r="IHF30" s="101"/>
      <c r="IHG30" s="101"/>
      <c r="IHH30" s="101"/>
      <c r="IHI30" s="101"/>
      <c r="IHJ30" s="101"/>
      <c r="IHK30" s="101"/>
      <c r="IHL30" s="101"/>
      <c r="IHM30" s="101"/>
      <c r="IHN30" s="101"/>
      <c r="IHO30" s="101"/>
      <c r="IHP30" s="101"/>
      <c r="IHQ30" s="101"/>
      <c r="IHR30" s="101"/>
      <c r="IHS30" s="101"/>
      <c r="IHT30" s="101"/>
      <c r="IHU30" s="101"/>
      <c r="IHV30" s="101"/>
      <c r="IHW30" s="101"/>
      <c r="IHX30" s="101"/>
      <c r="IHY30" s="101"/>
      <c r="IHZ30" s="101"/>
      <c r="IIA30" s="101"/>
      <c r="IIB30" s="101"/>
      <c r="IIC30" s="101"/>
      <c r="IID30" s="101"/>
      <c r="IIE30" s="101"/>
      <c r="IIF30" s="101"/>
      <c r="IIG30" s="101"/>
      <c r="IIH30" s="101"/>
      <c r="III30" s="101"/>
      <c r="IIJ30" s="101"/>
      <c r="IIK30" s="101"/>
      <c r="IIL30" s="101"/>
      <c r="IIM30" s="101"/>
      <c r="IIN30" s="101"/>
      <c r="IIO30" s="101"/>
      <c r="IIP30" s="101"/>
      <c r="IIQ30" s="101"/>
      <c r="IIR30" s="101"/>
      <c r="IIS30" s="101"/>
      <c r="IIT30" s="101"/>
      <c r="IIU30" s="101"/>
      <c r="IIV30" s="101"/>
      <c r="IIW30" s="101"/>
      <c r="IIX30" s="101"/>
      <c r="IIY30" s="101"/>
      <c r="IIZ30" s="101"/>
      <c r="IJA30" s="101"/>
      <c r="IJB30" s="101"/>
      <c r="IJC30" s="101"/>
      <c r="IJD30" s="101"/>
      <c r="IJE30" s="101"/>
      <c r="IJF30" s="101"/>
      <c r="IJG30" s="101"/>
      <c r="IJH30" s="101"/>
      <c r="IJI30" s="101"/>
      <c r="IJJ30" s="101"/>
      <c r="IJK30" s="101"/>
      <c r="IJL30" s="101"/>
      <c r="IJM30" s="101"/>
      <c r="IJN30" s="101"/>
      <c r="IJO30" s="101"/>
      <c r="IJP30" s="101"/>
      <c r="IJQ30" s="101"/>
      <c r="IJR30" s="101"/>
      <c r="IJS30" s="101"/>
      <c r="IJT30" s="101"/>
      <c r="IJU30" s="101"/>
      <c r="IJV30" s="101"/>
      <c r="IJW30" s="101"/>
      <c r="IJX30" s="101"/>
      <c r="IJY30" s="101"/>
      <c r="IJZ30" s="101"/>
      <c r="IKA30" s="101"/>
      <c r="IKB30" s="101"/>
      <c r="IKC30" s="101"/>
      <c r="IKD30" s="101"/>
      <c r="IKE30" s="101"/>
      <c r="IKF30" s="101"/>
      <c r="IKG30" s="101"/>
      <c r="IKH30" s="101"/>
      <c r="IKI30" s="101"/>
      <c r="IKJ30" s="101"/>
      <c r="IKK30" s="101"/>
      <c r="IKL30" s="101"/>
      <c r="IKM30" s="101"/>
      <c r="IKN30" s="101"/>
      <c r="IKO30" s="101"/>
      <c r="IKP30" s="101"/>
      <c r="IKQ30" s="101"/>
      <c r="IKR30" s="101"/>
      <c r="IKS30" s="101"/>
      <c r="IKT30" s="101"/>
      <c r="IKU30" s="101"/>
      <c r="IKV30" s="101"/>
      <c r="IKW30" s="101"/>
      <c r="IKX30" s="101"/>
      <c r="IKY30" s="101"/>
      <c r="IKZ30" s="101"/>
      <c r="ILA30" s="101"/>
      <c r="ILB30" s="101"/>
      <c r="ILC30" s="101"/>
      <c r="ILD30" s="101"/>
      <c r="ILE30" s="101"/>
      <c r="ILF30" s="101"/>
      <c r="ILG30" s="101"/>
      <c r="ILH30" s="101"/>
      <c r="ILI30" s="101"/>
      <c r="ILJ30" s="101"/>
      <c r="ILK30" s="101"/>
      <c r="ILL30" s="101"/>
      <c r="ILM30" s="101"/>
      <c r="ILN30" s="101"/>
      <c r="ILO30" s="101"/>
      <c r="ILP30" s="101"/>
      <c r="ILQ30" s="101"/>
      <c r="ILR30" s="101"/>
      <c r="ILS30" s="101"/>
      <c r="ILT30" s="101"/>
      <c r="ILU30" s="101"/>
      <c r="ILV30" s="101"/>
      <c r="ILW30" s="101"/>
      <c r="ILX30" s="101"/>
      <c r="ILY30" s="101"/>
      <c r="ILZ30" s="101"/>
      <c r="IMA30" s="101"/>
      <c r="IMB30" s="101"/>
      <c r="IMC30" s="101"/>
      <c r="IMD30" s="101"/>
      <c r="IME30" s="101"/>
      <c r="IMF30" s="101"/>
      <c r="IMG30" s="101"/>
      <c r="IMH30" s="101"/>
      <c r="IMI30" s="101"/>
      <c r="IMJ30" s="101"/>
      <c r="IMK30" s="101"/>
      <c r="IML30" s="101"/>
      <c r="IMM30" s="101"/>
      <c r="IMN30" s="101"/>
      <c r="IMO30" s="101"/>
      <c r="IMP30" s="101"/>
      <c r="IMQ30" s="101"/>
      <c r="IMR30" s="101"/>
      <c r="IMS30" s="101"/>
      <c r="IMT30" s="101"/>
      <c r="IMU30" s="101"/>
      <c r="IMV30" s="101"/>
      <c r="IMW30" s="101"/>
      <c r="IMX30" s="101"/>
      <c r="IMY30" s="101"/>
      <c r="IMZ30" s="101"/>
      <c r="INA30" s="101"/>
      <c r="INB30" s="101"/>
      <c r="INC30" s="101"/>
      <c r="IND30" s="101"/>
      <c r="INE30" s="101"/>
      <c r="INF30" s="101"/>
      <c r="ING30" s="101"/>
      <c r="INH30" s="101"/>
      <c r="INI30" s="101"/>
      <c r="INJ30" s="101"/>
      <c r="INK30" s="101"/>
      <c r="INL30" s="101"/>
      <c r="INM30" s="101"/>
      <c r="INN30" s="101"/>
      <c r="INO30" s="101"/>
      <c r="INP30" s="101"/>
      <c r="INQ30" s="101"/>
      <c r="INR30" s="101"/>
      <c r="INS30" s="101"/>
      <c r="INT30" s="101"/>
      <c r="INU30" s="101"/>
      <c r="INV30" s="101"/>
      <c r="INW30" s="101"/>
      <c r="INX30" s="101"/>
      <c r="INY30" s="101"/>
      <c r="INZ30" s="101"/>
      <c r="IOA30" s="101"/>
      <c r="IOB30" s="101"/>
      <c r="IOC30" s="101"/>
      <c r="IOD30" s="101"/>
      <c r="IOE30" s="101"/>
      <c r="IOF30" s="101"/>
      <c r="IOG30" s="101"/>
      <c r="IOH30" s="101"/>
      <c r="IOI30" s="101"/>
      <c r="IOJ30" s="101"/>
      <c r="IOK30" s="101"/>
      <c r="IOL30" s="101"/>
      <c r="IOM30" s="101"/>
      <c r="ION30" s="101"/>
      <c r="IOO30" s="101"/>
      <c r="IOP30" s="101"/>
      <c r="IOQ30" s="101"/>
      <c r="IOR30" s="101"/>
      <c r="IOS30" s="101"/>
      <c r="IOT30" s="101"/>
      <c r="IOU30" s="101"/>
      <c r="IOV30" s="101"/>
      <c r="IOW30" s="101"/>
      <c r="IOX30" s="101"/>
      <c r="IOY30" s="101"/>
      <c r="IOZ30" s="101"/>
      <c r="IPA30" s="101"/>
      <c r="IPB30" s="101"/>
      <c r="IPC30" s="101"/>
      <c r="IPD30" s="101"/>
      <c r="IPE30" s="101"/>
      <c r="IPF30" s="101"/>
      <c r="IPG30" s="101"/>
      <c r="IPH30" s="101"/>
      <c r="IPI30" s="101"/>
      <c r="IPJ30" s="101"/>
      <c r="IPK30" s="101"/>
      <c r="IPL30" s="101"/>
      <c r="IPM30" s="101"/>
      <c r="IPN30" s="101"/>
      <c r="IPO30" s="101"/>
      <c r="IPP30" s="101"/>
      <c r="IPQ30" s="101"/>
      <c r="IPR30" s="101"/>
      <c r="IPS30" s="101"/>
      <c r="IPT30" s="101"/>
      <c r="IPU30" s="101"/>
      <c r="IPV30" s="101"/>
      <c r="IPW30" s="101"/>
      <c r="IPX30" s="101"/>
      <c r="IPY30" s="101"/>
      <c r="IPZ30" s="101"/>
      <c r="IQA30" s="101"/>
      <c r="IQB30" s="101"/>
      <c r="IQC30" s="101"/>
      <c r="IQD30" s="101"/>
      <c r="IQE30" s="101"/>
      <c r="IQF30" s="101"/>
      <c r="IQG30" s="101"/>
      <c r="IQH30" s="101"/>
      <c r="IQI30" s="101"/>
      <c r="IQJ30" s="101"/>
      <c r="IQK30" s="101"/>
      <c r="IQL30" s="101"/>
      <c r="IQM30" s="101"/>
      <c r="IQN30" s="101"/>
      <c r="IQO30" s="101"/>
      <c r="IQP30" s="101"/>
      <c r="IQQ30" s="101"/>
      <c r="IQR30" s="101"/>
      <c r="IQS30" s="101"/>
      <c r="IQT30" s="101"/>
      <c r="IQU30" s="101"/>
      <c r="IQV30" s="101"/>
      <c r="IQW30" s="101"/>
      <c r="IQX30" s="101"/>
      <c r="IQY30" s="101"/>
      <c r="IQZ30" s="101"/>
      <c r="IRA30" s="101"/>
      <c r="IRB30" s="101"/>
      <c r="IRC30" s="101"/>
      <c r="IRD30" s="101"/>
      <c r="IRE30" s="101"/>
      <c r="IRF30" s="101"/>
      <c r="IRG30" s="101"/>
      <c r="IRH30" s="101"/>
      <c r="IRI30" s="101"/>
      <c r="IRJ30" s="101"/>
      <c r="IRK30" s="101"/>
      <c r="IRL30" s="101"/>
      <c r="IRM30" s="101"/>
      <c r="IRN30" s="101"/>
      <c r="IRO30" s="101"/>
      <c r="IRP30" s="101"/>
      <c r="IRQ30" s="101"/>
      <c r="IRR30" s="101"/>
      <c r="IRS30" s="101"/>
      <c r="IRT30" s="101"/>
      <c r="IRU30" s="101"/>
      <c r="IRV30" s="101"/>
      <c r="IRW30" s="101"/>
      <c r="IRX30" s="101"/>
      <c r="IRY30" s="101"/>
      <c r="IRZ30" s="101"/>
      <c r="ISA30" s="101"/>
      <c r="ISB30" s="101"/>
      <c r="ISC30" s="101"/>
      <c r="ISD30" s="101"/>
      <c r="ISE30" s="101"/>
      <c r="ISF30" s="101"/>
      <c r="ISG30" s="101"/>
      <c r="ISH30" s="101"/>
      <c r="ISI30" s="101"/>
      <c r="ISJ30" s="101"/>
      <c r="ISK30" s="101"/>
      <c r="ISL30" s="101"/>
      <c r="ISM30" s="101"/>
      <c r="ISN30" s="101"/>
      <c r="ISO30" s="101"/>
      <c r="ISP30" s="101"/>
      <c r="ISQ30" s="101"/>
      <c r="ISR30" s="101"/>
      <c r="ISS30" s="101"/>
      <c r="IST30" s="101"/>
      <c r="ISU30" s="101"/>
      <c r="ISV30" s="101"/>
      <c r="ISW30" s="101"/>
      <c r="ISX30" s="101"/>
      <c r="ISY30" s="101"/>
      <c r="ISZ30" s="101"/>
      <c r="ITA30" s="101"/>
      <c r="ITB30" s="101"/>
      <c r="ITC30" s="101"/>
      <c r="ITD30" s="101"/>
      <c r="ITE30" s="101"/>
      <c r="ITF30" s="101"/>
      <c r="ITG30" s="101"/>
      <c r="ITH30" s="101"/>
      <c r="ITI30" s="101"/>
      <c r="ITJ30" s="101"/>
      <c r="ITK30" s="101"/>
      <c r="ITL30" s="101"/>
      <c r="ITM30" s="101"/>
      <c r="ITN30" s="101"/>
      <c r="ITO30" s="101"/>
      <c r="ITP30" s="101"/>
      <c r="ITQ30" s="101"/>
      <c r="ITR30" s="101"/>
      <c r="ITS30" s="101"/>
      <c r="ITT30" s="101"/>
      <c r="ITU30" s="101"/>
      <c r="ITV30" s="101"/>
      <c r="ITW30" s="101"/>
      <c r="ITX30" s="101"/>
      <c r="ITY30" s="101"/>
      <c r="ITZ30" s="101"/>
      <c r="IUA30" s="101"/>
      <c r="IUB30" s="101"/>
      <c r="IUC30" s="101"/>
      <c r="IUD30" s="101"/>
      <c r="IUE30" s="101"/>
      <c r="IUF30" s="101"/>
      <c r="IUG30" s="101"/>
      <c r="IUH30" s="101"/>
      <c r="IUI30" s="101"/>
      <c r="IUJ30" s="101"/>
      <c r="IUK30" s="101"/>
      <c r="IUL30" s="101"/>
      <c r="IUM30" s="101"/>
      <c r="IUN30" s="101"/>
      <c r="IUO30" s="101"/>
      <c r="IUP30" s="101"/>
      <c r="IUQ30" s="101"/>
      <c r="IUR30" s="101"/>
      <c r="IUS30" s="101"/>
      <c r="IUT30" s="101"/>
      <c r="IUU30" s="101"/>
      <c r="IUV30" s="101"/>
      <c r="IUW30" s="101"/>
      <c r="IUX30" s="101"/>
      <c r="IUY30" s="101"/>
      <c r="IUZ30" s="101"/>
      <c r="IVA30" s="101"/>
      <c r="IVB30" s="101"/>
      <c r="IVC30" s="101"/>
      <c r="IVD30" s="101"/>
      <c r="IVE30" s="101"/>
      <c r="IVF30" s="101"/>
      <c r="IVG30" s="101"/>
      <c r="IVH30" s="101"/>
      <c r="IVI30" s="101"/>
      <c r="IVJ30" s="101"/>
      <c r="IVK30" s="101"/>
      <c r="IVL30" s="101"/>
      <c r="IVM30" s="101"/>
      <c r="IVN30" s="101"/>
      <c r="IVO30" s="101"/>
      <c r="IVP30" s="101"/>
      <c r="IVQ30" s="101"/>
      <c r="IVR30" s="101"/>
      <c r="IVS30" s="101"/>
      <c r="IVT30" s="101"/>
      <c r="IVU30" s="101"/>
      <c r="IVV30" s="101"/>
      <c r="IVW30" s="101"/>
      <c r="IVX30" s="101"/>
      <c r="IVY30" s="101"/>
      <c r="IVZ30" s="101"/>
      <c r="IWA30" s="101"/>
      <c r="IWB30" s="101"/>
      <c r="IWC30" s="101"/>
      <c r="IWD30" s="101"/>
      <c r="IWE30" s="101"/>
      <c r="IWF30" s="101"/>
      <c r="IWG30" s="101"/>
      <c r="IWH30" s="101"/>
      <c r="IWI30" s="101"/>
      <c r="IWJ30" s="101"/>
      <c r="IWK30" s="101"/>
      <c r="IWL30" s="101"/>
      <c r="IWM30" s="101"/>
      <c r="IWN30" s="101"/>
      <c r="IWO30" s="101"/>
      <c r="IWP30" s="101"/>
      <c r="IWQ30" s="101"/>
      <c r="IWR30" s="101"/>
      <c r="IWS30" s="101"/>
      <c r="IWT30" s="101"/>
      <c r="IWU30" s="101"/>
      <c r="IWV30" s="101"/>
      <c r="IWW30" s="101"/>
      <c r="IWX30" s="101"/>
      <c r="IWY30" s="101"/>
      <c r="IWZ30" s="101"/>
      <c r="IXA30" s="101"/>
      <c r="IXB30" s="101"/>
      <c r="IXC30" s="101"/>
      <c r="IXD30" s="101"/>
      <c r="IXE30" s="101"/>
      <c r="IXF30" s="101"/>
      <c r="IXG30" s="101"/>
      <c r="IXH30" s="101"/>
      <c r="IXI30" s="101"/>
      <c r="IXJ30" s="101"/>
      <c r="IXK30" s="101"/>
      <c r="IXL30" s="101"/>
      <c r="IXM30" s="101"/>
      <c r="IXN30" s="101"/>
      <c r="IXO30" s="101"/>
      <c r="IXP30" s="101"/>
      <c r="IXQ30" s="101"/>
      <c r="IXR30" s="101"/>
      <c r="IXS30" s="101"/>
      <c r="IXT30" s="101"/>
      <c r="IXU30" s="101"/>
      <c r="IXV30" s="101"/>
      <c r="IXW30" s="101"/>
      <c r="IXX30" s="101"/>
      <c r="IXY30" s="101"/>
      <c r="IXZ30" s="101"/>
      <c r="IYA30" s="101"/>
      <c r="IYB30" s="101"/>
      <c r="IYC30" s="101"/>
      <c r="IYD30" s="101"/>
      <c r="IYE30" s="101"/>
      <c r="IYF30" s="101"/>
      <c r="IYG30" s="101"/>
      <c r="IYH30" s="101"/>
      <c r="IYI30" s="101"/>
      <c r="IYJ30" s="101"/>
      <c r="IYK30" s="101"/>
      <c r="IYL30" s="101"/>
      <c r="IYM30" s="101"/>
      <c r="IYN30" s="101"/>
      <c r="IYO30" s="101"/>
      <c r="IYP30" s="101"/>
      <c r="IYQ30" s="101"/>
      <c r="IYR30" s="101"/>
      <c r="IYS30" s="101"/>
      <c r="IYT30" s="101"/>
      <c r="IYU30" s="101"/>
      <c r="IYV30" s="101"/>
      <c r="IYW30" s="101"/>
      <c r="IYX30" s="101"/>
      <c r="IYY30" s="101"/>
      <c r="IYZ30" s="101"/>
      <c r="IZA30" s="101"/>
      <c r="IZB30" s="101"/>
      <c r="IZC30" s="101"/>
      <c r="IZD30" s="101"/>
      <c r="IZE30" s="101"/>
      <c r="IZF30" s="101"/>
      <c r="IZG30" s="101"/>
      <c r="IZH30" s="101"/>
      <c r="IZI30" s="101"/>
      <c r="IZJ30" s="101"/>
      <c r="IZK30" s="101"/>
      <c r="IZL30" s="101"/>
      <c r="IZM30" s="101"/>
      <c r="IZN30" s="101"/>
      <c r="IZO30" s="101"/>
      <c r="IZP30" s="101"/>
      <c r="IZQ30" s="101"/>
      <c r="IZR30" s="101"/>
      <c r="IZS30" s="101"/>
      <c r="IZT30" s="101"/>
      <c r="IZU30" s="101"/>
      <c r="IZV30" s="101"/>
      <c r="IZW30" s="101"/>
      <c r="IZX30" s="101"/>
      <c r="IZY30" s="101"/>
      <c r="IZZ30" s="101"/>
      <c r="JAA30" s="101"/>
      <c r="JAB30" s="101"/>
      <c r="JAC30" s="101"/>
      <c r="JAD30" s="101"/>
      <c r="JAE30" s="101"/>
      <c r="JAF30" s="101"/>
      <c r="JAG30" s="101"/>
      <c r="JAH30" s="101"/>
      <c r="JAI30" s="101"/>
      <c r="JAJ30" s="101"/>
      <c r="JAK30" s="101"/>
      <c r="JAL30" s="101"/>
      <c r="JAM30" s="101"/>
      <c r="JAN30" s="101"/>
      <c r="JAO30" s="101"/>
      <c r="JAP30" s="101"/>
      <c r="JAQ30" s="101"/>
      <c r="JAR30" s="101"/>
      <c r="JAS30" s="101"/>
      <c r="JAT30" s="101"/>
      <c r="JAU30" s="101"/>
      <c r="JAV30" s="101"/>
      <c r="JAW30" s="101"/>
      <c r="JAX30" s="101"/>
      <c r="JAY30" s="101"/>
      <c r="JAZ30" s="101"/>
      <c r="JBA30" s="101"/>
      <c r="JBB30" s="101"/>
      <c r="JBC30" s="101"/>
      <c r="JBD30" s="101"/>
      <c r="JBE30" s="101"/>
      <c r="JBF30" s="101"/>
      <c r="JBG30" s="101"/>
      <c r="JBH30" s="101"/>
      <c r="JBI30" s="101"/>
      <c r="JBJ30" s="101"/>
      <c r="JBK30" s="101"/>
      <c r="JBL30" s="101"/>
      <c r="JBM30" s="101"/>
      <c r="JBN30" s="101"/>
      <c r="JBO30" s="101"/>
      <c r="JBP30" s="101"/>
      <c r="JBQ30" s="101"/>
      <c r="JBR30" s="101"/>
      <c r="JBS30" s="101"/>
      <c r="JBT30" s="101"/>
      <c r="JBU30" s="101"/>
      <c r="JBV30" s="101"/>
      <c r="JBW30" s="101"/>
      <c r="JBX30" s="101"/>
      <c r="JBY30" s="101"/>
      <c r="JBZ30" s="101"/>
      <c r="JCA30" s="101"/>
      <c r="JCB30" s="101"/>
      <c r="JCC30" s="101"/>
      <c r="JCD30" s="101"/>
      <c r="JCE30" s="101"/>
      <c r="JCF30" s="101"/>
      <c r="JCG30" s="101"/>
      <c r="JCH30" s="101"/>
      <c r="JCI30" s="101"/>
      <c r="JCJ30" s="101"/>
      <c r="JCK30" s="101"/>
      <c r="JCL30" s="101"/>
      <c r="JCM30" s="101"/>
      <c r="JCN30" s="101"/>
      <c r="JCO30" s="101"/>
      <c r="JCP30" s="101"/>
      <c r="JCQ30" s="101"/>
      <c r="JCR30" s="101"/>
      <c r="JCS30" s="101"/>
      <c r="JCT30" s="101"/>
      <c r="JCU30" s="101"/>
      <c r="JCV30" s="101"/>
      <c r="JCW30" s="101"/>
      <c r="JCX30" s="101"/>
      <c r="JCY30" s="101"/>
      <c r="JCZ30" s="101"/>
      <c r="JDA30" s="101"/>
      <c r="JDB30" s="101"/>
      <c r="JDC30" s="101"/>
      <c r="JDD30" s="101"/>
      <c r="JDE30" s="101"/>
      <c r="JDF30" s="101"/>
      <c r="JDG30" s="101"/>
      <c r="JDH30" s="101"/>
      <c r="JDI30" s="101"/>
      <c r="JDJ30" s="101"/>
      <c r="JDK30" s="101"/>
      <c r="JDL30" s="101"/>
      <c r="JDM30" s="101"/>
      <c r="JDN30" s="101"/>
      <c r="JDO30" s="101"/>
      <c r="JDP30" s="101"/>
      <c r="JDQ30" s="101"/>
      <c r="JDR30" s="101"/>
      <c r="JDS30" s="101"/>
      <c r="JDT30" s="101"/>
      <c r="JDU30" s="101"/>
      <c r="JDV30" s="101"/>
      <c r="JDW30" s="101"/>
      <c r="JDX30" s="101"/>
      <c r="JDY30" s="101"/>
      <c r="JDZ30" s="101"/>
      <c r="JEA30" s="101"/>
      <c r="JEB30" s="101"/>
      <c r="JEC30" s="101"/>
      <c r="JED30" s="101"/>
      <c r="JEE30" s="101"/>
      <c r="JEF30" s="101"/>
      <c r="JEG30" s="101"/>
      <c r="JEH30" s="101"/>
      <c r="JEI30" s="101"/>
      <c r="JEJ30" s="101"/>
      <c r="JEK30" s="101"/>
      <c r="JEL30" s="101"/>
      <c r="JEM30" s="101"/>
      <c r="JEN30" s="101"/>
      <c r="JEO30" s="101"/>
      <c r="JEP30" s="101"/>
      <c r="JEQ30" s="101"/>
      <c r="JER30" s="101"/>
      <c r="JES30" s="101"/>
      <c r="JET30" s="101"/>
      <c r="JEU30" s="101"/>
      <c r="JEV30" s="101"/>
      <c r="JEW30" s="101"/>
      <c r="JEX30" s="101"/>
      <c r="JEY30" s="101"/>
      <c r="JEZ30" s="101"/>
      <c r="JFA30" s="101"/>
      <c r="JFB30" s="101"/>
      <c r="JFC30" s="101"/>
      <c r="JFD30" s="101"/>
      <c r="JFE30" s="101"/>
      <c r="JFF30" s="101"/>
      <c r="JFG30" s="101"/>
      <c r="JFH30" s="101"/>
      <c r="JFI30" s="101"/>
      <c r="JFJ30" s="101"/>
      <c r="JFK30" s="101"/>
      <c r="JFL30" s="101"/>
      <c r="JFM30" s="101"/>
      <c r="JFN30" s="101"/>
      <c r="JFO30" s="101"/>
      <c r="JFP30" s="101"/>
      <c r="JFQ30" s="101"/>
      <c r="JFR30" s="101"/>
      <c r="JFS30" s="101"/>
      <c r="JFT30" s="101"/>
      <c r="JFU30" s="101"/>
      <c r="JFV30" s="101"/>
      <c r="JFW30" s="101"/>
      <c r="JFX30" s="101"/>
      <c r="JFY30" s="101"/>
      <c r="JFZ30" s="101"/>
      <c r="JGA30" s="101"/>
      <c r="JGB30" s="101"/>
      <c r="JGC30" s="101"/>
      <c r="JGD30" s="101"/>
      <c r="JGE30" s="101"/>
      <c r="JGF30" s="101"/>
      <c r="JGG30" s="101"/>
      <c r="JGH30" s="101"/>
      <c r="JGI30" s="101"/>
      <c r="JGJ30" s="101"/>
      <c r="JGK30" s="101"/>
      <c r="JGL30" s="101"/>
      <c r="JGM30" s="101"/>
      <c r="JGN30" s="101"/>
      <c r="JGO30" s="101"/>
      <c r="JGP30" s="101"/>
      <c r="JGQ30" s="101"/>
      <c r="JGR30" s="101"/>
      <c r="JGS30" s="101"/>
      <c r="JGT30" s="101"/>
      <c r="JGU30" s="101"/>
      <c r="JGV30" s="101"/>
      <c r="JGW30" s="101"/>
      <c r="JGX30" s="101"/>
      <c r="JGY30" s="101"/>
      <c r="JGZ30" s="101"/>
      <c r="JHA30" s="101"/>
      <c r="JHB30" s="101"/>
      <c r="JHC30" s="101"/>
      <c r="JHD30" s="101"/>
      <c r="JHE30" s="101"/>
      <c r="JHF30" s="101"/>
      <c r="JHG30" s="101"/>
      <c r="JHH30" s="101"/>
      <c r="JHI30" s="101"/>
      <c r="JHJ30" s="101"/>
      <c r="JHK30" s="101"/>
      <c r="JHL30" s="101"/>
      <c r="JHM30" s="101"/>
      <c r="JHN30" s="101"/>
      <c r="JHO30" s="101"/>
      <c r="JHP30" s="101"/>
      <c r="JHQ30" s="101"/>
      <c r="JHR30" s="101"/>
      <c r="JHS30" s="101"/>
      <c r="JHT30" s="101"/>
      <c r="JHU30" s="101"/>
      <c r="JHV30" s="101"/>
      <c r="JHW30" s="101"/>
      <c r="JHX30" s="101"/>
      <c r="JHY30" s="101"/>
      <c r="JHZ30" s="101"/>
      <c r="JIA30" s="101"/>
      <c r="JIB30" s="101"/>
      <c r="JIC30" s="101"/>
      <c r="JID30" s="101"/>
      <c r="JIE30" s="101"/>
      <c r="JIF30" s="101"/>
      <c r="JIG30" s="101"/>
      <c r="JIH30" s="101"/>
      <c r="JII30" s="101"/>
      <c r="JIJ30" s="101"/>
      <c r="JIK30" s="101"/>
      <c r="JIL30" s="101"/>
      <c r="JIM30" s="101"/>
      <c r="JIN30" s="101"/>
      <c r="JIO30" s="101"/>
      <c r="JIP30" s="101"/>
      <c r="JIQ30" s="101"/>
      <c r="JIR30" s="101"/>
      <c r="JIS30" s="101"/>
      <c r="JIT30" s="101"/>
      <c r="JIU30" s="101"/>
      <c r="JIV30" s="101"/>
      <c r="JIW30" s="101"/>
      <c r="JIX30" s="101"/>
      <c r="JIY30" s="101"/>
      <c r="JIZ30" s="101"/>
      <c r="JJA30" s="101"/>
      <c r="JJB30" s="101"/>
      <c r="JJC30" s="101"/>
      <c r="JJD30" s="101"/>
      <c r="JJE30" s="101"/>
      <c r="JJF30" s="101"/>
      <c r="JJG30" s="101"/>
      <c r="JJH30" s="101"/>
      <c r="JJI30" s="101"/>
      <c r="JJJ30" s="101"/>
      <c r="JJK30" s="101"/>
      <c r="JJL30" s="101"/>
      <c r="JJM30" s="101"/>
      <c r="JJN30" s="101"/>
      <c r="JJO30" s="101"/>
      <c r="JJP30" s="101"/>
      <c r="JJQ30" s="101"/>
      <c r="JJR30" s="101"/>
      <c r="JJS30" s="101"/>
      <c r="JJT30" s="101"/>
      <c r="JJU30" s="101"/>
      <c r="JJV30" s="101"/>
      <c r="JJW30" s="101"/>
      <c r="JJX30" s="101"/>
      <c r="JJY30" s="101"/>
      <c r="JJZ30" s="101"/>
      <c r="JKA30" s="101"/>
      <c r="JKB30" s="101"/>
      <c r="JKC30" s="101"/>
      <c r="JKD30" s="101"/>
      <c r="JKE30" s="101"/>
      <c r="JKF30" s="101"/>
      <c r="JKG30" s="101"/>
      <c r="JKH30" s="101"/>
      <c r="JKI30" s="101"/>
      <c r="JKJ30" s="101"/>
      <c r="JKK30" s="101"/>
      <c r="JKL30" s="101"/>
      <c r="JKM30" s="101"/>
      <c r="JKN30" s="101"/>
      <c r="JKO30" s="101"/>
      <c r="JKP30" s="101"/>
      <c r="JKQ30" s="101"/>
      <c r="JKR30" s="101"/>
      <c r="JKS30" s="101"/>
      <c r="JKT30" s="101"/>
      <c r="JKU30" s="101"/>
      <c r="JKV30" s="101"/>
      <c r="JKW30" s="101"/>
      <c r="JKX30" s="101"/>
      <c r="JKY30" s="101"/>
      <c r="JKZ30" s="101"/>
      <c r="JLA30" s="101"/>
      <c r="JLB30" s="101"/>
      <c r="JLC30" s="101"/>
      <c r="JLD30" s="101"/>
      <c r="JLE30" s="101"/>
      <c r="JLF30" s="101"/>
      <c r="JLG30" s="101"/>
      <c r="JLH30" s="101"/>
      <c r="JLI30" s="101"/>
      <c r="JLJ30" s="101"/>
      <c r="JLK30" s="101"/>
      <c r="JLL30" s="101"/>
      <c r="JLM30" s="101"/>
      <c r="JLN30" s="101"/>
      <c r="JLO30" s="101"/>
      <c r="JLP30" s="101"/>
      <c r="JLQ30" s="101"/>
      <c r="JLR30" s="101"/>
      <c r="JLS30" s="101"/>
      <c r="JLT30" s="101"/>
      <c r="JLU30" s="101"/>
      <c r="JLV30" s="101"/>
      <c r="JLW30" s="101"/>
      <c r="JLX30" s="101"/>
      <c r="JLY30" s="101"/>
      <c r="JLZ30" s="101"/>
      <c r="JMA30" s="101"/>
      <c r="JMB30" s="101"/>
      <c r="JMC30" s="101"/>
      <c r="JMD30" s="101"/>
      <c r="JME30" s="101"/>
      <c r="JMF30" s="101"/>
      <c r="JMG30" s="101"/>
      <c r="JMH30" s="101"/>
      <c r="JMI30" s="101"/>
      <c r="JMJ30" s="101"/>
      <c r="JMK30" s="101"/>
      <c r="JML30" s="101"/>
      <c r="JMM30" s="101"/>
      <c r="JMN30" s="101"/>
      <c r="JMO30" s="101"/>
      <c r="JMP30" s="101"/>
      <c r="JMQ30" s="101"/>
      <c r="JMR30" s="101"/>
      <c r="JMS30" s="101"/>
      <c r="JMT30" s="101"/>
      <c r="JMU30" s="101"/>
      <c r="JMV30" s="101"/>
      <c r="JMW30" s="101"/>
      <c r="JMX30" s="101"/>
      <c r="JMY30" s="101"/>
      <c r="JMZ30" s="101"/>
      <c r="JNA30" s="101"/>
      <c r="JNB30" s="101"/>
      <c r="JNC30" s="101"/>
      <c r="JND30" s="101"/>
      <c r="JNE30" s="101"/>
      <c r="JNF30" s="101"/>
      <c r="JNG30" s="101"/>
      <c r="JNH30" s="101"/>
      <c r="JNI30" s="101"/>
      <c r="JNJ30" s="101"/>
      <c r="JNK30" s="101"/>
      <c r="JNL30" s="101"/>
      <c r="JNM30" s="101"/>
      <c r="JNN30" s="101"/>
      <c r="JNO30" s="101"/>
      <c r="JNP30" s="101"/>
      <c r="JNQ30" s="101"/>
      <c r="JNR30" s="101"/>
      <c r="JNS30" s="101"/>
      <c r="JNT30" s="101"/>
      <c r="JNU30" s="101"/>
      <c r="JNV30" s="101"/>
      <c r="JNW30" s="101"/>
      <c r="JNX30" s="101"/>
      <c r="JNY30" s="101"/>
      <c r="JNZ30" s="101"/>
      <c r="JOA30" s="101"/>
      <c r="JOB30" s="101"/>
      <c r="JOC30" s="101"/>
      <c r="JOD30" s="101"/>
      <c r="JOE30" s="101"/>
      <c r="JOF30" s="101"/>
      <c r="JOG30" s="101"/>
      <c r="JOH30" s="101"/>
      <c r="JOI30" s="101"/>
      <c r="JOJ30" s="101"/>
      <c r="JOK30" s="101"/>
      <c r="JOL30" s="101"/>
      <c r="JOM30" s="101"/>
      <c r="JON30" s="101"/>
      <c r="JOO30" s="101"/>
      <c r="JOP30" s="101"/>
      <c r="JOQ30" s="101"/>
      <c r="JOR30" s="101"/>
      <c r="JOS30" s="101"/>
      <c r="JOT30" s="101"/>
      <c r="JOU30" s="101"/>
      <c r="JOV30" s="101"/>
      <c r="JOW30" s="101"/>
      <c r="JOX30" s="101"/>
      <c r="JOY30" s="101"/>
      <c r="JOZ30" s="101"/>
      <c r="JPA30" s="101"/>
      <c r="JPB30" s="101"/>
      <c r="JPC30" s="101"/>
      <c r="JPD30" s="101"/>
      <c r="JPE30" s="101"/>
      <c r="JPF30" s="101"/>
      <c r="JPG30" s="101"/>
      <c r="JPH30" s="101"/>
      <c r="JPI30" s="101"/>
      <c r="JPJ30" s="101"/>
      <c r="JPK30" s="101"/>
      <c r="JPL30" s="101"/>
      <c r="JPM30" s="101"/>
      <c r="JPN30" s="101"/>
      <c r="JPO30" s="101"/>
      <c r="JPP30" s="101"/>
      <c r="JPQ30" s="101"/>
      <c r="JPR30" s="101"/>
      <c r="JPS30" s="101"/>
      <c r="JPT30" s="101"/>
      <c r="JPU30" s="101"/>
      <c r="JPV30" s="101"/>
      <c r="JPW30" s="101"/>
      <c r="JPX30" s="101"/>
      <c r="JPY30" s="101"/>
      <c r="JPZ30" s="101"/>
      <c r="JQA30" s="101"/>
      <c r="JQB30" s="101"/>
      <c r="JQC30" s="101"/>
      <c r="JQD30" s="101"/>
      <c r="JQE30" s="101"/>
      <c r="JQF30" s="101"/>
      <c r="JQG30" s="101"/>
      <c r="JQH30" s="101"/>
      <c r="JQI30" s="101"/>
      <c r="JQJ30" s="101"/>
      <c r="JQK30" s="101"/>
      <c r="JQL30" s="101"/>
      <c r="JQM30" s="101"/>
      <c r="JQN30" s="101"/>
      <c r="JQO30" s="101"/>
      <c r="JQP30" s="101"/>
      <c r="JQQ30" s="101"/>
      <c r="JQR30" s="101"/>
      <c r="JQS30" s="101"/>
      <c r="JQT30" s="101"/>
      <c r="JQU30" s="101"/>
      <c r="JQV30" s="101"/>
      <c r="JQW30" s="101"/>
      <c r="JQX30" s="101"/>
      <c r="JQY30" s="101"/>
      <c r="JQZ30" s="101"/>
      <c r="JRA30" s="101"/>
      <c r="JRB30" s="101"/>
      <c r="JRC30" s="101"/>
      <c r="JRD30" s="101"/>
      <c r="JRE30" s="101"/>
      <c r="JRF30" s="101"/>
      <c r="JRG30" s="101"/>
      <c r="JRH30" s="101"/>
      <c r="JRI30" s="101"/>
      <c r="JRJ30" s="101"/>
      <c r="JRK30" s="101"/>
      <c r="JRL30" s="101"/>
      <c r="JRM30" s="101"/>
      <c r="JRN30" s="101"/>
      <c r="JRO30" s="101"/>
      <c r="JRP30" s="101"/>
      <c r="JRQ30" s="101"/>
      <c r="JRR30" s="101"/>
      <c r="JRS30" s="101"/>
      <c r="JRT30" s="101"/>
      <c r="JRU30" s="101"/>
      <c r="JRV30" s="101"/>
      <c r="JRW30" s="101"/>
      <c r="JRX30" s="101"/>
      <c r="JRY30" s="101"/>
      <c r="JRZ30" s="101"/>
      <c r="JSA30" s="101"/>
      <c r="JSB30" s="101"/>
      <c r="JSC30" s="101"/>
      <c r="JSD30" s="101"/>
      <c r="JSE30" s="101"/>
      <c r="JSF30" s="101"/>
      <c r="JSG30" s="101"/>
      <c r="JSH30" s="101"/>
      <c r="JSI30" s="101"/>
      <c r="JSJ30" s="101"/>
      <c r="JSK30" s="101"/>
      <c r="JSL30" s="101"/>
      <c r="JSM30" s="101"/>
      <c r="JSN30" s="101"/>
      <c r="JSO30" s="101"/>
      <c r="JSP30" s="101"/>
      <c r="JSQ30" s="101"/>
      <c r="JSR30" s="101"/>
      <c r="JSS30" s="101"/>
      <c r="JST30" s="101"/>
      <c r="JSU30" s="101"/>
      <c r="JSV30" s="101"/>
      <c r="JSW30" s="101"/>
      <c r="JSX30" s="101"/>
      <c r="JSY30" s="101"/>
      <c r="JSZ30" s="101"/>
      <c r="JTA30" s="101"/>
      <c r="JTB30" s="101"/>
      <c r="JTC30" s="101"/>
      <c r="JTD30" s="101"/>
      <c r="JTE30" s="101"/>
      <c r="JTF30" s="101"/>
      <c r="JTG30" s="101"/>
      <c r="JTH30" s="101"/>
      <c r="JTI30" s="101"/>
      <c r="JTJ30" s="101"/>
      <c r="JTK30" s="101"/>
      <c r="JTL30" s="101"/>
      <c r="JTM30" s="101"/>
      <c r="JTN30" s="101"/>
      <c r="JTO30" s="101"/>
      <c r="JTP30" s="101"/>
      <c r="JTQ30" s="101"/>
      <c r="JTR30" s="101"/>
      <c r="JTS30" s="101"/>
      <c r="JTT30" s="101"/>
      <c r="JTU30" s="101"/>
      <c r="JTV30" s="101"/>
      <c r="JTW30" s="101"/>
      <c r="JTX30" s="101"/>
      <c r="JTY30" s="101"/>
      <c r="JTZ30" s="101"/>
      <c r="JUA30" s="101"/>
      <c r="JUB30" s="101"/>
      <c r="JUC30" s="101"/>
      <c r="JUD30" s="101"/>
      <c r="JUE30" s="101"/>
      <c r="JUF30" s="101"/>
      <c r="JUG30" s="101"/>
      <c r="JUH30" s="101"/>
      <c r="JUI30" s="101"/>
      <c r="JUJ30" s="101"/>
      <c r="JUK30" s="101"/>
      <c r="JUL30" s="101"/>
      <c r="JUM30" s="101"/>
      <c r="JUN30" s="101"/>
      <c r="JUO30" s="101"/>
      <c r="JUP30" s="101"/>
      <c r="JUQ30" s="101"/>
      <c r="JUR30" s="101"/>
      <c r="JUS30" s="101"/>
      <c r="JUT30" s="101"/>
      <c r="JUU30" s="101"/>
      <c r="JUV30" s="101"/>
      <c r="JUW30" s="101"/>
      <c r="JUX30" s="101"/>
      <c r="JUY30" s="101"/>
      <c r="JUZ30" s="101"/>
      <c r="JVA30" s="101"/>
      <c r="JVB30" s="101"/>
      <c r="JVC30" s="101"/>
      <c r="JVD30" s="101"/>
      <c r="JVE30" s="101"/>
      <c r="JVF30" s="101"/>
      <c r="JVG30" s="101"/>
      <c r="JVH30" s="101"/>
      <c r="JVI30" s="101"/>
      <c r="JVJ30" s="101"/>
      <c r="JVK30" s="101"/>
      <c r="JVL30" s="101"/>
      <c r="JVM30" s="101"/>
      <c r="JVN30" s="101"/>
      <c r="JVO30" s="101"/>
      <c r="JVP30" s="101"/>
      <c r="JVQ30" s="101"/>
      <c r="JVR30" s="101"/>
      <c r="JVS30" s="101"/>
      <c r="JVT30" s="101"/>
      <c r="JVU30" s="101"/>
      <c r="JVV30" s="101"/>
      <c r="JVW30" s="101"/>
      <c r="JVX30" s="101"/>
      <c r="JVY30" s="101"/>
      <c r="JVZ30" s="101"/>
      <c r="JWA30" s="101"/>
      <c r="JWB30" s="101"/>
      <c r="JWC30" s="101"/>
      <c r="JWD30" s="101"/>
      <c r="JWE30" s="101"/>
      <c r="JWF30" s="101"/>
      <c r="JWG30" s="101"/>
      <c r="JWH30" s="101"/>
      <c r="JWI30" s="101"/>
      <c r="JWJ30" s="101"/>
      <c r="JWK30" s="101"/>
      <c r="JWL30" s="101"/>
      <c r="JWM30" s="101"/>
      <c r="JWN30" s="101"/>
      <c r="JWO30" s="101"/>
      <c r="JWP30" s="101"/>
      <c r="JWQ30" s="101"/>
      <c r="JWR30" s="101"/>
      <c r="JWS30" s="101"/>
      <c r="JWT30" s="101"/>
      <c r="JWU30" s="101"/>
      <c r="JWV30" s="101"/>
      <c r="JWW30" s="101"/>
      <c r="JWX30" s="101"/>
      <c r="JWY30" s="101"/>
      <c r="JWZ30" s="101"/>
      <c r="JXA30" s="101"/>
      <c r="JXB30" s="101"/>
      <c r="JXC30" s="101"/>
      <c r="JXD30" s="101"/>
      <c r="JXE30" s="101"/>
      <c r="JXF30" s="101"/>
      <c r="JXG30" s="101"/>
      <c r="JXH30" s="101"/>
      <c r="JXI30" s="101"/>
      <c r="JXJ30" s="101"/>
      <c r="JXK30" s="101"/>
      <c r="JXL30" s="101"/>
      <c r="JXM30" s="101"/>
      <c r="JXN30" s="101"/>
      <c r="JXO30" s="101"/>
      <c r="JXP30" s="101"/>
      <c r="JXQ30" s="101"/>
      <c r="JXR30" s="101"/>
      <c r="JXS30" s="101"/>
      <c r="JXT30" s="101"/>
      <c r="JXU30" s="101"/>
      <c r="JXV30" s="101"/>
      <c r="JXW30" s="101"/>
      <c r="JXX30" s="101"/>
      <c r="JXY30" s="101"/>
      <c r="JXZ30" s="101"/>
      <c r="JYA30" s="101"/>
      <c r="JYB30" s="101"/>
      <c r="JYC30" s="101"/>
      <c r="JYD30" s="101"/>
      <c r="JYE30" s="101"/>
      <c r="JYF30" s="101"/>
      <c r="JYG30" s="101"/>
      <c r="JYH30" s="101"/>
      <c r="JYI30" s="101"/>
      <c r="JYJ30" s="101"/>
      <c r="JYK30" s="101"/>
      <c r="JYL30" s="101"/>
      <c r="JYM30" s="101"/>
      <c r="JYN30" s="101"/>
      <c r="JYO30" s="101"/>
      <c r="JYP30" s="101"/>
      <c r="JYQ30" s="101"/>
      <c r="JYR30" s="101"/>
      <c r="JYS30" s="101"/>
      <c r="JYT30" s="101"/>
      <c r="JYU30" s="101"/>
      <c r="JYV30" s="101"/>
      <c r="JYW30" s="101"/>
      <c r="JYX30" s="101"/>
      <c r="JYY30" s="101"/>
      <c r="JYZ30" s="101"/>
      <c r="JZA30" s="101"/>
      <c r="JZB30" s="101"/>
      <c r="JZC30" s="101"/>
      <c r="JZD30" s="101"/>
      <c r="JZE30" s="101"/>
      <c r="JZF30" s="101"/>
      <c r="JZG30" s="101"/>
      <c r="JZH30" s="101"/>
      <c r="JZI30" s="101"/>
      <c r="JZJ30" s="101"/>
      <c r="JZK30" s="101"/>
      <c r="JZL30" s="101"/>
      <c r="JZM30" s="101"/>
      <c r="JZN30" s="101"/>
      <c r="JZO30" s="101"/>
      <c r="JZP30" s="101"/>
      <c r="JZQ30" s="101"/>
      <c r="JZR30" s="101"/>
      <c r="JZS30" s="101"/>
      <c r="JZT30" s="101"/>
      <c r="JZU30" s="101"/>
      <c r="JZV30" s="101"/>
      <c r="JZW30" s="101"/>
      <c r="JZX30" s="101"/>
      <c r="JZY30" s="101"/>
      <c r="JZZ30" s="101"/>
      <c r="KAA30" s="101"/>
      <c r="KAB30" s="101"/>
      <c r="KAC30" s="101"/>
      <c r="KAD30" s="101"/>
      <c r="KAE30" s="101"/>
      <c r="KAF30" s="101"/>
      <c r="KAG30" s="101"/>
      <c r="KAH30" s="101"/>
      <c r="KAI30" s="101"/>
      <c r="KAJ30" s="101"/>
      <c r="KAK30" s="101"/>
      <c r="KAL30" s="101"/>
      <c r="KAM30" s="101"/>
      <c r="KAN30" s="101"/>
      <c r="KAO30" s="101"/>
      <c r="KAP30" s="101"/>
      <c r="KAQ30" s="101"/>
      <c r="KAR30" s="101"/>
      <c r="KAS30" s="101"/>
      <c r="KAT30" s="101"/>
      <c r="KAU30" s="101"/>
      <c r="KAV30" s="101"/>
      <c r="KAW30" s="101"/>
      <c r="KAX30" s="101"/>
      <c r="KAY30" s="101"/>
      <c r="KAZ30" s="101"/>
      <c r="KBA30" s="101"/>
      <c r="KBB30" s="101"/>
      <c r="KBC30" s="101"/>
      <c r="KBD30" s="101"/>
      <c r="KBE30" s="101"/>
      <c r="KBF30" s="101"/>
      <c r="KBG30" s="101"/>
      <c r="KBH30" s="101"/>
      <c r="KBI30" s="101"/>
      <c r="KBJ30" s="101"/>
      <c r="KBK30" s="101"/>
      <c r="KBL30" s="101"/>
      <c r="KBM30" s="101"/>
      <c r="KBN30" s="101"/>
      <c r="KBO30" s="101"/>
      <c r="KBP30" s="101"/>
      <c r="KBQ30" s="101"/>
      <c r="KBR30" s="101"/>
      <c r="KBS30" s="101"/>
      <c r="KBT30" s="101"/>
      <c r="KBU30" s="101"/>
      <c r="KBV30" s="101"/>
      <c r="KBW30" s="101"/>
      <c r="KBX30" s="101"/>
      <c r="KBY30" s="101"/>
      <c r="KBZ30" s="101"/>
      <c r="KCA30" s="101"/>
      <c r="KCB30" s="101"/>
      <c r="KCC30" s="101"/>
      <c r="KCD30" s="101"/>
      <c r="KCE30" s="101"/>
      <c r="KCF30" s="101"/>
      <c r="KCG30" s="101"/>
      <c r="KCH30" s="101"/>
      <c r="KCI30" s="101"/>
      <c r="KCJ30" s="101"/>
      <c r="KCK30" s="101"/>
      <c r="KCL30" s="101"/>
      <c r="KCM30" s="101"/>
      <c r="KCN30" s="101"/>
      <c r="KCO30" s="101"/>
      <c r="KCP30" s="101"/>
      <c r="KCQ30" s="101"/>
      <c r="KCR30" s="101"/>
      <c r="KCS30" s="101"/>
      <c r="KCT30" s="101"/>
      <c r="KCU30" s="101"/>
      <c r="KCV30" s="101"/>
      <c r="KCW30" s="101"/>
      <c r="KCX30" s="101"/>
      <c r="KCY30" s="101"/>
      <c r="KCZ30" s="101"/>
      <c r="KDA30" s="101"/>
      <c r="KDB30" s="101"/>
      <c r="KDC30" s="101"/>
      <c r="KDD30" s="101"/>
      <c r="KDE30" s="101"/>
      <c r="KDF30" s="101"/>
      <c r="KDG30" s="101"/>
      <c r="KDH30" s="101"/>
      <c r="KDI30" s="101"/>
      <c r="KDJ30" s="101"/>
      <c r="KDK30" s="101"/>
      <c r="KDL30" s="101"/>
      <c r="KDM30" s="101"/>
      <c r="KDN30" s="101"/>
      <c r="KDO30" s="101"/>
      <c r="KDP30" s="101"/>
      <c r="KDQ30" s="101"/>
      <c r="KDR30" s="101"/>
      <c r="KDS30" s="101"/>
      <c r="KDT30" s="101"/>
      <c r="KDU30" s="101"/>
      <c r="KDV30" s="101"/>
      <c r="KDW30" s="101"/>
      <c r="KDX30" s="101"/>
      <c r="KDY30" s="101"/>
      <c r="KDZ30" s="101"/>
      <c r="KEA30" s="101"/>
      <c r="KEB30" s="101"/>
      <c r="KEC30" s="101"/>
      <c r="KED30" s="101"/>
      <c r="KEE30" s="101"/>
      <c r="KEF30" s="101"/>
      <c r="KEG30" s="101"/>
      <c r="KEH30" s="101"/>
      <c r="KEI30" s="101"/>
      <c r="KEJ30" s="101"/>
      <c r="KEK30" s="101"/>
      <c r="KEL30" s="101"/>
      <c r="KEM30" s="101"/>
      <c r="KEN30" s="101"/>
      <c r="KEO30" s="101"/>
      <c r="KEP30" s="101"/>
      <c r="KEQ30" s="101"/>
      <c r="KER30" s="101"/>
      <c r="KES30" s="101"/>
      <c r="KET30" s="101"/>
      <c r="KEU30" s="101"/>
      <c r="KEV30" s="101"/>
      <c r="KEW30" s="101"/>
      <c r="KEX30" s="101"/>
      <c r="KEY30" s="101"/>
      <c r="KEZ30" s="101"/>
      <c r="KFA30" s="101"/>
      <c r="KFB30" s="101"/>
      <c r="KFC30" s="101"/>
      <c r="KFD30" s="101"/>
      <c r="KFE30" s="101"/>
      <c r="KFF30" s="101"/>
      <c r="KFG30" s="101"/>
      <c r="KFH30" s="101"/>
      <c r="KFI30" s="101"/>
      <c r="KFJ30" s="101"/>
      <c r="KFK30" s="101"/>
      <c r="KFL30" s="101"/>
      <c r="KFM30" s="101"/>
      <c r="KFN30" s="101"/>
      <c r="KFO30" s="101"/>
      <c r="KFP30" s="101"/>
      <c r="KFQ30" s="101"/>
      <c r="KFR30" s="101"/>
      <c r="KFS30" s="101"/>
      <c r="KFT30" s="101"/>
      <c r="KFU30" s="101"/>
      <c r="KFV30" s="101"/>
      <c r="KFW30" s="101"/>
      <c r="KFX30" s="101"/>
      <c r="KFY30" s="101"/>
      <c r="KFZ30" s="101"/>
      <c r="KGA30" s="101"/>
      <c r="KGB30" s="101"/>
      <c r="KGC30" s="101"/>
      <c r="KGD30" s="101"/>
      <c r="KGE30" s="101"/>
      <c r="KGF30" s="101"/>
      <c r="KGG30" s="101"/>
      <c r="KGH30" s="101"/>
      <c r="KGI30" s="101"/>
      <c r="KGJ30" s="101"/>
      <c r="KGK30" s="101"/>
      <c r="KGL30" s="101"/>
      <c r="KGM30" s="101"/>
      <c r="KGN30" s="101"/>
      <c r="KGO30" s="101"/>
      <c r="KGP30" s="101"/>
      <c r="KGQ30" s="101"/>
      <c r="KGR30" s="101"/>
      <c r="KGS30" s="101"/>
      <c r="KGT30" s="101"/>
      <c r="KGU30" s="101"/>
      <c r="KGV30" s="101"/>
      <c r="KGW30" s="101"/>
      <c r="KGX30" s="101"/>
      <c r="KGY30" s="101"/>
      <c r="KGZ30" s="101"/>
      <c r="KHA30" s="101"/>
      <c r="KHB30" s="101"/>
      <c r="KHC30" s="101"/>
      <c r="KHD30" s="101"/>
      <c r="KHE30" s="101"/>
      <c r="KHF30" s="101"/>
      <c r="KHG30" s="101"/>
      <c r="KHH30" s="101"/>
      <c r="KHI30" s="101"/>
      <c r="KHJ30" s="101"/>
      <c r="KHK30" s="101"/>
      <c r="KHL30" s="101"/>
      <c r="KHM30" s="101"/>
      <c r="KHN30" s="101"/>
      <c r="KHO30" s="101"/>
      <c r="KHP30" s="101"/>
      <c r="KHQ30" s="101"/>
      <c r="KHR30" s="101"/>
      <c r="KHS30" s="101"/>
      <c r="KHT30" s="101"/>
      <c r="KHU30" s="101"/>
      <c r="KHV30" s="101"/>
      <c r="KHW30" s="101"/>
      <c r="KHX30" s="101"/>
      <c r="KHY30" s="101"/>
      <c r="KHZ30" s="101"/>
      <c r="KIA30" s="101"/>
      <c r="KIB30" s="101"/>
      <c r="KIC30" s="101"/>
      <c r="KID30" s="101"/>
      <c r="KIE30" s="101"/>
      <c r="KIF30" s="101"/>
      <c r="KIG30" s="101"/>
      <c r="KIH30" s="101"/>
      <c r="KII30" s="101"/>
      <c r="KIJ30" s="101"/>
      <c r="KIK30" s="101"/>
      <c r="KIL30" s="101"/>
      <c r="KIM30" s="101"/>
      <c r="KIN30" s="101"/>
      <c r="KIO30" s="101"/>
      <c r="KIP30" s="101"/>
      <c r="KIQ30" s="101"/>
      <c r="KIR30" s="101"/>
      <c r="KIS30" s="101"/>
      <c r="KIT30" s="101"/>
      <c r="KIU30" s="101"/>
      <c r="KIV30" s="101"/>
      <c r="KIW30" s="101"/>
      <c r="KIX30" s="101"/>
      <c r="KIY30" s="101"/>
      <c r="KIZ30" s="101"/>
      <c r="KJA30" s="101"/>
      <c r="KJB30" s="101"/>
      <c r="KJC30" s="101"/>
      <c r="KJD30" s="101"/>
      <c r="KJE30" s="101"/>
      <c r="KJF30" s="101"/>
      <c r="KJG30" s="101"/>
      <c r="KJH30" s="101"/>
      <c r="KJI30" s="101"/>
      <c r="KJJ30" s="101"/>
      <c r="KJK30" s="101"/>
      <c r="KJL30" s="101"/>
      <c r="KJM30" s="101"/>
      <c r="KJN30" s="101"/>
      <c r="KJO30" s="101"/>
      <c r="KJP30" s="101"/>
      <c r="KJQ30" s="101"/>
      <c r="KJR30" s="101"/>
      <c r="KJS30" s="101"/>
      <c r="KJT30" s="101"/>
      <c r="KJU30" s="101"/>
      <c r="KJV30" s="101"/>
      <c r="KJW30" s="101"/>
      <c r="KJX30" s="101"/>
      <c r="KJY30" s="101"/>
      <c r="KJZ30" s="101"/>
      <c r="KKA30" s="101"/>
      <c r="KKB30" s="101"/>
      <c r="KKC30" s="101"/>
      <c r="KKD30" s="101"/>
      <c r="KKE30" s="101"/>
      <c r="KKF30" s="101"/>
      <c r="KKG30" s="101"/>
      <c r="KKH30" s="101"/>
      <c r="KKI30" s="101"/>
      <c r="KKJ30" s="101"/>
      <c r="KKK30" s="101"/>
      <c r="KKL30" s="101"/>
      <c r="KKM30" s="101"/>
      <c r="KKN30" s="101"/>
      <c r="KKO30" s="101"/>
      <c r="KKP30" s="101"/>
      <c r="KKQ30" s="101"/>
      <c r="KKR30" s="101"/>
      <c r="KKS30" s="101"/>
      <c r="KKT30" s="101"/>
      <c r="KKU30" s="101"/>
      <c r="KKV30" s="101"/>
      <c r="KKW30" s="101"/>
      <c r="KKX30" s="101"/>
      <c r="KKY30" s="101"/>
      <c r="KKZ30" s="101"/>
      <c r="KLA30" s="101"/>
      <c r="KLB30" s="101"/>
      <c r="KLC30" s="101"/>
      <c r="KLD30" s="101"/>
      <c r="KLE30" s="101"/>
      <c r="KLF30" s="101"/>
      <c r="KLG30" s="101"/>
      <c r="KLH30" s="101"/>
      <c r="KLI30" s="101"/>
      <c r="KLJ30" s="101"/>
      <c r="KLK30" s="101"/>
      <c r="KLL30" s="101"/>
      <c r="KLM30" s="101"/>
      <c r="KLN30" s="101"/>
      <c r="KLO30" s="101"/>
      <c r="KLP30" s="101"/>
      <c r="KLQ30" s="101"/>
      <c r="KLR30" s="101"/>
      <c r="KLS30" s="101"/>
      <c r="KLT30" s="101"/>
      <c r="KLU30" s="101"/>
      <c r="KLV30" s="101"/>
      <c r="KLW30" s="101"/>
      <c r="KLX30" s="101"/>
      <c r="KLY30" s="101"/>
      <c r="KLZ30" s="101"/>
      <c r="KMA30" s="101"/>
      <c r="KMB30" s="101"/>
      <c r="KMC30" s="101"/>
      <c r="KMD30" s="101"/>
      <c r="KME30" s="101"/>
      <c r="KMF30" s="101"/>
      <c r="KMG30" s="101"/>
      <c r="KMH30" s="101"/>
      <c r="KMI30" s="101"/>
      <c r="KMJ30" s="101"/>
      <c r="KMK30" s="101"/>
      <c r="KML30" s="101"/>
      <c r="KMM30" s="101"/>
      <c r="KMN30" s="101"/>
      <c r="KMO30" s="101"/>
      <c r="KMP30" s="101"/>
      <c r="KMQ30" s="101"/>
      <c r="KMR30" s="101"/>
      <c r="KMS30" s="101"/>
      <c r="KMT30" s="101"/>
      <c r="KMU30" s="101"/>
      <c r="KMV30" s="101"/>
      <c r="KMW30" s="101"/>
      <c r="KMX30" s="101"/>
      <c r="KMY30" s="101"/>
      <c r="KMZ30" s="101"/>
      <c r="KNA30" s="101"/>
      <c r="KNB30" s="101"/>
      <c r="KNC30" s="101"/>
      <c r="KND30" s="101"/>
      <c r="KNE30" s="101"/>
      <c r="KNF30" s="101"/>
      <c r="KNG30" s="101"/>
      <c r="KNH30" s="101"/>
      <c r="KNI30" s="101"/>
      <c r="KNJ30" s="101"/>
      <c r="KNK30" s="101"/>
      <c r="KNL30" s="101"/>
      <c r="KNM30" s="101"/>
      <c r="KNN30" s="101"/>
      <c r="KNO30" s="101"/>
      <c r="KNP30" s="101"/>
      <c r="KNQ30" s="101"/>
      <c r="KNR30" s="101"/>
      <c r="KNS30" s="101"/>
      <c r="KNT30" s="101"/>
      <c r="KNU30" s="101"/>
      <c r="KNV30" s="101"/>
      <c r="KNW30" s="101"/>
      <c r="KNX30" s="101"/>
      <c r="KNY30" s="101"/>
      <c r="KNZ30" s="101"/>
      <c r="KOA30" s="101"/>
      <c r="KOB30" s="101"/>
      <c r="KOC30" s="101"/>
      <c r="KOD30" s="101"/>
      <c r="KOE30" s="101"/>
      <c r="KOF30" s="101"/>
      <c r="KOG30" s="101"/>
      <c r="KOH30" s="101"/>
      <c r="KOI30" s="101"/>
      <c r="KOJ30" s="101"/>
      <c r="KOK30" s="101"/>
      <c r="KOL30" s="101"/>
      <c r="KOM30" s="101"/>
      <c r="KON30" s="101"/>
      <c r="KOO30" s="101"/>
      <c r="KOP30" s="101"/>
      <c r="KOQ30" s="101"/>
      <c r="KOR30" s="101"/>
      <c r="KOS30" s="101"/>
      <c r="KOT30" s="101"/>
      <c r="KOU30" s="101"/>
      <c r="KOV30" s="101"/>
      <c r="KOW30" s="101"/>
      <c r="KOX30" s="101"/>
      <c r="KOY30" s="101"/>
      <c r="KOZ30" s="101"/>
      <c r="KPA30" s="101"/>
      <c r="KPB30" s="101"/>
      <c r="KPC30" s="101"/>
      <c r="KPD30" s="101"/>
      <c r="KPE30" s="101"/>
      <c r="KPF30" s="101"/>
      <c r="KPG30" s="101"/>
      <c r="KPH30" s="101"/>
      <c r="KPI30" s="101"/>
      <c r="KPJ30" s="101"/>
      <c r="KPK30" s="101"/>
      <c r="KPL30" s="101"/>
      <c r="KPM30" s="101"/>
      <c r="KPN30" s="101"/>
      <c r="KPO30" s="101"/>
      <c r="KPP30" s="101"/>
      <c r="KPQ30" s="101"/>
      <c r="KPR30" s="101"/>
      <c r="KPS30" s="101"/>
      <c r="KPT30" s="101"/>
      <c r="KPU30" s="101"/>
      <c r="KPV30" s="101"/>
      <c r="KPW30" s="101"/>
      <c r="KPX30" s="101"/>
      <c r="KPY30" s="101"/>
      <c r="KPZ30" s="101"/>
      <c r="KQA30" s="101"/>
      <c r="KQB30" s="101"/>
      <c r="KQC30" s="101"/>
      <c r="KQD30" s="101"/>
      <c r="KQE30" s="101"/>
      <c r="KQF30" s="101"/>
      <c r="KQG30" s="101"/>
      <c r="KQH30" s="101"/>
      <c r="KQI30" s="101"/>
      <c r="KQJ30" s="101"/>
      <c r="KQK30" s="101"/>
      <c r="KQL30" s="101"/>
      <c r="KQM30" s="101"/>
      <c r="KQN30" s="101"/>
      <c r="KQO30" s="101"/>
      <c r="KQP30" s="101"/>
      <c r="KQQ30" s="101"/>
      <c r="KQR30" s="101"/>
      <c r="KQS30" s="101"/>
      <c r="KQT30" s="101"/>
      <c r="KQU30" s="101"/>
      <c r="KQV30" s="101"/>
      <c r="KQW30" s="101"/>
      <c r="KQX30" s="101"/>
      <c r="KQY30" s="101"/>
      <c r="KQZ30" s="101"/>
      <c r="KRA30" s="101"/>
      <c r="KRB30" s="101"/>
      <c r="KRC30" s="101"/>
      <c r="KRD30" s="101"/>
      <c r="KRE30" s="101"/>
      <c r="KRF30" s="101"/>
      <c r="KRG30" s="101"/>
      <c r="KRH30" s="101"/>
      <c r="KRI30" s="101"/>
      <c r="KRJ30" s="101"/>
      <c r="KRK30" s="101"/>
      <c r="KRL30" s="101"/>
      <c r="KRM30" s="101"/>
      <c r="KRN30" s="101"/>
      <c r="KRO30" s="101"/>
      <c r="KRP30" s="101"/>
      <c r="KRQ30" s="101"/>
      <c r="KRR30" s="101"/>
      <c r="KRS30" s="101"/>
      <c r="KRT30" s="101"/>
      <c r="KRU30" s="101"/>
      <c r="KRV30" s="101"/>
      <c r="KRW30" s="101"/>
      <c r="KRX30" s="101"/>
      <c r="KRY30" s="101"/>
      <c r="KRZ30" s="101"/>
      <c r="KSA30" s="101"/>
      <c r="KSB30" s="101"/>
      <c r="KSC30" s="101"/>
      <c r="KSD30" s="101"/>
      <c r="KSE30" s="101"/>
      <c r="KSF30" s="101"/>
      <c r="KSG30" s="101"/>
      <c r="KSH30" s="101"/>
      <c r="KSI30" s="101"/>
      <c r="KSJ30" s="101"/>
      <c r="KSK30" s="101"/>
      <c r="KSL30" s="101"/>
      <c r="KSM30" s="101"/>
      <c r="KSN30" s="101"/>
      <c r="KSO30" s="101"/>
      <c r="KSP30" s="101"/>
      <c r="KSQ30" s="101"/>
      <c r="KSR30" s="101"/>
      <c r="KSS30" s="101"/>
      <c r="KST30" s="101"/>
      <c r="KSU30" s="101"/>
      <c r="KSV30" s="101"/>
      <c r="KSW30" s="101"/>
      <c r="KSX30" s="101"/>
      <c r="KSY30" s="101"/>
      <c r="KSZ30" s="101"/>
      <c r="KTA30" s="101"/>
      <c r="KTB30" s="101"/>
      <c r="KTC30" s="101"/>
      <c r="KTD30" s="101"/>
      <c r="KTE30" s="101"/>
      <c r="KTF30" s="101"/>
      <c r="KTG30" s="101"/>
      <c r="KTH30" s="101"/>
      <c r="KTI30" s="101"/>
      <c r="KTJ30" s="101"/>
      <c r="KTK30" s="101"/>
      <c r="KTL30" s="101"/>
      <c r="KTM30" s="101"/>
      <c r="KTN30" s="101"/>
      <c r="KTO30" s="101"/>
      <c r="KTP30" s="101"/>
      <c r="KTQ30" s="101"/>
      <c r="KTR30" s="101"/>
      <c r="KTS30" s="101"/>
      <c r="KTT30" s="101"/>
      <c r="KTU30" s="101"/>
      <c r="KTV30" s="101"/>
      <c r="KTW30" s="101"/>
      <c r="KTX30" s="101"/>
      <c r="KTY30" s="101"/>
      <c r="KTZ30" s="101"/>
      <c r="KUA30" s="101"/>
      <c r="KUB30" s="101"/>
      <c r="KUC30" s="101"/>
      <c r="KUD30" s="101"/>
      <c r="KUE30" s="101"/>
      <c r="KUF30" s="101"/>
      <c r="KUG30" s="101"/>
      <c r="KUH30" s="101"/>
      <c r="KUI30" s="101"/>
      <c r="KUJ30" s="101"/>
      <c r="KUK30" s="101"/>
      <c r="KUL30" s="101"/>
      <c r="KUM30" s="101"/>
      <c r="KUN30" s="101"/>
      <c r="KUO30" s="101"/>
      <c r="KUP30" s="101"/>
      <c r="KUQ30" s="101"/>
      <c r="KUR30" s="101"/>
      <c r="KUS30" s="101"/>
      <c r="KUT30" s="101"/>
      <c r="KUU30" s="101"/>
      <c r="KUV30" s="101"/>
      <c r="KUW30" s="101"/>
      <c r="KUX30" s="101"/>
      <c r="KUY30" s="101"/>
      <c r="KUZ30" s="101"/>
      <c r="KVA30" s="101"/>
      <c r="KVB30" s="101"/>
      <c r="KVC30" s="101"/>
      <c r="KVD30" s="101"/>
      <c r="KVE30" s="101"/>
      <c r="KVF30" s="101"/>
      <c r="KVG30" s="101"/>
      <c r="KVH30" s="101"/>
      <c r="KVI30" s="101"/>
      <c r="KVJ30" s="101"/>
      <c r="KVK30" s="101"/>
      <c r="KVL30" s="101"/>
      <c r="KVM30" s="101"/>
      <c r="KVN30" s="101"/>
      <c r="KVO30" s="101"/>
      <c r="KVP30" s="101"/>
      <c r="KVQ30" s="101"/>
      <c r="KVR30" s="101"/>
      <c r="KVS30" s="101"/>
      <c r="KVT30" s="101"/>
      <c r="KVU30" s="101"/>
      <c r="KVV30" s="101"/>
      <c r="KVW30" s="101"/>
      <c r="KVX30" s="101"/>
      <c r="KVY30" s="101"/>
      <c r="KVZ30" s="101"/>
      <c r="KWA30" s="101"/>
      <c r="KWB30" s="101"/>
      <c r="KWC30" s="101"/>
      <c r="KWD30" s="101"/>
      <c r="KWE30" s="101"/>
      <c r="KWF30" s="101"/>
      <c r="KWG30" s="101"/>
      <c r="KWH30" s="101"/>
      <c r="KWI30" s="101"/>
      <c r="KWJ30" s="101"/>
      <c r="KWK30" s="101"/>
      <c r="KWL30" s="101"/>
      <c r="KWM30" s="101"/>
      <c r="KWN30" s="101"/>
      <c r="KWO30" s="101"/>
      <c r="KWP30" s="101"/>
      <c r="KWQ30" s="101"/>
      <c r="KWR30" s="101"/>
      <c r="KWS30" s="101"/>
      <c r="KWT30" s="101"/>
      <c r="KWU30" s="101"/>
      <c r="KWV30" s="101"/>
      <c r="KWW30" s="101"/>
      <c r="KWX30" s="101"/>
      <c r="KWY30" s="101"/>
      <c r="KWZ30" s="101"/>
      <c r="KXA30" s="101"/>
      <c r="KXB30" s="101"/>
      <c r="KXC30" s="101"/>
      <c r="KXD30" s="101"/>
      <c r="KXE30" s="101"/>
      <c r="KXF30" s="101"/>
      <c r="KXG30" s="101"/>
      <c r="KXH30" s="101"/>
      <c r="KXI30" s="101"/>
      <c r="KXJ30" s="101"/>
      <c r="KXK30" s="101"/>
      <c r="KXL30" s="101"/>
      <c r="KXM30" s="101"/>
      <c r="KXN30" s="101"/>
      <c r="KXO30" s="101"/>
      <c r="KXP30" s="101"/>
      <c r="KXQ30" s="101"/>
      <c r="KXR30" s="101"/>
      <c r="KXS30" s="101"/>
      <c r="KXT30" s="101"/>
      <c r="KXU30" s="101"/>
      <c r="KXV30" s="101"/>
      <c r="KXW30" s="101"/>
      <c r="KXX30" s="101"/>
      <c r="KXY30" s="101"/>
      <c r="KXZ30" s="101"/>
      <c r="KYA30" s="101"/>
      <c r="KYB30" s="101"/>
      <c r="KYC30" s="101"/>
      <c r="KYD30" s="101"/>
      <c r="KYE30" s="101"/>
      <c r="KYF30" s="101"/>
      <c r="KYG30" s="101"/>
      <c r="KYH30" s="101"/>
      <c r="KYI30" s="101"/>
      <c r="KYJ30" s="101"/>
      <c r="KYK30" s="101"/>
      <c r="KYL30" s="101"/>
      <c r="KYM30" s="101"/>
      <c r="KYN30" s="101"/>
      <c r="KYO30" s="101"/>
      <c r="KYP30" s="101"/>
      <c r="KYQ30" s="101"/>
      <c r="KYR30" s="101"/>
      <c r="KYS30" s="101"/>
      <c r="KYT30" s="101"/>
      <c r="KYU30" s="101"/>
      <c r="KYV30" s="101"/>
      <c r="KYW30" s="101"/>
      <c r="KYX30" s="101"/>
      <c r="KYY30" s="101"/>
      <c r="KYZ30" s="101"/>
      <c r="KZA30" s="101"/>
      <c r="KZB30" s="101"/>
      <c r="KZC30" s="101"/>
      <c r="KZD30" s="101"/>
      <c r="KZE30" s="101"/>
      <c r="KZF30" s="101"/>
      <c r="KZG30" s="101"/>
      <c r="KZH30" s="101"/>
      <c r="KZI30" s="101"/>
      <c r="KZJ30" s="101"/>
      <c r="KZK30" s="101"/>
      <c r="KZL30" s="101"/>
      <c r="KZM30" s="101"/>
      <c r="KZN30" s="101"/>
      <c r="KZO30" s="101"/>
      <c r="KZP30" s="101"/>
      <c r="KZQ30" s="101"/>
      <c r="KZR30" s="101"/>
      <c r="KZS30" s="101"/>
      <c r="KZT30" s="101"/>
      <c r="KZU30" s="101"/>
      <c r="KZV30" s="101"/>
      <c r="KZW30" s="101"/>
      <c r="KZX30" s="101"/>
      <c r="KZY30" s="101"/>
      <c r="KZZ30" s="101"/>
      <c r="LAA30" s="101"/>
      <c r="LAB30" s="101"/>
      <c r="LAC30" s="101"/>
      <c r="LAD30" s="101"/>
      <c r="LAE30" s="101"/>
      <c r="LAF30" s="101"/>
      <c r="LAG30" s="101"/>
      <c r="LAH30" s="101"/>
      <c r="LAI30" s="101"/>
      <c r="LAJ30" s="101"/>
      <c r="LAK30" s="101"/>
      <c r="LAL30" s="101"/>
      <c r="LAM30" s="101"/>
      <c r="LAN30" s="101"/>
      <c r="LAO30" s="101"/>
      <c r="LAP30" s="101"/>
      <c r="LAQ30" s="101"/>
      <c r="LAR30" s="101"/>
      <c r="LAS30" s="101"/>
      <c r="LAT30" s="101"/>
      <c r="LAU30" s="101"/>
      <c r="LAV30" s="101"/>
      <c r="LAW30" s="101"/>
      <c r="LAX30" s="101"/>
      <c r="LAY30" s="101"/>
      <c r="LAZ30" s="101"/>
      <c r="LBA30" s="101"/>
      <c r="LBB30" s="101"/>
      <c r="LBC30" s="101"/>
      <c r="LBD30" s="101"/>
      <c r="LBE30" s="101"/>
      <c r="LBF30" s="101"/>
      <c r="LBG30" s="101"/>
      <c r="LBH30" s="101"/>
      <c r="LBI30" s="101"/>
      <c r="LBJ30" s="101"/>
      <c r="LBK30" s="101"/>
      <c r="LBL30" s="101"/>
      <c r="LBM30" s="101"/>
      <c r="LBN30" s="101"/>
      <c r="LBO30" s="101"/>
      <c r="LBP30" s="101"/>
      <c r="LBQ30" s="101"/>
      <c r="LBR30" s="101"/>
      <c r="LBS30" s="101"/>
      <c r="LBT30" s="101"/>
      <c r="LBU30" s="101"/>
      <c r="LBV30" s="101"/>
      <c r="LBW30" s="101"/>
      <c r="LBX30" s="101"/>
      <c r="LBY30" s="101"/>
      <c r="LBZ30" s="101"/>
      <c r="LCA30" s="101"/>
      <c r="LCB30" s="101"/>
      <c r="LCC30" s="101"/>
      <c r="LCD30" s="101"/>
      <c r="LCE30" s="101"/>
      <c r="LCF30" s="101"/>
      <c r="LCG30" s="101"/>
      <c r="LCH30" s="101"/>
      <c r="LCI30" s="101"/>
      <c r="LCJ30" s="101"/>
      <c r="LCK30" s="101"/>
      <c r="LCL30" s="101"/>
      <c r="LCM30" s="101"/>
      <c r="LCN30" s="101"/>
      <c r="LCO30" s="101"/>
      <c r="LCP30" s="101"/>
      <c r="LCQ30" s="101"/>
      <c r="LCR30" s="101"/>
      <c r="LCS30" s="101"/>
      <c r="LCT30" s="101"/>
      <c r="LCU30" s="101"/>
      <c r="LCV30" s="101"/>
      <c r="LCW30" s="101"/>
      <c r="LCX30" s="101"/>
      <c r="LCY30" s="101"/>
      <c r="LCZ30" s="101"/>
      <c r="LDA30" s="101"/>
      <c r="LDB30" s="101"/>
      <c r="LDC30" s="101"/>
      <c r="LDD30" s="101"/>
      <c r="LDE30" s="101"/>
      <c r="LDF30" s="101"/>
      <c r="LDG30" s="101"/>
      <c r="LDH30" s="101"/>
      <c r="LDI30" s="101"/>
      <c r="LDJ30" s="101"/>
      <c r="LDK30" s="101"/>
      <c r="LDL30" s="101"/>
      <c r="LDM30" s="101"/>
      <c r="LDN30" s="101"/>
      <c r="LDO30" s="101"/>
      <c r="LDP30" s="101"/>
      <c r="LDQ30" s="101"/>
      <c r="LDR30" s="101"/>
      <c r="LDS30" s="101"/>
      <c r="LDT30" s="101"/>
      <c r="LDU30" s="101"/>
      <c r="LDV30" s="101"/>
      <c r="LDW30" s="101"/>
      <c r="LDX30" s="101"/>
      <c r="LDY30" s="101"/>
      <c r="LDZ30" s="101"/>
      <c r="LEA30" s="101"/>
      <c r="LEB30" s="101"/>
      <c r="LEC30" s="101"/>
      <c r="LED30" s="101"/>
      <c r="LEE30" s="101"/>
      <c r="LEF30" s="101"/>
      <c r="LEG30" s="101"/>
      <c r="LEH30" s="101"/>
      <c r="LEI30" s="101"/>
      <c r="LEJ30" s="101"/>
      <c r="LEK30" s="101"/>
      <c r="LEL30" s="101"/>
      <c r="LEM30" s="101"/>
      <c r="LEN30" s="101"/>
      <c r="LEO30" s="101"/>
      <c r="LEP30" s="101"/>
      <c r="LEQ30" s="101"/>
      <c r="LER30" s="101"/>
      <c r="LES30" s="101"/>
      <c r="LET30" s="101"/>
      <c r="LEU30" s="101"/>
      <c r="LEV30" s="101"/>
      <c r="LEW30" s="101"/>
      <c r="LEX30" s="101"/>
      <c r="LEY30" s="101"/>
      <c r="LEZ30" s="101"/>
      <c r="LFA30" s="101"/>
      <c r="LFB30" s="101"/>
      <c r="LFC30" s="101"/>
      <c r="LFD30" s="101"/>
      <c r="LFE30" s="101"/>
      <c r="LFF30" s="101"/>
      <c r="LFG30" s="101"/>
      <c r="LFH30" s="101"/>
      <c r="LFI30" s="101"/>
      <c r="LFJ30" s="101"/>
      <c r="LFK30" s="101"/>
      <c r="LFL30" s="101"/>
      <c r="LFM30" s="101"/>
      <c r="LFN30" s="101"/>
      <c r="LFO30" s="101"/>
      <c r="LFP30" s="101"/>
      <c r="LFQ30" s="101"/>
      <c r="LFR30" s="101"/>
      <c r="LFS30" s="101"/>
      <c r="LFT30" s="101"/>
      <c r="LFU30" s="101"/>
      <c r="LFV30" s="101"/>
      <c r="LFW30" s="101"/>
      <c r="LFX30" s="101"/>
      <c r="LFY30" s="101"/>
      <c r="LFZ30" s="101"/>
      <c r="LGA30" s="101"/>
      <c r="LGB30" s="101"/>
      <c r="LGC30" s="101"/>
      <c r="LGD30" s="101"/>
      <c r="LGE30" s="101"/>
      <c r="LGF30" s="101"/>
      <c r="LGG30" s="101"/>
      <c r="LGH30" s="101"/>
      <c r="LGI30" s="101"/>
      <c r="LGJ30" s="101"/>
      <c r="LGK30" s="101"/>
      <c r="LGL30" s="101"/>
      <c r="LGM30" s="101"/>
      <c r="LGN30" s="101"/>
      <c r="LGO30" s="101"/>
      <c r="LGP30" s="101"/>
      <c r="LGQ30" s="101"/>
      <c r="LGR30" s="101"/>
      <c r="LGS30" s="101"/>
      <c r="LGT30" s="101"/>
      <c r="LGU30" s="101"/>
      <c r="LGV30" s="101"/>
      <c r="LGW30" s="101"/>
      <c r="LGX30" s="101"/>
      <c r="LGY30" s="101"/>
      <c r="LGZ30" s="101"/>
      <c r="LHA30" s="101"/>
      <c r="LHB30" s="101"/>
      <c r="LHC30" s="101"/>
      <c r="LHD30" s="101"/>
      <c r="LHE30" s="101"/>
      <c r="LHF30" s="101"/>
      <c r="LHG30" s="101"/>
      <c r="LHH30" s="101"/>
      <c r="LHI30" s="101"/>
      <c r="LHJ30" s="101"/>
      <c r="LHK30" s="101"/>
      <c r="LHL30" s="101"/>
      <c r="LHM30" s="101"/>
      <c r="LHN30" s="101"/>
      <c r="LHO30" s="101"/>
      <c r="LHP30" s="101"/>
      <c r="LHQ30" s="101"/>
      <c r="LHR30" s="101"/>
      <c r="LHS30" s="101"/>
      <c r="LHT30" s="101"/>
      <c r="LHU30" s="101"/>
      <c r="LHV30" s="101"/>
      <c r="LHW30" s="101"/>
      <c r="LHX30" s="101"/>
      <c r="LHY30" s="101"/>
      <c r="LHZ30" s="101"/>
      <c r="LIA30" s="101"/>
      <c r="LIB30" s="101"/>
      <c r="LIC30" s="101"/>
      <c r="LID30" s="101"/>
      <c r="LIE30" s="101"/>
      <c r="LIF30" s="101"/>
      <c r="LIG30" s="101"/>
      <c r="LIH30" s="101"/>
      <c r="LII30" s="101"/>
      <c r="LIJ30" s="101"/>
      <c r="LIK30" s="101"/>
      <c r="LIL30" s="101"/>
      <c r="LIM30" s="101"/>
      <c r="LIN30" s="101"/>
      <c r="LIO30" s="101"/>
      <c r="LIP30" s="101"/>
      <c r="LIQ30" s="101"/>
      <c r="LIR30" s="101"/>
      <c r="LIS30" s="101"/>
      <c r="LIT30" s="101"/>
      <c r="LIU30" s="101"/>
      <c r="LIV30" s="101"/>
      <c r="LIW30" s="101"/>
      <c r="LIX30" s="101"/>
      <c r="LIY30" s="101"/>
      <c r="LIZ30" s="101"/>
      <c r="LJA30" s="101"/>
      <c r="LJB30" s="101"/>
      <c r="LJC30" s="101"/>
      <c r="LJD30" s="101"/>
      <c r="LJE30" s="101"/>
      <c r="LJF30" s="101"/>
      <c r="LJG30" s="101"/>
      <c r="LJH30" s="101"/>
      <c r="LJI30" s="101"/>
      <c r="LJJ30" s="101"/>
      <c r="LJK30" s="101"/>
      <c r="LJL30" s="101"/>
      <c r="LJM30" s="101"/>
      <c r="LJN30" s="101"/>
      <c r="LJO30" s="101"/>
      <c r="LJP30" s="101"/>
      <c r="LJQ30" s="101"/>
      <c r="LJR30" s="101"/>
      <c r="LJS30" s="101"/>
      <c r="LJT30" s="101"/>
      <c r="LJU30" s="101"/>
      <c r="LJV30" s="101"/>
      <c r="LJW30" s="101"/>
      <c r="LJX30" s="101"/>
      <c r="LJY30" s="101"/>
      <c r="LJZ30" s="101"/>
      <c r="LKA30" s="101"/>
      <c r="LKB30" s="101"/>
      <c r="LKC30" s="101"/>
      <c r="LKD30" s="101"/>
      <c r="LKE30" s="101"/>
      <c r="LKF30" s="101"/>
      <c r="LKG30" s="101"/>
      <c r="LKH30" s="101"/>
      <c r="LKI30" s="101"/>
      <c r="LKJ30" s="101"/>
      <c r="LKK30" s="101"/>
      <c r="LKL30" s="101"/>
      <c r="LKM30" s="101"/>
      <c r="LKN30" s="101"/>
      <c r="LKO30" s="101"/>
      <c r="LKP30" s="101"/>
      <c r="LKQ30" s="101"/>
      <c r="LKR30" s="101"/>
      <c r="LKS30" s="101"/>
      <c r="LKT30" s="101"/>
      <c r="LKU30" s="101"/>
      <c r="LKV30" s="101"/>
      <c r="LKW30" s="101"/>
      <c r="LKX30" s="101"/>
      <c r="LKY30" s="101"/>
      <c r="LKZ30" s="101"/>
      <c r="LLA30" s="101"/>
      <c r="LLB30" s="101"/>
      <c r="LLC30" s="101"/>
      <c r="LLD30" s="101"/>
      <c r="LLE30" s="101"/>
      <c r="LLF30" s="101"/>
      <c r="LLG30" s="101"/>
      <c r="LLH30" s="101"/>
      <c r="LLI30" s="101"/>
      <c r="LLJ30" s="101"/>
      <c r="LLK30" s="101"/>
      <c r="LLL30" s="101"/>
      <c r="LLM30" s="101"/>
      <c r="LLN30" s="101"/>
      <c r="LLO30" s="101"/>
      <c r="LLP30" s="101"/>
      <c r="LLQ30" s="101"/>
      <c r="LLR30" s="101"/>
      <c r="LLS30" s="101"/>
      <c r="LLT30" s="101"/>
      <c r="LLU30" s="101"/>
      <c r="LLV30" s="101"/>
      <c r="LLW30" s="101"/>
      <c r="LLX30" s="101"/>
      <c r="LLY30" s="101"/>
      <c r="LLZ30" s="101"/>
      <c r="LMA30" s="101"/>
      <c r="LMB30" s="101"/>
      <c r="LMC30" s="101"/>
      <c r="LMD30" s="101"/>
      <c r="LME30" s="101"/>
      <c r="LMF30" s="101"/>
      <c r="LMG30" s="101"/>
      <c r="LMH30" s="101"/>
      <c r="LMI30" s="101"/>
      <c r="LMJ30" s="101"/>
      <c r="LMK30" s="101"/>
      <c r="LML30" s="101"/>
      <c r="LMM30" s="101"/>
      <c r="LMN30" s="101"/>
      <c r="LMO30" s="101"/>
      <c r="LMP30" s="101"/>
      <c r="LMQ30" s="101"/>
      <c r="LMR30" s="101"/>
      <c r="LMS30" s="101"/>
      <c r="LMT30" s="101"/>
      <c r="LMU30" s="101"/>
      <c r="LMV30" s="101"/>
      <c r="LMW30" s="101"/>
      <c r="LMX30" s="101"/>
      <c r="LMY30" s="101"/>
      <c r="LMZ30" s="101"/>
      <c r="LNA30" s="101"/>
      <c r="LNB30" s="101"/>
      <c r="LNC30" s="101"/>
      <c r="LND30" s="101"/>
      <c r="LNE30" s="101"/>
      <c r="LNF30" s="101"/>
      <c r="LNG30" s="101"/>
      <c r="LNH30" s="101"/>
      <c r="LNI30" s="101"/>
      <c r="LNJ30" s="101"/>
      <c r="LNK30" s="101"/>
      <c r="LNL30" s="101"/>
      <c r="LNM30" s="101"/>
      <c r="LNN30" s="101"/>
      <c r="LNO30" s="101"/>
      <c r="LNP30" s="101"/>
      <c r="LNQ30" s="101"/>
      <c r="LNR30" s="101"/>
      <c r="LNS30" s="101"/>
      <c r="LNT30" s="101"/>
      <c r="LNU30" s="101"/>
      <c r="LNV30" s="101"/>
      <c r="LNW30" s="101"/>
      <c r="LNX30" s="101"/>
      <c r="LNY30" s="101"/>
      <c r="LNZ30" s="101"/>
      <c r="LOA30" s="101"/>
      <c r="LOB30" s="101"/>
      <c r="LOC30" s="101"/>
      <c r="LOD30" s="101"/>
      <c r="LOE30" s="101"/>
      <c r="LOF30" s="101"/>
      <c r="LOG30" s="101"/>
      <c r="LOH30" s="101"/>
      <c r="LOI30" s="101"/>
      <c r="LOJ30" s="101"/>
      <c r="LOK30" s="101"/>
      <c r="LOL30" s="101"/>
      <c r="LOM30" s="101"/>
      <c r="LON30" s="101"/>
      <c r="LOO30" s="101"/>
      <c r="LOP30" s="101"/>
      <c r="LOQ30" s="101"/>
      <c r="LOR30" s="101"/>
      <c r="LOS30" s="101"/>
      <c r="LOT30" s="101"/>
      <c r="LOU30" s="101"/>
      <c r="LOV30" s="101"/>
      <c r="LOW30" s="101"/>
      <c r="LOX30" s="101"/>
      <c r="LOY30" s="101"/>
      <c r="LOZ30" s="101"/>
      <c r="LPA30" s="101"/>
      <c r="LPB30" s="101"/>
      <c r="LPC30" s="101"/>
      <c r="LPD30" s="101"/>
      <c r="LPE30" s="101"/>
      <c r="LPF30" s="101"/>
      <c r="LPG30" s="101"/>
      <c r="LPH30" s="101"/>
      <c r="LPI30" s="101"/>
      <c r="LPJ30" s="101"/>
      <c r="LPK30" s="101"/>
      <c r="LPL30" s="101"/>
      <c r="LPM30" s="101"/>
      <c r="LPN30" s="101"/>
      <c r="LPO30" s="101"/>
      <c r="LPP30" s="101"/>
      <c r="LPQ30" s="101"/>
      <c r="LPR30" s="101"/>
      <c r="LPS30" s="101"/>
      <c r="LPT30" s="101"/>
      <c r="LPU30" s="101"/>
      <c r="LPV30" s="101"/>
      <c r="LPW30" s="101"/>
      <c r="LPX30" s="101"/>
      <c r="LPY30" s="101"/>
      <c r="LPZ30" s="101"/>
      <c r="LQA30" s="101"/>
      <c r="LQB30" s="101"/>
      <c r="LQC30" s="101"/>
      <c r="LQD30" s="101"/>
      <c r="LQE30" s="101"/>
      <c r="LQF30" s="101"/>
      <c r="LQG30" s="101"/>
      <c r="LQH30" s="101"/>
      <c r="LQI30" s="101"/>
      <c r="LQJ30" s="101"/>
      <c r="LQK30" s="101"/>
      <c r="LQL30" s="101"/>
      <c r="LQM30" s="101"/>
      <c r="LQN30" s="101"/>
      <c r="LQO30" s="101"/>
      <c r="LQP30" s="101"/>
      <c r="LQQ30" s="101"/>
      <c r="LQR30" s="101"/>
      <c r="LQS30" s="101"/>
      <c r="LQT30" s="101"/>
      <c r="LQU30" s="101"/>
      <c r="LQV30" s="101"/>
      <c r="LQW30" s="101"/>
      <c r="LQX30" s="101"/>
      <c r="LQY30" s="101"/>
      <c r="LQZ30" s="101"/>
      <c r="LRA30" s="101"/>
      <c r="LRB30" s="101"/>
      <c r="LRC30" s="101"/>
      <c r="LRD30" s="101"/>
      <c r="LRE30" s="101"/>
      <c r="LRF30" s="101"/>
      <c r="LRG30" s="101"/>
      <c r="LRH30" s="101"/>
      <c r="LRI30" s="101"/>
      <c r="LRJ30" s="101"/>
      <c r="LRK30" s="101"/>
      <c r="LRL30" s="101"/>
      <c r="LRM30" s="101"/>
      <c r="LRN30" s="101"/>
      <c r="LRO30" s="101"/>
      <c r="LRP30" s="101"/>
      <c r="LRQ30" s="101"/>
      <c r="LRR30" s="101"/>
      <c r="LRS30" s="101"/>
      <c r="LRT30" s="101"/>
      <c r="LRU30" s="101"/>
      <c r="LRV30" s="101"/>
      <c r="LRW30" s="101"/>
      <c r="LRX30" s="101"/>
      <c r="LRY30" s="101"/>
      <c r="LRZ30" s="101"/>
      <c r="LSA30" s="101"/>
      <c r="LSB30" s="101"/>
      <c r="LSC30" s="101"/>
      <c r="LSD30" s="101"/>
      <c r="LSE30" s="101"/>
      <c r="LSF30" s="101"/>
      <c r="LSG30" s="101"/>
      <c r="LSH30" s="101"/>
      <c r="LSI30" s="101"/>
      <c r="LSJ30" s="101"/>
      <c r="LSK30" s="101"/>
      <c r="LSL30" s="101"/>
      <c r="LSM30" s="101"/>
      <c r="LSN30" s="101"/>
      <c r="LSO30" s="101"/>
      <c r="LSP30" s="101"/>
      <c r="LSQ30" s="101"/>
      <c r="LSR30" s="101"/>
      <c r="LSS30" s="101"/>
      <c r="LST30" s="101"/>
      <c r="LSU30" s="101"/>
      <c r="LSV30" s="101"/>
      <c r="LSW30" s="101"/>
      <c r="LSX30" s="101"/>
      <c r="LSY30" s="101"/>
      <c r="LSZ30" s="101"/>
      <c r="LTA30" s="101"/>
      <c r="LTB30" s="101"/>
      <c r="LTC30" s="101"/>
      <c r="LTD30" s="101"/>
      <c r="LTE30" s="101"/>
      <c r="LTF30" s="101"/>
      <c r="LTG30" s="101"/>
      <c r="LTH30" s="101"/>
      <c r="LTI30" s="101"/>
      <c r="LTJ30" s="101"/>
      <c r="LTK30" s="101"/>
      <c r="LTL30" s="101"/>
      <c r="LTM30" s="101"/>
      <c r="LTN30" s="101"/>
      <c r="LTO30" s="101"/>
      <c r="LTP30" s="101"/>
      <c r="LTQ30" s="101"/>
      <c r="LTR30" s="101"/>
      <c r="LTS30" s="101"/>
      <c r="LTT30" s="101"/>
      <c r="LTU30" s="101"/>
      <c r="LTV30" s="101"/>
      <c r="LTW30" s="101"/>
      <c r="LTX30" s="101"/>
      <c r="LTY30" s="101"/>
      <c r="LTZ30" s="101"/>
      <c r="LUA30" s="101"/>
      <c r="LUB30" s="101"/>
      <c r="LUC30" s="101"/>
      <c r="LUD30" s="101"/>
      <c r="LUE30" s="101"/>
      <c r="LUF30" s="101"/>
      <c r="LUG30" s="101"/>
      <c r="LUH30" s="101"/>
      <c r="LUI30" s="101"/>
      <c r="LUJ30" s="101"/>
      <c r="LUK30" s="101"/>
      <c r="LUL30" s="101"/>
      <c r="LUM30" s="101"/>
      <c r="LUN30" s="101"/>
      <c r="LUO30" s="101"/>
      <c r="LUP30" s="101"/>
      <c r="LUQ30" s="101"/>
      <c r="LUR30" s="101"/>
      <c r="LUS30" s="101"/>
      <c r="LUT30" s="101"/>
      <c r="LUU30" s="101"/>
      <c r="LUV30" s="101"/>
      <c r="LUW30" s="101"/>
      <c r="LUX30" s="101"/>
      <c r="LUY30" s="101"/>
      <c r="LUZ30" s="101"/>
      <c r="LVA30" s="101"/>
      <c r="LVB30" s="101"/>
      <c r="LVC30" s="101"/>
      <c r="LVD30" s="101"/>
      <c r="LVE30" s="101"/>
      <c r="LVF30" s="101"/>
      <c r="LVG30" s="101"/>
      <c r="LVH30" s="101"/>
      <c r="LVI30" s="101"/>
      <c r="LVJ30" s="101"/>
      <c r="LVK30" s="101"/>
      <c r="LVL30" s="101"/>
      <c r="LVM30" s="101"/>
      <c r="LVN30" s="101"/>
      <c r="LVO30" s="101"/>
      <c r="LVP30" s="101"/>
      <c r="LVQ30" s="101"/>
      <c r="LVR30" s="101"/>
      <c r="LVS30" s="101"/>
      <c r="LVT30" s="101"/>
      <c r="LVU30" s="101"/>
      <c r="LVV30" s="101"/>
      <c r="LVW30" s="101"/>
      <c r="LVX30" s="101"/>
      <c r="LVY30" s="101"/>
      <c r="LVZ30" s="101"/>
      <c r="LWA30" s="101"/>
      <c r="LWB30" s="101"/>
      <c r="LWC30" s="101"/>
      <c r="LWD30" s="101"/>
      <c r="LWE30" s="101"/>
      <c r="LWF30" s="101"/>
      <c r="LWG30" s="101"/>
      <c r="LWH30" s="101"/>
      <c r="LWI30" s="101"/>
      <c r="LWJ30" s="101"/>
      <c r="LWK30" s="101"/>
      <c r="LWL30" s="101"/>
      <c r="LWM30" s="101"/>
      <c r="LWN30" s="101"/>
      <c r="LWO30" s="101"/>
      <c r="LWP30" s="101"/>
      <c r="LWQ30" s="101"/>
      <c r="LWR30" s="101"/>
      <c r="LWS30" s="101"/>
      <c r="LWT30" s="101"/>
      <c r="LWU30" s="101"/>
      <c r="LWV30" s="101"/>
      <c r="LWW30" s="101"/>
      <c r="LWX30" s="101"/>
      <c r="LWY30" s="101"/>
      <c r="LWZ30" s="101"/>
      <c r="LXA30" s="101"/>
      <c r="LXB30" s="101"/>
      <c r="LXC30" s="101"/>
      <c r="LXD30" s="101"/>
      <c r="LXE30" s="101"/>
      <c r="LXF30" s="101"/>
      <c r="LXG30" s="101"/>
      <c r="LXH30" s="101"/>
      <c r="LXI30" s="101"/>
      <c r="LXJ30" s="101"/>
      <c r="LXK30" s="101"/>
      <c r="LXL30" s="101"/>
      <c r="LXM30" s="101"/>
      <c r="LXN30" s="101"/>
      <c r="LXO30" s="101"/>
      <c r="LXP30" s="101"/>
      <c r="LXQ30" s="101"/>
      <c r="LXR30" s="101"/>
      <c r="LXS30" s="101"/>
      <c r="LXT30" s="101"/>
      <c r="LXU30" s="101"/>
      <c r="LXV30" s="101"/>
      <c r="LXW30" s="101"/>
      <c r="LXX30" s="101"/>
      <c r="LXY30" s="101"/>
      <c r="LXZ30" s="101"/>
      <c r="LYA30" s="101"/>
      <c r="LYB30" s="101"/>
      <c r="LYC30" s="101"/>
      <c r="LYD30" s="101"/>
      <c r="LYE30" s="101"/>
      <c r="LYF30" s="101"/>
      <c r="LYG30" s="101"/>
      <c r="LYH30" s="101"/>
      <c r="LYI30" s="101"/>
      <c r="LYJ30" s="101"/>
      <c r="LYK30" s="101"/>
      <c r="LYL30" s="101"/>
      <c r="LYM30" s="101"/>
      <c r="LYN30" s="101"/>
      <c r="LYO30" s="101"/>
      <c r="LYP30" s="101"/>
      <c r="LYQ30" s="101"/>
      <c r="LYR30" s="101"/>
      <c r="LYS30" s="101"/>
      <c r="LYT30" s="101"/>
      <c r="LYU30" s="101"/>
      <c r="LYV30" s="101"/>
      <c r="LYW30" s="101"/>
      <c r="LYX30" s="101"/>
      <c r="LYY30" s="101"/>
      <c r="LYZ30" s="101"/>
      <c r="LZA30" s="101"/>
      <c r="LZB30" s="101"/>
      <c r="LZC30" s="101"/>
      <c r="LZD30" s="101"/>
      <c r="LZE30" s="101"/>
      <c r="LZF30" s="101"/>
      <c r="LZG30" s="101"/>
      <c r="LZH30" s="101"/>
      <c r="LZI30" s="101"/>
      <c r="LZJ30" s="101"/>
      <c r="LZK30" s="101"/>
      <c r="LZL30" s="101"/>
      <c r="LZM30" s="101"/>
      <c r="LZN30" s="101"/>
      <c r="LZO30" s="101"/>
      <c r="LZP30" s="101"/>
      <c r="LZQ30" s="101"/>
      <c r="LZR30" s="101"/>
      <c r="LZS30" s="101"/>
      <c r="LZT30" s="101"/>
      <c r="LZU30" s="101"/>
      <c r="LZV30" s="101"/>
      <c r="LZW30" s="101"/>
      <c r="LZX30" s="101"/>
      <c r="LZY30" s="101"/>
      <c r="LZZ30" s="101"/>
      <c r="MAA30" s="101"/>
      <c r="MAB30" s="101"/>
      <c r="MAC30" s="101"/>
      <c r="MAD30" s="101"/>
      <c r="MAE30" s="101"/>
      <c r="MAF30" s="101"/>
      <c r="MAG30" s="101"/>
      <c r="MAH30" s="101"/>
      <c r="MAI30" s="101"/>
      <c r="MAJ30" s="101"/>
      <c r="MAK30" s="101"/>
      <c r="MAL30" s="101"/>
      <c r="MAM30" s="101"/>
      <c r="MAN30" s="101"/>
      <c r="MAO30" s="101"/>
      <c r="MAP30" s="101"/>
      <c r="MAQ30" s="101"/>
      <c r="MAR30" s="101"/>
      <c r="MAS30" s="101"/>
      <c r="MAT30" s="101"/>
      <c r="MAU30" s="101"/>
      <c r="MAV30" s="101"/>
      <c r="MAW30" s="101"/>
      <c r="MAX30" s="101"/>
      <c r="MAY30" s="101"/>
      <c r="MAZ30" s="101"/>
      <c r="MBA30" s="101"/>
      <c r="MBB30" s="101"/>
      <c r="MBC30" s="101"/>
      <c r="MBD30" s="101"/>
      <c r="MBE30" s="101"/>
      <c r="MBF30" s="101"/>
      <c r="MBG30" s="101"/>
      <c r="MBH30" s="101"/>
      <c r="MBI30" s="101"/>
      <c r="MBJ30" s="101"/>
      <c r="MBK30" s="101"/>
      <c r="MBL30" s="101"/>
      <c r="MBM30" s="101"/>
      <c r="MBN30" s="101"/>
      <c r="MBO30" s="101"/>
      <c r="MBP30" s="101"/>
      <c r="MBQ30" s="101"/>
      <c r="MBR30" s="101"/>
      <c r="MBS30" s="101"/>
      <c r="MBT30" s="101"/>
      <c r="MBU30" s="101"/>
      <c r="MBV30" s="101"/>
      <c r="MBW30" s="101"/>
      <c r="MBX30" s="101"/>
      <c r="MBY30" s="101"/>
      <c r="MBZ30" s="101"/>
      <c r="MCA30" s="101"/>
      <c r="MCB30" s="101"/>
      <c r="MCC30" s="101"/>
      <c r="MCD30" s="101"/>
      <c r="MCE30" s="101"/>
      <c r="MCF30" s="101"/>
      <c r="MCG30" s="101"/>
      <c r="MCH30" s="101"/>
      <c r="MCI30" s="101"/>
      <c r="MCJ30" s="101"/>
      <c r="MCK30" s="101"/>
      <c r="MCL30" s="101"/>
      <c r="MCM30" s="101"/>
      <c r="MCN30" s="101"/>
      <c r="MCO30" s="101"/>
      <c r="MCP30" s="101"/>
      <c r="MCQ30" s="101"/>
      <c r="MCR30" s="101"/>
      <c r="MCS30" s="101"/>
      <c r="MCT30" s="101"/>
      <c r="MCU30" s="101"/>
      <c r="MCV30" s="101"/>
      <c r="MCW30" s="101"/>
      <c r="MCX30" s="101"/>
      <c r="MCY30" s="101"/>
      <c r="MCZ30" s="101"/>
      <c r="MDA30" s="101"/>
      <c r="MDB30" s="101"/>
      <c r="MDC30" s="101"/>
      <c r="MDD30" s="101"/>
      <c r="MDE30" s="101"/>
      <c r="MDF30" s="101"/>
      <c r="MDG30" s="101"/>
      <c r="MDH30" s="101"/>
      <c r="MDI30" s="101"/>
      <c r="MDJ30" s="101"/>
      <c r="MDK30" s="101"/>
      <c r="MDL30" s="101"/>
      <c r="MDM30" s="101"/>
      <c r="MDN30" s="101"/>
      <c r="MDO30" s="101"/>
      <c r="MDP30" s="101"/>
      <c r="MDQ30" s="101"/>
      <c r="MDR30" s="101"/>
      <c r="MDS30" s="101"/>
      <c r="MDT30" s="101"/>
      <c r="MDU30" s="101"/>
      <c r="MDV30" s="101"/>
      <c r="MDW30" s="101"/>
      <c r="MDX30" s="101"/>
      <c r="MDY30" s="101"/>
      <c r="MDZ30" s="101"/>
      <c r="MEA30" s="101"/>
      <c r="MEB30" s="101"/>
      <c r="MEC30" s="101"/>
      <c r="MED30" s="101"/>
      <c r="MEE30" s="101"/>
      <c r="MEF30" s="101"/>
      <c r="MEG30" s="101"/>
      <c r="MEH30" s="101"/>
      <c r="MEI30" s="101"/>
      <c r="MEJ30" s="101"/>
      <c r="MEK30" s="101"/>
      <c r="MEL30" s="101"/>
      <c r="MEM30" s="101"/>
      <c r="MEN30" s="101"/>
      <c r="MEO30" s="101"/>
      <c r="MEP30" s="101"/>
      <c r="MEQ30" s="101"/>
      <c r="MER30" s="101"/>
      <c r="MES30" s="101"/>
      <c r="MET30" s="101"/>
      <c r="MEU30" s="101"/>
      <c r="MEV30" s="101"/>
      <c r="MEW30" s="101"/>
      <c r="MEX30" s="101"/>
      <c r="MEY30" s="101"/>
      <c r="MEZ30" s="101"/>
      <c r="MFA30" s="101"/>
      <c r="MFB30" s="101"/>
      <c r="MFC30" s="101"/>
      <c r="MFD30" s="101"/>
      <c r="MFE30" s="101"/>
      <c r="MFF30" s="101"/>
      <c r="MFG30" s="101"/>
      <c r="MFH30" s="101"/>
      <c r="MFI30" s="101"/>
      <c r="MFJ30" s="101"/>
      <c r="MFK30" s="101"/>
      <c r="MFL30" s="101"/>
      <c r="MFM30" s="101"/>
      <c r="MFN30" s="101"/>
      <c r="MFO30" s="101"/>
      <c r="MFP30" s="101"/>
      <c r="MFQ30" s="101"/>
      <c r="MFR30" s="101"/>
      <c r="MFS30" s="101"/>
      <c r="MFT30" s="101"/>
      <c r="MFU30" s="101"/>
      <c r="MFV30" s="101"/>
      <c r="MFW30" s="101"/>
      <c r="MFX30" s="101"/>
      <c r="MFY30" s="101"/>
      <c r="MFZ30" s="101"/>
      <c r="MGA30" s="101"/>
      <c r="MGB30" s="101"/>
      <c r="MGC30" s="101"/>
      <c r="MGD30" s="101"/>
      <c r="MGE30" s="101"/>
      <c r="MGF30" s="101"/>
      <c r="MGG30" s="101"/>
      <c r="MGH30" s="101"/>
      <c r="MGI30" s="101"/>
      <c r="MGJ30" s="101"/>
      <c r="MGK30" s="101"/>
      <c r="MGL30" s="101"/>
      <c r="MGM30" s="101"/>
      <c r="MGN30" s="101"/>
      <c r="MGO30" s="101"/>
      <c r="MGP30" s="101"/>
      <c r="MGQ30" s="101"/>
      <c r="MGR30" s="101"/>
      <c r="MGS30" s="101"/>
      <c r="MGT30" s="101"/>
      <c r="MGU30" s="101"/>
      <c r="MGV30" s="101"/>
      <c r="MGW30" s="101"/>
      <c r="MGX30" s="101"/>
      <c r="MGY30" s="101"/>
      <c r="MGZ30" s="101"/>
      <c r="MHA30" s="101"/>
      <c r="MHB30" s="101"/>
      <c r="MHC30" s="101"/>
      <c r="MHD30" s="101"/>
      <c r="MHE30" s="101"/>
      <c r="MHF30" s="101"/>
      <c r="MHG30" s="101"/>
      <c r="MHH30" s="101"/>
      <c r="MHI30" s="101"/>
      <c r="MHJ30" s="101"/>
      <c r="MHK30" s="101"/>
      <c r="MHL30" s="101"/>
      <c r="MHM30" s="101"/>
      <c r="MHN30" s="101"/>
      <c r="MHO30" s="101"/>
      <c r="MHP30" s="101"/>
      <c r="MHQ30" s="101"/>
      <c r="MHR30" s="101"/>
      <c r="MHS30" s="101"/>
      <c r="MHT30" s="101"/>
      <c r="MHU30" s="101"/>
      <c r="MHV30" s="101"/>
      <c r="MHW30" s="101"/>
      <c r="MHX30" s="101"/>
      <c r="MHY30" s="101"/>
      <c r="MHZ30" s="101"/>
      <c r="MIA30" s="101"/>
      <c r="MIB30" s="101"/>
      <c r="MIC30" s="101"/>
      <c r="MID30" s="101"/>
      <c r="MIE30" s="101"/>
      <c r="MIF30" s="101"/>
      <c r="MIG30" s="101"/>
      <c r="MIH30" s="101"/>
      <c r="MII30" s="101"/>
      <c r="MIJ30" s="101"/>
      <c r="MIK30" s="101"/>
      <c r="MIL30" s="101"/>
      <c r="MIM30" s="101"/>
      <c r="MIN30" s="101"/>
      <c r="MIO30" s="101"/>
      <c r="MIP30" s="101"/>
      <c r="MIQ30" s="101"/>
      <c r="MIR30" s="101"/>
      <c r="MIS30" s="101"/>
      <c r="MIT30" s="101"/>
      <c r="MIU30" s="101"/>
      <c r="MIV30" s="101"/>
      <c r="MIW30" s="101"/>
      <c r="MIX30" s="101"/>
      <c r="MIY30" s="101"/>
      <c r="MIZ30" s="101"/>
      <c r="MJA30" s="101"/>
      <c r="MJB30" s="101"/>
      <c r="MJC30" s="101"/>
      <c r="MJD30" s="101"/>
      <c r="MJE30" s="101"/>
      <c r="MJF30" s="101"/>
      <c r="MJG30" s="101"/>
      <c r="MJH30" s="101"/>
      <c r="MJI30" s="101"/>
      <c r="MJJ30" s="101"/>
      <c r="MJK30" s="101"/>
      <c r="MJL30" s="101"/>
      <c r="MJM30" s="101"/>
      <c r="MJN30" s="101"/>
      <c r="MJO30" s="101"/>
      <c r="MJP30" s="101"/>
      <c r="MJQ30" s="101"/>
      <c r="MJR30" s="101"/>
      <c r="MJS30" s="101"/>
      <c r="MJT30" s="101"/>
      <c r="MJU30" s="101"/>
      <c r="MJV30" s="101"/>
      <c r="MJW30" s="101"/>
      <c r="MJX30" s="101"/>
      <c r="MJY30" s="101"/>
      <c r="MJZ30" s="101"/>
      <c r="MKA30" s="101"/>
      <c r="MKB30" s="101"/>
      <c r="MKC30" s="101"/>
      <c r="MKD30" s="101"/>
      <c r="MKE30" s="101"/>
      <c r="MKF30" s="101"/>
      <c r="MKG30" s="101"/>
      <c r="MKH30" s="101"/>
      <c r="MKI30" s="101"/>
      <c r="MKJ30" s="101"/>
      <c r="MKK30" s="101"/>
      <c r="MKL30" s="101"/>
      <c r="MKM30" s="101"/>
      <c r="MKN30" s="101"/>
      <c r="MKO30" s="101"/>
      <c r="MKP30" s="101"/>
      <c r="MKQ30" s="101"/>
      <c r="MKR30" s="101"/>
      <c r="MKS30" s="101"/>
      <c r="MKT30" s="101"/>
      <c r="MKU30" s="101"/>
      <c r="MKV30" s="101"/>
      <c r="MKW30" s="101"/>
      <c r="MKX30" s="101"/>
      <c r="MKY30" s="101"/>
      <c r="MKZ30" s="101"/>
      <c r="MLA30" s="101"/>
      <c r="MLB30" s="101"/>
      <c r="MLC30" s="101"/>
      <c r="MLD30" s="101"/>
      <c r="MLE30" s="101"/>
      <c r="MLF30" s="101"/>
      <c r="MLG30" s="101"/>
      <c r="MLH30" s="101"/>
      <c r="MLI30" s="101"/>
      <c r="MLJ30" s="101"/>
      <c r="MLK30" s="101"/>
      <c r="MLL30" s="101"/>
      <c r="MLM30" s="101"/>
      <c r="MLN30" s="101"/>
      <c r="MLO30" s="101"/>
      <c r="MLP30" s="101"/>
      <c r="MLQ30" s="101"/>
      <c r="MLR30" s="101"/>
      <c r="MLS30" s="101"/>
      <c r="MLT30" s="101"/>
      <c r="MLU30" s="101"/>
      <c r="MLV30" s="101"/>
      <c r="MLW30" s="101"/>
      <c r="MLX30" s="101"/>
      <c r="MLY30" s="101"/>
      <c r="MLZ30" s="101"/>
      <c r="MMA30" s="101"/>
      <c r="MMB30" s="101"/>
      <c r="MMC30" s="101"/>
      <c r="MMD30" s="101"/>
      <c r="MME30" s="101"/>
      <c r="MMF30" s="101"/>
      <c r="MMG30" s="101"/>
      <c r="MMH30" s="101"/>
      <c r="MMI30" s="101"/>
      <c r="MMJ30" s="101"/>
      <c r="MMK30" s="101"/>
      <c r="MML30" s="101"/>
      <c r="MMM30" s="101"/>
      <c r="MMN30" s="101"/>
      <c r="MMO30" s="101"/>
      <c r="MMP30" s="101"/>
      <c r="MMQ30" s="101"/>
      <c r="MMR30" s="101"/>
      <c r="MMS30" s="101"/>
      <c r="MMT30" s="101"/>
      <c r="MMU30" s="101"/>
      <c r="MMV30" s="101"/>
      <c r="MMW30" s="101"/>
      <c r="MMX30" s="101"/>
      <c r="MMY30" s="101"/>
      <c r="MMZ30" s="101"/>
      <c r="MNA30" s="101"/>
      <c r="MNB30" s="101"/>
      <c r="MNC30" s="101"/>
      <c r="MND30" s="101"/>
      <c r="MNE30" s="101"/>
      <c r="MNF30" s="101"/>
      <c r="MNG30" s="101"/>
      <c r="MNH30" s="101"/>
      <c r="MNI30" s="101"/>
      <c r="MNJ30" s="101"/>
      <c r="MNK30" s="101"/>
      <c r="MNL30" s="101"/>
      <c r="MNM30" s="101"/>
      <c r="MNN30" s="101"/>
      <c r="MNO30" s="101"/>
      <c r="MNP30" s="101"/>
      <c r="MNQ30" s="101"/>
      <c r="MNR30" s="101"/>
      <c r="MNS30" s="101"/>
      <c r="MNT30" s="101"/>
      <c r="MNU30" s="101"/>
      <c r="MNV30" s="101"/>
      <c r="MNW30" s="101"/>
      <c r="MNX30" s="101"/>
      <c r="MNY30" s="101"/>
      <c r="MNZ30" s="101"/>
      <c r="MOA30" s="101"/>
      <c r="MOB30" s="101"/>
      <c r="MOC30" s="101"/>
      <c r="MOD30" s="101"/>
      <c r="MOE30" s="101"/>
      <c r="MOF30" s="101"/>
      <c r="MOG30" s="101"/>
      <c r="MOH30" s="101"/>
      <c r="MOI30" s="101"/>
      <c r="MOJ30" s="101"/>
      <c r="MOK30" s="101"/>
      <c r="MOL30" s="101"/>
      <c r="MOM30" s="101"/>
      <c r="MON30" s="101"/>
      <c r="MOO30" s="101"/>
      <c r="MOP30" s="101"/>
      <c r="MOQ30" s="101"/>
      <c r="MOR30" s="101"/>
      <c r="MOS30" s="101"/>
      <c r="MOT30" s="101"/>
      <c r="MOU30" s="101"/>
      <c r="MOV30" s="101"/>
      <c r="MOW30" s="101"/>
      <c r="MOX30" s="101"/>
      <c r="MOY30" s="101"/>
      <c r="MOZ30" s="101"/>
      <c r="MPA30" s="101"/>
      <c r="MPB30" s="101"/>
      <c r="MPC30" s="101"/>
      <c r="MPD30" s="101"/>
      <c r="MPE30" s="101"/>
      <c r="MPF30" s="101"/>
      <c r="MPG30" s="101"/>
      <c r="MPH30" s="101"/>
      <c r="MPI30" s="101"/>
      <c r="MPJ30" s="101"/>
      <c r="MPK30" s="101"/>
      <c r="MPL30" s="101"/>
      <c r="MPM30" s="101"/>
      <c r="MPN30" s="101"/>
      <c r="MPO30" s="101"/>
      <c r="MPP30" s="101"/>
      <c r="MPQ30" s="101"/>
      <c r="MPR30" s="101"/>
      <c r="MPS30" s="101"/>
      <c r="MPT30" s="101"/>
      <c r="MPU30" s="101"/>
      <c r="MPV30" s="101"/>
      <c r="MPW30" s="101"/>
      <c r="MPX30" s="101"/>
      <c r="MPY30" s="101"/>
      <c r="MPZ30" s="101"/>
      <c r="MQA30" s="101"/>
      <c r="MQB30" s="101"/>
      <c r="MQC30" s="101"/>
      <c r="MQD30" s="101"/>
      <c r="MQE30" s="101"/>
      <c r="MQF30" s="101"/>
      <c r="MQG30" s="101"/>
      <c r="MQH30" s="101"/>
      <c r="MQI30" s="101"/>
      <c r="MQJ30" s="101"/>
      <c r="MQK30" s="101"/>
      <c r="MQL30" s="101"/>
      <c r="MQM30" s="101"/>
      <c r="MQN30" s="101"/>
      <c r="MQO30" s="101"/>
      <c r="MQP30" s="101"/>
      <c r="MQQ30" s="101"/>
      <c r="MQR30" s="101"/>
      <c r="MQS30" s="101"/>
      <c r="MQT30" s="101"/>
      <c r="MQU30" s="101"/>
      <c r="MQV30" s="101"/>
      <c r="MQW30" s="101"/>
      <c r="MQX30" s="101"/>
      <c r="MQY30" s="101"/>
      <c r="MQZ30" s="101"/>
      <c r="MRA30" s="101"/>
      <c r="MRB30" s="101"/>
      <c r="MRC30" s="101"/>
      <c r="MRD30" s="101"/>
      <c r="MRE30" s="101"/>
      <c r="MRF30" s="101"/>
      <c r="MRG30" s="101"/>
      <c r="MRH30" s="101"/>
      <c r="MRI30" s="101"/>
      <c r="MRJ30" s="101"/>
      <c r="MRK30" s="101"/>
      <c r="MRL30" s="101"/>
      <c r="MRM30" s="101"/>
      <c r="MRN30" s="101"/>
      <c r="MRO30" s="101"/>
      <c r="MRP30" s="101"/>
      <c r="MRQ30" s="101"/>
      <c r="MRR30" s="101"/>
      <c r="MRS30" s="101"/>
      <c r="MRT30" s="101"/>
      <c r="MRU30" s="101"/>
      <c r="MRV30" s="101"/>
      <c r="MRW30" s="101"/>
      <c r="MRX30" s="101"/>
      <c r="MRY30" s="101"/>
      <c r="MRZ30" s="101"/>
      <c r="MSA30" s="101"/>
      <c r="MSB30" s="101"/>
      <c r="MSC30" s="101"/>
      <c r="MSD30" s="101"/>
      <c r="MSE30" s="101"/>
      <c r="MSF30" s="101"/>
      <c r="MSG30" s="101"/>
      <c r="MSH30" s="101"/>
      <c r="MSI30" s="101"/>
      <c r="MSJ30" s="101"/>
      <c r="MSK30" s="101"/>
      <c r="MSL30" s="101"/>
      <c r="MSM30" s="101"/>
      <c r="MSN30" s="101"/>
      <c r="MSO30" s="101"/>
      <c r="MSP30" s="101"/>
      <c r="MSQ30" s="101"/>
      <c r="MSR30" s="101"/>
      <c r="MSS30" s="101"/>
      <c r="MST30" s="101"/>
      <c r="MSU30" s="101"/>
      <c r="MSV30" s="101"/>
      <c r="MSW30" s="101"/>
      <c r="MSX30" s="101"/>
      <c r="MSY30" s="101"/>
      <c r="MSZ30" s="101"/>
      <c r="MTA30" s="101"/>
      <c r="MTB30" s="101"/>
      <c r="MTC30" s="101"/>
      <c r="MTD30" s="101"/>
      <c r="MTE30" s="101"/>
      <c r="MTF30" s="101"/>
      <c r="MTG30" s="101"/>
      <c r="MTH30" s="101"/>
      <c r="MTI30" s="101"/>
      <c r="MTJ30" s="101"/>
      <c r="MTK30" s="101"/>
      <c r="MTL30" s="101"/>
      <c r="MTM30" s="101"/>
      <c r="MTN30" s="101"/>
      <c r="MTO30" s="101"/>
      <c r="MTP30" s="101"/>
      <c r="MTQ30" s="101"/>
      <c r="MTR30" s="101"/>
      <c r="MTS30" s="101"/>
      <c r="MTT30" s="101"/>
      <c r="MTU30" s="101"/>
      <c r="MTV30" s="101"/>
      <c r="MTW30" s="101"/>
      <c r="MTX30" s="101"/>
      <c r="MTY30" s="101"/>
      <c r="MTZ30" s="101"/>
      <c r="MUA30" s="101"/>
      <c r="MUB30" s="101"/>
      <c r="MUC30" s="101"/>
      <c r="MUD30" s="101"/>
      <c r="MUE30" s="101"/>
      <c r="MUF30" s="101"/>
      <c r="MUG30" s="101"/>
      <c r="MUH30" s="101"/>
      <c r="MUI30" s="101"/>
      <c r="MUJ30" s="101"/>
      <c r="MUK30" s="101"/>
      <c r="MUL30" s="101"/>
      <c r="MUM30" s="101"/>
      <c r="MUN30" s="101"/>
      <c r="MUO30" s="101"/>
      <c r="MUP30" s="101"/>
      <c r="MUQ30" s="101"/>
      <c r="MUR30" s="101"/>
      <c r="MUS30" s="101"/>
      <c r="MUT30" s="101"/>
      <c r="MUU30" s="101"/>
      <c r="MUV30" s="101"/>
      <c r="MUW30" s="101"/>
      <c r="MUX30" s="101"/>
      <c r="MUY30" s="101"/>
      <c r="MUZ30" s="101"/>
      <c r="MVA30" s="101"/>
      <c r="MVB30" s="101"/>
      <c r="MVC30" s="101"/>
      <c r="MVD30" s="101"/>
      <c r="MVE30" s="101"/>
      <c r="MVF30" s="101"/>
      <c r="MVG30" s="101"/>
      <c r="MVH30" s="101"/>
      <c r="MVI30" s="101"/>
      <c r="MVJ30" s="101"/>
      <c r="MVK30" s="101"/>
      <c r="MVL30" s="101"/>
      <c r="MVM30" s="101"/>
      <c r="MVN30" s="101"/>
      <c r="MVO30" s="101"/>
      <c r="MVP30" s="101"/>
      <c r="MVQ30" s="101"/>
      <c r="MVR30" s="101"/>
      <c r="MVS30" s="101"/>
      <c r="MVT30" s="101"/>
      <c r="MVU30" s="101"/>
      <c r="MVV30" s="101"/>
      <c r="MVW30" s="101"/>
      <c r="MVX30" s="101"/>
      <c r="MVY30" s="101"/>
      <c r="MVZ30" s="101"/>
      <c r="MWA30" s="101"/>
      <c r="MWB30" s="101"/>
      <c r="MWC30" s="101"/>
      <c r="MWD30" s="101"/>
      <c r="MWE30" s="101"/>
      <c r="MWF30" s="101"/>
      <c r="MWG30" s="101"/>
      <c r="MWH30" s="101"/>
      <c r="MWI30" s="101"/>
      <c r="MWJ30" s="101"/>
      <c r="MWK30" s="101"/>
      <c r="MWL30" s="101"/>
      <c r="MWM30" s="101"/>
      <c r="MWN30" s="101"/>
      <c r="MWO30" s="101"/>
      <c r="MWP30" s="101"/>
      <c r="MWQ30" s="101"/>
      <c r="MWR30" s="101"/>
      <c r="MWS30" s="101"/>
      <c r="MWT30" s="101"/>
      <c r="MWU30" s="101"/>
      <c r="MWV30" s="101"/>
      <c r="MWW30" s="101"/>
      <c r="MWX30" s="101"/>
      <c r="MWY30" s="101"/>
      <c r="MWZ30" s="101"/>
      <c r="MXA30" s="101"/>
      <c r="MXB30" s="101"/>
      <c r="MXC30" s="101"/>
      <c r="MXD30" s="101"/>
      <c r="MXE30" s="101"/>
      <c r="MXF30" s="101"/>
      <c r="MXG30" s="101"/>
      <c r="MXH30" s="101"/>
      <c r="MXI30" s="101"/>
      <c r="MXJ30" s="101"/>
      <c r="MXK30" s="101"/>
      <c r="MXL30" s="101"/>
      <c r="MXM30" s="101"/>
      <c r="MXN30" s="101"/>
      <c r="MXO30" s="101"/>
      <c r="MXP30" s="101"/>
      <c r="MXQ30" s="101"/>
      <c r="MXR30" s="101"/>
      <c r="MXS30" s="101"/>
      <c r="MXT30" s="101"/>
      <c r="MXU30" s="101"/>
      <c r="MXV30" s="101"/>
      <c r="MXW30" s="101"/>
      <c r="MXX30" s="101"/>
      <c r="MXY30" s="101"/>
      <c r="MXZ30" s="101"/>
      <c r="MYA30" s="101"/>
      <c r="MYB30" s="101"/>
      <c r="MYC30" s="101"/>
      <c r="MYD30" s="101"/>
      <c r="MYE30" s="101"/>
      <c r="MYF30" s="101"/>
      <c r="MYG30" s="101"/>
      <c r="MYH30" s="101"/>
      <c r="MYI30" s="101"/>
      <c r="MYJ30" s="101"/>
      <c r="MYK30" s="101"/>
      <c r="MYL30" s="101"/>
      <c r="MYM30" s="101"/>
      <c r="MYN30" s="101"/>
      <c r="MYO30" s="101"/>
      <c r="MYP30" s="101"/>
      <c r="MYQ30" s="101"/>
      <c r="MYR30" s="101"/>
      <c r="MYS30" s="101"/>
      <c r="MYT30" s="101"/>
      <c r="MYU30" s="101"/>
      <c r="MYV30" s="101"/>
      <c r="MYW30" s="101"/>
      <c r="MYX30" s="101"/>
      <c r="MYY30" s="101"/>
      <c r="MYZ30" s="101"/>
      <c r="MZA30" s="101"/>
      <c r="MZB30" s="101"/>
      <c r="MZC30" s="101"/>
      <c r="MZD30" s="101"/>
      <c r="MZE30" s="101"/>
      <c r="MZF30" s="101"/>
      <c r="MZG30" s="101"/>
      <c r="MZH30" s="101"/>
      <c r="MZI30" s="101"/>
      <c r="MZJ30" s="101"/>
      <c r="MZK30" s="101"/>
      <c r="MZL30" s="101"/>
      <c r="MZM30" s="101"/>
      <c r="MZN30" s="101"/>
      <c r="MZO30" s="101"/>
      <c r="MZP30" s="101"/>
      <c r="MZQ30" s="101"/>
      <c r="MZR30" s="101"/>
      <c r="MZS30" s="101"/>
      <c r="MZT30" s="101"/>
      <c r="MZU30" s="101"/>
      <c r="MZV30" s="101"/>
      <c r="MZW30" s="101"/>
      <c r="MZX30" s="101"/>
      <c r="MZY30" s="101"/>
      <c r="MZZ30" s="101"/>
      <c r="NAA30" s="101"/>
      <c r="NAB30" s="101"/>
      <c r="NAC30" s="101"/>
      <c r="NAD30" s="101"/>
      <c r="NAE30" s="101"/>
      <c r="NAF30" s="101"/>
      <c r="NAG30" s="101"/>
      <c r="NAH30" s="101"/>
      <c r="NAI30" s="101"/>
      <c r="NAJ30" s="101"/>
      <c r="NAK30" s="101"/>
      <c r="NAL30" s="101"/>
      <c r="NAM30" s="101"/>
      <c r="NAN30" s="101"/>
      <c r="NAO30" s="101"/>
      <c r="NAP30" s="101"/>
      <c r="NAQ30" s="101"/>
      <c r="NAR30" s="101"/>
      <c r="NAS30" s="101"/>
      <c r="NAT30" s="101"/>
      <c r="NAU30" s="101"/>
      <c r="NAV30" s="101"/>
      <c r="NAW30" s="101"/>
      <c r="NAX30" s="101"/>
      <c r="NAY30" s="101"/>
      <c r="NAZ30" s="101"/>
      <c r="NBA30" s="101"/>
      <c r="NBB30" s="101"/>
      <c r="NBC30" s="101"/>
      <c r="NBD30" s="101"/>
      <c r="NBE30" s="101"/>
      <c r="NBF30" s="101"/>
      <c r="NBG30" s="101"/>
      <c r="NBH30" s="101"/>
      <c r="NBI30" s="101"/>
      <c r="NBJ30" s="101"/>
      <c r="NBK30" s="101"/>
      <c r="NBL30" s="101"/>
      <c r="NBM30" s="101"/>
      <c r="NBN30" s="101"/>
      <c r="NBO30" s="101"/>
      <c r="NBP30" s="101"/>
      <c r="NBQ30" s="101"/>
      <c r="NBR30" s="101"/>
      <c r="NBS30" s="101"/>
      <c r="NBT30" s="101"/>
      <c r="NBU30" s="101"/>
      <c r="NBV30" s="101"/>
      <c r="NBW30" s="101"/>
      <c r="NBX30" s="101"/>
      <c r="NBY30" s="101"/>
      <c r="NBZ30" s="101"/>
      <c r="NCA30" s="101"/>
      <c r="NCB30" s="101"/>
      <c r="NCC30" s="101"/>
      <c r="NCD30" s="101"/>
      <c r="NCE30" s="101"/>
      <c r="NCF30" s="101"/>
      <c r="NCG30" s="101"/>
      <c r="NCH30" s="101"/>
      <c r="NCI30" s="101"/>
      <c r="NCJ30" s="101"/>
      <c r="NCK30" s="101"/>
      <c r="NCL30" s="101"/>
      <c r="NCM30" s="101"/>
      <c r="NCN30" s="101"/>
      <c r="NCO30" s="101"/>
      <c r="NCP30" s="101"/>
      <c r="NCQ30" s="101"/>
      <c r="NCR30" s="101"/>
      <c r="NCS30" s="101"/>
      <c r="NCT30" s="101"/>
      <c r="NCU30" s="101"/>
      <c r="NCV30" s="101"/>
      <c r="NCW30" s="101"/>
      <c r="NCX30" s="101"/>
      <c r="NCY30" s="101"/>
      <c r="NCZ30" s="101"/>
      <c r="NDA30" s="101"/>
      <c r="NDB30" s="101"/>
      <c r="NDC30" s="101"/>
      <c r="NDD30" s="101"/>
      <c r="NDE30" s="101"/>
      <c r="NDF30" s="101"/>
      <c r="NDG30" s="101"/>
      <c r="NDH30" s="101"/>
      <c r="NDI30" s="101"/>
      <c r="NDJ30" s="101"/>
      <c r="NDK30" s="101"/>
      <c r="NDL30" s="101"/>
      <c r="NDM30" s="101"/>
      <c r="NDN30" s="101"/>
      <c r="NDO30" s="101"/>
      <c r="NDP30" s="101"/>
      <c r="NDQ30" s="101"/>
      <c r="NDR30" s="101"/>
      <c r="NDS30" s="101"/>
      <c r="NDT30" s="101"/>
      <c r="NDU30" s="101"/>
      <c r="NDV30" s="101"/>
      <c r="NDW30" s="101"/>
      <c r="NDX30" s="101"/>
      <c r="NDY30" s="101"/>
      <c r="NDZ30" s="101"/>
      <c r="NEA30" s="101"/>
      <c r="NEB30" s="101"/>
      <c r="NEC30" s="101"/>
      <c r="NED30" s="101"/>
      <c r="NEE30" s="101"/>
      <c r="NEF30" s="101"/>
      <c r="NEG30" s="101"/>
      <c r="NEH30" s="101"/>
      <c r="NEI30" s="101"/>
      <c r="NEJ30" s="101"/>
      <c r="NEK30" s="101"/>
      <c r="NEL30" s="101"/>
      <c r="NEM30" s="101"/>
      <c r="NEN30" s="101"/>
      <c r="NEO30" s="101"/>
      <c r="NEP30" s="101"/>
      <c r="NEQ30" s="101"/>
      <c r="NER30" s="101"/>
      <c r="NES30" s="101"/>
      <c r="NET30" s="101"/>
      <c r="NEU30" s="101"/>
      <c r="NEV30" s="101"/>
      <c r="NEW30" s="101"/>
      <c r="NEX30" s="101"/>
      <c r="NEY30" s="101"/>
      <c r="NEZ30" s="101"/>
      <c r="NFA30" s="101"/>
      <c r="NFB30" s="101"/>
      <c r="NFC30" s="101"/>
      <c r="NFD30" s="101"/>
      <c r="NFE30" s="101"/>
      <c r="NFF30" s="101"/>
      <c r="NFG30" s="101"/>
      <c r="NFH30" s="101"/>
      <c r="NFI30" s="101"/>
      <c r="NFJ30" s="101"/>
      <c r="NFK30" s="101"/>
      <c r="NFL30" s="101"/>
      <c r="NFM30" s="101"/>
      <c r="NFN30" s="101"/>
      <c r="NFO30" s="101"/>
      <c r="NFP30" s="101"/>
      <c r="NFQ30" s="101"/>
      <c r="NFR30" s="101"/>
      <c r="NFS30" s="101"/>
      <c r="NFT30" s="101"/>
      <c r="NFU30" s="101"/>
      <c r="NFV30" s="101"/>
      <c r="NFW30" s="101"/>
      <c r="NFX30" s="101"/>
      <c r="NFY30" s="101"/>
      <c r="NFZ30" s="101"/>
      <c r="NGA30" s="101"/>
      <c r="NGB30" s="101"/>
      <c r="NGC30" s="101"/>
      <c r="NGD30" s="101"/>
      <c r="NGE30" s="101"/>
      <c r="NGF30" s="101"/>
      <c r="NGG30" s="101"/>
      <c r="NGH30" s="101"/>
      <c r="NGI30" s="101"/>
      <c r="NGJ30" s="101"/>
      <c r="NGK30" s="101"/>
      <c r="NGL30" s="101"/>
      <c r="NGM30" s="101"/>
      <c r="NGN30" s="101"/>
      <c r="NGO30" s="101"/>
      <c r="NGP30" s="101"/>
      <c r="NGQ30" s="101"/>
      <c r="NGR30" s="101"/>
      <c r="NGS30" s="101"/>
      <c r="NGT30" s="101"/>
      <c r="NGU30" s="101"/>
      <c r="NGV30" s="101"/>
      <c r="NGW30" s="101"/>
      <c r="NGX30" s="101"/>
      <c r="NGY30" s="101"/>
      <c r="NGZ30" s="101"/>
      <c r="NHA30" s="101"/>
      <c r="NHB30" s="101"/>
      <c r="NHC30" s="101"/>
      <c r="NHD30" s="101"/>
      <c r="NHE30" s="101"/>
      <c r="NHF30" s="101"/>
      <c r="NHG30" s="101"/>
      <c r="NHH30" s="101"/>
      <c r="NHI30" s="101"/>
      <c r="NHJ30" s="101"/>
      <c r="NHK30" s="101"/>
      <c r="NHL30" s="101"/>
      <c r="NHM30" s="101"/>
      <c r="NHN30" s="101"/>
      <c r="NHO30" s="101"/>
      <c r="NHP30" s="101"/>
      <c r="NHQ30" s="101"/>
      <c r="NHR30" s="101"/>
      <c r="NHS30" s="101"/>
      <c r="NHT30" s="101"/>
      <c r="NHU30" s="101"/>
      <c r="NHV30" s="101"/>
      <c r="NHW30" s="101"/>
      <c r="NHX30" s="101"/>
      <c r="NHY30" s="101"/>
      <c r="NHZ30" s="101"/>
      <c r="NIA30" s="101"/>
      <c r="NIB30" s="101"/>
      <c r="NIC30" s="101"/>
      <c r="NID30" s="101"/>
      <c r="NIE30" s="101"/>
      <c r="NIF30" s="101"/>
      <c r="NIG30" s="101"/>
      <c r="NIH30" s="101"/>
      <c r="NII30" s="101"/>
      <c r="NIJ30" s="101"/>
      <c r="NIK30" s="101"/>
      <c r="NIL30" s="101"/>
      <c r="NIM30" s="101"/>
      <c r="NIN30" s="101"/>
      <c r="NIO30" s="101"/>
      <c r="NIP30" s="101"/>
      <c r="NIQ30" s="101"/>
      <c r="NIR30" s="101"/>
      <c r="NIS30" s="101"/>
      <c r="NIT30" s="101"/>
      <c r="NIU30" s="101"/>
      <c r="NIV30" s="101"/>
      <c r="NIW30" s="101"/>
      <c r="NIX30" s="101"/>
      <c r="NIY30" s="101"/>
      <c r="NIZ30" s="101"/>
      <c r="NJA30" s="101"/>
      <c r="NJB30" s="101"/>
      <c r="NJC30" s="101"/>
      <c r="NJD30" s="101"/>
      <c r="NJE30" s="101"/>
      <c r="NJF30" s="101"/>
      <c r="NJG30" s="101"/>
      <c r="NJH30" s="101"/>
      <c r="NJI30" s="101"/>
      <c r="NJJ30" s="101"/>
      <c r="NJK30" s="101"/>
      <c r="NJL30" s="101"/>
      <c r="NJM30" s="101"/>
      <c r="NJN30" s="101"/>
      <c r="NJO30" s="101"/>
      <c r="NJP30" s="101"/>
      <c r="NJQ30" s="101"/>
      <c r="NJR30" s="101"/>
      <c r="NJS30" s="101"/>
      <c r="NJT30" s="101"/>
      <c r="NJU30" s="101"/>
      <c r="NJV30" s="101"/>
      <c r="NJW30" s="101"/>
      <c r="NJX30" s="101"/>
      <c r="NJY30" s="101"/>
      <c r="NJZ30" s="101"/>
      <c r="NKA30" s="101"/>
      <c r="NKB30" s="101"/>
      <c r="NKC30" s="101"/>
      <c r="NKD30" s="101"/>
      <c r="NKE30" s="101"/>
      <c r="NKF30" s="101"/>
      <c r="NKG30" s="101"/>
      <c r="NKH30" s="101"/>
      <c r="NKI30" s="101"/>
      <c r="NKJ30" s="101"/>
      <c r="NKK30" s="101"/>
      <c r="NKL30" s="101"/>
      <c r="NKM30" s="101"/>
      <c r="NKN30" s="101"/>
      <c r="NKO30" s="101"/>
      <c r="NKP30" s="101"/>
      <c r="NKQ30" s="101"/>
      <c r="NKR30" s="101"/>
      <c r="NKS30" s="101"/>
      <c r="NKT30" s="101"/>
      <c r="NKU30" s="101"/>
      <c r="NKV30" s="101"/>
      <c r="NKW30" s="101"/>
      <c r="NKX30" s="101"/>
      <c r="NKY30" s="101"/>
      <c r="NKZ30" s="101"/>
      <c r="NLA30" s="101"/>
      <c r="NLB30" s="101"/>
      <c r="NLC30" s="101"/>
      <c r="NLD30" s="101"/>
      <c r="NLE30" s="101"/>
      <c r="NLF30" s="101"/>
      <c r="NLG30" s="101"/>
      <c r="NLH30" s="101"/>
      <c r="NLI30" s="101"/>
      <c r="NLJ30" s="101"/>
      <c r="NLK30" s="101"/>
      <c r="NLL30" s="101"/>
      <c r="NLM30" s="101"/>
      <c r="NLN30" s="101"/>
      <c r="NLO30" s="101"/>
      <c r="NLP30" s="101"/>
      <c r="NLQ30" s="101"/>
      <c r="NLR30" s="101"/>
      <c r="NLS30" s="101"/>
      <c r="NLT30" s="101"/>
      <c r="NLU30" s="101"/>
      <c r="NLV30" s="101"/>
      <c r="NLW30" s="101"/>
      <c r="NLX30" s="101"/>
      <c r="NLY30" s="101"/>
      <c r="NLZ30" s="101"/>
      <c r="NMA30" s="101"/>
      <c r="NMB30" s="101"/>
      <c r="NMC30" s="101"/>
      <c r="NMD30" s="101"/>
      <c r="NME30" s="101"/>
      <c r="NMF30" s="101"/>
      <c r="NMG30" s="101"/>
      <c r="NMH30" s="101"/>
      <c r="NMI30" s="101"/>
      <c r="NMJ30" s="101"/>
      <c r="NMK30" s="101"/>
      <c r="NML30" s="101"/>
      <c r="NMM30" s="101"/>
      <c r="NMN30" s="101"/>
      <c r="NMO30" s="101"/>
      <c r="NMP30" s="101"/>
      <c r="NMQ30" s="101"/>
      <c r="NMR30" s="101"/>
      <c r="NMS30" s="101"/>
      <c r="NMT30" s="101"/>
      <c r="NMU30" s="101"/>
      <c r="NMV30" s="101"/>
      <c r="NMW30" s="101"/>
      <c r="NMX30" s="101"/>
      <c r="NMY30" s="101"/>
      <c r="NMZ30" s="101"/>
      <c r="NNA30" s="101"/>
      <c r="NNB30" s="101"/>
      <c r="NNC30" s="101"/>
      <c r="NND30" s="101"/>
      <c r="NNE30" s="101"/>
      <c r="NNF30" s="101"/>
      <c r="NNG30" s="101"/>
      <c r="NNH30" s="101"/>
      <c r="NNI30" s="101"/>
      <c r="NNJ30" s="101"/>
      <c r="NNK30" s="101"/>
      <c r="NNL30" s="101"/>
      <c r="NNM30" s="101"/>
      <c r="NNN30" s="101"/>
      <c r="NNO30" s="101"/>
      <c r="NNP30" s="101"/>
      <c r="NNQ30" s="101"/>
      <c r="NNR30" s="101"/>
      <c r="NNS30" s="101"/>
      <c r="NNT30" s="101"/>
      <c r="NNU30" s="101"/>
      <c r="NNV30" s="101"/>
      <c r="NNW30" s="101"/>
      <c r="NNX30" s="101"/>
      <c r="NNY30" s="101"/>
      <c r="NNZ30" s="101"/>
      <c r="NOA30" s="101"/>
      <c r="NOB30" s="101"/>
      <c r="NOC30" s="101"/>
      <c r="NOD30" s="101"/>
      <c r="NOE30" s="101"/>
      <c r="NOF30" s="101"/>
      <c r="NOG30" s="101"/>
      <c r="NOH30" s="101"/>
      <c r="NOI30" s="101"/>
      <c r="NOJ30" s="101"/>
      <c r="NOK30" s="101"/>
      <c r="NOL30" s="101"/>
      <c r="NOM30" s="101"/>
      <c r="NON30" s="101"/>
      <c r="NOO30" s="101"/>
      <c r="NOP30" s="101"/>
      <c r="NOQ30" s="101"/>
      <c r="NOR30" s="101"/>
      <c r="NOS30" s="101"/>
      <c r="NOT30" s="101"/>
      <c r="NOU30" s="101"/>
      <c r="NOV30" s="101"/>
      <c r="NOW30" s="101"/>
      <c r="NOX30" s="101"/>
      <c r="NOY30" s="101"/>
      <c r="NOZ30" s="101"/>
      <c r="NPA30" s="101"/>
      <c r="NPB30" s="101"/>
      <c r="NPC30" s="101"/>
      <c r="NPD30" s="101"/>
      <c r="NPE30" s="101"/>
      <c r="NPF30" s="101"/>
      <c r="NPG30" s="101"/>
      <c r="NPH30" s="101"/>
      <c r="NPI30" s="101"/>
      <c r="NPJ30" s="101"/>
      <c r="NPK30" s="101"/>
      <c r="NPL30" s="101"/>
      <c r="NPM30" s="101"/>
      <c r="NPN30" s="101"/>
      <c r="NPO30" s="101"/>
      <c r="NPP30" s="101"/>
      <c r="NPQ30" s="101"/>
      <c r="NPR30" s="101"/>
      <c r="NPS30" s="101"/>
      <c r="NPT30" s="101"/>
      <c r="NPU30" s="101"/>
      <c r="NPV30" s="101"/>
      <c r="NPW30" s="101"/>
      <c r="NPX30" s="101"/>
      <c r="NPY30" s="101"/>
      <c r="NPZ30" s="101"/>
      <c r="NQA30" s="101"/>
      <c r="NQB30" s="101"/>
      <c r="NQC30" s="101"/>
      <c r="NQD30" s="101"/>
      <c r="NQE30" s="101"/>
      <c r="NQF30" s="101"/>
      <c r="NQG30" s="101"/>
      <c r="NQH30" s="101"/>
      <c r="NQI30" s="101"/>
      <c r="NQJ30" s="101"/>
      <c r="NQK30" s="101"/>
      <c r="NQL30" s="101"/>
      <c r="NQM30" s="101"/>
      <c r="NQN30" s="101"/>
      <c r="NQO30" s="101"/>
      <c r="NQP30" s="101"/>
      <c r="NQQ30" s="101"/>
      <c r="NQR30" s="101"/>
      <c r="NQS30" s="101"/>
      <c r="NQT30" s="101"/>
      <c r="NQU30" s="101"/>
      <c r="NQV30" s="101"/>
      <c r="NQW30" s="101"/>
      <c r="NQX30" s="101"/>
      <c r="NQY30" s="101"/>
      <c r="NQZ30" s="101"/>
      <c r="NRA30" s="101"/>
      <c r="NRB30" s="101"/>
      <c r="NRC30" s="101"/>
      <c r="NRD30" s="101"/>
      <c r="NRE30" s="101"/>
      <c r="NRF30" s="101"/>
      <c r="NRG30" s="101"/>
      <c r="NRH30" s="101"/>
      <c r="NRI30" s="101"/>
      <c r="NRJ30" s="101"/>
      <c r="NRK30" s="101"/>
      <c r="NRL30" s="101"/>
      <c r="NRM30" s="101"/>
      <c r="NRN30" s="101"/>
      <c r="NRO30" s="101"/>
      <c r="NRP30" s="101"/>
      <c r="NRQ30" s="101"/>
      <c r="NRR30" s="101"/>
      <c r="NRS30" s="101"/>
      <c r="NRT30" s="101"/>
      <c r="NRU30" s="101"/>
      <c r="NRV30" s="101"/>
      <c r="NRW30" s="101"/>
      <c r="NRX30" s="101"/>
      <c r="NRY30" s="101"/>
      <c r="NRZ30" s="101"/>
      <c r="NSA30" s="101"/>
      <c r="NSB30" s="101"/>
      <c r="NSC30" s="101"/>
      <c r="NSD30" s="101"/>
      <c r="NSE30" s="101"/>
      <c r="NSF30" s="101"/>
      <c r="NSG30" s="101"/>
      <c r="NSH30" s="101"/>
      <c r="NSI30" s="101"/>
      <c r="NSJ30" s="101"/>
      <c r="NSK30" s="101"/>
      <c r="NSL30" s="101"/>
      <c r="NSM30" s="101"/>
      <c r="NSN30" s="101"/>
      <c r="NSO30" s="101"/>
      <c r="NSP30" s="101"/>
      <c r="NSQ30" s="101"/>
      <c r="NSR30" s="101"/>
      <c r="NSS30" s="101"/>
      <c r="NST30" s="101"/>
      <c r="NSU30" s="101"/>
      <c r="NSV30" s="101"/>
      <c r="NSW30" s="101"/>
      <c r="NSX30" s="101"/>
      <c r="NSY30" s="101"/>
      <c r="NSZ30" s="101"/>
      <c r="NTA30" s="101"/>
      <c r="NTB30" s="101"/>
      <c r="NTC30" s="101"/>
      <c r="NTD30" s="101"/>
      <c r="NTE30" s="101"/>
      <c r="NTF30" s="101"/>
      <c r="NTG30" s="101"/>
      <c r="NTH30" s="101"/>
      <c r="NTI30" s="101"/>
      <c r="NTJ30" s="101"/>
      <c r="NTK30" s="101"/>
      <c r="NTL30" s="101"/>
      <c r="NTM30" s="101"/>
      <c r="NTN30" s="101"/>
      <c r="NTO30" s="101"/>
      <c r="NTP30" s="101"/>
      <c r="NTQ30" s="101"/>
      <c r="NTR30" s="101"/>
      <c r="NTS30" s="101"/>
      <c r="NTT30" s="101"/>
      <c r="NTU30" s="101"/>
      <c r="NTV30" s="101"/>
      <c r="NTW30" s="101"/>
      <c r="NTX30" s="101"/>
      <c r="NTY30" s="101"/>
      <c r="NTZ30" s="101"/>
      <c r="NUA30" s="101"/>
      <c r="NUB30" s="101"/>
      <c r="NUC30" s="101"/>
      <c r="NUD30" s="101"/>
      <c r="NUE30" s="101"/>
      <c r="NUF30" s="101"/>
      <c r="NUG30" s="101"/>
      <c r="NUH30" s="101"/>
      <c r="NUI30" s="101"/>
      <c r="NUJ30" s="101"/>
      <c r="NUK30" s="101"/>
      <c r="NUL30" s="101"/>
      <c r="NUM30" s="101"/>
      <c r="NUN30" s="101"/>
      <c r="NUO30" s="101"/>
      <c r="NUP30" s="101"/>
      <c r="NUQ30" s="101"/>
      <c r="NUR30" s="101"/>
      <c r="NUS30" s="101"/>
      <c r="NUT30" s="101"/>
      <c r="NUU30" s="101"/>
      <c r="NUV30" s="101"/>
      <c r="NUW30" s="101"/>
      <c r="NUX30" s="101"/>
      <c r="NUY30" s="101"/>
      <c r="NUZ30" s="101"/>
      <c r="NVA30" s="101"/>
      <c r="NVB30" s="101"/>
      <c r="NVC30" s="101"/>
      <c r="NVD30" s="101"/>
      <c r="NVE30" s="101"/>
      <c r="NVF30" s="101"/>
      <c r="NVG30" s="101"/>
      <c r="NVH30" s="101"/>
      <c r="NVI30" s="101"/>
      <c r="NVJ30" s="101"/>
      <c r="NVK30" s="101"/>
      <c r="NVL30" s="101"/>
      <c r="NVM30" s="101"/>
      <c r="NVN30" s="101"/>
      <c r="NVO30" s="101"/>
      <c r="NVP30" s="101"/>
      <c r="NVQ30" s="101"/>
      <c r="NVR30" s="101"/>
      <c r="NVS30" s="101"/>
      <c r="NVT30" s="101"/>
      <c r="NVU30" s="101"/>
      <c r="NVV30" s="101"/>
      <c r="NVW30" s="101"/>
      <c r="NVX30" s="101"/>
      <c r="NVY30" s="101"/>
      <c r="NVZ30" s="101"/>
      <c r="NWA30" s="101"/>
      <c r="NWB30" s="101"/>
      <c r="NWC30" s="101"/>
      <c r="NWD30" s="101"/>
      <c r="NWE30" s="101"/>
      <c r="NWF30" s="101"/>
      <c r="NWG30" s="101"/>
      <c r="NWH30" s="101"/>
      <c r="NWI30" s="101"/>
      <c r="NWJ30" s="101"/>
      <c r="NWK30" s="101"/>
      <c r="NWL30" s="101"/>
      <c r="NWM30" s="101"/>
      <c r="NWN30" s="101"/>
      <c r="NWO30" s="101"/>
      <c r="NWP30" s="101"/>
      <c r="NWQ30" s="101"/>
      <c r="NWR30" s="101"/>
      <c r="NWS30" s="101"/>
      <c r="NWT30" s="101"/>
      <c r="NWU30" s="101"/>
      <c r="NWV30" s="101"/>
      <c r="NWW30" s="101"/>
      <c r="NWX30" s="101"/>
      <c r="NWY30" s="101"/>
      <c r="NWZ30" s="101"/>
      <c r="NXA30" s="101"/>
      <c r="NXB30" s="101"/>
      <c r="NXC30" s="101"/>
      <c r="NXD30" s="101"/>
      <c r="NXE30" s="101"/>
      <c r="NXF30" s="101"/>
      <c r="NXG30" s="101"/>
      <c r="NXH30" s="101"/>
      <c r="NXI30" s="101"/>
      <c r="NXJ30" s="101"/>
      <c r="NXK30" s="101"/>
      <c r="NXL30" s="101"/>
      <c r="NXM30" s="101"/>
      <c r="NXN30" s="101"/>
      <c r="NXO30" s="101"/>
      <c r="NXP30" s="101"/>
      <c r="NXQ30" s="101"/>
      <c r="NXR30" s="101"/>
      <c r="NXS30" s="101"/>
      <c r="NXT30" s="101"/>
      <c r="NXU30" s="101"/>
      <c r="NXV30" s="101"/>
      <c r="NXW30" s="101"/>
      <c r="NXX30" s="101"/>
      <c r="NXY30" s="101"/>
      <c r="NXZ30" s="101"/>
      <c r="NYA30" s="101"/>
      <c r="NYB30" s="101"/>
      <c r="NYC30" s="101"/>
      <c r="NYD30" s="101"/>
      <c r="NYE30" s="101"/>
      <c r="NYF30" s="101"/>
      <c r="NYG30" s="101"/>
      <c r="NYH30" s="101"/>
      <c r="NYI30" s="101"/>
      <c r="NYJ30" s="101"/>
      <c r="NYK30" s="101"/>
      <c r="NYL30" s="101"/>
      <c r="NYM30" s="101"/>
      <c r="NYN30" s="101"/>
      <c r="NYO30" s="101"/>
      <c r="NYP30" s="101"/>
      <c r="NYQ30" s="101"/>
      <c r="NYR30" s="101"/>
      <c r="NYS30" s="101"/>
      <c r="NYT30" s="101"/>
      <c r="NYU30" s="101"/>
      <c r="NYV30" s="101"/>
      <c r="NYW30" s="101"/>
      <c r="NYX30" s="101"/>
      <c r="NYY30" s="101"/>
      <c r="NYZ30" s="101"/>
      <c r="NZA30" s="101"/>
      <c r="NZB30" s="101"/>
      <c r="NZC30" s="101"/>
      <c r="NZD30" s="101"/>
      <c r="NZE30" s="101"/>
      <c r="NZF30" s="101"/>
      <c r="NZG30" s="101"/>
      <c r="NZH30" s="101"/>
      <c r="NZI30" s="101"/>
      <c r="NZJ30" s="101"/>
      <c r="NZK30" s="101"/>
      <c r="NZL30" s="101"/>
      <c r="NZM30" s="101"/>
      <c r="NZN30" s="101"/>
      <c r="NZO30" s="101"/>
      <c r="NZP30" s="101"/>
      <c r="NZQ30" s="101"/>
      <c r="NZR30" s="101"/>
      <c r="NZS30" s="101"/>
      <c r="NZT30" s="101"/>
      <c r="NZU30" s="101"/>
      <c r="NZV30" s="101"/>
      <c r="NZW30" s="101"/>
      <c r="NZX30" s="101"/>
      <c r="NZY30" s="101"/>
      <c r="NZZ30" s="101"/>
      <c r="OAA30" s="101"/>
      <c r="OAB30" s="101"/>
      <c r="OAC30" s="101"/>
      <c r="OAD30" s="101"/>
      <c r="OAE30" s="101"/>
      <c r="OAF30" s="101"/>
      <c r="OAG30" s="101"/>
      <c r="OAH30" s="101"/>
      <c r="OAI30" s="101"/>
      <c r="OAJ30" s="101"/>
      <c r="OAK30" s="101"/>
      <c r="OAL30" s="101"/>
      <c r="OAM30" s="101"/>
      <c r="OAN30" s="101"/>
      <c r="OAO30" s="101"/>
      <c r="OAP30" s="101"/>
      <c r="OAQ30" s="101"/>
      <c r="OAR30" s="101"/>
      <c r="OAS30" s="101"/>
      <c r="OAT30" s="101"/>
      <c r="OAU30" s="101"/>
      <c r="OAV30" s="101"/>
      <c r="OAW30" s="101"/>
      <c r="OAX30" s="101"/>
      <c r="OAY30" s="101"/>
      <c r="OAZ30" s="101"/>
      <c r="OBA30" s="101"/>
      <c r="OBB30" s="101"/>
      <c r="OBC30" s="101"/>
      <c r="OBD30" s="101"/>
      <c r="OBE30" s="101"/>
      <c r="OBF30" s="101"/>
      <c r="OBG30" s="101"/>
      <c r="OBH30" s="101"/>
      <c r="OBI30" s="101"/>
      <c r="OBJ30" s="101"/>
      <c r="OBK30" s="101"/>
      <c r="OBL30" s="101"/>
      <c r="OBM30" s="101"/>
      <c r="OBN30" s="101"/>
      <c r="OBO30" s="101"/>
      <c r="OBP30" s="101"/>
      <c r="OBQ30" s="101"/>
      <c r="OBR30" s="101"/>
      <c r="OBS30" s="101"/>
      <c r="OBT30" s="101"/>
      <c r="OBU30" s="101"/>
      <c r="OBV30" s="101"/>
      <c r="OBW30" s="101"/>
      <c r="OBX30" s="101"/>
      <c r="OBY30" s="101"/>
      <c r="OBZ30" s="101"/>
      <c r="OCA30" s="101"/>
      <c r="OCB30" s="101"/>
      <c r="OCC30" s="101"/>
      <c r="OCD30" s="101"/>
      <c r="OCE30" s="101"/>
      <c r="OCF30" s="101"/>
      <c r="OCG30" s="101"/>
      <c r="OCH30" s="101"/>
      <c r="OCI30" s="101"/>
      <c r="OCJ30" s="101"/>
      <c r="OCK30" s="101"/>
      <c r="OCL30" s="101"/>
      <c r="OCM30" s="101"/>
      <c r="OCN30" s="101"/>
      <c r="OCO30" s="101"/>
      <c r="OCP30" s="101"/>
      <c r="OCQ30" s="101"/>
      <c r="OCR30" s="101"/>
      <c r="OCS30" s="101"/>
      <c r="OCT30" s="101"/>
      <c r="OCU30" s="101"/>
      <c r="OCV30" s="101"/>
      <c r="OCW30" s="101"/>
      <c r="OCX30" s="101"/>
      <c r="OCY30" s="101"/>
      <c r="OCZ30" s="101"/>
      <c r="ODA30" s="101"/>
      <c r="ODB30" s="101"/>
      <c r="ODC30" s="101"/>
      <c r="ODD30" s="101"/>
      <c r="ODE30" s="101"/>
      <c r="ODF30" s="101"/>
      <c r="ODG30" s="101"/>
      <c r="ODH30" s="101"/>
      <c r="ODI30" s="101"/>
      <c r="ODJ30" s="101"/>
      <c r="ODK30" s="101"/>
      <c r="ODL30" s="101"/>
      <c r="ODM30" s="101"/>
      <c r="ODN30" s="101"/>
      <c r="ODO30" s="101"/>
      <c r="ODP30" s="101"/>
      <c r="ODQ30" s="101"/>
      <c r="ODR30" s="101"/>
      <c r="ODS30" s="101"/>
      <c r="ODT30" s="101"/>
      <c r="ODU30" s="101"/>
      <c r="ODV30" s="101"/>
      <c r="ODW30" s="101"/>
      <c r="ODX30" s="101"/>
      <c r="ODY30" s="101"/>
      <c r="ODZ30" s="101"/>
      <c r="OEA30" s="101"/>
      <c r="OEB30" s="101"/>
      <c r="OEC30" s="101"/>
      <c r="OED30" s="101"/>
      <c r="OEE30" s="101"/>
      <c r="OEF30" s="101"/>
      <c r="OEG30" s="101"/>
      <c r="OEH30" s="101"/>
      <c r="OEI30" s="101"/>
      <c r="OEJ30" s="101"/>
      <c r="OEK30" s="101"/>
      <c r="OEL30" s="101"/>
      <c r="OEM30" s="101"/>
      <c r="OEN30" s="101"/>
      <c r="OEO30" s="101"/>
      <c r="OEP30" s="101"/>
      <c r="OEQ30" s="101"/>
      <c r="OER30" s="101"/>
      <c r="OES30" s="101"/>
      <c r="OET30" s="101"/>
      <c r="OEU30" s="101"/>
      <c r="OEV30" s="101"/>
      <c r="OEW30" s="101"/>
      <c r="OEX30" s="101"/>
      <c r="OEY30" s="101"/>
      <c r="OEZ30" s="101"/>
      <c r="OFA30" s="101"/>
      <c r="OFB30" s="101"/>
      <c r="OFC30" s="101"/>
      <c r="OFD30" s="101"/>
      <c r="OFE30" s="101"/>
      <c r="OFF30" s="101"/>
      <c r="OFG30" s="101"/>
      <c r="OFH30" s="101"/>
      <c r="OFI30" s="101"/>
      <c r="OFJ30" s="101"/>
      <c r="OFK30" s="101"/>
      <c r="OFL30" s="101"/>
      <c r="OFM30" s="101"/>
      <c r="OFN30" s="101"/>
      <c r="OFO30" s="101"/>
      <c r="OFP30" s="101"/>
      <c r="OFQ30" s="101"/>
      <c r="OFR30" s="101"/>
      <c r="OFS30" s="101"/>
      <c r="OFT30" s="101"/>
      <c r="OFU30" s="101"/>
      <c r="OFV30" s="101"/>
      <c r="OFW30" s="101"/>
      <c r="OFX30" s="101"/>
      <c r="OFY30" s="101"/>
      <c r="OFZ30" s="101"/>
      <c r="OGA30" s="101"/>
      <c r="OGB30" s="101"/>
      <c r="OGC30" s="101"/>
      <c r="OGD30" s="101"/>
      <c r="OGE30" s="101"/>
      <c r="OGF30" s="101"/>
      <c r="OGG30" s="101"/>
      <c r="OGH30" s="101"/>
      <c r="OGI30" s="101"/>
      <c r="OGJ30" s="101"/>
      <c r="OGK30" s="101"/>
      <c r="OGL30" s="101"/>
      <c r="OGM30" s="101"/>
      <c r="OGN30" s="101"/>
      <c r="OGO30" s="101"/>
      <c r="OGP30" s="101"/>
      <c r="OGQ30" s="101"/>
      <c r="OGR30" s="101"/>
      <c r="OGS30" s="101"/>
      <c r="OGT30" s="101"/>
      <c r="OGU30" s="101"/>
      <c r="OGV30" s="101"/>
      <c r="OGW30" s="101"/>
      <c r="OGX30" s="101"/>
      <c r="OGY30" s="101"/>
      <c r="OGZ30" s="101"/>
      <c r="OHA30" s="101"/>
      <c r="OHB30" s="101"/>
      <c r="OHC30" s="101"/>
      <c r="OHD30" s="101"/>
      <c r="OHE30" s="101"/>
      <c r="OHF30" s="101"/>
      <c r="OHG30" s="101"/>
      <c r="OHH30" s="101"/>
      <c r="OHI30" s="101"/>
      <c r="OHJ30" s="101"/>
      <c r="OHK30" s="101"/>
      <c r="OHL30" s="101"/>
      <c r="OHM30" s="101"/>
      <c r="OHN30" s="101"/>
      <c r="OHO30" s="101"/>
      <c r="OHP30" s="101"/>
      <c r="OHQ30" s="101"/>
      <c r="OHR30" s="101"/>
      <c r="OHS30" s="101"/>
      <c r="OHT30" s="101"/>
      <c r="OHU30" s="101"/>
      <c r="OHV30" s="101"/>
      <c r="OHW30" s="101"/>
      <c r="OHX30" s="101"/>
      <c r="OHY30" s="101"/>
      <c r="OHZ30" s="101"/>
      <c r="OIA30" s="101"/>
      <c r="OIB30" s="101"/>
      <c r="OIC30" s="101"/>
      <c r="OID30" s="101"/>
      <c r="OIE30" s="101"/>
      <c r="OIF30" s="101"/>
      <c r="OIG30" s="101"/>
      <c r="OIH30" s="101"/>
      <c r="OII30" s="101"/>
      <c r="OIJ30" s="101"/>
      <c r="OIK30" s="101"/>
      <c r="OIL30" s="101"/>
      <c r="OIM30" s="101"/>
      <c r="OIN30" s="101"/>
      <c r="OIO30" s="101"/>
      <c r="OIP30" s="101"/>
      <c r="OIQ30" s="101"/>
      <c r="OIR30" s="101"/>
      <c r="OIS30" s="101"/>
      <c r="OIT30" s="101"/>
      <c r="OIU30" s="101"/>
      <c r="OIV30" s="101"/>
      <c r="OIW30" s="101"/>
      <c r="OIX30" s="101"/>
      <c r="OIY30" s="101"/>
      <c r="OIZ30" s="101"/>
      <c r="OJA30" s="101"/>
      <c r="OJB30" s="101"/>
      <c r="OJC30" s="101"/>
      <c r="OJD30" s="101"/>
      <c r="OJE30" s="101"/>
      <c r="OJF30" s="101"/>
      <c r="OJG30" s="101"/>
      <c r="OJH30" s="101"/>
      <c r="OJI30" s="101"/>
      <c r="OJJ30" s="101"/>
      <c r="OJK30" s="101"/>
      <c r="OJL30" s="101"/>
      <c r="OJM30" s="101"/>
      <c r="OJN30" s="101"/>
      <c r="OJO30" s="101"/>
      <c r="OJP30" s="101"/>
      <c r="OJQ30" s="101"/>
      <c r="OJR30" s="101"/>
      <c r="OJS30" s="101"/>
      <c r="OJT30" s="101"/>
      <c r="OJU30" s="101"/>
      <c r="OJV30" s="101"/>
      <c r="OJW30" s="101"/>
      <c r="OJX30" s="101"/>
      <c r="OJY30" s="101"/>
      <c r="OJZ30" s="101"/>
      <c r="OKA30" s="101"/>
      <c r="OKB30" s="101"/>
      <c r="OKC30" s="101"/>
      <c r="OKD30" s="101"/>
      <c r="OKE30" s="101"/>
      <c r="OKF30" s="101"/>
      <c r="OKG30" s="101"/>
      <c r="OKH30" s="101"/>
      <c r="OKI30" s="101"/>
      <c r="OKJ30" s="101"/>
      <c r="OKK30" s="101"/>
      <c r="OKL30" s="101"/>
      <c r="OKM30" s="101"/>
      <c r="OKN30" s="101"/>
      <c r="OKO30" s="101"/>
      <c r="OKP30" s="101"/>
      <c r="OKQ30" s="101"/>
      <c r="OKR30" s="101"/>
      <c r="OKS30" s="101"/>
      <c r="OKT30" s="101"/>
      <c r="OKU30" s="101"/>
      <c r="OKV30" s="101"/>
      <c r="OKW30" s="101"/>
      <c r="OKX30" s="101"/>
      <c r="OKY30" s="101"/>
      <c r="OKZ30" s="101"/>
      <c r="OLA30" s="101"/>
      <c r="OLB30" s="101"/>
      <c r="OLC30" s="101"/>
      <c r="OLD30" s="101"/>
      <c r="OLE30" s="101"/>
      <c r="OLF30" s="101"/>
      <c r="OLG30" s="101"/>
      <c r="OLH30" s="101"/>
      <c r="OLI30" s="101"/>
      <c r="OLJ30" s="101"/>
      <c r="OLK30" s="101"/>
      <c r="OLL30" s="101"/>
      <c r="OLM30" s="101"/>
      <c r="OLN30" s="101"/>
      <c r="OLO30" s="101"/>
      <c r="OLP30" s="101"/>
      <c r="OLQ30" s="101"/>
      <c r="OLR30" s="101"/>
      <c r="OLS30" s="101"/>
      <c r="OLT30" s="101"/>
      <c r="OLU30" s="101"/>
      <c r="OLV30" s="101"/>
      <c r="OLW30" s="101"/>
      <c r="OLX30" s="101"/>
      <c r="OLY30" s="101"/>
      <c r="OLZ30" s="101"/>
      <c r="OMA30" s="101"/>
      <c r="OMB30" s="101"/>
      <c r="OMC30" s="101"/>
      <c r="OMD30" s="101"/>
      <c r="OME30" s="101"/>
      <c r="OMF30" s="101"/>
      <c r="OMG30" s="101"/>
      <c r="OMH30" s="101"/>
      <c r="OMI30" s="101"/>
      <c r="OMJ30" s="101"/>
      <c r="OMK30" s="101"/>
      <c r="OML30" s="101"/>
      <c r="OMM30" s="101"/>
      <c r="OMN30" s="101"/>
      <c r="OMO30" s="101"/>
      <c r="OMP30" s="101"/>
      <c r="OMQ30" s="101"/>
      <c r="OMR30" s="101"/>
      <c r="OMS30" s="101"/>
      <c r="OMT30" s="101"/>
      <c r="OMU30" s="101"/>
      <c r="OMV30" s="101"/>
      <c r="OMW30" s="101"/>
      <c r="OMX30" s="101"/>
      <c r="OMY30" s="101"/>
      <c r="OMZ30" s="101"/>
      <c r="ONA30" s="101"/>
      <c r="ONB30" s="101"/>
      <c r="ONC30" s="101"/>
      <c r="OND30" s="101"/>
      <c r="ONE30" s="101"/>
      <c r="ONF30" s="101"/>
      <c r="ONG30" s="101"/>
      <c r="ONH30" s="101"/>
      <c r="ONI30" s="101"/>
      <c r="ONJ30" s="101"/>
      <c r="ONK30" s="101"/>
      <c r="ONL30" s="101"/>
      <c r="ONM30" s="101"/>
      <c r="ONN30" s="101"/>
      <c r="ONO30" s="101"/>
      <c r="ONP30" s="101"/>
      <c r="ONQ30" s="101"/>
      <c r="ONR30" s="101"/>
      <c r="ONS30" s="101"/>
      <c r="ONT30" s="101"/>
      <c r="ONU30" s="101"/>
      <c r="ONV30" s="101"/>
      <c r="ONW30" s="101"/>
      <c r="ONX30" s="101"/>
      <c r="ONY30" s="101"/>
      <c r="ONZ30" s="101"/>
      <c r="OOA30" s="101"/>
      <c r="OOB30" s="101"/>
      <c r="OOC30" s="101"/>
      <c r="OOD30" s="101"/>
      <c r="OOE30" s="101"/>
      <c r="OOF30" s="101"/>
      <c r="OOG30" s="101"/>
      <c r="OOH30" s="101"/>
      <c r="OOI30" s="101"/>
      <c r="OOJ30" s="101"/>
      <c r="OOK30" s="101"/>
      <c r="OOL30" s="101"/>
      <c r="OOM30" s="101"/>
      <c r="OON30" s="101"/>
      <c r="OOO30" s="101"/>
      <c r="OOP30" s="101"/>
      <c r="OOQ30" s="101"/>
      <c r="OOR30" s="101"/>
      <c r="OOS30" s="101"/>
      <c r="OOT30" s="101"/>
      <c r="OOU30" s="101"/>
      <c r="OOV30" s="101"/>
      <c r="OOW30" s="101"/>
      <c r="OOX30" s="101"/>
      <c r="OOY30" s="101"/>
      <c r="OOZ30" s="101"/>
      <c r="OPA30" s="101"/>
      <c r="OPB30" s="101"/>
      <c r="OPC30" s="101"/>
      <c r="OPD30" s="101"/>
      <c r="OPE30" s="101"/>
      <c r="OPF30" s="101"/>
      <c r="OPG30" s="101"/>
      <c r="OPH30" s="101"/>
      <c r="OPI30" s="101"/>
      <c r="OPJ30" s="101"/>
      <c r="OPK30" s="101"/>
      <c r="OPL30" s="101"/>
      <c r="OPM30" s="101"/>
      <c r="OPN30" s="101"/>
      <c r="OPO30" s="101"/>
      <c r="OPP30" s="101"/>
      <c r="OPQ30" s="101"/>
      <c r="OPR30" s="101"/>
      <c r="OPS30" s="101"/>
      <c r="OPT30" s="101"/>
      <c r="OPU30" s="101"/>
      <c r="OPV30" s="101"/>
      <c r="OPW30" s="101"/>
      <c r="OPX30" s="101"/>
      <c r="OPY30" s="101"/>
      <c r="OPZ30" s="101"/>
      <c r="OQA30" s="101"/>
      <c r="OQB30" s="101"/>
      <c r="OQC30" s="101"/>
      <c r="OQD30" s="101"/>
      <c r="OQE30" s="101"/>
      <c r="OQF30" s="101"/>
      <c r="OQG30" s="101"/>
      <c r="OQH30" s="101"/>
      <c r="OQI30" s="101"/>
      <c r="OQJ30" s="101"/>
      <c r="OQK30" s="101"/>
      <c r="OQL30" s="101"/>
      <c r="OQM30" s="101"/>
      <c r="OQN30" s="101"/>
      <c r="OQO30" s="101"/>
      <c r="OQP30" s="101"/>
      <c r="OQQ30" s="101"/>
      <c r="OQR30" s="101"/>
      <c r="OQS30" s="101"/>
      <c r="OQT30" s="101"/>
      <c r="OQU30" s="101"/>
      <c r="OQV30" s="101"/>
      <c r="OQW30" s="101"/>
      <c r="OQX30" s="101"/>
      <c r="OQY30" s="101"/>
      <c r="OQZ30" s="101"/>
      <c r="ORA30" s="101"/>
      <c r="ORB30" s="101"/>
      <c r="ORC30" s="101"/>
      <c r="ORD30" s="101"/>
      <c r="ORE30" s="101"/>
      <c r="ORF30" s="101"/>
      <c r="ORG30" s="101"/>
      <c r="ORH30" s="101"/>
      <c r="ORI30" s="101"/>
      <c r="ORJ30" s="101"/>
      <c r="ORK30" s="101"/>
      <c r="ORL30" s="101"/>
      <c r="ORM30" s="101"/>
      <c r="ORN30" s="101"/>
      <c r="ORO30" s="101"/>
      <c r="ORP30" s="101"/>
      <c r="ORQ30" s="101"/>
      <c r="ORR30" s="101"/>
      <c r="ORS30" s="101"/>
      <c r="ORT30" s="101"/>
      <c r="ORU30" s="101"/>
      <c r="ORV30" s="101"/>
      <c r="ORW30" s="101"/>
      <c r="ORX30" s="101"/>
      <c r="ORY30" s="101"/>
      <c r="ORZ30" s="101"/>
      <c r="OSA30" s="101"/>
      <c r="OSB30" s="101"/>
      <c r="OSC30" s="101"/>
      <c r="OSD30" s="101"/>
      <c r="OSE30" s="101"/>
      <c r="OSF30" s="101"/>
      <c r="OSG30" s="101"/>
      <c r="OSH30" s="101"/>
      <c r="OSI30" s="101"/>
      <c r="OSJ30" s="101"/>
      <c r="OSK30" s="101"/>
      <c r="OSL30" s="101"/>
      <c r="OSM30" s="101"/>
      <c r="OSN30" s="101"/>
      <c r="OSO30" s="101"/>
      <c r="OSP30" s="101"/>
      <c r="OSQ30" s="101"/>
      <c r="OSR30" s="101"/>
      <c r="OSS30" s="101"/>
      <c r="OST30" s="101"/>
      <c r="OSU30" s="101"/>
      <c r="OSV30" s="101"/>
      <c r="OSW30" s="101"/>
      <c r="OSX30" s="101"/>
      <c r="OSY30" s="101"/>
      <c r="OSZ30" s="101"/>
      <c r="OTA30" s="101"/>
      <c r="OTB30" s="101"/>
      <c r="OTC30" s="101"/>
      <c r="OTD30" s="101"/>
      <c r="OTE30" s="101"/>
      <c r="OTF30" s="101"/>
      <c r="OTG30" s="101"/>
      <c r="OTH30" s="101"/>
      <c r="OTI30" s="101"/>
      <c r="OTJ30" s="101"/>
      <c r="OTK30" s="101"/>
      <c r="OTL30" s="101"/>
      <c r="OTM30" s="101"/>
      <c r="OTN30" s="101"/>
      <c r="OTO30" s="101"/>
      <c r="OTP30" s="101"/>
      <c r="OTQ30" s="101"/>
      <c r="OTR30" s="101"/>
      <c r="OTS30" s="101"/>
      <c r="OTT30" s="101"/>
      <c r="OTU30" s="101"/>
      <c r="OTV30" s="101"/>
      <c r="OTW30" s="101"/>
      <c r="OTX30" s="101"/>
      <c r="OTY30" s="101"/>
      <c r="OTZ30" s="101"/>
      <c r="OUA30" s="101"/>
      <c r="OUB30" s="101"/>
      <c r="OUC30" s="101"/>
      <c r="OUD30" s="101"/>
      <c r="OUE30" s="101"/>
      <c r="OUF30" s="101"/>
      <c r="OUG30" s="101"/>
      <c r="OUH30" s="101"/>
      <c r="OUI30" s="101"/>
      <c r="OUJ30" s="101"/>
      <c r="OUK30" s="101"/>
      <c r="OUL30" s="101"/>
      <c r="OUM30" s="101"/>
      <c r="OUN30" s="101"/>
      <c r="OUO30" s="101"/>
      <c r="OUP30" s="101"/>
      <c r="OUQ30" s="101"/>
      <c r="OUR30" s="101"/>
      <c r="OUS30" s="101"/>
      <c r="OUT30" s="101"/>
      <c r="OUU30" s="101"/>
      <c r="OUV30" s="101"/>
      <c r="OUW30" s="101"/>
      <c r="OUX30" s="101"/>
      <c r="OUY30" s="101"/>
      <c r="OUZ30" s="101"/>
      <c r="OVA30" s="101"/>
      <c r="OVB30" s="101"/>
      <c r="OVC30" s="101"/>
      <c r="OVD30" s="101"/>
      <c r="OVE30" s="101"/>
      <c r="OVF30" s="101"/>
      <c r="OVG30" s="101"/>
      <c r="OVH30" s="101"/>
      <c r="OVI30" s="101"/>
      <c r="OVJ30" s="101"/>
      <c r="OVK30" s="101"/>
      <c r="OVL30" s="101"/>
      <c r="OVM30" s="101"/>
      <c r="OVN30" s="101"/>
      <c r="OVO30" s="101"/>
      <c r="OVP30" s="101"/>
      <c r="OVQ30" s="101"/>
      <c r="OVR30" s="101"/>
      <c r="OVS30" s="101"/>
      <c r="OVT30" s="101"/>
      <c r="OVU30" s="101"/>
      <c r="OVV30" s="101"/>
      <c r="OVW30" s="101"/>
      <c r="OVX30" s="101"/>
      <c r="OVY30" s="101"/>
      <c r="OVZ30" s="101"/>
      <c r="OWA30" s="101"/>
      <c r="OWB30" s="101"/>
      <c r="OWC30" s="101"/>
      <c r="OWD30" s="101"/>
      <c r="OWE30" s="101"/>
      <c r="OWF30" s="101"/>
      <c r="OWG30" s="101"/>
      <c r="OWH30" s="101"/>
      <c r="OWI30" s="101"/>
      <c r="OWJ30" s="101"/>
      <c r="OWK30" s="101"/>
      <c r="OWL30" s="101"/>
      <c r="OWM30" s="101"/>
      <c r="OWN30" s="101"/>
      <c r="OWO30" s="101"/>
      <c r="OWP30" s="101"/>
      <c r="OWQ30" s="101"/>
      <c r="OWR30" s="101"/>
      <c r="OWS30" s="101"/>
      <c r="OWT30" s="101"/>
      <c r="OWU30" s="101"/>
      <c r="OWV30" s="101"/>
      <c r="OWW30" s="101"/>
      <c r="OWX30" s="101"/>
      <c r="OWY30" s="101"/>
      <c r="OWZ30" s="101"/>
      <c r="OXA30" s="101"/>
      <c r="OXB30" s="101"/>
      <c r="OXC30" s="101"/>
      <c r="OXD30" s="101"/>
      <c r="OXE30" s="101"/>
      <c r="OXF30" s="101"/>
      <c r="OXG30" s="101"/>
      <c r="OXH30" s="101"/>
      <c r="OXI30" s="101"/>
      <c r="OXJ30" s="101"/>
      <c r="OXK30" s="101"/>
      <c r="OXL30" s="101"/>
      <c r="OXM30" s="101"/>
      <c r="OXN30" s="101"/>
      <c r="OXO30" s="101"/>
      <c r="OXP30" s="101"/>
      <c r="OXQ30" s="101"/>
      <c r="OXR30" s="101"/>
      <c r="OXS30" s="101"/>
      <c r="OXT30" s="101"/>
      <c r="OXU30" s="101"/>
      <c r="OXV30" s="101"/>
      <c r="OXW30" s="101"/>
      <c r="OXX30" s="101"/>
      <c r="OXY30" s="101"/>
      <c r="OXZ30" s="101"/>
      <c r="OYA30" s="101"/>
      <c r="OYB30" s="101"/>
      <c r="OYC30" s="101"/>
      <c r="OYD30" s="101"/>
      <c r="OYE30" s="101"/>
      <c r="OYF30" s="101"/>
      <c r="OYG30" s="101"/>
      <c r="OYH30" s="101"/>
      <c r="OYI30" s="101"/>
      <c r="OYJ30" s="101"/>
      <c r="OYK30" s="101"/>
      <c r="OYL30" s="101"/>
      <c r="OYM30" s="101"/>
      <c r="OYN30" s="101"/>
      <c r="OYO30" s="101"/>
      <c r="OYP30" s="101"/>
      <c r="OYQ30" s="101"/>
      <c r="OYR30" s="101"/>
      <c r="OYS30" s="101"/>
      <c r="OYT30" s="101"/>
      <c r="OYU30" s="101"/>
      <c r="OYV30" s="101"/>
      <c r="OYW30" s="101"/>
      <c r="OYX30" s="101"/>
      <c r="OYY30" s="101"/>
      <c r="OYZ30" s="101"/>
      <c r="OZA30" s="101"/>
      <c r="OZB30" s="101"/>
      <c r="OZC30" s="101"/>
      <c r="OZD30" s="101"/>
      <c r="OZE30" s="101"/>
      <c r="OZF30" s="101"/>
      <c r="OZG30" s="101"/>
      <c r="OZH30" s="101"/>
      <c r="OZI30" s="101"/>
      <c r="OZJ30" s="101"/>
      <c r="OZK30" s="101"/>
      <c r="OZL30" s="101"/>
      <c r="OZM30" s="101"/>
      <c r="OZN30" s="101"/>
      <c r="OZO30" s="101"/>
      <c r="OZP30" s="101"/>
      <c r="OZQ30" s="101"/>
      <c r="OZR30" s="101"/>
      <c r="OZS30" s="101"/>
      <c r="OZT30" s="101"/>
      <c r="OZU30" s="101"/>
      <c r="OZV30" s="101"/>
      <c r="OZW30" s="101"/>
      <c r="OZX30" s="101"/>
      <c r="OZY30" s="101"/>
      <c r="OZZ30" s="101"/>
      <c r="PAA30" s="101"/>
      <c r="PAB30" s="101"/>
      <c r="PAC30" s="101"/>
      <c r="PAD30" s="101"/>
      <c r="PAE30" s="101"/>
      <c r="PAF30" s="101"/>
      <c r="PAG30" s="101"/>
      <c r="PAH30" s="101"/>
      <c r="PAI30" s="101"/>
      <c r="PAJ30" s="101"/>
      <c r="PAK30" s="101"/>
      <c r="PAL30" s="101"/>
      <c r="PAM30" s="101"/>
      <c r="PAN30" s="101"/>
      <c r="PAO30" s="101"/>
      <c r="PAP30" s="101"/>
      <c r="PAQ30" s="101"/>
      <c r="PAR30" s="101"/>
      <c r="PAS30" s="101"/>
      <c r="PAT30" s="101"/>
      <c r="PAU30" s="101"/>
      <c r="PAV30" s="101"/>
      <c r="PAW30" s="101"/>
      <c r="PAX30" s="101"/>
      <c r="PAY30" s="101"/>
      <c r="PAZ30" s="101"/>
      <c r="PBA30" s="101"/>
      <c r="PBB30" s="101"/>
      <c r="PBC30" s="101"/>
      <c r="PBD30" s="101"/>
      <c r="PBE30" s="101"/>
      <c r="PBF30" s="101"/>
      <c r="PBG30" s="101"/>
      <c r="PBH30" s="101"/>
      <c r="PBI30" s="101"/>
      <c r="PBJ30" s="101"/>
      <c r="PBK30" s="101"/>
      <c r="PBL30" s="101"/>
      <c r="PBM30" s="101"/>
      <c r="PBN30" s="101"/>
      <c r="PBO30" s="101"/>
      <c r="PBP30" s="101"/>
      <c r="PBQ30" s="101"/>
      <c r="PBR30" s="101"/>
      <c r="PBS30" s="101"/>
      <c r="PBT30" s="101"/>
      <c r="PBU30" s="101"/>
      <c r="PBV30" s="101"/>
      <c r="PBW30" s="101"/>
      <c r="PBX30" s="101"/>
      <c r="PBY30" s="101"/>
      <c r="PBZ30" s="101"/>
      <c r="PCA30" s="101"/>
      <c r="PCB30" s="101"/>
      <c r="PCC30" s="101"/>
      <c r="PCD30" s="101"/>
      <c r="PCE30" s="101"/>
      <c r="PCF30" s="101"/>
      <c r="PCG30" s="101"/>
      <c r="PCH30" s="101"/>
      <c r="PCI30" s="101"/>
      <c r="PCJ30" s="101"/>
      <c r="PCK30" s="101"/>
      <c r="PCL30" s="101"/>
      <c r="PCM30" s="101"/>
      <c r="PCN30" s="101"/>
      <c r="PCO30" s="101"/>
      <c r="PCP30" s="101"/>
      <c r="PCQ30" s="101"/>
      <c r="PCR30" s="101"/>
      <c r="PCS30" s="101"/>
      <c r="PCT30" s="101"/>
      <c r="PCU30" s="101"/>
      <c r="PCV30" s="101"/>
      <c r="PCW30" s="101"/>
      <c r="PCX30" s="101"/>
      <c r="PCY30" s="101"/>
      <c r="PCZ30" s="101"/>
      <c r="PDA30" s="101"/>
      <c r="PDB30" s="101"/>
      <c r="PDC30" s="101"/>
      <c r="PDD30" s="101"/>
      <c r="PDE30" s="101"/>
      <c r="PDF30" s="101"/>
      <c r="PDG30" s="101"/>
      <c r="PDH30" s="101"/>
      <c r="PDI30" s="101"/>
      <c r="PDJ30" s="101"/>
      <c r="PDK30" s="101"/>
      <c r="PDL30" s="101"/>
      <c r="PDM30" s="101"/>
      <c r="PDN30" s="101"/>
      <c r="PDO30" s="101"/>
      <c r="PDP30" s="101"/>
      <c r="PDQ30" s="101"/>
      <c r="PDR30" s="101"/>
      <c r="PDS30" s="101"/>
      <c r="PDT30" s="101"/>
      <c r="PDU30" s="101"/>
      <c r="PDV30" s="101"/>
      <c r="PDW30" s="101"/>
      <c r="PDX30" s="101"/>
      <c r="PDY30" s="101"/>
      <c r="PDZ30" s="101"/>
      <c r="PEA30" s="101"/>
      <c r="PEB30" s="101"/>
      <c r="PEC30" s="101"/>
      <c r="PED30" s="101"/>
      <c r="PEE30" s="101"/>
      <c r="PEF30" s="101"/>
      <c r="PEG30" s="101"/>
      <c r="PEH30" s="101"/>
      <c r="PEI30" s="101"/>
      <c r="PEJ30" s="101"/>
      <c r="PEK30" s="101"/>
      <c r="PEL30" s="101"/>
      <c r="PEM30" s="101"/>
      <c r="PEN30" s="101"/>
      <c r="PEO30" s="101"/>
      <c r="PEP30" s="101"/>
      <c r="PEQ30" s="101"/>
      <c r="PER30" s="101"/>
      <c r="PES30" s="101"/>
      <c r="PET30" s="101"/>
      <c r="PEU30" s="101"/>
      <c r="PEV30" s="101"/>
      <c r="PEW30" s="101"/>
      <c r="PEX30" s="101"/>
      <c r="PEY30" s="101"/>
      <c r="PEZ30" s="101"/>
      <c r="PFA30" s="101"/>
      <c r="PFB30" s="101"/>
      <c r="PFC30" s="101"/>
      <c r="PFD30" s="101"/>
      <c r="PFE30" s="101"/>
      <c r="PFF30" s="101"/>
      <c r="PFG30" s="101"/>
      <c r="PFH30" s="101"/>
      <c r="PFI30" s="101"/>
      <c r="PFJ30" s="101"/>
      <c r="PFK30" s="101"/>
      <c r="PFL30" s="101"/>
      <c r="PFM30" s="101"/>
      <c r="PFN30" s="101"/>
      <c r="PFO30" s="101"/>
      <c r="PFP30" s="101"/>
      <c r="PFQ30" s="101"/>
      <c r="PFR30" s="101"/>
      <c r="PFS30" s="101"/>
      <c r="PFT30" s="101"/>
      <c r="PFU30" s="101"/>
      <c r="PFV30" s="101"/>
      <c r="PFW30" s="101"/>
      <c r="PFX30" s="101"/>
      <c r="PFY30" s="101"/>
      <c r="PFZ30" s="101"/>
      <c r="PGA30" s="101"/>
      <c r="PGB30" s="101"/>
      <c r="PGC30" s="101"/>
      <c r="PGD30" s="101"/>
      <c r="PGE30" s="101"/>
      <c r="PGF30" s="101"/>
      <c r="PGG30" s="101"/>
      <c r="PGH30" s="101"/>
      <c r="PGI30" s="101"/>
      <c r="PGJ30" s="101"/>
      <c r="PGK30" s="101"/>
      <c r="PGL30" s="101"/>
      <c r="PGM30" s="101"/>
      <c r="PGN30" s="101"/>
      <c r="PGO30" s="101"/>
      <c r="PGP30" s="101"/>
      <c r="PGQ30" s="101"/>
      <c r="PGR30" s="101"/>
      <c r="PGS30" s="101"/>
      <c r="PGT30" s="101"/>
      <c r="PGU30" s="101"/>
      <c r="PGV30" s="101"/>
      <c r="PGW30" s="101"/>
      <c r="PGX30" s="101"/>
      <c r="PGY30" s="101"/>
      <c r="PGZ30" s="101"/>
      <c r="PHA30" s="101"/>
      <c r="PHB30" s="101"/>
      <c r="PHC30" s="101"/>
      <c r="PHD30" s="101"/>
      <c r="PHE30" s="101"/>
      <c r="PHF30" s="101"/>
      <c r="PHG30" s="101"/>
      <c r="PHH30" s="101"/>
      <c r="PHI30" s="101"/>
      <c r="PHJ30" s="101"/>
      <c r="PHK30" s="101"/>
      <c r="PHL30" s="101"/>
      <c r="PHM30" s="101"/>
      <c r="PHN30" s="101"/>
      <c r="PHO30" s="101"/>
      <c r="PHP30" s="101"/>
      <c r="PHQ30" s="101"/>
      <c r="PHR30" s="101"/>
      <c r="PHS30" s="101"/>
      <c r="PHT30" s="101"/>
      <c r="PHU30" s="101"/>
      <c r="PHV30" s="101"/>
      <c r="PHW30" s="101"/>
      <c r="PHX30" s="101"/>
      <c r="PHY30" s="101"/>
      <c r="PHZ30" s="101"/>
      <c r="PIA30" s="101"/>
      <c r="PIB30" s="101"/>
      <c r="PIC30" s="101"/>
      <c r="PID30" s="101"/>
      <c r="PIE30" s="101"/>
      <c r="PIF30" s="101"/>
      <c r="PIG30" s="101"/>
      <c r="PIH30" s="101"/>
      <c r="PII30" s="101"/>
      <c r="PIJ30" s="101"/>
      <c r="PIK30" s="101"/>
      <c r="PIL30" s="101"/>
      <c r="PIM30" s="101"/>
      <c r="PIN30" s="101"/>
      <c r="PIO30" s="101"/>
      <c r="PIP30" s="101"/>
      <c r="PIQ30" s="101"/>
      <c r="PIR30" s="101"/>
      <c r="PIS30" s="101"/>
      <c r="PIT30" s="101"/>
      <c r="PIU30" s="101"/>
      <c r="PIV30" s="101"/>
      <c r="PIW30" s="101"/>
      <c r="PIX30" s="101"/>
      <c r="PIY30" s="101"/>
      <c r="PIZ30" s="101"/>
      <c r="PJA30" s="101"/>
      <c r="PJB30" s="101"/>
      <c r="PJC30" s="101"/>
      <c r="PJD30" s="101"/>
      <c r="PJE30" s="101"/>
      <c r="PJF30" s="101"/>
      <c r="PJG30" s="101"/>
      <c r="PJH30" s="101"/>
      <c r="PJI30" s="101"/>
      <c r="PJJ30" s="101"/>
      <c r="PJK30" s="101"/>
      <c r="PJL30" s="101"/>
      <c r="PJM30" s="101"/>
      <c r="PJN30" s="101"/>
      <c r="PJO30" s="101"/>
      <c r="PJP30" s="101"/>
      <c r="PJQ30" s="101"/>
      <c r="PJR30" s="101"/>
      <c r="PJS30" s="101"/>
      <c r="PJT30" s="101"/>
      <c r="PJU30" s="101"/>
      <c r="PJV30" s="101"/>
      <c r="PJW30" s="101"/>
      <c r="PJX30" s="101"/>
      <c r="PJY30" s="101"/>
      <c r="PJZ30" s="101"/>
      <c r="PKA30" s="101"/>
      <c r="PKB30" s="101"/>
      <c r="PKC30" s="101"/>
      <c r="PKD30" s="101"/>
      <c r="PKE30" s="101"/>
      <c r="PKF30" s="101"/>
      <c r="PKG30" s="101"/>
      <c r="PKH30" s="101"/>
      <c r="PKI30" s="101"/>
      <c r="PKJ30" s="101"/>
      <c r="PKK30" s="101"/>
      <c r="PKL30" s="101"/>
      <c r="PKM30" s="101"/>
      <c r="PKN30" s="101"/>
      <c r="PKO30" s="101"/>
      <c r="PKP30" s="101"/>
      <c r="PKQ30" s="101"/>
      <c r="PKR30" s="101"/>
      <c r="PKS30" s="101"/>
      <c r="PKT30" s="101"/>
      <c r="PKU30" s="101"/>
      <c r="PKV30" s="101"/>
      <c r="PKW30" s="101"/>
      <c r="PKX30" s="101"/>
      <c r="PKY30" s="101"/>
      <c r="PKZ30" s="101"/>
      <c r="PLA30" s="101"/>
      <c r="PLB30" s="101"/>
      <c r="PLC30" s="101"/>
      <c r="PLD30" s="101"/>
      <c r="PLE30" s="101"/>
      <c r="PLF30" s="101"/>
      <c r="PLG30" s="101"/>
      <c r="PLH30" s="101"/>
      <c r="PLI30" s="101"/>
      <c r="PLJ30" s="101"/>
      <c r="PLK30" s="101"/>
      <c r="PLL30" s="101"/>
      <c r="PLM30" s="101"/>
      <c r="PLN30" s="101"/>
      <c r="PLO30" s="101"/>
      <c r="PLP30" s="101"/>
      <c r="PLQ30" s="101"/>
      <c r="PLR30" s="101"/>
      <c r="PLS30" s="101"/>
      <c r="PLT30" s="101"/>
      <c r="PLU30" s="101"/>
      <c r="PLV30" s="101"/>
      <c r="PLW30" s="101"/>
      <c r="PLX30" s="101"/>
      <c r="PLY30" s="101"/>
      <c r="PLZ30" s="101"/>
      <c r="PMA30" s="101"/>
      <c r="PMB30" s="101"/>
      <c r="PMC30" s="101"/>
      <c r="PMD30" s="101"/>
      <c r="PME30" s="101"/>
      <c r="PMF30" s="101"/>
      <c r="PMG30" s="101"/>
      <c r="PMH30" s="101"/>
      <c r="PMI30" s="101"/>
      <c r="PMJ30" s="101"/>
      <c r="PMK30" s="101"/>
      <c r="PML30" s="101"/>
      <c r="PMM30" s="101"/>
      <c r="PMN30" s="101"/>
      <c r="PMO30" s="101"/>
      <c r="PMP30" s="101"/>
      <c r="PMQ30" s="101"/>
      <c r="PMR30" s="101"/>
      <c r="PMS30" s="101"/>
      <c r="PMT30" s="101"/>
      <c r="PMU30" s="101"/>
      <c r="PMV30" s="101"/>
      <c r="PMW30" s="101"/>
      <c r="PMX30" s="101"/>
      <c r="PMY30" s="101"/>
      <c r="PMZ30" s="101"/>
      <c r="PNA30" s="101"/>
      <c r="PNB30" s="101"/>
      <c r="PNC30" s="101"/>
      <c r="PND30" s="101"/>
      <c r="PNE30" s="101"/>
      <c r="PNF30" s="101"/>
      <c r="PNG30" s="101"/>
      <c r="PNH30" s="101"/>
      <c r="PNI30" s="101"/>
      <c r="PNJ30" s="101"/>
      <c r="PNK30" s="101"/>
      <c r="PNL30" s="101"/>
      <c r="PNM30" s="101"/>
      <c r="PNN30" s="101"/>
      <c r="PNO30" s="101"/>
      <c r="PNP30" s="101"/>
      <c r="PNQ30" s="101"/>
      <c r="PNR30" s="101"/>
      <c r="PNS30" s="101"/>
      <c r="PNT30" s="101"/>
      <c r="PNU30" s="101"/>
      <c r="PNV30" s="101"/>
      <c r="PNW30" s="101"/>
      <c r="PNX30" s="101"/>
      <c r="PNY30" s="101"/>
      <c r="PNZ30" s="101"/>
      <c r="POA30" s="101"/>
      <c r="POB30" s="101"/>
      <c r="POC30" s="101"/>
      <c r="POD30" s="101"/>
      <c r="POE30" s="101"/>
      <c r="POF30" s="101"/>
      <c r="POG30" s="101"/>
      <c r="POH30" s="101"/>
      <c r="POI30" s="101"/>
      <c r="POJ30" s="101"/>
      <c r="POK30" s="101"/>
      <c r="POL30" s="101"/>
      <c r="POM30" s="101"/>
      <c r="PON30" s="101"/>
      <c r="POO30" s="101"/>
      <c r="POP30" s="101"/>
      <c r="POQ30" s="101"/>
      <c r="POR30" s="101"/>
      <c r="POS30" s="101"/>
      <c r="POT30" s="101"/>
      <c r="POU30" s="101"/>
      <c r="POV30" s="101"/>
      <c r="POW30" s="101"/>
      <c r="POX30" s="101"/>
      <c r="POY30" s="101"/>
      <c r="POZ30" s="101"/>
      <c r="PPA30" s="101"/>
      <c r="PPB30" s="101"/>
      <c r="PPC30" s="101"/>
      <c r="PPD30" s="101"/>
      <c r="PPE30" s="101"/>
      <c r="PPF30" s="101"/>
      <c r="PPG30" s="101"/>
      <c r="PPH30" s="101"/>
      <c r="PPI30" s="101"/>
      <c r="PPJ30" s="101"/>
      <c r="PPK30" s="101"/>
      <c r="PPL30" s="101"/>
      <c r="PPM30" s="101"/>
      <c r="PPN30" s="101"/>
      <c r="PPO30" s="101"/>
      <c r="PPP30" s="101"/>
      <c r="PPQ30" s="101"/>
      <c r="PPR30" s="101"/>
      <c r="PPS30" s="101"/>
      <c r="PPT30" s="101"/>
      <c r="PPU30" s="101"/>
      <c r="PPV30" s="101"/>
      <c r="PPW30" s="101"/>
      <c r="PPX30" s="101"/>
      <c r="PPY30" s="101"/>
      <c r="PPZ30" s="101"/>
      <c r="PQA30" s="101"/>
      <c r="PQB30" s="101"/>
      <c r="PQC30" s="101"/>
      <c r="PQD30" s="101"/>
      <c r="PQE30" s="101"/>
      <c r="PQF30" s="101"/>
      <c r="PQG30" s="101"/>
      <c r="PQH30" s="101"/>
      <c r="PQI30" s="101"/>
      <c r="PQJ30" s="101"/>
      <c r="PQK30" s="101"/>
      <c r="PQL30" s="101"/>
      <c r="PQM30" s="101"/>
      <c r="PQN30" s="101"/>
      <c r="PQO30" s="101"/>
      <c r="PQP30" s="101"/>
      <c r="PQQ30" s="101"/>
      <c r="PQR30" s="101"/>
      <c r="PQS30" s="101"/>
      <c r="PQT30" s="101"/>
      <c r="PQU30" s="101"/>
      <c r="PQV30" s="101"/>
      <c r="PQW30" s="101"/>
      <c r="PQX30" s="101"/>
      <c r="PQY30" s="101"/>
      <c r="PQZ30" s="101"/>
      <c r="PRA30" s="101"/>
      <c r="PRB30" s="101"/>
      <c r="PRC30" s="101"/>
      <c r="PRD30" s="101"/>
      <c r="PRE30" s="101"/>
      <c r="PRF30" s="101"/>
      <c r="PRG30" s="101"/>
      <c r="PRH30" s="101"/>
      <c r="PRI30" s="101"/>
      <c r="PRJ30" s="101"/>
      <c r="PRK30" s="101"/>
      <c r="PRL30" s="101"/>
      <c r="PRM30" s="101"/>
      <c r="PRN30" s="101"/>
      <c r="PRO30" s="101"/>
      <c r="PRP30" s="101"/>
      <c r="PRQ30" s="101"/>
      <c r="PRR30" s="101"/>
      <c r="PRS30" s="101"/>
      <c r="PRT30" s="101"/>
      <c r="PRU30" s="101"/>
      <c r="PRV30" s="101"/>
      <c r="PRW30" s="101"/>
      <c r="PRX30" s="101"/>
      <c r="PRY30" s="101"/>
      <c r="PRZ30" s="101"/>
      <c r="PSA30" s="101"/>
      <c r="PSB30" s="101"/>
      <c r="PSC30" s="101"/>
      <c r="PSD30" s="101"/>
      <c r="PSE30" s="101"/>
      <c r="PSF30" s="101"/>
      <c r="PSG30" s="101"/>
      <c r="PSH30" s="101"/>
      <c r="PSI30" s="101"/>
      <c r="PSJ30" s="101"/>
      <c r="PSK30" s="101"/>
      <c r="PSL30" s="101"/>
      <c r="PSM30" s="101"/>
      <c r="PSN30" s="101"/>
      <c r="PSO30" s="101"/>
      <c r="PSP30" s="101"/>
      <c r="PSQ30" s="101"/>
      <c r="PSR30" s="101"/>
      <c r="PSS30" s="101"/>
      <c r="PST30" s="101"/>
      <c r="PSU30" s="101"/>
      <c r="PSV30" s="101"/>
      <c r="PSW30" s="101"/>
      <c r="PSX30" s="101"/>
      <c r="PSY30" s="101"/>
      <c r="PSZ30" s="101"/>
      <c r="PTA30" s="101"/>
      <c r="PTB30" s="101"/>
      <c r="PTC30" s="101"/>
      <c r="PTD30" s="101"/>
      <c r="PTE30" s="101"/>
      <c r="PTF30" s="101"/>
      <c r="PTG30" s="101"/>
      <c r="PTH30" s="101"/>
      <c r="PTI30" s="101"/>
      <c r="PTJ30" s="101"/>
      <c r="PTK30" s="101"/>
      <c r="PTL30" s="101"/>
      <c r="PTM30" s="101"/>
      <c r="PTN30" s="101"/>
      <c r="PTO30" s="101"/>
      <c r="PTP30" s="101"/>
      <c r="PTQ30" s="101"/>
      <c r="PTR30" s="101"/>
      <c r="PTS30" s="101"/>
      <c r="PTT30" s="101"/>
      <c r="PTU30" s="101"/>
      <c r="PTV30" s="101"/>
      <c r="PTW30" s="101"/>
      <c r="PTX30" s="101"/>
      <c r="PTY30" s="101"/>
      <c r="PTZ30" s="101"/>
      <c r="PUA30" s="101"/>
      <c r="PUB30" s="101"/>
      <c r="PUC30" s="101"/>
      <c r="PUD30" s="101"/>
      <c r="PUE30" s="101"/>
      <c r="PUF30" s="101"/>
      <c r="PUG30" s="101"/>
      <c r="PUH30" s="101"/>
      <c r="PUI30" s="101"/>
      <c r="PUJ30" s="101"/>
      <c r="PUK30" s="101"/>
      <c r="PUL30" s="101"/>
      <c r="PUM30" s="101"/>
      <c r="PUN30" s="101"/>
      <c r="PUO30" s="101"/>
      <c r="PUP30" s="101"/>
      <c r="PUQ30" s="101"/>
      <c r="PUR30" s="101"/>
      <c r="PUS30" s="101"/>
      <c r="PUT30" s="101"/>
      <c r="PUU30" s="101"/>
      <c r="PUV30" s="101"/>
      <c r="PUW30" s="101"/>
      <c r="PUX30" s="101"/>
      <c r="PUY30" s="101"/>
      <c r="PUZ30" s="101"/>
      <c r="PVA30" s="101"/>
      <c r="PVB30" s="101"/>
      <c r="PVC30" s="101"/>
      <c r="PVD30" s="101"/>
      <c r="PVE30" s="101"/>
      <c r="PVF30" s="101"/>
      <c r="PVG30" s="101"/>
      <c r="PVH30" s="101"/>
      <c r="PVI30" s="101"/>
      <c r="PVJ30" s="101"/>
      <c r="PVK30" s="101"/>
      <c r="PVL30" s="101"/>
      <c r="PVM30" s="101"/>
      <c r="PVN30" s="101"/>
      <c r="PVO30" s="101"/>
      <c r="PVP30" s="101"/>
      <c r="PVQ30" s="101"/>
      <c r="PVR30" s="101"/>
      <c r="PVS30" s="101"/>
      <c r="PVT30" s="101"/>
      <c r="PVU30" s="101"/>
      <c r="PVV30" s="101"/>
      <c r="PVW30" s="101"/>
      <c r="PVX30" s="101"/>
      <c r="PVY30" s="101"/>
      <c r="PVZ30" s="101"/>
      <c r="PWA30" s="101"/>
      <c r="PWB30" s="101"/>
      <c r="PWC30" s="101"/>
      <c r="PWD30" s="101"/>
      <c r="PWE30" s="101"/>
      <c r="PWF30" s="101"/>
      <c r="PWG30" s="101"/>
      <c r="PWH30" s="101"/>
      <c r="PWI30" s="101"/>
      <c r="PWJ30" s="101"/>
      <c r="PWK30" s="101"/>
      <c r="PWL30" s="101"/>
      <c r="PWM30" s="101"/>
      <c r="PWN30" s="101"/>
      <c r="PWO30" s="101"/>
      <c r="PWP30" s="101"/>
      <c r="PWQ30" s="101"/>
      <c r="PWR30" s="101"/>
      <c r="PWS30" s="101"/>
      <c r="PWT30" s="101"/>
      <c r="PWU30" s="101"/>
      <c r="PWV30" s="101"/>
      <c r="PWW30" s="101"/>
      <c r="PWX30" s="101"/>
      <c r="PWY30" s="101"/>
      <c r="PWZ30" s="101"/>
      <c r="PXA30" s="101"/>
      <c r="PXB30" s="101"/>
      <c r="PXC30" s="101"/>
      <c r="PXD30" s="101"/>
      <c r="PXE30" s="101"/>
      <c r="PXF30" s="101"/>
      <c r="PXG30" s="101"/>
      <c r="PXH30" s="101"/>
      <c r="PXI30" s="101"/>
      <c r="PXJ30" s="101"/>
      <c r="PXK30" s="101"/>
      <c r="PXL30" s="101"/>
      <c r="PXM30" s="101"/>
      <c r="PXN30" s="101"/>
      <c r="PXO30" s="101"/>
      <c r="PXP30" s="101"/>
      <c r="PXQ30" s="101"/>
      <c r="PXR30" s="101"/>
      <c r="PXS30" s="101"/>
      <c r="PXT30" s="101"/>
      <c r="PXU30" s="101"/>
      <c r="PXV30" s="101"/>
      <c r="PXW30" s="101"/>
      <c r="PXX30" s="101"/>
      <c r="PXY30" s="101"/>
      <c r="PXZ30" s="101"/>
      <c r="PYA30" s="101"/>
      <c r="PYB30" s="101"/>
      <c r="PYC30" s="101"/>
      <c r="PYD30" s="101"/>
      <c r="PYE30" s="101"/>
      <c r="PYF30" s="101"/>
      <c r="PYG30" s="101"/>
      <c r="PYH30" s="101"/>
      <c r="PYI30" s="101"/>
      <c r="PYJ30" s="101"/>
      <c r="PYK30" s="101"/>
      <c r="PYL30" s="101"/>
      <c r="PYM30" s="101"/>
      <c r="PYN30" s="101"/>
      <c r="PYO30" s="101"/>
      <c r="PYP30" s="101"/>
      <c r="PYQ30" s="101"/>
      <c r="PYR30" s="101"/>
      <c r="PYS30" s="101"/>
      <c r="PYT30" s="101"/>
      <c r="PYU30" s="101"/>
      <c r="PYV30" s="101"/>
      <c r="PYW30" s="101"/>
      <c r="PYX30" s="101"/>
      <c r="PYY30" s="101"/>
      <c r="PYZ30" s="101"/>
      <c r="PZA30" s="101"/>
      <c r="PZB30" s="101"/>
      <c r="PZC30" s="101"/>
      <c r="PZD30" s="101"/>
      <c r="PZE30" s="101"/>
      <c r="PZF30" s="101"/>
      <c r="PZG30" s="101"/>
      <c r="PZH30" s="101"/>
      <c r="PZI30" s="101"/>
      <c r="PZJ30" s="101"/>
      <c r="PZK30" s="101"/>
      <c r="PZL30" s="101"/>
      <c r="PZM30" s="101"/>
      <c r="PZN30" s="101"/>
      <c r="PZO30" s="101"/>
      <c r="PZP30" s="101"/>
      <c r="PZQ30" s="101"/>
      <c r="PZR30" s="101"/>
      <c r="PZS30" s="101"/>
      <c r="PZT30" s="101"/>
      <c r="PZU30" s="101"/>
      <c r="PZV30" s="101"/>
      <c r="PZW30" s="101"/>
      <c r="PZX30" s="101"/>
      <c r="PZY30" s="101"/>
      <c r="PZZ30" s="101"/>
      <c r="QAA30" s="101"/>
      <c r="QAB30" s="101"/>
      <c r="QAC30" s="101"/>
      <c r="QAD30" s="101"/>
      <c r="QAE30" s="101"/>
      <c r="QAF30" s="101"/>
      <c r="QAG30" s="101"/>
      <c r="QAH30" s="101"/>
      <c r="QAI30" s="101"/>
      <c r="QAJ30" s="101"/>
      <c r="QAK30" s="101"/>
      <c r="QAL30" s="101"/>
      <c r="QAM30" s="101"/>
      <c r="QAN30" s="101"/>
      <c r="QAO30" s="101"/>
      <c r="QAP30" s="101"/>
      <c r="QAQ30" s="101"/>
      <c r="QAR30" s="101"/>
      <c r="QAS30" s="101"/>
      <c r="QAT30" s="101"/>
      <c r="QAU30" s="101"/>
      <c r="QAV30" s="101"/>
      <c r="QAW30" s="101"/>
      <c r="QAX30" s="101"/>
      <c r="QAY30" s="101"/>
      <c r="QAZ30" s="101"/>
      <c r="QBA30" s="101"/>
      <c r="QBB30" s="101"/>
      <c r="QBC30" s="101"/>
      <c r="QBD30" s="101"/>
      <c r="QBE30" s="101"/>
      <c r="QBF30" s="101"/>
      <c r="QBG30" s="101"/>
      <c r="QBH30" s="101"/>
      <c r="QBI30" s="101"/>
      <c r="QBJ30" s="101"/>
      <c r="QBK30" s="101"/>
      <c r="QBL30" s="101"/>
      <c r="QBM30" s="101"/>
      <c r="QBN30" s="101"/>
      <c r="QBO30" s="101"/>
      <c r="QBP30" s="101"/>
      <c r="QBQ30" s="101"/>
      <c r="QBR30" s="101"/>
      <c r="QBS30" s="101"/>
      <c r="QBT30" s="101"/>
      <c r="QBU30" s="101"/>
      <c r="QBV30" s="101"/>
      <c r="QBW30" s="101"/>
      <c r="QBX30" s="101"/>
      <c r="QBY30" s="101"/>
      <c r="QBZ30" s="101"/>
      <c r="QCA30" s="101"/>
      <c r="QCB30" s="101"/>
      <c r="QCC30" s="101"/>
      <c r="QCD30" s="101"/>
      <c r="QCE30" s="101"/>
      <c r="QCF30" s="101"/>
      <c r="QCG30" s="101"/>
      <c r="QCH30" s="101"/>
      <c r="QCI30" s="101"/>
      <c r="QCJ30" s="101"/>
      <c r="QCK30" s="101"/>
      <c r="QCL30" s="101"/>
      <c r="QCM30" s="101"/>
      <c r="QCN30" s="101"/>
      <c r="QCO30" s="101"/>
      <c r="QCP30" s="101"/>
      <c r="QCQ30" s="101"/>
      <c r="QCR30" s="101"/>
      <c r="QCS30" s="101"/>
      <c r="QCT30" s="101"/>
      <c r="QCU30" s="101"/>
      <c r="QCV30" s="101"/>
      <c r="QCW30" s="101"/>
      <c r="QCX30" s="101"/>
      <c r="QCY30" s="101"/>
      <c r="QCZ30" s="101"/>
      <c r="QDA30" s="101"/>
      <c r="QDB30" s="101"/>
      <c r="QDC30" s="101"/>
      <c r="QDD30" s="101"/>
      <c r="QDE30" s="101"/>
      <c r="QDF30" s="101"/>
      <c r="QDG30" s="101"/>
      <c r="QDH30" s="101"/>
      <c r="QDI30" s="101"/>
      <c r="QDJ30" s="101"/>
      <c r="QDK30" s="101"/>
      <c r="QDL30" s="101"/>
      <c r="QDM30" s="101"/>
      <c r="QDN30" s="101"/>
      <c r="QDO30" s="101"/>
      <c r="QDP30" s="101"/>
      <c r="QDQ30" s="101"/>
      <c r="QDR30" s="101"/>
      <c r="QDS30" s="101"/>
      <c r="QDT30" s="101"/>
      <c r="QDU30" s="101"/>
      <c r="QDV30" s="101"/>
      <c r="QDW30" s="101"/>
      <c r="QDX30" s="101"/>
      <c r="QDY30" s="101"/>
      <c r="QDZ30" s="101"/>
      <c r="QEA30" s="101"/>
      <c r="QEB30" s="101"/>
      <c r="QEC30" s="101"/>
      <c r="QED30" s="101"/>
      <c r="QEE30" s="101"/>
      <c r="QEF30" s="101"/>
      <c r="QEG30" s="101"/>
      <c r="QEH30" s="101"/>
      <c r="QEI30" s="101"/>
      <c r="QEJ30" s="101"/>
      <c r="QEK30" s="101"/>
      <c r="QEL30" s="101"/>
      <c r="QEM30" s="101"/>
      <c r="QEN30" s="101"/>
      <c r="QEO30" s="101"/>
      <c r="QEP30" s="101"/>
      <c r="QEQ30" s="101"/>
      <c r="QER30" s="101"/>
      <c r="QES30" s="101"/>
      <c r="QET30" s="101"/>
      <c r="QEU30" s="101"/>
      <c r="QEV30" s="101"/>
      <c r="QEW30" s="101"/>
      <c r="QEX30" s="101"/>
      <c r="QEY30" s="101"/>
      <c r="QEZ30" s="101"/>
      <c r="QFA30" s="101"/>
      <c r="QFB30" s="101"/>
      <c r="QFC30" s="101"/>
      <c r="QFD30" s="101"/>
      <c r="QFE30" s="101"/>
      <c r="QFF30" s="101"/>
      <c r="QFG30" s="101"/>
      <c r="QFH30" s="101"/>
      <c r="QFI30" s="101"/>
      <c r="QFJ30" s="101"/>
      <c r="QFK30" s="101"/>
      <c r="QFL30" s="101"/>
      <c r="QFM30" s="101"/>
      <c r="QFN30" s="101"/>
      <c r="QFO30" s="101"/>
      <c r="QFP30" s="101"/>
      <c r="QFQ30" s="101"/>
      <c r="QFR30" s="101"/>
      <c r="QFS30" s="101"/>
      <c r="QFT30" s="101"/>
      <c r="QFU30" s="101"/>
      <c r="QFV30" s="101"/>
      <c r="QFW30" s="101"/>
      <c r="QFX30" s="101"/>
      <c r="QFY30" s="101"/>
      <c r="QFZ30" s="101"/>
      <c r="QGA30" s="101"/>
      <c r="QGB30" s="101"/>
      <c r="QGC30" s="101"/>
      <c r="QGD30" s="101"/>
      <c r="QGE30" s="101"/>
      <c r="QGF30" s="101"/>
      <c r="QGG30" s="101"/>
      <c r="QGH30" s="101"/>
      <c r="QGI30" s="101"/>
      <c r="QGJ30" s="101"/>
      <c r="QGK30" s="101"/>
      <c r="QGL30" s="101"/>
      <c r="QGM30" s="101"/>
      <c r="QGN30" s="101"/>
      <c r="QGO30" s="101"/>
      <c r="QGP30" s="101"/>
      <c r="QGQ30" s="101"/>
      <c r="QGR30" s="101"/>
      <c r="QGS30" s="101"/>
      <c r="QGT30" s="101"/>
      <c r="QGU30" s="101"/>
      <c r="QGV30" s="101"/>
      <c r="QGW30" s="101"/>
      <c r="QGX30" s="101"/>
      <c r="QGY30" s="101"/>
      <c r="QGZ30" s="101"/>
      <c r="QHA30" s="101"/>
      <c r="QHB30" s="101"/>
      <c r="QHC30" s="101"/>
      <c r="QHD30" s="101"/>
      <c r="QHE30" s="101"/>
      <c r="QHF30" s="101"/>
      <c r="QHG30" s="101"/>
      <c r="QHH30" s="101"/>
      <c r="QHI30" s="101"/>
      <c r="QHJ30" s="101"/>
      <c r="QHK30" s="101"/>
      <c r="QHL30" s="101"/>
      <c r="QHM30" s="101"/>
      <c r="QHN30" s="101"/>
      <c r="QHO30" s="101"/>
      <c r="QHP30" s="101"/>
      <c r="QHQ30" s="101"/>
      <c r="QHR30" s="101"/>
      <c r="QHS30" s="101"/>
      <c r="QHT30" s="101"/>
      <c r="QHU30" s="101"/>
      <c r="QHV30" s="101"/>
      <c r="QHW30" s="101"/>
      <c r="QHX30" s="101"/>
      <c r="QHY30" s="101"/>
      <c r="QHZ30" s="101"/>
      <c r="QIA30" s="101"/>
      <c r="QIB30" s="101"/>
      <c r="QIC30" s="101"/>
      <c r="QID30" s="101"/>
      <c r="QIE30" s="101"/>
      <c r="QIF30" s="101"/>
      <c r="QIG30" s="101"/>
      <c r="QIH30" s="101"/>
      <c r="QII30" s="101"/>
      <c r="QIJ30" s="101"/>
      <c r="QIK30" s="101"/>
      <c r="QIL30" s="101"/>
      <c r="QIM30" s="101"/>
      <c r="QIN30" s="101"/>
      <c r="QIO30" s="101"/>
      <c r="QIP30" s="101"/>
      <c r="QIQ30" s="101"/>
      <c r="QIR30" s="101"/>
      <c r="QIS30" s="101"/>
      <c r="QIT30" s="101"/>
      <c r="QIU30" s="101"/>
      <c r="QIV30" s="101"/>
      <c r="QIW30" s="101"/>
      <c r="QIX30" s="101"/>
      <c r="QIY30" s="101"/>
      <c r="QIZ30" s="101"/>
      <c r="QJA30" s="101"/>
      <c r="QJB30" s="101"/>
      <c r="QJC30" s="101"/>
      <c r="QJD30" s="101"/>
      <c r="QJE30" s="101"/>
      <c r="QJF30" s="101"/>
      <c r="QJG30" s="101"/>
      <c r="QJH30" s="101"/>
      <c r="QJI30" s="101"/>
      <c r="QJJ30" s="101"/>
      <c r="QJK30" s="101"/>
      <c r="QJL30" s="101"/>
      <c r="QJM30" s="101"/>
      <c r="QJN30" s="101"/>
      <c r="QJO30" s="101"/>
      <c r="QJP30" s="101"/>
      <c r="QJQ30" s="101"/>
      <c r="QJR30" s="101"/>
      <c r="QJS30" s="101"/>
      <c r="QJT30" s="101"/>
      <c r="QJU30" s="101"/>
      <c r="QJV30" s="101"/>
      <c r="QJW30" s="101"/>
      <c r="QJX30" s="101"/>
      <c r="QJY30" s="101"/>
      <c r="QJZ30" s="101"/>
      <c r="QKA30" s="101"/>
      <c r="QKB30" s="101"/>
      <c r="QKC30" s="101"/>
      <c r="QKD30" s="101"/>
      <c r="QKE30" s="101"/>
      <c r="QKF30" s="101"/>
      <c r="QKG30" s="101"/>
      <c r="QKH30" s="101"/>
      <c r="QKI30" s="101"/>
      <c r="QKJ30" s="101"/>
      <c r="QKK30" s="101"/>
      <c r="QKL30" s="101"/>
      <c r="QKM30" s="101"/>
      <c r="QKN30" s="101"/>
      <c r="QKO30" s="101"/>
      <c r="QKP30" s="101"/>
      <c r="QKQ30" s="101"/>
      <c r="QKR30" s="101"/>
      <c r="QKS30" s="101"/>
      <c r="QKT30" s="101"/>
      <c r="QKU30" s="101"/>
      <c r="QKV30" s="101"/>
      <c r="QKW30" s="101"/>
      <c r="QKX30" s="101"/>
      <c r="QKY30" s="101"/>
      <c r="QKZ30" s="101"/>
      <c r="QLA30" s="101"/>
      <c r="QLB30" s="101"/>
      <c r="QLC30" s="101"/>
      <c r="QLD30" s="101"/>
      <c r="QLE30" s="101"/>
      <c r="QLF30" s="101"/>
      <c r="QLG30" s="101"/>
      <c r="QLH30" s="101"/>
      <c r="QLI30" s="101"/>
      <c r="QLJ30" s="101"/>
      <c r="QLK30" s="101"/>
      <c r="QLL30" s="101"/>
      <c r="QLM30" s="101"/>
      <c r="QLN30" s="101"/>
      <c r="QLO30" s="101"/>
      <c r="QLP30" s="101"/>
      <c r="QLQ30" s="101"/>
      <c r="QLR30" s="101"/>
      <c r="QLS30" s="101"/>
      <c r="QLT30" s="101"/>
      <c r="QLU30" s="101"/>
      <c r="QLV30" s="101"/>
      <c r="QLW30" s="101"/>
      <c r="QLX30" s="101"/>
      <c r="QLY30" s="101"/>
      <c r="QLZ30" s="101"/>
      <c r="QMA30" s="101"/>
      <c r="QMB30" s="101"/>
      <c r="QMC30" s="101"/>
      <c r="QMD30" s="101"/>
      <c r="QME30" s="101"/>
      <c r="QMF30" s="101"/>
      <c r="QMG30" s="101"/>
      <c r="QMH30" s="101"/>
      <c r="QMI30" s="101"/>
      <c r="QMJ30" s="101"/>
      <c r="QMK30" s="101"/>
      <c r="QML30" s="101"/>
      <c r="QMM30" s="101"/>
      <c r="QMN30" s="101"/>
      <c r="QMO30" s="101"/>
      <c r="QMP30" s="101"/>
      <c r="QMQ30" s="101"/>
      <c r="QMR30" s="101"/>
      <c r="QMS30" s="101"/>
      <c r="QMT30" s="101"/>
      <c r="QMU30" s="101"/>
      <c r="QMV30" s="101"/>
      <c r="QMW30" s="101"/>
      <c r="QMX30" s="101"/>
      <c r="QMY30" s="101"/>
      <c r="QMZ30" s="101"/>
      <c r="QNA30" s="101"/>
      <c r="QNB30" s="101"/>
      <c r="QNC30" s="101"/>
      <c r="QND30" s="101"/>
      <c r="QNE30" s="101"/>
      <c r="QNF30" s="101"/>
      <c r="QNG30" s="101"/>
      <c r="QNH30" s="101"/>
      <c r="QNI30" s="101"/>
      <c r="QNJ30" s="101"/>
      <c r="QNK30" s="101"/>
      <c r="QNL30" s="101"/>
      <c r="QNM30" s="101"/>
      <c r="QNN30" s="101"/>
      <c r="QNO30" s="101"/>
      <c r="QNP30" s="101"/>
      <c r="QNQ30" s="101"/>
      <c r="QNR30" s="101"/>
      <c r="QNS30" s="101"/>
      <c r="QNT30" s="101"/>
      <c r="QNU30" s="101"/>
      <c r="QNV30" s="101"/>
      <c r="QNW30" s="101"/>
      <c r="QNX30" s="101"/>
      <c r="QNY30" s="101"/>
      <c r="QNZ30" s="101"/>
      <c r="QOA30" s="101"/>
      <c r="QOB30" s="101"/>
      <c r="QOC30" s="101"/>
      <c r="QOD30" s="101"/>
      <c r="QOE30" s="101"/>
      <c r="QOF30" s="101"/>
      <c r="QOG30" s="101"/>
      <c r="QOH30" s="101"/>
      <c r="QOI30" s="101"/>
      <c r="QOJ30" s="101"/>
      <c r="QOK30" s="101"/>
      <c r="QOL30" s="101"/>
      <c r="QOM30" s="101"/>
      <c r="QON30" s="101"/>
      <c r="QOO30" s="101"/>
      <c r="QOP30" s="101"/>
      <c r="QOQ30" s="101"/>
      <c r="QOR30" s="101"/>
      <c r="QOS30" s="101"/>
      <c r="QOT30" s="101"/>
      <c r="QOU30" s="101"/>
      <c r="QOV30" s="101"/>
      <c r="QOW30" s="101"/>
      <c r="QOX30" s="101"/>
      <c r="QOY30" s="101"/>
      <c r="QOZ30" s="101"/>
      <c r="QPA30" s="101"/>
      <c r="QPB30" s="101"/>
      <c r="QPC30" s="101"/>
      <c r="QPD30" s="101"/>
      <c r="QPE30" s="101"/>
      <c r="QPF30" s="101"/>
      <c r="QPG30" s="101"/>
      <c r="QPH30" s="101"/>
      <c r="QPI30" s="101"/>
      <c r="QPJ30" s="101"/>
      <c r="QPK30" s="101"/>
      <c r="QPL30" s="101"/>
      <c r="QPM30" s="101"/>
      <c r="QPN30" s="101"/>
      <c r="QPO30" s="101"/>
      <c r="QPP30" s="101"/>
      <c r="QPQ30" s="101"/>
      <c r="QPR30" s="101"/>
      <c r="QPS30" s="101"/>
      <c r="QPT30" s="101"/>
      <c r="QPU30" s="101"/>
      <c r="QPV30" s="101"/>
      <c r="QPW30" s="101"/>
      <c r="QPX30" s="101"/>
      <c r="QPY30" s="101"/>
      <c r="QPZ30" s="101"/>
      <c r="QQA30" s="101"/>
      <c r="QQB30" s="101"/>
      <c r="QQC30" s="101"/>
      <c r="QQD30" s="101"/>
      <c r="QQE30" s="101"/>
      <c r="QQF30" s="101"/>
      <c r="QQG30" s="101"/>
      <c r="QQH30" s="101"/>
      <c r="QQI30" s="101"/>
      <c r="QQJ30" s="101"/>
      <c r="QQK30" s="101"/>
      <c r="QQL30" s="101"/>
      <c r="QQM30" s="101"/>
      <c r="QQN30" s="101"/>
      <c r="QQO30" s="101"/>
      <c r="QQP30" s="101"/>
      <c r="QQQ30" s="101"/>
      <c r="QQR30" s="101"/>
      <c r="QQS30" s="101"/>
      <c r="QQT30" s="101"/>
      <c r="QQU30" s="101"/>
      <c r="QQV30" s="101"/>
      <c r="QQW30" s="101"/>
      <c r="QQX30" s="101"/>
      <c r="QQY30" s="101"/>
      <c r="QQZ30" s="101"/>
      <c r="QRA30" s="101"/>
      <c r="QRB30" s="101"/>
      <c r="QRC30" s="101"/>
      <c r="QRD30" s="101"/>
      <c r="QRE30" s="101"/>
      <c r="QRF30" s="101"/>
      <c r="QRG30" s="101"/>
      <c r="QRH30" s="101"/>
      <c r="QRI30" s="101"/>
      <c r="QRJ30" s="101"/>
      <c r="QRK30" s="101"/>
      <c r="QRL30" s="101"/>
      <c r="QRM30" s="101"/>
      <c r="QRN30" s="101"/>
      <c r="QRO30" s="101"/>
      <c r="QRP30" s="101"/>
      <c r="QRQ30" s="101"/>
      <c r="QRR30" s="101"/>
      <c r="QRS30" s="101"/>
      <c r="QRT30" s="101"/>
      <c r="QRU30" s="101"/>
      <c r="QRV30" s="101"/>
      <c r="QRW30" s="101"/>
      <c r="QRX30" s="101"/>
      <c r="QRY30" s="101"/>
      <c r="QRZ30" s="101"/>
      <c r="QSA30" s="101"/>
      <c r="QSB30" s="101"/>
      <c r="QSC30" s="101"/>
      <c r="QSD30" s="101"/>
      <c r="QSE30" s="101"/>
      <c r="QSF30" s="101"/>
      <c r="QSG30" s="101"/>
      <c r="QSH30" s="101"/>
      <c r="QSI30" s="101"/>
      <c r="QSJ30" s="101"/>
      <c r="QSK30" s="101"/>
      <c r="QSL30" s="101"/>
      <c r="QSM30" s="101"/>
      <c r="QSN30" s="101"/>
      <c r="QSO30" s="101"/>
      <c r="QSP30" s="101"/>
      <c r="QSQ30" s="101"/>
      <c r="QSR30" s="101"/>
      <c r="QSS30" s="101"/>
      <c r="QST30" s="101"/>
      <c r="QSU30" s="101"/>
      <c r="QSV30" s="101"/>
      <c r="QSW30" s="101"/>
      <c r="QSX30" s="101"/>
      <c r="QSY30" s="101"/>
      <c r="QSZ30" s="101"/>
      <c r="QTA30" s="101"/>
      <c r="QTB30" s="101"/>
      <c r="QTC30" s="101"/>
      <c r="QTD30" s="101"/>
      <c r="QTE30" s="101"/>
      <c r="QTF30" s="101"/>
      <c r="QTG30" s="101"/>
      <c r="QTH30" s="101"/>
      <c r="QTI30" s="101"/>
      <c r="QTJ30" s="101"/>
      <c r="QTK30" s="101"/>
      <c r="QTL30" s="101"/>
      <c r="QTM30" s="101"/>
      <c r="QTN30" s="101"/>
      <c r="QTO30" s="101"/>
      <c r="QTP30" s="101"/>
      <c r="QTQ30" s="101"/>
      <c r="QTR30" s="101"/>
      <c r="QTS30" s="101"/>
      <c r="QTT30" s="101"/>
      <c r="QTU30" s="101"/>
      <c r="QTV30" s="101"/>
      <c r="QTW30" s="101"/>
      <c r="QTX30" s="101"/>
      <c r="QTY30" s="101"/>
      <c r="QTZ30" s="101"/>
      <c r="QUA30" s="101"/>
      <c r="QUB30" s="101"/>
      <c r="QUC30" s="101"/>
      <c r="QUD30" s="101"/>
      <c r="QUE30" s="101"/>
      <c r="QUF30" s="101"/>
      <c r="QUG30" s="101"/>
      <c r="QUH30" s="101"/>
      <c r="QUI30" s="101"/>
      <c r="QUJ30" s="101"/>
      <c r="QUK30" s="101"/>
      <c r="QUL30" s="101"/>
      <c r="QUM30" s="101"/>
      <c r="QUN30" s="101"/>
      <c r="QUO30" s="101"/>
      <c r="QUP30" s="101"/>
      <c r="QUQ30" s="101"/>
      <c r="QUR30" s="101"/>
      <c r="QUS30" s="101"/>
      <c r="QUT30" s="101"/>
      <c r="QUU30" s="101"/>
      <c r="QUV30" s="101"/>
      <c r="QUW30" s="101"/>
      <c r="QUX30" s="101"/>
      <c r="QUY30" s="101"/>
      <c r="QUZ30" s="101"/>
      <c r="QVA30" s="101"/>
      <c r="QVB30" s="101"/>
      <c r="QVC30" s="101"/>
      <c r="QVD30" s="101"/>
      <c r="QVE30" s="101"/>
      <c r="QVF30" s="101"/>
      <c r="QVG30" s="101"/>
      <c r="QVH30" s="101"/>
      <c r="QVI30" s="101"/>
      <c r="QVJ30" s="101"/>
      <c r="QVK30" s="101"/>
      <c r="QVL30" s="101"/>
      <c r="QVM30" s="101"/>
      <c r="QVN30" s="101"/>
      <c r="QVO30" s="101"/>
      <c r="QVP30" s="101"/>
      <c r="QVQ30" s="101"/>
      <c r="QVR30" s="101"/>
      <c r="QVS30" s="101"/>
      <c r="QVT30" s="101"/>
      <c r="QVU30" s="101"/>
      <c r="QVV30" s="101"/>
      <c r="QVW30" s="101"/>
      <c r="QVX30" s="101"/>
      <c r="QVY30" s="101"/>
      <c r="QVZ30" s="101"/>
      <c r="QWA30" s="101"/>
      <c r="QWB30" s="101"/>
      <c r="QWC30" s="101"/>
      <c r="QWD30" s="101"/>
      <c r="QWE30" s="101"/>
      <c r="QWF30" s="101"/>
      <c r="QWG30" s="101"/>
      <c r="QWH30" s="101"/>
      <c r="QWI30" s="101"/>
      <c r="QWJ30" s="101"/>
      <c r="QWK30" s="101"/>
      <c r="QWL30" s="101"/>
      <c r="QWM30" s="101"/>
      <c r="QWN30" s="101"/>
      <c r="QWO30" s="101"/>
      <c r="QWP30" s="101"/>
      <c r="QWQ30" s="101"/>
      <c r="QWR30" s="101"/>
      <c r="QWS30" s="101"/>
      <c r="QWT30" s="101"/>
      <c r="QWU30" s="101"/>
      <c r="QWV30" s="101"/>
      <c r="QWW30" s="101"/>
      <c r="QWX30" s="101"/>
      <c r="QWY30" s="101"/>
      <c r="QWZ30" s="101"/>
      <c r="QXA30" s="101"/>
      <c r="QXB30" s="101"/>
      <c r="QXC30" s="101"/>
      <c r="QXD30" s="101"/>
      <c r="QXE30" s="101"/>
      <c r="QXF30" s="101"/>
      <c r="QXG30" s="101"/>
      <c r="QXH30" s="101"/>
      <c r="QXI30" s="101"/>
      <c r="QXJ30" s="101"/>
      <c r="QXK30" s="101"/>
      <c r="QXL30" s="101"/>
      <c r="QXM30" s="101"/>
      <c r="QXN30" s="101"/>
      <c r="QXO30" s="101"/>
      <c r="QXP30" s="101"/>
      <c r="QXQ30" s="101"/>
      <c r="QXR30" s="101"/>
      <c r="QXS30" s="101"/>
      <c r="QXT30" s="101"/>
      <c r="QXU30" s="101"/>
      <c r="QXV30" s="101"/>
      <c r="QXW30" s="101"/>
      <c r="QXX30" s="101"/>
      <c r="QXY30" s="101"/>
      <c r="QXZ30" s="101"/>
      <c r="QYA30" s="101"/>
      <c r="QYB30" s="101"/>
      <c r="QYC30" s="101"/>
      <c r="QYD30" s="101"/>
      <c r="QYE30" s="101"/>
      <c r="QYF30" s="101"/>
      <c r="QYG30" s="101"/>
      <c r="QYH30" s="101"/>
      <c r="QYI30" s="101"/>
      <c r="QYJ30" s="101"/>
      <c r="QYK30" s="101"/>
      <c r="QYL30" s="101"/>
      <c r="QYM30" s="101"/>
      <c r="QYN30" s="101"/>
      <c r="QYO30" s="101"/>
      <c r="QYP30" s="101"/>
      <c r="QYQ30" s="101"/>
      <c r="QYR30" s="101"/>
      <c r="QYS30" s="101"/>
      <c r="QYT30" s="101"/>
      <c r="QYU30" s="101"/>
      <c r="QYV30" s="101"/>
      <c r="QYW30" s="101"/>
      <c r="QYX30" s="101"/>
      <c r="QYY30" s="101"/>
      <c r="QYZ30" s="101"/>
      <c r="QZA30" s="101"/>
      <c r="QZB30" s="101"/>
      <c r="QZC30" s="101"/>
      <c r="QZD30" s="101"/>
      <c r="QZE30" s="101"/>
      <c r="QZF30" s="101"/>
      <c r="QZG30" s="101"/>
      <c r="QZH30" s="101"/>
      <c r="QZI30" s="101"/>
      <c r="QZJ30" s="101"/>
      <c r="QZK30" s="101"/>
      <c r="QZL30" s="101"/>
      <c r="QZM30" s="101"/>
      <c r="QZN30" s="101"/>
      <c r="QZO30" s="101"/>
      <c r="QZP30" s="101"/>
      <c r="QZQ30" s="101"/>
      <c r="QZR30" s="101"/>
      <c r="QZS30" s="101"/>
      <c r="QZT30" s="101"/>
      <c r="QZU30" s="101"/>
      <c r="QZV30" s="101"/>
      <c r="QZW30" s="101"/>
      <c r="QZX30" s="101"/>
      <c r="QZY30" s="101"/>
      <c r="QZZ30" s="101"/>
      <c r="RAA30" s="101"/>
      <c r="RAB30" s="101"/>
      <c r="RAC30" s="101"/>
      <c r="RAD30" s="101"/>
      <c r="RAE30" s="101"/>
      <c r="RAF30" s="101"/>
      <c r="RAG30" s="101"/>
      <c r="RAH30" s="101"/>
      <c r="RAI30" s="101"/>
      <c r="RAJ30" s="101"/>
      <c r="RAK30" s="101"/>
      <c r="RAL30" s="101"/>
      <c r="RAM30" s="101"/>
      <c r="RAN30" s="101"/>
      <c r="RAO30" s="101"/>
      <c r="RAP30" s="101"/>
      <c r="RAQ30" s="101"/>
      <c r="RAR30" s="101"/>
      <c r="RAS30" s="101"/>
      <c r="RAT30" s="101"/>
      <c r="RAU30" s="101"/>
      <c r="RAV30" s="101"/>
      <c r="RAW30" s="101"/>
      <c r="RAX30" s="101"/>
      <c r="RAY30" s="101"/>
      <c r="RAZ30" s="101"/>
      <c r="RBA30" s="101"/>
      <c r="RBB30" s="101"/>
      <c r="RBC30" s="101"/>
      <c r="RBD30" s="101"/>
      <c r="RBE30" s="101"/>
      <c r="RBF30" s="101"/>
      <c r="RBG30" s="101"/>
      <c r="RBH30" s="101"/>
      <c r="RBI30" s="101"/>
      <c r="RBJ30" s="101"/>
      <c r="RBK30" s="101"/>
      <c r="RBL30" s="101"/>
      <c r="RBM30" s="101"/>
      <c r="RBN30" s="101"/>
      <c r="RBO30" s="101"/>
      <c r="RBP30" s="101"/>
      <c r="RBQ30" s="101"/>
      <c r="RBR30" s="101"/>
      <c r="RBS30" s="101"/>
      <c r="RBT30" s="101"/>
      <c r="RBU30" s="101"/>
      <c r="RBV30" s="101"/>
      <c r="RBW30" s="101"/>
      <c r="RBX30" s="101"/>
      <c r="RBY30" s="101"/>
      <c r="RBZ30" s="101"/>
      <c r="RCA30" s="101"/>
      <c r="RCB30" s="101"/>
      <c r="RCC30" s="101"/>
      <c r="RCD30" s="101"/>
      <c r="RCE30" s="101"/>
      <c r="RCF30" s="101"/>
      <c r="RCG30" s="101"/>
      <c r="RCH30" s="101"/>
      <c r="RCI30" s="101"/>
      <c r="RCJ30" s="101"/>
      <c r="RCK30" s="101"/>
      <c r="RCL30" s="101"/>
      <c r="RCM30" s="101"/>
      <c r="RCN30" s="101"/>
      <c r="RCO30" s="101"/>
      <c r="RCP30" s="101"/>
      <c r="RCQ30" s="101"/>
      <c r="RCR30" s="101"/>
      <c r="RCS30" s="101"/>
      <c r="RCT30" s="101"/>
      <c r="RCU30" s="101"/>
      <c r="RCV30" s="101"/>
      <c r="RCW30" s="101"/>
      <c r="RCX30" s="101"/>
      <c r="RCY30" s="101"/>
      <c r="RCZ30" s="101"/>
      <c r="RDA30" s="101"/>
      <c r="RDB30" s="101"/>
      <c r="RDC30" s="101"/>
      <c r="RDD30" s="101"/>
      <c r="RDE30" s="101"/>
      <c r="RDF30" s="101"/>
      <c r="RDG30" s="101"/>
      <c r="RDH30" s="101"/>
      <c r="RDI30" s="101"/>
      <c r="RDJ30" s="101"/>
      <c r="RDK30" s="101"/>
      <c r="RDL30" s="101"/>
      <c r="RDM30" s="101"/>
      <c r="RDN30" s="101"/>
      <c r="RDO30" s="101"/>
      <c r="RDP30" s="101"/>
      <c r="RDQ30" s="101"/>
      <c r="RDR30" s="101"/>
      <c r="RDS30" s="101"/>
      <c r="RDT30" s="101"/>
      <c r="RDU30" s="101"/>
      <c r="RDV30" s="101"/>
      <c r="RDW30" s="101"/>
      <c r="RDX30" s="101"/>
      <c r="RDY30" s="101"/>
      <c r="RDZ30" s="101"/>
      <c r="REA30" s="101"/>
      <c r="REB30" s="101"/>
      <c r="REC30" s="101"/>
      <c r="RED30" s="101"/>
      <c r="REE30" s="101"/>
      <c r="REF30" s="101"/>
      <c r="REG30" s="101"/>
      <c r="REH30" s="101"/>
      <c r="REI30" s="101"/>
      <c r="REJ30" s="101"/>
      <c r="REK30" s="101"/>
      <c r="REL30" s="101"/>
      <c r="REM30" s="101"/>
      <c r="REN30" s="101"/>
      <c r="REO30" s="101"/>
      <c r="REP30" s="101"/>
      <c r="REQ30" s="101"/>
      <c r="RER30" s="101"/>
      <c r="RES30" s="101"/>
      <c r="RET30" s="101"/>
      <c r="REU30" s="101"/>
      <c r="REV30" s="101"/>
      <c r="REW30" s="101"/>
      <c r="REX30" s="101"/>
      <c r="REY30" s="101"/>
      <c r="REZ30" s="101"/>
      <c r="RFA30" s="101"/>
      <c r="RFB30" s="101"/>
      <c r="RFC30" s="101"/>
      <c r="RFD30" s="101"/>
      <c r="RFE30" s="101"/>
      <c r="RFF30" s="101"/>
      <c r="RFG30" s="101"/>
      <c r="RFH30" s="101"/>
      <c r="RFI30" s="101"/>
      <c r="RFJ30" s="101"/>
      <c r="RFK30" s="101"/>
      <c r="RFL30" s="101"/>
      <c r="RFM30" s="101"/>
      <c r="RFN30" s="101"/>
      <c r="RFO30" s="101"/>
      <c r="RFP30" s="101"/>
      <c r="RFQ30" s="101"/>
      <c r="RFR30" s="101"/>
      <c r="RFS30" s="101"/>
      <c r="RFT30" s="101"/>
      <c r="RFU30" s="101"/>
      <c r="RFV30" s="101"/>
      <c r="RFW30" s="101"/>
      <c r="RFX30" s="101"/>
      <c r="RFY30" s="101"/>
      <c r="RFZ30" s="101"/>
      <c r="RGA30" s="101"/>
      <c r="RGB30" s="101"/>
      <c r="RGC30" s="101"/>
      <c r="RGD30" s="101"/>
      <c r="RGE30" s="101"/>
      <c r="RGF30" s="101"/>
      <c r="RGG30" s="101"/>
      <c r="RGH30" s="101"/>
      <c r="RGI30" s="101"/>
      <c r="RGJ30" s="101"/>
      <c r="RGK30" s="101"/>
      <c r="RGL30" s="101"/>
      <c r="RGM30" s="101"/>
      <c r="RGN30" s="101"/>
      <c r="RGO30" s="101"/>
      <c r="RGP30" s="101"/>
      <c r="RGQ30" s="101"/>
      <c r="RGR30" s="101"/>
      <c r="RGS30" s="101"/>
      <c r="RGT30" s="101"/>
      <c r="RGU30" s="101"/>
      <c r="RGV30" s="101"/>
      <c r="RGW30" s="101"/>
      <c r="RGX30" s="101"/>
      <c r="RGY30" s="101"/>
      <c r="RGZ30" s="101"/>
      <c r="RHA30" s="101"/>
      <c r="RHB30" s="101"/>
      <c r="RHC30" s="101"/>
      <c r="RHD30" s="101"/>
      <c r="RHE30" s="101"/>
      <c r="RHF30" s="101"/>
      <c r="RHG30" s="101"/>
      <c r="RHH30" s="101"/>
      <c r="RHI30" s="101"/>
      <c r="RHJ30" s="101"/>
      <c r="RHK30" s="101"/>
      <c r="RHL30" s="101"/>
      <c r="RHM30" s="101"/>
      <c r="RHN30" s="101"/>
      <c r="RHO30" s="101"/>
      <c r="RHP30" s="101"/>
      <c r="RHQ30" s="101"/>
      <c r="RHR30" s="101"/>
      <c r="RHS30" s="101"/>
      <c r="RHT30" s="101"/>
      <c r="RHU30" s="101"/>
      <c r="RHV30" s="101"/>
      <c r="RHW30" s="101"/>
      <c r="RHX30" s="101"/>
      <c r="RHY30" s="101"/>
      <c r="RHZ30" s="101"/>
      <c r="RIA30" s="101"/>
      <c r="RIB30" s="101"/>
      <c r="RIC30" s="101"/>
      <c r="RID30" s="101"/>
      <c r="RIE30" s="101"/>
      <c r="RIF30" s="101"/>
      <c r="RIG30" s="101"/>
      <c r="RIH30" s="101"/>
      <c r="RII30" s="101"/>
      <c r="RIJ30" s="101"/>
      <c r="RIK30" s="101"/>
      <c r="RIL30" s="101"/>
      <c r="RIM30" s="101"/>
      <c r="RIN30" s="101"/>
      <c r="RIO30" s="101"/>
      <c r="RIP30" s="101"/>
      <c r="RIQ30" s="101"/>
      <c r="RIR30" s="101"/>
      <c r="RIS30" s="101"/>
      <c r="RIT30" s="101"/>
      <c r="RIU30" s="101"/>
      <c r="RIV30" s="101"/>
      <c r="RIW30" s="101"/>
      <c r="RIX30" s="101"/>
      <c r="RIY30" s="101"/>
      <c r="RIZ30" s="101"/>
      <c r="RJA30" s="101"/>
      <c r="RJB30" s="101"/>
      <c r="RJC30" s="101"/>
      <c r="RJD30" s="101"/>
      <c r="RJE30" s="101"/>
      <c r="RJF30" s="101"/>
      <c r="RJG30" s="101"/>
      <c r="RJH30" s="101"/>
      <c r="RJI30" s="101"/>
      <c r="RJJ30" s="101"/>
      <c r="RJK30" s="101"/>
      <c r="RJL30" s="101"/>
      <c r="RJM30" s="101"/>
      <c r="RJN30" s="101"/>
      <c r="RJO30" s="101"/>
      <c r="RJP30" s="101"/>
      <c r="RJQ30" s="101"/>
      <c r="RJR30" s="101"/>
      <c r="RJS30" s="101"/>
      <c r="RJT30" s="101"/>
      <c r="RJU30" s="101"/>
      <c r="RJV30" s="101"/>
      <c r="RJW30" s="101"/>
      <c r="RJX30" s="101"/>
      <c r="RJY30" s="101"/>
      <c r="RJZ30" s="101"/>
      <c r="RKA30" s="101"/>
      <c r="RKB30" s="101"/>
      <c r="RKC30" s="101"/>
      <c r="RKD30" s="101"/>
      <c r="RKE30" s="101"/>
      <c r="RKF30" s="101"/>
      <c r="RKG30" s="101"/>
      <c r="RKH30" s="101"/>
      <c r="RKI30" s="101"/>
      <c r="RKJ30" s="101"/>
      <c r="RKK30" s="101"/>
      <c r="RKL30" s="101"/>
      <c r="RKM30" s="101"/>
      <c r="RKN30" s="101"/>
      <c r="RKO30" s="101"/>
      <c r="RKP30" s="101"/>
      <c r="RKQ30" s="101"/>
      <c r="RKR30" s="101"/>
      <c r="RKS30" s="101"/>
      <c r="RKT30" s="101"/>
      <c r="RKU30" s="101"/>
      <c r="RKV30" s="101"/>
      <c r="RKW30" s="101"/>
      <c r="RKX30" s="101"/>
      <c r="RKY30" s="101"/>
      <c r="RKZ30" s="101"/>
      <c r="RLA30" s="101"/>
      <c r="RLB30" s="101"/>
      <c r="RLC30" s="101"/>
      <c r="RLD30" s="101"/>
      <c r="RLE30" s="101"/>
      <c r="RLF30" s="101"/>
      <c r="RLG30" s="101"/>
      <c r="RLH30" s="101"/>
      <c r="RLI30" s="101"/>
      <c r="RLJ30" s="101"/>
      <c r="RLK30" s="101"/>
      <c r="RLL30" s="101"/>
      <c r="RLM30" s="101"/>
      <c r="RLN30" s="101"/>
      <c r="RLO30" s="101"/>
      <c r="RLP30" s="101"/>
      <c r="RLQ30" s="101"/>
      <c r="RLR30" s="101"/>
      <c r="RLS30" s="101"/>
      <c r="RLT30" s="101"/>
      <c r="RLU30" s="101"/>
      <c r="RLV30" s="101"/>
      <c r="RLW30" s="101"/>
      <c r="RLX30" s="101"/>
      <c r="RLY30" s="101"/>
      <c r="RLZ30" s="101"/>
      <c r="RMA30" s="101"/>
      <c r="RMB30" s="101"/>
      <c r="RMC30" s="101"/>
      <c r="RMD30" s="101"/>
      <c r="RME30" s="101"/>
      <c r="RMF30" s="101"/>
      <c r="RMG30" s="101"/>
      <c r="RMH30" s="101"/>
      <c r="RMI30" s="101"/>
      <c r="RMJ30" s="101"/>
      <c r="RMK30" s="101"/>
      <c r="RML30" s="101"/>
      <c r="RMM30" s="101"/>
      <c r="RMN30" s="101"/>
      <c r="RMO30" s="101"/>
      <c r="RMP30" s="101"/>
      <c r="RMQ30" s="101"/>
      <c r="RMR30" s="101"/>
      <c r="RMS30" s="101"/>
      <c r="RMT30" s="101"/>
      <c r="RMU30" s="101"/>
      <c r="RMV30" s="101"/>
      <c r="RMW30" s="101"/>
      <c r="RMX30" s="101"/>
      <c r="RMY30" s="101"/>
      <c r="RMZ30" s="101"/>
      <c r="RNA30" s="101"/>
      <c r="RNB30" s="101"/>
      <c r="RNC30" s="101"/>
      <c r="RND30" s="101"/>
      <c r="RNE30" s="101"/>
      <c r="RNF30" s="101"/>
      <c r="RNG30" s="101"/>
      <c r="RNH30" s="101"/>
      <c r="RNI30" s="101"/>
      <c r="RNJ30" s="101"/>
      <c r="RNK30" s="101"/>
      <c r="RNL30" s="101"/>
      <c r="RNM30" s="101"/>
      <c r="RNN30" s="101"/>
      <c r="RNO30" s="101"/>
      <c r="RNP30" s="101"/>
      <c r="RNQ30" s="101"/>
      <c r="RNR30" s="101"/>
      <c r="RNS30" s="101"/>
      <c r="RNT30" s="101"/>
      <c r="RNU30" s="101"/>
      <c r="RNV30" s="101"/>
      <c r="RNW30" s="101"/>
      <c r="RNX30" s="101"/>
      <c r="RNY30" s="101"/>
      <c r="RNZ30" s="101"/>
      <c r="ROA30" s="101"/>
      <c r="ROB30" s="101"/>
      <c r="ROC30" s="101"/>
      <c r="ROD30" s="101"/>
      <c r="ROE30" s="101"/>
      <c r="ROF30" s="101"/>
      <c r="ROG30" s="101"/>
      <c r="ROH30" s="101"/>
      <c r="ROI30" s="101"/>
      <c r="ROJ30" s="101"/>
      <c r="ROK30" s="101"/>
      <c r="ROL30" s="101"/>
      <c r="ROM30" s="101"/>
      <c r="RON30" s="101"/>
      <c r="ROO30" s="101"/>
      <c r="ROP30" s="101"/>
      <c r="ROQ30" s="101"/>
      <c r="ROR30" s="101"/>
      <c r="ROS30" s="101"/>
      <c r="ROT30" s="101"/>
      <c r="ROU30" s="101"/>
      <c r="ROV30" s="101"/>
      <c r="ROW30" s="101"/>
      <c r="ROX30" s="101"/>
      <c r="ROY30" s="101"/>
      <c r="ROZ30" s="101"/>
      <c r="RPA30" s="101"/>
      <c r="RPB30" s="101"/>
      <c r="RPC30" s="101"/>
      <c r="RPD30" s="101"/>
      <c r="RPE30" s="101"/>
      <c r="RPF30" s="101"/>
      <c r="RPG30" s="101"/>
      <c r="RPH30" s="101"/>
      <c r="RPI30" s="101"/>
      <c r="RPJ30" s="101"/>
      <c r="RPK30" s="101"/>
      <c r="RPL30" s="101"/>
      <c r="RPM30" s="101"/>
      <c r="RPN30" s="101"/>
      <c r="RPO30" s="101"/>
      <c r="RPP30" s="101"/>
      <c r="RPQ30" s="101"/>
      <c r="RPR30" s="101"/>
      <c r="RPS30" s="101"/>
      <c r="RPT30" s="101"/>
      <c r="RPU30" s="101"/>
      <c r="RPV30" s="101"/>
      <c r="RPW30" s="101"/>
      <c r="RPX30" s="101"/>
      <c r="RPY30" s="101"/>
      <c r="RPZ30" s="101"/>
      <c r="RQA30" s="101"/>
      <c r="RQB30" s="101"/>
      <c r="RQC30" s="101"/>
      <c r="RQD30" s="101"/>
      <c r="RQE30" s="101"/>
      <c r="RQF30" s="101"/>
      <c r="RQG30" s="101"/>
      <c r="RQH30" s="101"/>
      <c r="RQI30" s="101"/>
      <c r="RQJ30" s="101"/>
      <c r="RQK30" s="101"/>
      <c r="RQL30" s="101"/>
      <c r="RQM30" s="101"/>
      <c r="RQN30" s="101"/>
      <c r="RQO30" s="101"/>
      <c r="RQP30" s="101"/>
      <c r="RQQ30" s="101"/>
      <c r="RQR30" s="101"/>
      <c r="RQS30" s="101"/>
      <c r="RQT30" s="101"/>
      <c r="RQU30" s="101"/>
      <c r="RQV30" s="101"/>
      <c r="RQW30" s="101"/>
      <c r="RQX30" s="101"/>
      <c r="RQY30" s="101"/>
      <c r="RQZ30" s="101"/>
      <c r="RRA30" s="101"/>
      <c r="RRB30" s="101"/>
      <c r="RRC30" s="101"/>
      <c r="RRD30" s="101"/>
      <c r="RRE30" s="101"/>
      <c r="RRF30" s="101"/>
      <c r="RRG30" s="101"/>
      <c r="RRH30" s="101"/>
      <c r="RRI30" s="101"/>
      <c r="RRJ30" s="101"/>
      <c r="RRK30" s="101"/>
      <c r="RRL30" s="101"/>
      <c r="RRM30" s="101"/>
      <c r="RRN30" s="101"/>
      <c r="RRO30" s="101"/>
      <c r="RRP30" s="101"/>
      <c r="RRQ30" s="101"/>
      <c r="RRR30" s="101"/>
      <c r="RRS30" s="101"/>
      <c r="RRT30" s="101"/>
      <c r="RRU30" s="101"/>
      <c r="RRV30" s="101"/>
      <c r="RRW30" s="101"/>
      <c r="RRX30" s="101"/>
      <c r="RRY30" s="101"/>
      <c r="RRZ30" s="101"/>
      <c r="RSA30" s="101"/>
      <c r="RSB30" s="101"/>
      <c r="RSC30" s="101"/>
      <c r="RSD30" s="101"/>
      <c r="RSE30" s="101"/>
      <c r="RSF30" s="101"/>
      <c r="RSG30" s="101"/>
      <c r="RSH30" s="101"/>
      <c r="RSI30" s="101"/>
      <c r="RSJ30" s="101"/>
      <c r="RSK30" s="101"/>
      <c r="RSL30" s="101"/>
      <c r="RSM30" s="101"/>
      <c r="RSN30" s="101"/>
      <c r="RSO30" s="101"/>
      <c r="RSP30" s="101"/>
      <c r="RSQ30" s="101"/>
      <c r="RSR30" s="101"/>
      <c r="RSS30" s="101"/>
      <c r="RST30" s="101"/>
      <c r="RSU30" s="101"/>
      <c r="RSV30" s="101"/>
      <c r="RSW30" s="101"/>
      <c r="RSX30" s="101"/>
      <c r="RSY30" s="101"/>
      <c r="RSZ30" s="101"/>
      <c r="RTA30" s="101"/>
      <c r="RTB30" s="101"/>
      <c r="RTC30" s="101"/>
      <c r="RTD30" s="101"/>
      <c r="RTE30" s="101"/>
      <c r="RTF30" s="101"/>
      <c r="RTG30" s="101"/>
      <c r="RTH30" s="101"/>
      <c r="RTI30" s="101"/>
      <c r="RTJ30" s="101"/>
      <c r="RTK30" s="101"/>
      <c r="RTL30" s="101"/>
      <c r="RTM30" s="101"/>
      <c r="RTN30" s="101"/>
      <c r="RTO30" s="101"/>
      <c r="RTP30" s="101"/>
      <c r="RTQ30" s="101"/>
      <c r="RTR30" s="101"/>
      <c r="RTS30" s="101"/>
      <c r="RTT30" s="101"/>
      <c r="RTU30" s="101"/>
      <c r="RTV30" s="101"/>
      <c r="RTW30" s="101"/>
      <c r="RTX30" s="101"/>
      <c r="RTY30" s="101"/>
      <c r="RTZ30" s="101"/>
      <c r="RUA30" s="101"/>
      <c r="RUB30" s="101"/>
      <c r="RUC30" s="101"/>
      <c r="RUD30" s="101"/>
      <c r="RUE30" s="101"/>
      <c r="RUF30" s="101"/>
      <c r="RUG30" s="101"/>
      <c r="RUH30" s="101"/>
      <c r="RUI30" s="101"/>
      <c r="RUJ30" s="101"/>
      <c r="RUK30" s="101"/>
      <c r="RUL30" s="101"/>
      <c r="RUM30" s="101"/>
      <c r="RUN30" s="101"/>
      <c r="RUO30" s="101"/>
      <c r="RUP30" s="101"/>
      <c r="RUQ30" s="101"/>
      <c r="RUR30" s="101"/>
      <c r="RUS30" s="101"/>
      <c r="RUT30" s="101"/>
      <c r="RUU30" s="101"/>
      <c r="RUV30" s="101"/>
      <c r="RUW30" s="101"/>
      <c r="RUX30" s="101"/>
      <c r="RUY30" s="101"/>
      <c r="RUZ30" s="101"/>
      <c r="RVA30" s="101"/>
      <c r="RVB30" s="101"/>
      <c r="RVC30" s="101"/>
      <c r="RVD30" s="101"/>
      <c r="RVE30" s="101"/>
      <c r="RVF30" s="101"/>
      <c r="RVG30" s="101"/>
      <c r="RVH30" s="101"/>
      <c r="RVI30" s="101"/>
      <c r="RVJ30" s="101"/>
      <c r="RVK30" s="101"/>
      <c r="RVL30" s="101"/>
      <c r="RVM30" s="101"/>
      <c r="RVN30" s="101"/>
      <c r="RVO30" s="101"/>
      <c r="RVP30" s="101"/>
      <c r="RVQ30" s="101"/>
      <c r="RVR30" s="101"/>
      <c r="RVS30" s="101"/>
      <c r="RVT30" s="101"/>
      <c r="RVU30" s="101"/>
      <c r="RVV30" s="101"/>
      <c r="RVW30" s="101"/>
      <c r="RVX30" s="101"/>
      <c r="RVY30" s="101"/>
      <c r="RVZ30" s="101"/>
      <c r="RWA30" s="101"/>
      <c r="RWB30" s="101"/>
      <c r="RWC30" s="101"/>
      <c r="RWD30" s="101"/>
      <c r="RWE30" s="101"/>
      <c r="RWF30" s="101"/>
      <c r="RWG30" s="101"/>
      <c r="RWH30" s="101"/>
      <c r="RWI30" s="101"/>
      <c r="RWJ30" s="101"/>
      <c r="RWK30" s="101"/>
      <c r="RWL30" s="101"/>
      <c r="RWM30" s="101"/>
      <c r="RWN30" s="101"/>
      <c r="RWO30" s="101"/>
      <c r="RWP30" s="101"/>
      <c r="RWQ30" s="101"/>
      <c r="RWR30" s="101"/>
      <c r="RWS30" s="101"/>
      <c r="RWT30" s="101"/>
      <c r="RWU30" s="101"/>
      <c r="RWV30" s="101"/>
      <c r="RWW30" s="101"/>
      <c r="RWX30" s="101"/>
      <c r="RWY30" s="101"/>
      <c r="RWZ30" s="101"/>
      <c r="RXA30" s="101"/>
      <c r="RXB30" s="101"/>
      <c r="RXC30" s="101"/>
      <c r="RXD30" s="101"/>
      <c r="RXE30" s="101"/>
      <c r="RXF30" s="101"/>
      <c r="RXG30" s="101"/>
      <c r="RXH30" s="101"/>
      <c r="RXI30" s="101"/>
      <c r="RXJ30" s="101"/>
      <c r="RXK30" s="101"/>
      <c r="RXL30" s="101"/>
      <c r="RXM30" s="101"/>
      <c r="RXN30" s="101"/>
      <c r="RXO30" s="101"/>
      <c r="RXP30" s="101"/>
      <c r="RXQ30" s="101"/>
      <c r="RXR30" s="101"/>
      <c r="RXS30" s="101"/>
      <c r="RXT30" s="101"/>
      <c r="RXU30" s="101"/>
      <c r="RXV30" s="101"/>
      <c r="RXW30" s="101"/>
      <c r="RXX30" s="101"/>
      <c r="RXY30" s="101"/>
      <c r="RXZ30" s="101"/>
      <c r="RYA30" s="101"/>
      <c r="RYB30" s="101"/>
      <c r="RYC30" s="101"/>
      <c r="RYD30" s="101"/>
      <c r="RYE30" s="101"/>
      <c r="RYF30" s="101"/>
      <c r="RYG30" s="101"/>
      <c r="RYH30" s="101"/>
      <c r="RYI30" s="101"/>
      <c r="RYJ30" s="101"/>
      <c r="RYK30" s="101"/>
      <c r="RYL30" s="101"/>
      <c r="RYM30" s="101"/>
      <c r="RYN30" s="101"/>
      <c r="RYO30" s="101"/>
      <c r="RYP30" s="101"/>
      <c r="RYQ30" s="101"/>
      <c r="RYR30" s="101"/>
      <c r="RYS30" s="101"/>
      <c r="RYT30" s="101"/>
      <c r="RYU30" s="101"/>
      <c r="RYV30" s="101"/>
      <c r="RYW30" s="101"/>
      <c r="RYX30" s="101"/>
      <c r="RYY30" s="101"/>
      <c r="RYZ30" s="101"/>
      <c r="RZA30" s="101"/>
      <c r="RZB30" s="101"/>
      <c r="RZC30" s="101"/>
      <c r="RZD30" s="101"/>
      <c r="RZE30" s="101"/>
      <c r="RZF30" s="101"/>
      <c r="RZG30" s="101"/>
      <c r="RZH30" s="101"/>
      <c r="RZI30" s="101"/>
      <c r="RZJ30" s="101"/>
      <c r="RZK30" s="101"/>
      <c r="RZL30" s="101"/>
      <c r="RZM30" s="101"/>
      <c r="RZN30" s="101"/>
      <c r="RZO30" s="101"/>
      <c r="RZP30" s="101"/>
      <c r="RZQ30" s="101"/>
      <c r="RZR30" s="101"/>
      <c r="RZS30" s="101"/>
      <c r="RZT30" s="101"/>
      <c r="RZU30" s="101"/>
      <c r="RZV30" s="101"/>
      <c r="RZW30" s="101"/>
      <c r="RZX30" s="101"/>
      <c r="RZY30" s="101"/>
      <c r="RZZ30" s="101"/>
      <c r="SAA30" s="101"/>
      <c r="SAB30" s="101"/>
      <c r="SAC30" s="101"/>
      <c r="SAD30" s="101"/>
      <c r="SAE30" s="101"/>
      <c r="SAF30" s="101"/>
      <c r="SAG30" s="101"/>
      <c r="SAH30" s="101"/>
      <c r="SAI30" s="101"/>
      <c r="SAJ30" s="101"/>
      <c r="SAK30" s="101"/>
      <c r="SAL30" s="101"/>
      <c r="SAM30" s="101"/>
      <c r="SAN30" s="101"/>
      <c r="SAO30" s="101"/>
      <c r="SAP30" s="101"/>
      <c r="SAQ30" s="101"/>
      <c r="SAR30" s="101"/>
      <c r="SAS30" s="101"/>
      <c r="SAT30" s="101"/>
      <c r="SAU30" s="101"/>
      <c r="SAV30" s="101"/>
      <c r="SAW30" s="101"/>
      <c r="SAX30" s="101"/>
      <c r="SAY30" s="101"/>
      <c r="SAZ30" s="101"/>
      <c r="SBA30" s="101"/>
      <c r="SBB30" s="101"/>
      <c r="SBC30" s="101"/>
      <c r="SBD30" s="101"/>
      <c r="SBE30" s="101"/>
      <c r="SBF30" s="101"/>
      <c r="SBG30" s="101"/>
      <c r="SBH30" s="101"/>
      <c r="SBI30" s="101"/>
      <c r="SBJ30" s="101"/>
      <c r="SBK30" s="101"/>
      <c r="SBL30" s="101"/>
      <c r="SBM30" s="101"/>
      <c r="SBN30" s="101"/>
      <c r="SBO30" s="101"/>
      <c r="SBP30" s="101"/>
      <c r="SBQ30" s="101"/>
      <c r="SBR30" s="101"/>
      <c r="SBS30" s="101"/>
      <c r="SBT30" s="101"/>
      <c r="SBU30" s="101"/>
      <c r="SBV30" s="101"/>
      <c r="SBW30" s="101"/>
      <c r="SBX30" s="101"/>
      <c r="SBY30" s="101"/>
      <c r="SBZ30" s="101"/>
      <c r="SCA30" s="101"/>
      <c r="SCB30" s="101"/>
      <c r="SCC30" s="101"/>
      <c r="SCD30" s="101"/>
      <c r="SCE30" s="101"/>
      <c r="SCF30" s="101"/>
      <c r="SCG30" s="101"/>
      <c r="SCH30" s="101"/>
      <c r="SCI30" s="101"/>
      <c r="SCJ30" s="101"/>
      <c r="SCK30" s="101"/>
      <c r="SCL30" s="101"/>
      <c r="SCM30" s="101"/>
      <c r="SCN30" s="101"/>
      <c r="SCO30" s="101"/>
      <c r="SCP30" s="101"/>
      <c r="SCQ30" s="101"/>
      <c r="SCR30" s="101"/>
      <c r="SCS30" s="101"/>
      <c r="SCT30" s="101"/>
      <c r="SCU30" s="101"/>
      <c r="SCV30" s="101"/>
      <c r="SCW30" s="101"/>
      <c r="SCX30" s="101"/>
      <c r="SCY30" s="101"/>
      <c r="SCZ30" s="101"/>
      <c r="SDA30" s="101"/>
      <c r="SDB30" s="101"/>
      <c r="SDC30" s="101"/>
      <c r="SDD30" s="101"/>
      <c r="SDE30" s="101"/>
      <c r="SDF30" s="101"/>
      <c r="SDG30" s="101"/>
      <c r="SDH30" s="101"/>
      <c r="SDI30" s="101"/>
      <c r="SDJ30" s="101"/>
      <c r="SDK30" s="101"/>
      <c r="SDL30" s="101"/>
      <c r="SDM30" s="101"/>
      <c r="SDN30" s="101"/>
      <c r="SDO30" s="101"/>
      <c r="SDP30" s="101"/>
      <c r="SDQ30" s="101"/>
      <c r="SDR30" s="101"/>
      <c r="SDS30" s="101"/>
      <c r="SDT30" s="101"/>
      <c r="SDU30" s="101"/>
      <c r="SDV30" s="101"/>
      <c r="SDW30" s="101"/>
      <c r="SDX30" s="101"/>
      <c r="SDY30" s="101"/>
      <c r="SDZ30" s="101"/>
      <c r="SEA30" s="101"/>
      <c r="SEB30" s="101"/>
      <c r="SEC30" s="101"/>
      <c r="SED30" s="101"/>
      <c r="SEE30" s="101"/>
      <c r="SEF30" s="101"/>
      <c r="SEG30" s="101"/>
      <c r="SEH30" s="101"/>
      <c r="SEI30" s="101"/>
      <c r="SEJ30" s="101"/>
      <c r="SEK30" s="101"/>
      <c r="SEL30" s="101"/>
      <c r="SEM30" s="101"/>
      <c r="SEN30" s="101"/>
      <c r="SEO30" s="101"/>
      <c r="SEP30" s="101"/>
      <c r="SEQ30" s="101"/>
      <c r="SER30" s="101"/>
      <c r="SES30" s="101"/>
      <c r="SET30" s="101"/>
      <c r="SEU30" s="101"/>
      <c r="SEV30" s="101"/>
      <c r="SEW30" s="101"/>
      <c r="SEX30" s="101"/>
      <c r="SEY30" s="101"/>
      <c r="SEZ30" s="101"/>
      <c r="SFA30" s="101"/>
      <c r="SFB30" s="101"/>
      <c r="SFC30" s="101"/>
      <c r="SFD30" s="101"/>
      <c r="SFE30" s="101"/>
      <c r="SFF30" s="101"/>
      <c r="SFG30" s="101"/>
      <c r="SFH30" s="101"/>
      <c r="SFI30" s="101"/>
      <c r="SFJ30" s="101"/>
      <c r="SFK30" s="101"/>
      <c r="SFL30" s="101"/>
      <c r="SFM30" s="101"/>
      <c r="SFN30" s="101"/>
      <c r="SFO30" s="101"/>
      <c r="SFP30" s="101"/>
      <c r="SFQ30" s="101"/>
      <c r="SFR30" s="101"/>
      <c r="SFS30" s="101"/>
      <c r="SFT30" s="101"/>
      <c r="SFU30" s="101"/>
      <c r="SFV30" s="101"/>
      <c r="SFW30" s="101"/>
      <c r="SFX30" s="101"/>
      <c r="SFY30" s="101"/>
      <c r="SFZ30" s="101"/>
      <c r="SGA30" s="101"/>
      <c r="SGB30" s="101"/>
      <c r="SGC30" s="101"/>
      <c r="SGD30" s="101"/>
      <c r="SGE30" s="101"/>
      <c r="SGF30" s="101"/>
      <c r="SGG30" s="101"/>
      <c r="SGH30" s="101"/>
      <c r="SGI30" s="101"/>
      <c r="SGJ30" s="101"/>
      <c r="SGK30" s="101"/>
      <c r="SGL30" s="101"/>
      <c r="SGM30" s="101"/>
      <c r="SGN30" s="101"/>
      <c r="SGO30" s="101"/>
      <c r="SGP30" s="101"/>
      <c r="SGQ30" s="101"/>
      <c r="SGR30" s="101"/>
      <c r="SGS30" s="101"/>
      <c r="SGT30" s="101"/>
      <c r="SGU30" s="101"/>
      <c r="SGV30" s="101"/>
      <c r="SGW30" s="101"/>
      <c r="SGX30" s="101"/>
      <c r="SGY30" s="101"/>
      <c r="SGZ30" s="101"/>
      <c r="SHA30" s="101"/>
      <c r="SHB30" s="101"/>
      <c r="SHC30" s="101"/>
      <c r="SHD30" s="101"/>
      <c r="SHE30" s="101"/>
      <c r="SHF30" s="101"/>
      <c r="SHG30" s="101"/>
      <c r="SHH30" s="101"/>
      <c r="SHI30" s="101"/>
      <c r="SHJ30" s="101"/>
      <c r="SHK30" s="101"/>
      <c r="SHL30" s="101"/>
      <c r="SHM30" s="101"/>
      <c r="SHN30" s="101"/>
      <c r="SHO30" s="101"/>
      <c r="SHP30" s="101"/>
      <c r="SHQ30" s="101"/>
      <c r="SHR30" s="101"/>
      <c r="SHS30" s="101"/>
      <c r="SHT30" s="101"/>
      <c r="SHU30" s="101"/>
      <c r="SHV30" s="101"/>
      <c r="SHW30" s="101"/>
      <c r="SHX30" s="101"/>
      <c r="SHY30" s="101"/>
      <c r="SHZ30" s="101"/>
      <c r="SIA30" s="101"/>
      <c r="SIB30" s="101"/>
      <c r="SIC30" s="101"/>
      <c r="SID30" s="101"/>
      <c r="SIE30" s="101"/>
      <c r="SIF30" s="101"/>
      <c r="SIG30" s="101"/>
      <c r="SIH30" s="101"/>
      <c r="SII30" s="101"/>
      <c r="SIJ30" s="101"/>
      <c r="SIK30" s="101"/>
      <c r="SIL30" s="101"/>
      <c r="SIM30" s="101"/>
      <c r="SIN30" s="101"/>
      <c r="SIO30" s="101"/>
      <c r="SIP30" s="101"/>
      <c r="SIQ30" s="101"/>
      <c r="SIR30" s="101"/>
      <c r="SIS30" s="101"/>
      <c r="SIT30" s="101"/>
      <c r="SIU30" s="101"/>
      <c r="SIV30" s="101"/>
      <c r="SIW30" s="101"/>
      <c r="SIX30" s="101"/>
      <c r="SIY30" s="101"/>
      <c r="SIZ30" s="101"/>
      <c r="SJA30" s="101"/>
      <c r="SJB30" s="101"/>
      <c r="SJC30" s="101"/>
      <c r="SJD30" s="101"/>
      <c r="SJE30" s="101"/>
      <c r="SJF30" s="101"/>
      <c r="SJG30" s="101"/>
      <c r="SJH30" s="101"/>
      <c r="SJI30" s="101"/>
      <c r="SJJ30" s="101"/>
      <c r="SJK30" s="101"/>
      <c r="SJL30" s="101"/>
      <c r="SJM30" s="101"/>
      <c r="SJN30" s="101"/>
      <c r="SJO30" s="101"/>
      <c r="SJP30" s="101"/>
      <c r="SJQ30" s="101"/>
      <c r="SJR30" s="101"/>
      <c r="SJS30" s="101"/>
      <c r="SJT30" s="101"/>
      <c r="SJU30" s="101"/>
      <c r="SJV30" s="101"/>
      <c r="SJW30" s="101"/>
      <c r="SJX30" s="101"/>
      <c r="SJY30" s="101"/>
      <c r="SJZ30" s="101"/>
      <c r="SKA30" s="101"/>
      <c r="SKB30" s="101"/>
      <c r="SKC30" s="101"/>
      <c r="SKD30" s="101"/>
      <c r="SKE30" s="101"/>
      <c r="SKF30" s="101"/>
      <c r="SKG30" s="101"/>
      <c r="SKH30" s="101"/>
      <c r="SKI30" s="101"/>
      <c r="SKJ30" s="101"/>
      <c r="SKK30" s="101"/>
      <c r="SKL30" s="101"/>
      <c r="SKM30" s="101"/>
      <c r="SKN30" s="101"/>
      <c r="SKO30" s="101"/>
      <c r="SKP30" s="101"/>
      <c r="SKQ30" s="101"/>
      <c r="SKR30" s="101"/>
      <c r="SKS30" s="101"/>
      <c r="SKT30" s="101"/>
      <c r="SKU30" s="101"/>
      <c r="SKV30" s="101"/>
      <c r="SKW30" s="101"/>
      <c r="SKX30" s="101"/>
      <c r="SKY30" s="101"/>
      <c r="SKZ30" s="101"/>
      <c r="SLA30" s="101"/>
      <c r="SLB30" s="101"/>
      <c r="SLC30" s="101"/>
      <c r="SLD30" s="101"/>
      <c r="SLE30" s="101"/>
      <c r="SLF30" s="101"/>
      <c r="SLG30" s="101"/>
      <c r="SLH30" s="101"/>
      <c r="SLI30" s="101"/>
      <c r="SLJ30" s="101"/>
      <c r="SLK30" s="101"/>
      <c r="SLL30" s="101"/>
      <c r="SLM30" s="101"/>
      <c r="SLN30" s="101"/>
      <c r="SLO30" s="101"/>
      <c r="SLP30" s="101"/>
      <c r="SLQ30" s="101"/>
      <c r="SLR30" s="101"/>
      <c r="SLS30" s="101"/>
      <c r="SLT30" s="101"/>
      <c r="SLU30" s="101"/>
      <c r="SLV30" s="101"/>
      <c r="SLW30" s="101"/>
      <c r="SLX30" s="101"/>
      <c r="SLY30" s="101"/>
      <c r="SLZ30" s="101"/>
      <c r="SMA30" s="101"/>
      <c r="SMB30" s="101"/>
      <c r="SMC30" s="101"/>
      <c r="SMD30" s="101"/>
      <c r="SME30" s="101"/>
      <c r="SMF30" s="101"/>
      <c r="SMG30" s="101"/>
      <c r="SMH30" s="101"/>
      <c r="SMI30" s="101"/>
      <c r="SMJ30" s="101"/>
      <c r="SMK30" s="101"/>
      <c r="SML30" s="101"/>
      <c r="SMM30" s="101"/>
      <c r="SMN30" s="101"/>
      <c r="SMO30" s="101"/>
      <c r="SMP30" s="101"/>
      <c r="SMQ30" s="101"/>
      <c r="SMR30" s="101"/>
      <c r="SMS30" s="101"/>
      <c r="SMT30" s="101"/>
      <c r="SMU30" s="101"/>
      <c r="SMV30" s="101"/>
      <c r="SMW30" s="101"/>
      <c r="SMX30" s="101"/>
      <c r="SMY30" s="101"/>
      <c r="SMZ30" s="101"/>
      <c r="SNA30" s="101"/>
      <c r="SNB30" s="101"/>
      <c r="SNC30" s="101"/>
      <c r="SND30" s="101"/>
      <c r="SNE30" s="101"/>
      <c r="SNF30" s="101"/>
      <c r="SNG30" s="101"/>
      <c r="SNH30" s="101"/>
      <c r="SNI30" s="101"/>
      <c r="SNJ30" s="101"/>
      <c r="SNK30" s="101"/>
      <c r="SNL30" s="101"/>
      <c r="SNM30" s="101"/>
      <c r="SNN30" s="101"/>
      <c r="SNO30" s="101"/>
      <c r="SNP30" s="101"/>
      <c r="SNQ30" s="101"/>
      <c r="SNR30" s="101"/>
      <c r="SNS30" s="101"/>
      <c r="SNT30" s="101"/>
      <c r="SNU30" s="101"/>
      <c r="SNV30" s="101"/>
      <c r="SNW30" s="101"/>
      <c r="SNX30" s="101"/>
      <c r="SNY30" s="101"/>
      <c r="SNZ30" s="101"/>
      <c r="SOA30" s="101"/>
      <c r="SOB30" s="101"/>
      <c r="SOC30" s="101"/>
      <c r="SOD30" s="101"/>
      <c r="SOE30" s="101"/>
      <c r="SOF30" s="101"/>
      <c r="SOG30" s="101"/>
      <c r="SOH30" s="101"/>
      <c r="SOI30" s="101"/>
      <c r="SOJ30" s="101"/>
      <c r="SOK30" s="101"/>
      <c r="SOL30" s="101"/>
      <c r="SOM30" s="101"/>
      <c r="SON30" s="101"/>
      <c r="SOO30" s="101"/>
      <c r="SOP30" s="101"/>
      <c r="SOQ30" s="101"/>
      <c r="SOR30" s="101"/>
      <c r="SOS30" s="101"/>
      <c r="SOT30" s="101"/>
      <c r="SOU30" s="101"/>
      <c r="SOV30" s="101"/>
      <c r="SOW30" s="101"/>
      <c r="SOX30" s="101"/>
      <c r="SOY30" s="101"/>
      <c r="SOZ30" s="101"/>
      <c r="SPA30" s="101"/>
      <c r="SPB30" s="101"/>
      <c r="SPC30" s="101"/>
      <c r="SPD30" s="101"/>
      <c r="SPE30" s="101"/>
      <c r="SPF30" s="101"/>
      <c r="SPG30" s="101"/>
      <c r="SPH30" s="101"/>
      <c r="SPI30" s="101"/>
      <c r="SPJ30" s="101"/>
      <c r="SPK30" s="101"/>
      <c r="SPL30" s="101"/>
      <c r="SPM30" s="101"/>
      <c r="SPN30" s="101"/>
      <c r="SPO30" s="101"/>
      <c r="SPP30" s="101"/>
      <c r="SPQ30" s="101"/>
      <c r="SPR30" s="101"/>
      <c r="SPS30" s="101"/>
      <c r="SPT30" s="101"/>
      <c r="SPU30" s="101"/>
      <c r="SPV30" s="101"/>
      <c r="SPW30" s="101"/>
      <c r="SPX30" s="101"/>
      <c r="SPY30" s="101"/>
      <c r="SPZ30" s="101"/>
      <c r="SQA30" s="101"/>
      <c r="SQB30" s="101"/>
      <c r="SQC30" s="101"/>
      <c r="SQD30" s="101"/>
      <c r="SQE30" s="101"/>
      <c r="SQF30" s="101"/>
      <c r="SQG30" s="101"/>
      <c r="SQH30" s="101"/>
      <c r="SQI30" s="101"/>
      <c r="SQJ30" s="101"/>
      <c r="SQK30" s="101"/>
      <c r="SQL30" s="101"/>
      <c r="SQM30" s="101"/>
      <c r="SQN30" s="101"/>
      <c r="SQO30" s="101"/>
      <c r="SQP30" s="101"/>
      <c r="SQQ30" s="101"/>
      <c r="SQR30" s="101"/>
      <c r="SQS30" s="101"/>
      <c r="SQT30" s="101"/>
      <c r="SQU30" s="101"/>
      <c r="SQV30" s="101"/>
      <c r="SQW30" s="101"/>
      <c r="SQX30" s="101"/>
      <c r="SQY30" s="101"/>
      <c r="SQZ30" s="101"/>
      <c r="SRA30" s="101"/>
      <c r="SRB30" s="101"/>
      <c r="SRC30" s="101"/>
      <c r="SRD30" s="101"/>
      <c r="SRE30" s="101"/>
      <c r="SRF30" s="101"/>
      <c r="SRG30" s="101"/>
      <c r="SRH30" s="101"/>
      <c r="SRI30" s="101"/>
      <c r="SRJ30" s="101"/>
      <c r="SRK30" s="101"/>
      <c r="SRL30" s="101"/>
      <c r="SRM30" s="101"/>
      <c r="SRN30" s="101"/>
      <c r="SRO30" s="101"/>
      <c r="SRP30" s="101"/>
      <c r="SRQ30" s="101"/>
      <c r="SRR30" s="101"/>
      <c r="SRS30" s="101"/>
      <c r="SRT30" s="101"/>
      <c r="SRU30" s="101"/>
      <c r="SRV30" s="101"/>
      <c r="SRW30" s="101"/>
      <c r="SRX30" s="101"/>
      <c r="SRY30" s="101"/>
      <c r="SRZ30" s="101"/>
      <c r="SSA30" s="101"/>
      <c r="SSB30" s="101"/>
      <c r="SSC30" s="101"/>
      <c r="SSD30" s="101"/>
      <c r="SSE30" s="101"/>
      <c r="SSF30" s="101"/>
      <c r="SSG30" s="101"/>
      <c r="SSH30" s="101"/>
      <c r="SSI30" s="101"/>
      <c r="SSJ30" s="101"/>
      <c r="SSK30" s="101"/>
      <c r="SSL30" s="101"/>
      <c r="SSM30" s="101"/>
      <c r="SSN30" s="101"/>
      <c r="SSO30" s="101"/>
      <c r="SSP30" s="101"/>
      <c r="SSQ30" s="101"/>
      <c r="SSR30" s="101"/>
      <c r="SSS30" s="101"/>
      <c r="SST30" s="101"/>
      <c r="SSU30" s="101"/>
      <c r="SSV30" s="101"/>
      <c r="SSW30" s="101"/>
      <c r="SSX30" s="101"/>
      <c r="SSY30" s="101"/>
      <c r="SSZ30" s="101"/>
      <c r="STA30" s="101"/>
      <c r="STB30" s="101"/>
      <c r="STC30" s="101"/>
      <c r="STD30" s="101"/>
      <c r="STE30" s="101"/>
      <c r="STF30" s="101"/>
      <c r="STG30" s="101"/>
      <c r="STH30" s="101"/>
      <c r="STI30" s="101"/>
      <c r="STJ30" s="101"/>
      <c r="STK30" s="101"/>
      <c r="STL30" s="101"/>
      <c r="STM30" s="101"/>
      <c r="STN30" s="101"/>
      <c r="STO30" s="101"/>
      <c r="STP30" s="101"/>
      <c r="STQ30" s="101"/>
      <c r="STR30" s="101"/>
      <c r="STS30" s="101"/>
      <c r="STT30" s="101"/>
      <c r="STU30" s="101"/>
      <c r="STV30" s="101"/>
      <c r="STW30" s="101"/>
      <c r="STX30" s="101"/>
      <c r="STY30" s="101"/>
      <c r="STZ30" s="101"/>
      <c r="SUA30" s="101"/>
      <c r="SUB30" s="101"/>
      <c r="SUC30" s="101"/>
      <c r="SUD30" s="101"/>
      <c r="SUE30" s="101"/>
      <c r="SUF30" s="101"/>
      <c r="SUG30" s="101"/>
      <c r="SUH30" s="101"/>
      <c r="SUI30" s="101"/>
      <c r="SUJ30" s="101"/>
      <c r="SUK30" s="101"/>
      <c r="SUL30" s="101"/>
      <c r="SUM30" s="101"/>
      <c r="SUN30" s="101"/>
      <c r="SUO30" s="101"/>
      <c r="SUP30" s="101"/>
      <c r="SUQ30" s="101"/>
      <c r="SUR30" s="101"/>
      <c r="SUS30" s="101"/>
      <c r="SUT30" s="101"/>
      <c r="SUU30" s="101"/>
      <c r="SUV30" s="101"/>
      <c r="SUW30" s="101"/>
      <c r="SUX30" s="101"/>
      <c r="SUY30" s="101"/>
      <c r="SUZ30" s="101"/>
      <c r="SVA30" s="101"/>
      <c r="SVB30" s="101"/>
      <c r="SVC30" s="101"/>
      <c r="SVD30" s="101"/>
      <c r="SVE30" s="101"/>
      <c r="SVF30" s="101"/>
      <c r="SVG30" s="101"/>
      <c r="SVH30" s="101"/>
      <c r="SVI30" s="101"/>
      <c r="SVJ30" s="101"/>
      <c r="SVK30" s="101"/>
      <c r="SVL30" s="101"/>
      <c r="SVM30" s="101"/>
      <c r="SVN30" s="101"/>
      <c r="SVO30" s="101"/>
      <c r="SVP30" s="101"/>
      <c r="SVQ30" s="101"/>
      <c r="SVR30" s="101"/>
      <c r="SVS30" s="101"/>
      <c r="SVT30" s="101"/>
      <c r="SVU30" s="101"/>
      <c r="SVV30" s="101"/>
      <c r="SVW30" s="101"/>
      <c r="SVX30" s="101"/>
      <c r="SVY30" s="101"/>
      <c r="SVZ30" s="101"/>
      <c r="SWA30" s="101"/>
      <c r="SWB30" s="101"/>
      <c r="SWC30" s="101"/>
      <c r="SWD30" s="101"/>
      <c r="SWE30" s="101"/>
      <c r="SWF30" s="101"/>
      <c r="SWG30" s="101"/>
      <c r="SWH30" s="101"/>
      <c r="SWI30" s="101"/>
      <c r="SWJ30" s="101"/>
      <c r="SWK30" s="101"/>
      <c r="SWL30" s="101"/>
      <c r="SWM30" s="101"/>
      <c r="SWN30" s="101"/>
      <c r="SWO30" s="101"/>
      <c r="SWP30" s="101"/>
      <c r="SWQ30" s="101"/>
      <c r="SWR30" s="101"/>
      <c r="SWS30" s="101"/>
      <c r="SWT30" s="101"/>
      <c r="SWU30" s="101"/>
      <c r="SWV30" s="101"/>
      <c r="SWW30" s="101"/>
      <c r="SWX30" s="101"/>
      <c r="SWY30" s="101"/>
      <c r="SWZ30" s="101"/>
      <c r="SXA30" s="101"/>
      <c r="SXB30" s="101"/>
      <c r="SXC30" s="101"/>
      <c r="SXD30" s="101"/>
      <c r="SXE30" s="101"/>
      <c r="SXF30" s="101"/>
      <c r="SXG30" s="101"/>
      <c r="SXH30" s="101"/>
      <c r="SXI30" s="101"/>
      <c r="SXJ30" s="101"/>
      <c r="SXK30" s="101"/>
      <c r="SXL30" s="101"/>
      <c r="SXM30" s="101"/>
      <c r="SXN30" s="101"/>
      <c r="SXO30" s="101"/>
      <c r="SXP30" s="101"/>
      <c r="SXQ30" s="101"/>
      <c r="SXR30" s="101"/>
      <c r="SXS30" s="101"/>
      <c r="SXT30" s="101"/>
      <c r="SXU30" s="101"/>
      <c r="SXV30" s="101"/>
      <c r="SXW30" s="101"/>
      <c r="SXX30" s="101"/>
      <c r="SXY30" s="101"/>
      <c r="SXZ30" s="101"/>
      <c r="SYA30" s="101"/>
      <c r="SYB30" s="101"/>
      <c r="SYC30" s="101"/>
      <c r="SYD30" s="101"/>
      <c r="SYE30" s="101"/>
      <c r="SYF30" s="101"/>
      <c r="SYG30" s="101"/>
      <c r="SYH30" s="101"/>
      <c r="SYI30" s="101"/>
      <c r="SYJ30" s="101"/>
      <c r="SYK30" s="101"/>
      <c r="SYL30" s="101"/>
      <c r="SYM30" s="101"/>
      <c r="SYN30" s="101"/>
      <c r="SYO30" s="101"/>
      <c r="SYP30" s="101"/>
      <c r="SYQ30" s="101"/>
      <c r="SYR30" s="101"/>
      <c r="SYS30" s="101"/>
      <c r="SYT30" s="101"/>
      <c r="SYU30" s="101"/>
      <c r="SYV30" s="101"/>
      <c r="SYW30" s="101"/>
      <c r="SYX30" s="101"/>
      <c r="SYY30" s="101"/>
      <c r="SYZ30" s="101"/>
      <c r="SZA30" s="101"/>
      <c r="SZB30" s="101"/>
      <c r="SZC30" s="101"/>
      <c r="SZD30" s="101"/>
      <c r="SZE30" s="101"/>
      <c r="SZF30" s="101"/>
      <c r="SZG30" s="101"/>
      <c r="SZH30" s="101"/>
      <c r="SZI30" s="101"/>
      <c r="SZJ30" s="101"/>
      <c r="SZK30" s="101"/>
      <c r="SZL30" s="101"/>
      <c r="SZM30" s="101"/>
      <c r="SZN30" s="101"/>
      <c r="SZO30" s="101"/>
      <c r="SZP30" s="101"/>
      <c r="SZQ30" s="101"/>
      <c r="SZR30" s="101"/>
      <c r="SZS30" s="101"/>
      <c r="SZT30" s="101"/>
      <c r="SZU30" s="101"/>
      <c r="SZV30" s="101"/>
      <c r="SZW30" s="101"/>
      <c r="SZX30" s="101"/>
      <c r="SZY30" s="101"/>
      <c r="SZZ30" s="101"/>
      <c r="TAA30" s="101"/>
      <c r="TAB30" s="101"/>
      <c r="TAC30" s="101"/>
      <c r="TAD30" s="101"/>
      <c r="TAE30" s="101"/>
      <c r="TAF30" s="101"/>
      <c r="TAG30" s="101"/>
      <c r="TAH30" s="101"/>
      <c r="TAI30" s="101"/>
      <c r="TAJ30" s="101"/>
      <c r="TAK30" s="101"/>
      <c r="TAL30" s="101"/>
      <c r="TAM30" s="101"/>
      <c r="TAN30" s="101"/>
      <c r="TAO30" s="101"/>
      <c r="TAP30" s="101"/>
      <c r="TAQ30" s="101"/>
      <c r="TAR30" s="101"/>
      <c r="TAS30" s="101"/>
      <c r="TAT30" s="101"/>
      <c r="TAU30" s="101"/>
      <c r="TAV30" s="101"/>
      <c r="TAW30" s="101"/>
      <c r="TAX30" s="101"/>
      <c r="TAY30" s="101"/>
      <c r="TAZ30" s="101"/>
      <c r="TBA30" s="101"/>
      <c r="TBB30" s="101"/>
      <c r="TBC30" s="101"/>
      <c r="TBD30" s="101"/>
      <c r="TBE30" s="101"/>
      <c r="TBF30" s="101"/>
      <c r="TBG30" s="101"/>
      <c r="TBH30" s="101"/>
      <c r="TBI30" s="101"/>
      <c r="TBJ30" s="101"/>
      <c r="TBK30" s="101"/>
      <c r="TBL30" s="101"/>
      <c r="TBM30" s="101"/>
      <c r="TBN30" s="101"/>
      <c r="TBO30" s="101"/>
      <c r="TBP30" s="101"/>
      <c r="TBQ30" s="101"/>
      <c r="TBR30" s="101"/>
      <c r="TBS30" s="101"/>
      <c r="TBT30" s="101"/>
      <c r="TBU30" s="101"/>
      <c r="TBV30" s="101"/>
      <c r="TBW30" s="101"/>
      <c r="TBX30" s="101"/>
      <c r="TBY30" s="101"/>
      <c r="TBZ30" s="101"/>
      <c r="TCA30" s="101"/>
      <c r="TCB30" s="101"/>
      <c r="TCC30" s="101"/>
      <c r="TCD30" s="101"/>
      <c r="TCE30" s="101"/>
      <c r="TCF30" s="101"/>
      <c r="TCG30" s="101"/>
      <c r="TCH30" s="101"/>
      <c r="TCI30" s="101"/>
      <c r="TCJ30" s="101"/>
      <c r="TCK30" s="101"/>
      <c r="TCL30" s="101"/>
      <c r="TCM30" s="101"/>
      <c r="TCN30" s="101"/>
      <c r="TCO30" s="101"/>
      <c r="TCP30" s="101"/>
      <c r="TCQ30" s="101"/>
      <c r="TCR30" s="101"/>
      <c r="TCS30" s="101"/>
      <c r="TCT30" s="101"/>
      <c r="TCU30" s="101"/>
      <c r="TCV30" s="101"/>
      <c r="TCW30" s="101"/>
      <c r="TCX30" s="101"/>
      <c r="TCY30" s="101"/>
      <c r="TCZ30" s="101"/>
      <c r="TDA30" s="101"/>
      <c r="TDB30" s="101"/>
      <c r="TDC30" s="101"/>
      <c r="TDD30" s="101"/>
      <c r="TDE30" s="101"/>
      <c r="TDF30" s="101"/>
      <c r="TDG30" s="101"/>
      <c r="TDH30" s="101"/>
      <c r="TDI30" s="101"/>
      <c r="TDJ30" s="101"/>
      <c r="TDK30" s="101"/>
      <c r="TDL30" s="101"/>
      <c r="TDM30" s="101"/>
      <c r="TDN30" s="101"/>
      <c r="TDO30" s="101"/>
      <c r="TDP30" s="101"/>
      <c r="TDQ30" s="101"/>
      <c r="TDR30" s="101"/>
      <c r="TDS30" s="101"/>
      <c r="TDT30" s="101"/>
      <c r="TDU30" s="101"/>
      <c r="TDV30" s="101"/>
      <c r="TDW30" s="101"/>
      <c r="TDX30" s="101"/>
      <c r="TDY30" s="101"/>
      <c r="TDZ30" s="101"/>
      <c r="TEA30" s="101"/>
      <c r="TEB30" s="101"/>
      <c r="TEC30" s="101"/>
      <c r="TED30" s="101"/>
      <c r="TEE30" s="101"/>
      <c r="TEF30" s="101"/>
      <c r="TEG30" s="101"/>
      <c r="TEH30" s="101"/>
      <c r="TEI30" s="101"/>
      <c r="TEJ30" s="101"/>
      <c r="TEK30" s="101"/>
      <c r="TEL30" s="101"/>
      <c r="TEM30" s="101"/>
      <c r="TEN30" s="101"/>
      <c r="TEO30" s="101"/>
      <c r="TEP30" s="101"/>
      <c r="TEQ30" s="101"/>
      <c r="TER30" s="101"/>
      <c r="TES30" s="101"/>
      <c r="TET30" s="101"/>
      <c r="TEU30" s="101"/>
      <c r="TEV30" s="101"/>
      <c r="TEW30" s="101"/>
      <c r="TEX30" s="101"/>
      <c r="TEY30" s="101"/>
      <c r="TEZ30" s="101"/>
      <c r="TFA30" s="101"/>
      <c r="TFB30" s="101"/>
      <c r="TFC30" s="101"/>
      <c r="TFD30" s="101"/>
      <c r="TFE30" s="101"/>
      <c r="TFF30" s="101"/>
      <c r="TFG30" s="101"/>
      <c r="TFH30" s="101"/>
      <c r="TFI30" s="101"/>
      <c r="TFJ30" s="101"/>
      <c r="TFK30" s="101"/>
      <c r="TFL30" s="101"/>
      <c r="TFM30" s="101"/>
      <c r="TFN30" s="101"/>
      <c r="TFO30" s="101"/>
      <c r="TFP30" s="101"/>
      <c r="TFQ30" s="101"/>
      <c r="TFR30" s="101"/>
      <c r="TFS30" s="101"/>
      <c r="TFT30" s="101"/>
      <c r="TFU30" s="101"/>
      <c r="TFV30" s="101"/>
      <c r="TFW30" s="101"/>
      <c r="TFX30" s="101"/>
      <c r="TFY30" s="101"/>
      <c r="TFZ30" s="101"/>
      <c r="TGA30" s="101"/>
      <c r="TGB30" s="101"/>
      <c r="TGC30" s="101"/>
      <c r="TGD30" s="101"/>
      <c r="TGE30" s="101"/>
      <c r="TGF30" s="101"/>
      <c r="TGG30" s="101"/>
      <c r="TGH30" s="101"/>
      <c r="TGI30" s="101"/>
      <c r="TGJ30" s="101"/>
      <c r="TGK30" s="101"/>
      <c r="TGL30" s="101"/>
      <c r="TGM30" s="101"/>
      <c r="TGN30" s="101"/>
      <c r="TGO30" s="101"/>
      <c r="TGP30" s="101"/>
      <c r="TGQ30" s="101"/>
      <c r="TGR30" s="101"/>
      <c r="TGS30" s="101"/>
      <c r="TGT30" s="101"/>
      <c r="TGU30" s="101"/>
      <c r="TGV30" s="101"/>
      <c r="TGW30" s="101"/>
      <c r="TGX30" s="101"/>
      <c r="TGY30" s="101"/>
      <c r="TGZ30" s="101"/>
      <c r="THA30" s="101"/>
      <c r="THB30" s="101"/>
      <c r="THC30" s="101"/>
      <c r="THD30" s="101"/>
      <c r="THE30" s="101"/>
      <c r="THF30" s="101"/>
      <c r="THG30" s="101"/>
      <c r="THH30" s="101"/>
      <c r="THI30" s="101"/>
      <c r="THJ30" s="101"/>
      <c r="THK30" s="101"/>
      <c r="THL30" s="101"/>
      <c r="THM30" s="101"/>
      <c r="THN30" s="101"/>
      <c r="THO30" s="101"/>
      <c r="THP30" s="101"/>
      <c r="THQ30" s="101"/>
      <c r="THR30" s="101"/>
      <c r="THS30" s="101"/>
      <c r="THT30" s="101"/>
      <c r="THU30" s="101"/>
      <c r="THV30" s="101"/>
      <c r="THW30" s="101"/>
      <c r="THX30" s="101"/>
      <c r="THY30" s="101"/>
      <c r="THZ30" s="101"/>
      <c r="TIA30" s="101"/>
      <c r="TIB30" s="101"/>
      <c r="TIC30" s="101"/>
      <c r="TID30" s="101"/>
      <c r="TIE30" s="101"/>
      <c r="TIF30" s="101"/>
      <c r="TIG30" s="101"/>
      <c r="TIH30" s="101"/>
      <c r="TII30" s="101"/>
      <c r="TIJ30" s="101"/>
      <c r="TIK30" s="101"/>
      <c r="TIL30" s="101"/>
      <c r="TIM30" s="101"/>
      <c r="TIN30" s="101"/>
      <c r="TIO30" s="101"/>
      <c r="TIP30" s="101"/>
      <c r="TIQ30" s="101"/>
      <c r="TIR30" s="101"/>
      <c r="TIS30" s="101"/>
      <c r="TIT30" s="101"/>
      <c r="TIU30" s="101"/>
      <c r="TIV30" s="101"/>
      <c r="TIW30" s="101"/>
      <c r="TIX30" s="101"/>
      <c r="TIY30" s="101"/>
      <c r="TIZ30" s="101"/>
      <c r="TJA30" s="101"/>
      <c r="TJB30" s="101"/>
      <c r="TJC30" s="101"/>
      <c r="TJD30" s="101"/>
      <c r="TJE30" s="101"/>
      <c r="TJF30" s="101"/>
      <c r="TJG30" s="101"/>
      <c r="TJH30" s="101"/>
      <c r="TJI30" s="101"/>
      <c r="TJJ30" s="101"/>
      <c r="TJK30" s="101"/>
      <c r="TJL30" s="101"/>
      <c r="TJM30" s="101"/>
      <c r="TJN30" s="101"/>
      <c r="TJO30" s="101"/>
      <c r="TJP30" s="101"/>
      <c r="TJQ30" s="101"/>
      <c r="TJR30" s="101"/>
      <c r="TJS30" s="101"/>
      <c r="TJT30" s="101"/>
      <c r="TJU30" s="101"/>
      <c r="TJV30" s="101"/>
      <c r="TJW30" s="101"/>
      <c r="TJX30" s="101"/>
      <c r="TJY30" s="101"/>
      <c r="TJZ30" s="101"/>
      <c r="TKA30" s="101"/>
      <c r="TKB30" s="101"/>
      <c r="TKC30" s="101"/>
      <c r="TKD30" s="101"/>
      <c r="TKE30" s="101"/>
      <c r="TKF30" s="101"/>
      <c r="TKG30" s="101"/>
      <c r="TKH30" s="101"/>
      <c r="TKI30" s="101"/>
      <c r="TKJ30" s="101"/>
      <c r="TKK30" s="101"/>
      <c r="TKL30" s="101"/>
      <c r="TKM30" s="101"/>
      <c r="TKN30" s="101"/>
      <c r="TKO30" s="101"/>
      <c r="TKP30" s="101"/>
      <c r="TKQ30" s="101"/>
      <c r="TKR30" s="101"/>
      <c r="TKS30" s="101"/>
      <c r="TKT30" s="101"/>
      <c r="TKU30" s="101"/>
      <c r="TKV30" s="101"/>
      <c r="TKW30" s="101"/>
      <c r="TKX30" s="101"/>
      <c r="TKY30" s="101"/>
      <c r="TKZ30" s="101"/>
      <c r="TLA30" s="101"/>
      <c r="TLB30" s="101"/>
      <c r="TLC30" s="101"/>
      <c r="TLD30" s="101"/>
      <c r="TLE30" s="101"/>
      <c r="TLF30" s="101"/>
      <c r="TLG30" s="101"/>
      <c r="TLH30" s="101"/>
      <c r="TLI30" s="101"/>
      <c r="TLJ30" s="101"/>
      <c r="TLK30" s="101"/>
      <c r="TLL30" s="101"/>
      <c r="TLM30" s="101"/>
      <c r="TLN30" s="101"/>
      <c r="TLO30" s="101"/>
      <c r="TLP30" s="101"/>
      <c r="TLQ30" s="101"/>
      <c r="TLR30" s="101"/>
      <c r="TLS30" s="101"/>
      <c r="TLT30" s="101"/>
      <c r="TLU30" s="101"/>
      <c r="TLV30" s="101"/>
      <c r="TLW30" s="101"/>
      <c r="TLX30" s="101"/>
      <c r="TLY30" s="101"/>
      <c r="TLZ30" s="101"/>
      <c r="TMA30" s="101"/>
      <c r="TMB30" s="101"/>
      <c r="TMC30" s="101"/>
      <c r="TMD30" s="101"/>
      <c r="TME30" s="101"/>
      <c r="TMF30" s="101"/>
      <c r="TMG30" s="101"/>
      <c r="TMH30" s="101"/>
      <c r="TMI30" s="101"/>
      <c r="TMJ30" s="101"/>
      <c r="TMK30" s="101"/>
      <c r="TML30" s="101"/>
      <c r="TMM30" s="101"/>
      <c r="TMN30" s="101"/>
      <c r="TMO30" s="101"/>
      <c r="TMP30" s="101"/>
      <c r="TMQ30" s="101"/>
      <c r="TMR30" s="101"/>
      <c r="TMS30" s="101"/>
      <c r="TMT30" s="101"/>
      <c r="TMU30" s="101"/>
      <c r="TMV30" s="101"/>
      <c r="TMW30" s="101"/>
      <c r="TMX30" s="101"/>
      <c r="TMY30" s="101"/>
      <c r="TMZ30" s="101"/>
      <c r="TNA30" s="101"/>
      <c r="TNB30" s="101"/>
      <c r="TNC30" s="101"/>
      <c r="TND30" s="101"/>
      <c r="TNE30" s="101"/>
      <c r="TNF30" s="101"/>
      <c r="TNG30" s="101"/>
      <c r="TNH30" s="101"/>
      <c r="TNI30" s="101"/>
      <c r="TNJ30" s="101"/>
      <c r="TNK30" s="101"/>
      <c r="TNL30" s="101"/>
      <c r="TNM30" s="101"/>
      <c r="TNN30" s="101"/>
      <c r="TNO30" s="101"/>
      <c r="TNP30" s="101"/>
      <c r="TNQ30" s="101"/>
      <c r="TNR30" s="101"/>
      <c r="TNS30" s="101"/>
      <c r="TNT30" s="101"/>
      <c r="TNU30" s="101"/>
      <c r="TNV30" s="101"/>
      <c r="TNW30" s="101"/>
      <c r="TNX30" s="101"/>
      <c r="TNY30" s="101"/>
      <c r="TNZ30" s="101"/>
      <c r="TOA30" s="101"/>
      <c r="TOB30" s="101"/>
      <c r="TOC30" s="101"/>
      <c r="TOD30" s="101"/>
      <c r="TOE30" s="101"/>
      <c r="TOF30" s="101"/>
      <c r="TOG30" s="101"/>
      <c r="TOH30" s="101"/>
      <c r="TOI30" s="101"/>
      <c r="TOJ30" s="101"/>
      <c r="TOK30" s="101"/>
      <c r="TOL30" s="101"/>
      <c r="TOM30" s="101"/>
      <c r="TON30" s="101"/>
      <c r="TOO30" s="101"/>
      <c r="TOP30" s="101"/>
      <c r="TOQ30" s="101"/>
      <c r="TOR30" s="101"/>
      <c r="TOS30" s="101"/>
      <c r="TOT30" s="101"/>
      <c r="TOU30" s="101"/>
      <c r="TOV30" s="101"/>
      <c r="TOW30" s="101"/>
      <c r="TOX30" s="101"/>
      <c r="TOY30" s="101"/>
      <c r="TOZ30" s="101"/>
      <c r="TPA30" s="101"/>
      <c r="TPB30" s="101"/>
      <c r="TPC30" s="101"/>
      <c r="TPD30" s="101"/>
      <c r="TPE30" s="101"/>
      <c r="TPF30" s="101"/>
      <c r="TPG30" s="101"/>
      <c r="TPH30" s="101"/>
      <c r="TPI30" s="101"/>
      <c r="TPJ30" s="101"/>
      <c r="TPK30" s="101"/>
      <c r="TPL30" s="101"/>
      <c r="TPM30" s="101"/>
      <c r="TPN30" s="101"/>
      <c r="TPO30" s="101"/>
      <c r="TPP30" s="101"/>
      <c r="TPQ30" s="101"/>
      <c r="TPR30" s="101"/>
      <c r="TPS30" s="101"/>
      <c r="TPT30" s="101"/>
      <c r="TPU30" s="101"/>
      <c r="TPV30" s="101"/>
      <c r="TPW30" s="101"/>
      <c r="TPX30" s="101"/>
      <c r="TPY30" s="101"/>
      <c r="TPZ30" s="101"/>
      <c r="TQA30" s="101"/>
      <c r="TQB30" s="101"/>
      <c r="TQC30" s="101"/>
      <c r="TQD30" s="101"/>
      <c r="TQE30" s="101"/>
      <c r="TQF30" s="101"/>
      <c r="TQG30" s="101"/>
      <c r="TQH30" s="101"/>
      <c r="TQI30" s="101"/>
      <c r="TQJ30" s="101"/>
      <c r="TQK30" s="101"/>
      <c r="TQL30" s="101"/>
      <c r="TQM30" s="101"/>
      <c r="TQN30" s="101"/>
      <c r="TQO30" s="101"/>
      <c r="TQP30" s="101"/>
      <c r="TQQ30" s="101"/>
      <c r="TQR30" s="101"/>
      <c r="TQS30" s="101"/>
      <c r="TQT30" s="101"/>
      <c r="TQU30" s="101"/>
      <c r="TQV30" s="101"/>
      <c r="TQW30" s="101"/>
      <c r="TQX30" s="101"/>
      <c r="TQY30" s="101"/>
      <c r="TQZ30" s="101"/>
      <c r="TRA30" s="101"/>
      <c r="TRB30" s="101"/>
      <c r="TRC30" s="101"/>
      <c r="TRD30" s="101"/>
      <c r="TRE30" s="101"/>
      <c r="TRF30" s="101"/>
      <c r="TRG30" s="101"/>
      <c r="TRH30" s="101"/>
      <c r="TRI30" s="101"/>
      <c r="TRJ30" s="101"/>
      <c r="TRK30" s="101"/>
      <c r="TRL30" s="101"/>
      <c r="TRM30" s="101"/>
      <c r="TRN30" s="101"/>
      <c r="TRO30" s="101"/>
      <c r="TRP30" s="101"/>
      <c r="TRQ30" s="101"/>
      <c r="TRR30" s="101"/>
      <c r="TRS30" s="101"/>
      <c r="TRT30" s="101"/>
      <c r="TRU30" s="101"/>
      <c r="TRV30" s="101"/>
      <c r="TRW30" s="101"/>
      <c r="TRX30" s="101"/>
      <c r="TRY30" s="101"/>
      <c r="TRZ30" s="101"/>
      <c r="TSA30" s="101"/>
      <c r="TSB30" s="101"/>
      <c r="TSC30" s="101"/>
      <c r="TSD30" s="101"/>
      <c r="TSE30" s="101"/>
      <c r="TSF30" s="101"/>
      <c r="TSG30" s="101"/>
      <c r="TSH30" s="101"/>
      <c r="TSI30" s="101"/>
      <c r="TSJ30" s="101"/>
      <c r="TSK30" s="101"/>
      <c r="TSL30" s="101"/>
      <c r="TSM30" s="101"/>
      <c r="TSN30" s="101"/>
      <c r="TSO30" s="101"/>
      <c r="TSP30" s="101"/>
      <c r="TSQ30" s="101"/>
      <c r="TSR30" s="101"/>
      <c r="TSS30" s="101"/>
      <c r="TST30" s="101"/>
      <c r="TSU30" s="101"/>
      <c r="TSV30" s="101"/>
      <c r="TSW30" s="101"/>
      <c r="TSX30" s="101"/>
      <c r="TSY30" s="101"/>
      <c r="TSZ30" s="101"/>
      <c r="TTA30" s="101"/>
      <c r="TTB30" s="101"/>
      <c r="TTC30" s="101"/>
      <c r="TTD30" s="101"/>
      <c r="TTE30" s="101"/>
      <c r="TTF30" s="101"/>
      <c r="TTG30" s="101"/>
      <c r="TTH30" s="101"/>
      <c r="TTI30" s="101"/>
      <c r="TTJ30" s="101"/>
      <c r="TTK30" s="101"/>
      <c r="TTL30" s="101"/>
      <c r="TTM30" s="101"/>
      <c r="TTN30" s="101"/>
      <c r="TTO30" s="101"/>
      <c r="TTP30" s="101"/>
      <c r="TTQ30" s="101"/>
      <c r="TTR30" s="101"/>
      <c r="TTS30" s="101"/>
      <c r="TTT30" s="101"/>
      <c r="TTU30" s="101"/>
      <c r="TTV30" s="101"/>
      <c r="TTW30" s="101"/>
      <c r="TTX30" s="101"/>
      <c r="TTY30" s="101"/>
      <c r="TTZ30" s="101"/>
      <c r="TUA30" s="101"/>
      <c r="TUB30" s="101"/>
      <c r="TUC30" s="101"/>
      <c r="TUD30" s="101"/>
      <c r="TUE30" s="101"/>
      <c r="TUF30" s="101"/>
      <c r="TUG30" s="101"/>
      <c r="TUH30" s="101"/>
      <c r="TUI30" s="101"/>
      <c r="TUJ30" s="101"/>
      <c r="TUK30" s="101"/>
      <c r="TUL30" s="101"/>
      <c r="TUM30" s="101"/>
      <c r="TUN30" s="101"/>
      <c r="TUO30" s="101"/>
      <c r="TUP30" s="101"/>
      <c r="TUQ30" s="101"/>
      <c r="TUR30" s="101"/>
      <c r="TUS30" s="101"/>
      <c r="TUT30" s="101"/>
      <c r="TUU30" s="101"/>
      <c r="TUV30" s="101"/>
      <c r="TUW30" s="101"/>
      <c r="TUX30" s="101"/>
      <c r="TUY30" s="101"/>
      <c r="TUZ30" s="101"/>
      <c r="TVA30" s="101"/>
      <c r="TVB30" s="101"/>
      <c r="TVC30" s="101"/>
      <c r="TVD30" s="101"/>
      <c r="TVE30" s="101"/>
      <c r="TVF30" s="101"/>
      <c r="TVG30" s="101"/>
      <c r="TVH30" s="101"/>
      <c r="TVI30" s="101"/>
      <c r="TVJ30" s="101"/>
      <c r="TVK30" s="101"/>
      <c r="TVL30" s="101"/>
      <c r="TVM30" s="101"/>
      <c r="TVN30" s="101"/>
      <c r="TVO30" s="101"/>
      <c r="TVP30" s="101"/>
      <c r="TVQ30" s="101"/>
      <c r="TVR30" s="101"/>
      <c r="TVS30" s="101"/>
      <c r="TVT30" s="101"/>
      <c r="TVU30" s="101"/>
      <c r="TVV30" s="101"/>
      <c r="TVW30" s="101"/>
      <c r="TVX30" s="101"/>
      <c r="TVY30" s="101"/>
      <c r="TVZ30" s="101"/>
      <c r="TWA30" s="101"/>
      <c r="TWB30" s="101"/>
      <c r="TWC30" s="101"/>
      <c r="TWD30" s="101"/>
      <c r="TWE30" s="101"/>
      <c r="TWF30" s="101"/>
      <c r="TWG30" s="101"/>
      <c r="TWH30" s="101"/>
      <c r="TWI30" s="101"/>
      <c r="TWJ30" s="101"/>
      <c r="TWK30" s="101"/>
      <c r="TWL30" s="101"/>
      <c r="TWM30" s="101"/>
      <c r="TWN30" s="101"/>
      <c r="TWO30" s="101"/>
      <c r="TWP30" s="101"/>
      <c r="TWQ30" s="101"/>
      <c r="TWR30" s="101"/>
      <c r="TWS30" s="101"/>
      <c r="TWT30" s="101"/>
      <c r="TWU30" s="101"/>
      <c r="TWV30" s="101"/>
      <c r="TWW30" s="101"/>
      <c r="TWX30" s="101"/>
      <c r="TWY30" s="101"/>
      <c r="TWZ30" s="101"/>
      <c r="TXA30" s="101"/>
      <c r="TXB30" s="101"/>
      <c r="TXC30" s="101"/>
      <c r="TXD30" s="101"/>
      <c r="TXE30" s="101"/>
      <c r="TXF30" s="101"/>
      <c r="TXG30" s="101"/>
      <c r="TXH30" s="101"/>
      <c r="TXI30" s="101"/>
      <c r="TXJ30" s="101"/>
      <c r="TXK30" s="101"/>
      <c r="TXL30" s="101"/>
      <c r="TXM30" s="101"/>
      <c r="TXN30" s="101"/>
      <c r="TXO30" s="101"/>
      <c r="TXP30" s="101"/>
      <c r="TXQ30" s="101"/>
      <c r="TXR30" s="101"/>
      <c r="TXS30" s="101"/>
      <c r="TXT30" s="101"/>
      <c r="TXU30" s="101"/>
      <c r="TXV30" s="101"/>
      <c r="TXW30" s="101"/>
      <c r="TXX30" s="101"/>
      <c r="TXY30" s="101"/>
      <c r="TXZ30" s="101"/>
      <c r="TYA30" s="101"/>
      <c r="TYB30" s="101"/>
      <c r="TYC30" s="101"/>
      <c r="TYD30" s="101"/>
      <c r="TYE30" s="101"/>
      <c r="TYF30" s="101"/>
      <c r="TYG30" s="101"/>
      <c r="TYH30" s="101"/>
      <c r="TYI30" s="101"/>
      <c r="TYJ30" s="101"/>
      <c r="TYK30" s="101"/>
      <c r="TYL30" s="101"/>
      <c r="TYM30" s="101"/>
      <c r="TYN30" s="101"/>
      <c r="TYO30" s="101"/>
      <c r="TYP30" s="101"/>
      <c r="TYQ30" s="101"/>
      <c r="TYR30" s="101"/>
      <c r="TYS30" s="101"/>
      <c r="TYT30" s="101"/>
      <c r="TYU30" s="101"/>
      <c r="TYV30" s="101"/>
      <c r="TYW30" s="101"/>
      <c r="TYX30" s="101"/>
      <c r="TYY30" s="101"/>
      <c r="TYZ30" s="101"/>
      <c r="TZA30" s="101"/>
      <c r="TZB30" s="101"/>
      <c r="TZC30" s="101"/>
      <c r="TZD30" s="101"/>
      <c r="TZE30" s="101"/>
      <c r="TZF30" s="101"/>
      <c r="TZG30" s="101"/>
      <c r="TZH30" s="101"/>
      <c r="TZI30" s="101"/>
      <c r="TZJ30" s="101"/>
      <c r="TZK30" s="101"/>
      <c r="TZL30" s="101"/>
      <c r="TZM30" s="101"/>
      <c r="TZN30" s="101"/>
      <c r="TZO30" s="101"/>
      <c r="TZP30" s="101"/>
      <c r="TZQ30" s="101"/>
      <c r="TZR30" s="101"/>
      <c r="TZS30" s="101"/>
      <c r="TZT30" s="101"/>
      <c r="TZU30" s="101"/>
      <c r="TZV30" s="101"/>
      <c r="TZW30" s="101"/>
      <c r="TZX30" s="101"/>
      <c r="TZY30" s="101"/>
      <c r="TZZ30" s="101"/>
      <c r="UAA30" s="101"/>
      <c r="UAB30" s="101"/>
      <c r="UAC30" s="101"/>
      <c r="UAD30" s="101"/>
      <c r="UAE30" s="101"/>
      <c r="UAF30" s="101"/>
      <c r="UAG30" s="101"/>
      <c r="UAH30" s="101"/>
      <c r="UAI30" s="101"/>
      <c r="UAJ30" s="101"/>
      <c r="UAK30" s="101"/>
      <c r="UAL30" s="101"/>
      <c r="UAM30" s="101"/>
      <c r="UAN30" s="101"/>
      <c r="UAO30" s="101"/>
      <c r="UAP30" s="101"/>
      <c r="UAQ30" s="101"/>
      <c r="UAR30" s="101"/>
      <c r="UAS30" s="101"/>
      <c r="UAT30" s="101"/>
      <c r="UAU30" s="101"/>
      <c r="UAV30" s="101"/>
      <c r="UAW30" s="101"/>
      <c r="UAX30" s="101"/>
      <c r="UAY30" s="101"/>
      <c r="UAZ30" s="101"/>
      <c r="UBA30" s="101"/>
      <c r="UBB30" s="101"/>
      <c r="UBC30" s="101"/>
      <c r="UBD30" s="101"/>
      <c r="UBE30" s="101"/>
      <c r="UBF30" s="101"/>
      <c r="UBG30" s="101"/>
      <c r="UBH30" s="101"/>
      <c r="UBI30" s="101"/>
      <c r="UBJ30" s="101"/>
      <c r="UBK30" s="101"/>
      <c r="UBL30" s="101"/>
      <c r="UBM30" s="101"/>
      <c r="UBN30" s="101"/>
      <c r="UBO30" s="101"/>
      <c r="UBP30" s="101"/>
      <c r="UBQ30" s="101"/>
      <c r="UBR30" s="101"/>
      <c r="UBS30" s="101"/>
      <c r="UBT30" s="101"/>
      <c r="UBU30" s="101"/>
      <c r="UBV30" s="101"/>
      <c r="UBW30" s="101"/>
      <c r="UBX30" s="101"/>
      <c r="UBY30" s="101"/>
      <c r="UBZ30" s="101"/>
      <c r="UCA30" s="101"/>
      <c r="UCB30" s="101"/>
      <c r="UCC30" s="101"/>
      <c r="UCD30" s="101"/>
      <c r="UCE30" s="101"/>
      <c r="UCF30" s="101"/>
      <c r="UCG30" s="101"/>
      <c r="UCH30" s="101"/>
      <c r="UCI30" s="101"/>
      <c r="UCJ30" s="101"/>
      <c r="UCK30" s="101"/>
      <c r="UCL30" s="101"/>
      <c r="UCM30" s="101"/>
      <c r="UCN30" s="101"/>
      <c r="UCO30" s="101"/>
      <c r="UCP30" s="101"/>
      <c r="UCQ30" s="101"/>
      <c r="UCR30" s="101"/>
      <c r="UCS30" s="101"/>
      <c r="UCT30" s="101"/>
      <c r="UCU30" s="101"/>
      <c r="UCV30" s="101"/>
      <c r="UCW30" s="101"/>
      <c r="UCX30" s="101"/>
      <c r="UCY30" s="101"/>
      <c r="UCZ30" s="101"/>
      <c r="UDA30" s="101"/>
      <c r="UDB30" s="101"/>
      <c r="UDC30" s="101"/>
      <c r="UDD30" s="101"/>
      <c r="UDE30" s="101"/>
      <c r="UDF30" s="101"/>
      <c r="UDG30" s="101"/>
      <c r="UDH30" s="101"/>
      <c r="UDI30" s="101"/>
      <c r="UDJ30" s="101"/>
      <c r="UDK30" s="101"/>
      <c r="UDL30" s="101"/>
      <c r="UDM30" s="101"/>
      <c r="UDN30" s="101"/>
      <c r="UDO30" s="101"/>
      <c r="UDP30" s="101"/>
      <c r="UDQ30" s="101"/>
      <c r="UDR30" s="101"/>
      <c r="UDS30" s="101"/>
      <c r="UDT30" s="101"/>
      <c r="UDU30" s="101"/>
      <c r="UDV30" s="101"/>
      <c r="UDW30" s="101"/>
      <c r="UDX30" s="101"/>
      <c r="UDY30" s="101"/>
      <c r="UDZ30" s="101"/>
      <c r="UEA30" s="101"/>
      <c r="UEB30" s="101"/>
      <c r="UEC30" s="101"/>
      <c r="UED30" s="101"/>
      <c r="UEE30" s="101"/>
      <c r="UEF30" s="101"/>
      <c r="UEG30" s="101"/>
      <c r="UEH30" s="101"/>
      <c r="UEI30" s="101"/>
      <c r="UEJ30" s="101"/>
      <c r="UEK30" s="101"/>
      <c r="UEL30" s="101"/>
      <c r="UEM30" s="101"/>
      <c r="UEN30" s="101"/>
      <c r="UEO30" s="101"/>
      <c r="UEP30" s="101"/>
      <c r="UEQ30" s="101"/>
      <c r="UER30" s="101"/>
      <c r="UES30" s="101"/>
      <c r="UET30" s="101"/>
      <c r="UEU30" s="101"/>
      <c r="UEV30" s="101"/>
      <c r="UEW30" s="101"/>
      <c r="UEX30" s="101"/>
      <c r="UEY30" s="101"/>
      <c r="UEZ30" s="101"/>
      <c r="UFA30" s="101"/>
      <c r="UFB30" s="101"/>
      <c r="UFC30" s="101"/>
      <c r="UFD30" s="101"/>
      <c r="UFE30" s="101"/>
      <c r="UFF30" s="101"/>
      <c r="UFG30" s="101"/>
      <c r="UFH30" s="101"/>
      <c r="UFI30" s="101"/>
      <c r="UFJ30" s="101"/>
      <c r="UFK30" s="101"/>
      <c r="UFL30" s="101"/>
      <c r="UFM30" s="101"/>
      <c r="UFN30" s="101"/>
      <c r="UFO30" s="101"/>
      <c r="UFP30" s="101"/>
      <c r="UFQ30" s="101"/>
      <c r="UFR30" s="101"/>
      <c r="UFS30" s="101"/>
      <c r="UFT30" s="101"/>
      <c r="UFU30" s="101"/>
      <c r="UFV30" s="101"/>
      <c r="UFW30" s="101"/>
      <c r="UFX30" s="101"/>
      <c r="UFY30" s="101"/>
      <c r="UFZ30" s="101"/>
      <c r="UGA30" s="101"/>
      <c r="UGB30" s="101"/>
      <c r="UGC30" s="101"/>
      <c r="UGD30" s="101"/>
      <c r="UGE30" s="101"/>
      <c r="UGF30" s="101"/>
      <c r="UGG30" s="101"/>
      <c r="UGH30" s="101"/>
      <c r="UGI30" s="101"/>
      <c r="UGJ30" s="101"/>
      <c r="UGK30" s="101"/>
      <c r="UGL30" s="101"/>
      <c r="UGM30" s="101"/>
      <c r="UGN30" s="101"/>
      <c r="UGO30" s="101"/>
      <c r="UGP30" s="101"/>
      <c r="UGQ30" s="101"/>
      <c r="UGR30" s="101"/>
      <c r="UGS30" s="101"/>
      <c r="UGT30" s="101"/>
      <c r="UGU30" s="101"/>
      <c r="UGV30" s="101"/>
      <c r="UGW30" s="101"/>
      <c r="UGX30" s="101"/>
      <c r="UGY30" s="101"/>
      <c r="UGZ30" s="101"/>
      <c r="UHA30" s="101"/>
      <c r="UHB30" s="101"/>
      <c r="UHC30" s="101"/>
      <c r="UHD30" s="101"/>
      <c r="UHE30" s="101"/>
      <c r="UHF30" s="101"/>
      <c r="UHG30" s="101"/>
      <c r="UHH30" s="101"/>
      <c r="UHI30" s="101"/>
      <c r="UHJ30" s="101"/>
      <c r="UHK30" s="101"/>
      <c r="UHL30" s="101"/>
      <c r="UHM30" s="101"/>
      <c r="UHN30" s="101"/>
      <c r="UHO30" s="101"/>
      <c r="UHP30" s="101"/>
      <c r="UHQ30" s="101"/>
      <c r="UHR30" s="101"/>
      <c r="UHS30" s="101"/>
      <c r="UHT30" s="101"/>
      <c r="UHU30" s="101"/>
      <c r="UHV30" s="101"/>
      <c r="UHW30" s="101"/>
      <c r="UHX30" s="101"/>
      <c r="UHY30" s="101"/>
      <c r="UHZ30" s="101"/>
      <c r="UIA30" s="101"/>
      <c r="UIB30" s="101"/>
      <c r="UIC30" s="101"/>
      <c r="UID30" s="101"/>
      <c r="UIE30" s="101"/>
      <c r="UIF30" s="101"/>
      <c r="UIG30" s="101"/>
      <c r="UIH30" s="101"/>
      <c r="UII30" s="101"/>
      <c r="UIJ30" s="101"/>
      <c r="UIK30" s="101"/>
      <c r="UIL30" s="101"/>
      <c r="UIM30" s="101"/>
      <c r="UIN30" s="101"/>
      <c r="UIO30" s="101"/>
      <c r="UIP30" s="101"/>
      <c r="UIQ30" s="101"/>
      <c r="UIR30" s="101"/>
      <c r="UIS30" s="101"/>
      <c r="UIT30" s="101"/>
      <c r="UIU30" s="101"/>
      <c r="UIV30" s="101"/>
      <c r="UIW30" s="101"/>
      <c r="UIX30" s="101"/>
      <c r="UIY30" s="101"/>
      <c r="UIZ30" s="101"/>
      <c r="UJA30" s="101"/>
      <c r="UJB30" s="101"/>
      <c r="UJC30" s="101"/>
      <c r="UJD30" s="101"/>
      <c r="UJE30" s="101"/>
      <c r="UJF30" s="101"/>
      <c r="UJG30" s="101"/>
      <c r="UJH30" s="101"/>
      <c r="UJI30" s="101"/>
      <c r="UJJ30" s="101"/>
      <c r="UJK30" s="101"/>
      <c r="UJL30" s="101"/>
      <c r="UJM30" s="101"/>
      <c r="UJN30" s="101"/>
      <c r="UJO30" s="101"/>
      <c r="UJP30" s="101"/>
      <c r="UJQ30" s="101"/>
      <c r="UJR30" s="101"/>
      <c r="UJS30" s="101"/>
      <c r="UJT30" s="101"/>
      <c r="UJU30" s="101"/>
      <c r="UJV30" s="101"/>
      <c r="UJW30" s="101"/>
      <c r="UJX30" s="101"/>
      <c r="UJY30" s="101"/>
      <c r="UJZ30" s="101"/>
      <c r="UKA30" s="101"/>
      <c r="UKB30" s="101"/>
      <c r="UKC30" s="101"/>
      <c r="UKD30" s="101"/>
      <c r="UKE30" s="101"/>
      <c r="UKF30" s="101"/>
      <c r="UKG30" s="101"/>
      <c r="UKH30" s="101"/>
      <c r="UKI30" s="101"/>
      <c r="UKJ30" s="101"/>
      <c r="UKK30" s="101"/>
      <c r="UKL30" s="101"/>
      <c r="UKM30" s="101"/>
      <c r="UKN30" s="101"/>
      <c r="UKO30" s="101"/>
      <c r="UKP30" s="101"/>
      <c r="UKQ30" s="101"/>
      <c r="UKR30" s="101"/>
      <c r="UKS30" s="101"/>
      <c r="UKT30" s="101"/>
      <c r="UKU30" s="101"/>
      <c r="UKV30" s="101"/>
      <c r="UKW30" s="101"/>
      <c r="UKX30" s="101"/>
      <c r="UKY30" s="101"/>
      <c r="UKZ30" s="101"/>
      <c r="ULA30" s="101"/>
      <c r="ULB30" s="101"/>
      <c r="ULC30" s="101"/>
      <c r="ULD30" s="101"/>
      <c r="ULE30" s="101"/>
      <c r="ULF30" s="101"/>
      <c r="ULG30" s="101"/>
      <c r="ULH30" s="101"/>
      <c r="ULI30" s="101"/>
      <c r="ULJ30" s="101"/>
      <c r="ULK30" s="101"/>
      <c r="ULL30" s="101"/>
      <c r="ULM30" s="101"/>
      <c r="ULN30" s="101"/>
      <c r="ULO30" s="101"/>
      <c r="ULP30" s="101"/>
      <c r="ULQ30" s="101"/>
      <c r="ULR30" s="101"/>
      <c r="ULS30" s="101"/>
      <c r="ULT30" s="101"/>
      <c r="ULU30" s="101"/>
      <c r="ULV30" s="101"/>
      <c r="ULW30" s="101"/>
      <c r="ULX30" s="101"/>
      <c r="ULY30" s="101"/>
      <c r="ULZ30" s="101"/>
      <c r="UMA30" s="101"/>
      <c r="UMB30" s="101"/>
      <c r="UMC30" s="101"/>
      <c r="UMD30" s="101"/>
      <c r="UME30" s="101"/>
      <c r="UMF30" s="101"/>
      <c r="UMG30" s="101"/>
      <c r="UMH30" s="101"/>
      <c r="UMI30" s="101"/>
      <c r="UMJ30" s="101"/>
      <c r="UMK30" s="101"/>
      <c r="UML30" s="101"/>
      <c r="UMM30" s="101"/>
      <c r="UMN30" s="101"/>
      <c r="UMO30" s="101"/>
      <c r="UMP30" s="101"/>
      <c r="UMQ30" s="101"/>
      <c r="UMR30" s="101"/>
      <c r="UMS30" s="101"/>
      <c r="UMT30" s="101"/>
      <c r="UMU30" s="101"/>
      <c r="UMV30" s="101"/>
      <c r="UMW30" s="101"/>
      <c r="UMX30" s="101"/>
      <c r="UMY30" s="101"/>
      <c r="UMZ30" s="101"/>
      <c r="UNA30" s="101"/>
      <c r="UNB30" s="101"/>
      <c r="UNC30" s="101"/>
      <c r="UND30" s="101"/>
      <c r="UNE30" s="101"/>
      <c r="UNF30" s="101"/>
      <c r="UNG30" s="101"/>
      <c r="UNH30" s="101"/>
      <c r="UNI30" s="101"/>
      <c r="UNJ30" s="101"/>
      <c r="UNK30" s="101"/>
      <c r="UNL30" s="101"/>
      <c r="UNM30" s="101"/>
      <c r="UNN30" s="101"/>
      <c r="UNO30" s="101"/>
      <c r="UNP30" s="101"/>
      <c r="UNQ30" s="101"/>
      <c r="UNR30" s="101"/>
      <c r="UNS30" s="101"/>
      <c r="UNT30" s="101"/>
      <c r="UNU30" s="101"/>
      <c r="UNV30" s="101"/>
      <c r="UNW30" s="101"/>
      <c r="UNX30" s="101"/>
      <c r="UNY30" s="101"/>
      <c r="UNZ30" s="101"/>
      <c r="UOA30" s="101"/>
      <c r="UOB30" s="101"/>
      <c r="UOC30" s="101"/>
      <c r="UOD30" s="101"/>
      <c r="UOE30" s="101"/>
      <c r="UOF30" s="101"/>
      <c r="UOG30" s="101"/>
      <c r="UOH30" s="101"/>
      <c r="UOI30" s="101"/>
      <c r="UOJ30" s="101"/>
      <c r="UOK30" s="101"/>
      <c r="UOL30" s="101"/>
      <c r="UOM30" s="101"/>
      <c r="UON30" s="101"/>
      <c r="UOO30" s="101"/>
      <c r="UOP30" s="101"/>
      <c r="UOQ30" s="101"/>
      <c r="UOR30" s="101"/>
      <c r="UOS30" s="101"/>
      <c r="UOT30" s="101"/>
      <c r="UOU30" s="101"/>
      <c r="UOV30" s="101"/>
      <c r="UOW30" s="101"/>
      <c r="UOX30" s="101"/>
      <c r="UOY30" s="101"/>
      <c r="UOZ30" s="101"/>
      <c r="UPA30" s="101"/>
      <c r="UPB30" s="101"/>
      <c r="UPC30" s="101"/>
      <c r="UPD30" s="101"/>
      <c r="UPE30" s="101"/>
      <c r="UPF30" s="101"/>
      <c r="UPG30" s="101"/>
      <c r="UPH30" s="101"/>
      <c r="UPI30" s="101"/>
      <c r="UPJ30" s="101"/>
      <c r="UPK30" s="101"/>
      <c r="UPL30" s="101"/>
      <c r="UPM30" s="101"/>
      <c r="UPN30" s="101"/>
      <c r="UPO30" s="101"/>
      <c r="UPP30" s="101"/>
      <c r="UPQ30" s="101"/>
      <c r="UPR30" s="101"/>
      <c r="UPS30" s="101"/>
      <c r="UPT30" s="101"/>
      <c r="UPU30" s="101"/>
      <c r="UPV30" s="101"/>
      <c r="UPW30" s="101"/>
      <c r="UPX30" s="101"/>
      <c r="UPY30" s="101"/>
      <c r="UPZ30" s="101"/>
      <c r="UQA30" s="101"/>
      <c r="UQB30" s="101"/>
      <c r="UQC30" s="101"/>
      <c r="UQD30" s="101"/>
      <c r="UQE30" s="101"/>
      <c r="UQF30" s="101"/>
      <c r="UQG30" s="101"/>
      <c r="UQH30" s="101"/>
      <c r="UQI30" s="101"/>
      <c r="UQJ30" s="101"/>
      <c r="UQK30" s="101"/>
      <c r="UQL30" s="101"/>
      <c r="UQM30" s="101"/>
      <c r="UQN30" s="101"/>
      <c r="UQO30" s="101"/>
      <c r="UQP30" s="101"/>
      <c r="UQQ30" s="101"/>
      <c r="UQR30" s="101"/>
      <c r="UQS30" s="101"/>
      <c r="UQT30" s="101"/>
      <c r="UQU30" s="101"/>
      <c r="UQV30" s="101"/>
      <c r="UQW30" s="101"/>
      <c r="UQX30" s="101"/>
      <c r="UQY30" s="101"/>
      <c r="UQZ30" s="101"/>
      <c r="URA30" s="101"/>
      <c r="URB30" s="101"/>
      <c r="URC30" s="101"/>
      <c r="URD30" s="101"/>
      <c r="URE30" s="101"/>
      <c r="URF30" s="101"/>
      <c r="URG30" s="101"/>
      <c r="URH30" s="101"/>
      <c r="URI30" s="101"/>
      <c r="URJ30" s="101"/>
      <c r="URK30" s="101"/>
      <c r="URL30" s="101"/>
      <c r="URM30" s="101"/>
      <c r="URN30" s="101"/>
      <c r="URO30" s="101"/>
      <c r="URP30" s="101"/>
      <c r="URQ30" s="101"/>
      <c r="URR30" s="101"/>
      <c r="URS30" s="101"/>
      <c r="URT30" s="101"/>
      <c r="URU30" s="101"/>
      <c r="URV30" s="101"/>
      <c r="URW30" s="101"/>
      <c r="URX30" s="101"/>
      <c r="URY30" s="101"/>
      <c r="URZ30" s="101"/>
      <c r="USA30" s="101"/>
      <c r="USB30" s="101"/>
      <c r="USC30" s="101"/>
      <c r="USD30" s="101"/>
      <c r="USE30" s="101"/>
      <c r="USF30" s="101"/>
      <c r="USG30" s="101"/>
      <c r="USH30" s="101"/>
      <c r="USI30" s="101"/>
      <c r="USJ30" s="101"/>
      <c r="USK30" s="101"/>
      <c r="USL30" s="101"/>
      <c r="USM30" s="101"/>
      <c r="USN30" s="101"/>
      <c r="USO30" s="101"/>
      <c r="USP30" s="101"/>
      <c r="USQ30" s="101"/>
      <c r="USR30" s="101"/>
      <c r="USS30" s="101"/>
      <c r="UST30" s="101"/>
      <c r="USU30" s="101"/>
      <c r="USV30" s="101"/>
      <c r="USW30" s="101"/>
      <c r="USX30" s="101"/>
      <c r="USY30" s="101"/>
      <c r="USZ30" s="101"/>
      <c r="UTA30" s="101"/>
      <c r="UTB30" s="101"/>
      <c r="UTC30" s="101"/>
      <c r="UTD30" s="101"/>
      <c r="UTE30" s="101"/>
      <c r="UTF30" s="101"/>
      <c r="UTG30" s="101"/>
      <c r="UTH30" s="101"/>
      <c r="UTI30" s="101"/>
      <c r="UTJ30" s="101"/>
      <c r="UTK30" s="101"/>
      <c r="UTL30" s="101"/>
      <c r="UTM30" s="101"/>
      <c r="UTN30" s="101"/>
      <c r="UTO30" s="101"/>
      <c r="UTP30" s="101"/>
      <c r="UTQ30" s="101"/>
      <c r="UTR30" s="101"/>
      <c r="UTS30" s="101"/>
      <c r="UTT30" s="101"/>
      <c r="UTU30" s="101"/>
      <c r="UTV30" s="101"/>
      <c r="UTW30" s="101"/>
      <c r="UTX30" s="101"/>
      <c r="UTY30" s="101"/>
      <c r="UTZ30" s="101"/>
      <c r="UUA30" s="101"/>
      <c r="UUB30" s="101"/>
      <c r="UUC30" s="101"/>
      <c r="UUD30" s="101"/>
      <c r="UUE30" s="101"/>
      <c r="UUF30" s="101"/>
      <c r="UUG30" s="101"/>
      <c r="UUH30" s="101"/>
      <c r="UUI30" s="101"/>
      <c r="UUJ30" s="101"/>
      <c r="UUK30" s="101"/>
      <c r="UUL30" s="101"/>
      <c r="UUM30" s="101"/>
      <c r="UUN30" s="101"/>
      <c r="UUO30" s="101"/>
      <c r="UUP30" s="101"/>
      <c r="UUQ30" s="101"/>
      <c r="UUR30" s="101"/>
      <c r="UUS30" s="101"/>
      <c r="UUT30" s="101"/>
      <c r="UUU30" s="101"/>
      <c r="UUV30" s="101"/>
      <c r="UUW30" s="101"/>
      <c r="UUX30" s="101"/>
      <c r="UUY30" s="101"/>
      <c r="UUZ30" s="101"/>
      <c r="UVA30" s="101"/>
      <c r="UVB30" s="101"/>
      <c r="UVC30" s="101"/>
      <c r="UVD30" s="101"/>
      <c r="UVE30" s="101"/>
      <c r="UVF30" s="101"/>
      <c r="UVG30" s="101"/>
      <c r="UVH30" s="101"/>
      <c r="UVI30" s="101"/>
      <c r="UVJ30" s="101"/>
      <c r="UVK30" s="101"/>
      <c r="UVL30" s="101"/>
      <c r="UVM30" s="101"/>
      <c r="UVN30" s="101"/>
      <c r="UVO30" s="101"/>
      <c r="UVP30" s="101"/>
      <c r="UVQ30" s="101"/>
      <c r="UVR30" s="101"/>
      <c r="UVS30" s="101"/>
      <c r="UVT30" s="101"/>
      <c r="UVU30" s="101"/>
      <c r="UVV30" s="101"/>
      <c r="UVW30" s="101"/>
      <c r="UVX30" s="101"/>
      <c r="UVY30" s="101"/>
      <c r="UVZ30" s="101"/>
      <c r="UWA30" s="101"/>
      <c r="UWB30" s="101"/>
      <c r="UWC30" s="101"/>
      <c r="UWD30" s="101"/>
      <c r="UWE30" s="101"/>
      <c r="UWF30" s="101"/>
      <c r="UWG30" s="101"/>
      <c r="UWH30" s="101"/>
      <c r="UWI30" s="101"/>
      <c r="UWJ30" s="101"/>
      <c r="UWK30" s="101"/>
      <c r="UWL30" s="101"/>
      <c r="UWM30" s="101"/>
      <c r="UWN30" s="101"/>
      <c r="UWO30" s="101"/>
      <c r="UWP30" s="101"/>
      <c r="UWQ30" s="101"/>
      <c r="UWR30" s="101"/>
      <c r="UWS30" s="101"/>
      <c r="UWT30" s="101"/>
      <c r="UWU30" s="101"/>
      <c r="UWV30" s="101"/>
      <c r="UWW30" s="101"/>
      <c r="UWX30" s="101"/>
      <c r="UWY30" s="101"/>
      <c r="UWZ30" s="101"/>
      <c r="UXA30" s="101"/>
      <c r="UXB30" s="101"/>
      <c r="UXC30" s="101"/>
      <c r="UXD30" s="101"/>
      <c r="UXE30" s="101"/>
      <c r="UXF30" s="101"/>
      <c r="UXG30" s="101"/>
      <c r="UXH30" s="101"/>
      <c r="UXI30" s="101"/>
      <c r="UXJ30" s="101"/>
      <c r="UXK30" s="101"/>
      <c r="UXL30" s="101"/>
      <c r="UXM30" s="101"/>
      <c r="UXN30" s="101"/>
      <c r="UXO30" s="101"/>
      <c r="UXP30" s="101"/>
      <c r="UXQ30" s="101"/>
      <c r="UXR30" s="101"/>
      <c r="UXS30" s="101"/>
      <c r="UXT30" s="101"/>
      <c r="UXU30" s="101"/>
      <c r="UXV30" s="101"/>
      <c r="UXW30" s="101"/>
      <c r="UXX30" s="101"/>
      <c r="UXY30" s="101"/>
      <c r="UXZ30" s="101"/>
      <c r="UYA30" s="101"/>
      <c r="UYB30" s="101"/>
      <c r="UYC30" s="101"/>
      <c r="UYD30" s="101"/>
      <c r="UYE30" s="101"/>
      <c r="UYF30" s="101"/>
      <c r="UYG30" s="101"/>
      <c r="UYH30" s="101"/>
      <c r="UYI30" s="101"/>
      <c r="UYJ30" s="101"/>
      <c r="UYK30" s="101"/>
      <c r="UYL30" s="101"/>
      <c r="UYM30" s="101"/>
      <c r="UYN30" s="101"/>
      <c r="UYO30" s="101"/>
      <c r="UYP30" s="101"/>
      <c r="UYQ30" s="101"/>
      <c r="UYR30" s="101"/>
      <c r="UYS30" s="101"/>
      <c r="UYT30" s="101"/>
      <c r="UYU30" s="101"/>
      <c r="UYV30" s="101"/>
      <c r="UYW30" s="101"/>
      <c r="UYX30" s="101"/>
      <c r="UYY30" s="101"/>
      <c r="UYZ30" s="101"/>
      <c r="UZA30" s="101"/>
      <c r="UZB30" s="101"/>
      <c r="UZC30" s="101"/>
      <c r="UZD30" s="101"/>
      <c r="UZE30" s="101"/>
      <c r="UZF30" s="101"/>
      <c r="UZG30" s="101"/>
      <c r="UZH30" s="101"/>
      <c r="UZI30" s="101"/>
      <c r="UZJ30" s="101"/>
      <c r="UZK30" s="101"/>
      <c r="UZL30" s="101"/>
      <c r="UZM30" s="101"/>
      <c r="UZN30" s="101"/>
      <c r="UZO30" s="101"/>
      <c r="UZP30" s="101"/>
      <c r="UZQ30" s="101"/>
      <c r="UZR30" s="101"/>
      <c r="UZS30" s="101"/>
      <c r="UZT30" s="101"/>
      <c r="UZU30" s="101"/>
      <c r="UZV30" s="101"/>
      <c r="UZW30" s="101"/>
      <c r="UZX30" s="101"/>
      <c r="UZY30" s="101"/>
      <c r="UZZ30" s="101"/>
      <c r="VAA30" s="101"/>
      <c r="VAB30" s="101"/>
      <c r="VAC30" s="101"/>
      <c r="VAD30" s="101"/>
      <c r="VAE30" s="101"/>
      <c r="VAF30" s="101"/>
      <c r="VAG30" s="101"/>
      <c r="VAH30" s="101"/>
      <c r="VAI30" s="101"/>
      <c r="VAJ30" s="101"/>
      <c r="VAK30" s="101"/>
      <c r="VAL30" s="101"/>
      <c r="VAM30" s="101"/>
      <c r="VAN30" s="101"/>
      <c r="VAO30" s="101"/>
      <c r="VAP30" s="101"/>
      <c r="VAQ30" s="101"/>
      <c r="VAR30" s="101"/>
      <c r="VAS30" s="101"/>
      <c r="VAT30" s="101"/>
      <c r="VAU30" s="101"/>
      <c r="VAV30" s="101"/>
      <c r="VAW30" s="101"/>
      <c r="VAX30" s="101"/>
      <c r="VAY30" s="101"/>
      <c r="VAZ30" s="101"/>
      <c r="VBA30" s="101"/>
      <c r="VBB30" s="101"/>
      <c r="VBC30" s="101"/>
      <c r="VBD30" s="101"/>
      <c r="VBE30" s="101"/>
      <c r="VBF30" s="101"/>
      <c r="VBG30" s="101"/>
      <c r="VBH30" s="101"/>
      <c r="VBI30" s="101"/>
      <c r="VBJ30" s="101"/>
      <c r="VBK30" s="101"/>
      <c r="VBL30" s="101"/>
      <c r="VBM30" s="101"/>
      <c r="VBN30" s="101"/>
      <c r="VBO30" s="101"/>
      <c r="VBP30" s="101"/>
      <c r="VBQ30" s="101"/>
      <c r="VBR30" s="101"/>
      <c r="VBS30" s="101"/>
      <c r="VBT30" s="101"/>
      <c r="VBU30" s="101"/>
      <c r="VBV30" s="101"/>
      <c r="VBW30" s="101"/>
      <c r="VBX30" s="101"/>
      <c r="VBY30" s="101"/>
      <c r="VBZ30" s="101"/>
      <c r="VCA30" s="101"/>
      <c r="VCB30" s="101"/>
      <c r="VCC30" s="101"/>
      <c r="VCD30" s="101"/>
      <c r="VCE30" s="101"/>
      <c r="VCF30" s="101"/>
      <c r="VCG30" s="101"/>
      <c r="VCH30" s="101"/>
      <c r="VCI30" s="101"/>
      <c r="VCJ30" s="101"/>
      <c r="VCK30" s="101"/>
      <c r="VCL30" s="101"/>
      <c r="VCM30" s="101"/>
      <c r="VCN30" s="101"/>
      <c r="VCO30" s="101"/>
      <c r="VCP30" s="101"/>
      <c r="VCQ30" s="101"/>
      <c r="VCR30" s="101"/>
      <c r="VCS30" s="101"/>
      <c r="VCT30" s="101"/>
      <c r="VCU30" s="101"/>
      <c r="VCV30" s="101"/>
      <c r="VCW30" s="101"/>
      <c r="VCX30" s="101"/>
      <c r="VCY30" s="101"/>
      <c r="VCZ30" s="101"/>
      <c r="VDA30" s="101"/>
      <c r="VDB30" s="101"/>
      <c r="VDC30" s="101"/>
      <c r="VDD30" s="101"/>
      <c r="VDE30" s="101"/>
      <c r="VDF30" s="101"/>
      <c r="VDG30" s="101"/>
      <c r="VDH30" s="101"/>
      <c r="VDI30" s="101"/>
      <c r="VDJ30" s="101"/>
      <c r="VDK30" s="101"/>
      <c r="VDL30" s="101"/>
      <c r="VDM30" s="101"/>
      <c r="VDN30" s="101"/>
      <c r="VDO30" s="101"/>
      <c r="VDP30" s="101"/>
      <c r="VDQ30" s="101"/>
      <c r="VDR30" s="101"/>
      <c r="VDS30" s="101"/>
      <c r="VDT30" s="101"/>
      <c r="VDU30" s="101"/>
      <c r="VDV30" s="101"/>
      <c r="VDW30" s="101"/>
      <c r="VDX30" s="101"/>
      <c r="VDY30" s="101"/>
      <c r="VDZ30" s="101"/>
      <c r="VEA30" s="101"/>
      <c r="VEB30" s="101"/>
      <c r="VEC30" s="101"/>
      <c r="VED30" s="101"/>
      <c r="VEE30" s="101"/>
      <c r="VEF30" s="101"/>
      <c r="VEG30" s="101"/>
      <c r="VEH30" s="101"/>
      <c r="VEI30" s="101"/>
      <c r="VEJ30" s="101"/>
      <c r="VEK30" s="101"/>
      <c r="VEL30" s="101"/>
      <c r="VEM30" s="101"/>
      <c r="VEN30" s="101"/>
      <c r="VEO30" s="101"/>
      <c r="VEP30" s="101"/>
      <c r="VEQ30" s="101"/>
      <c r="VER30" s="101"/>
      <c r="VES30" s="101"/>
      <c r="VET30" s="101"/>
      <c r="VEU30" s="101"/>
      <c r="VEV30" s="101"/>
      <c r="VEW30" s="101"/>
      <c r="VEX30" s="101"/>
      <c r="VEY30" s="101"/>
      <c r="VEZ30" s="101"/>
      <c r="VFA30" s="101"/>
      <c r="VFB30" s="101"/>
      <c r="VFC30" s="101"/>
      <c r="VFD30" s="101"/>
      <c r="VFE30" s="101"/>
      <c r="VFF30" s="101"/>
      <c r="VFG30" s="101"/>
      <c r="VFH30" s="101"/>
      <c r="VFI30" s="101"/>
      <c r="VFJ30" s="101"/>
      <c r="VFK30" s="101"/>
      <c r="VFL30" s="101"/>
      <c r="VFM30" s="101"/>
      <c r="VFN30" s="101"/>
      <c r="VFO30" s="101"/>
      <c r="VFP30" s="101"/>
      <c r="VFQ30" s="101"/>
      <c r="VFR30" s="101"/>
      <c r="VFS30" s="101"/>
      <c r="VFT30" s="101"/>
      <c r="VFU30" s="101"/>
      <c r="VFV30" s="101"/>
      <c r="VFW30" s="101"/>
      <c r="VFX30" s="101"/>
      <c r="VFY30" s="101"/>
      <c r="VFZ30" s="101"/>
      <c r="VGA30" s="101"/>
      <c r="VGB30" s="101"/>
      <c r="VGC30" s="101"/>
      <c r="VGD30" s="101"/>
      <c r="VGE30" s="101"/>
      <c r="VGF30" s="101"/>
      <c r="VGG30" s="101"/>
      <c r="VGH30" s="101"/>
      <c r="VGI30" s="101"/>
      <c r="VGJ30" s="101"/>
      <c r="VGK30" s="101"/>
      <c r="VGL30" s="101"/>
      <c r="VGM30" s="101"/>
      <c r="VGN30" s="101"/>
      <c r="VGO30" s="101"/>
      <c r="VGP30" s="101"/>
      <c r="VGQ30" s="101"/>
      <c r="VGR30" s="101"/>
      <c r="VGS30" s="101"/>
      <c r="VGT30" s="101"/>
      <c r="VGU30" s="101"/>
      <c r="VGV30" s="101"/>
      <c r="VGW30" s="101"/>
      <c r="VGX30" s="101"/>
      <c r="VGY30" s="101"/>
      <c r="VGZ30" s="101"/>
      <c r="VHA30" s="101"/>
      <c r="VHB30" s="101"/>
      <c r="VHC30" s="101"/>
      <c r="VHD30" s="101"/>
      <c r="VHE30" s="101"/>
      <c r="VHF30" s="101"/>
      <c r="VHG30" s="101"/>
      <c r="VHH30" s="101"/>
      <c r="VHI30" s="101"/>
      <c r="VHJ30" s="101"/>
      <c r="VHK30" s="101"/>
      <c r="VHL30" s="101"/>
      <c r="VHM30" s="101"/>
      <c r="VHN30" s="101"/>
      <c r="VHO30" s="101"/>
      <c r="VHP30" s="101"/>
      <c r="VHQ30" s="101"/>
      <c r="VHR30" s="101"/>
      <c r="VHS30" s="101"/>
      <c r="VHT30" s="101"/>
      <c r="VHU30" s="101"/>
      <c r="VHV30" s="101"/>
      <c r="VHW30" s="101"/>
      <c r="VHX30" s="101"/>
      <c r="VHY30" s="101"/>
      <c r="VHZ30" s="101"/>
      <c r="VIA30" s="101"/>
      <c r="VIB30" s="101"/>
      <c r="VIC30" s="101"/>
      <c r="VID30" s="101"/>
      <c r="VIE30" s="101"/>
      <c r="VIF30" s="101"/>
      <c r="VIG30" s="101"/>
      <c r="VIH30" s="101"/>
      <c r="VII30" s="101"/>
      <c r="VIJ30" s="101"/>
      <c r="VIK30" s="101"/>
      <c r="VIL30" s="101"/>
      <c r="VIM30" s="101"/>
      <c r="VIN30" s="101"/>
      <c r="VIO30" s="101"/>
      <c r="VIP30" s="101"/>
      <c r="VIQ30" s="101"/>
      <c r="VIR30" s="101"/>
      <c r="VIS30" s="101"/>
      <c r="VIT30" s="101"/>
      <c r="VIU30" s="101"/>
      <c r="VIV30" s="101"/>
      <c r="VIW30" s="101"/>
      <c r="VIX30" s="101"/>
      <c r="VIY30" s="101"/>
      <c r="VIZ30" s="101"/>
      <c r="VJA30" s="101"/>
      <c r="VJB30" s="101"/>
      <c r="VJC30" s="101"/>
      <c r="VJD30" s="101"/>
      <c r="VJE30" s="101"/>
      <c r="VJF30" s="101"/>
      <c r="VJG30" s="101"/>
      <c r="VJH30" s="101"/>
      <c r="VJI30" s="101"/>
      <c r="VJJ30" s="101"/>
      <c r="VJK30" s="101"/>
      <c r="VJL30" s="101"/>
      <c r="VJM30" s="101"/>
      <c r="VJN30" s="101"/>
      <c r="VJO30" s="101"/>
      <c r="VJP30" s="101"/>
      <c r="VJQ30" s="101"/>
      <c r="VJR30" s="101"/>
      <c r="VJS30" s="101"/>
      <c r="VJT30" s="101"/>
      <c r="VJU30" s="101"/>
      <c r="VJV30" s="101"/>
      <c r="VJW30" s="101"/>
      <c r="VJX30" s="101"/>
      <c r="VJY30" s="101"/>
      <c r="VJZ30" s="101"/>
      <c r="VKA30" s="101"/>
      <c r="VKB30" s="101"/>
      <c r="VKC30" s="101"/>
      <c r="VKD30" s="101"/>
      <c r="VKE30" s="101"/>
      <c r="VKF30" s="101"/>
      <c r="VKG30" s="101"/>
      <c r="VKH30" s="101"/>
      <c r="VKI30" s="101"/>
      <c r="VKJ30" s="101"/>
      <c r="VKK30" s="101"/>
      <c r="VKL30" s="101"/>
      <c r="VKM30" s="101"/>
      <c r="VKN30" s="101"/>
      <c r="VKO30" s="101"/>
      <c r="VKP30" s="101"/>
      <c r="VKQ30" s="101"/>
      <c r="VKR30" s="101"/>
      <c r="VKS30" s="101"/>
      <c r="VKT30" s="101"/>
      <c r="VKU30" s="101"/>
      <c r="VKV30" s="101"/>
      <c r="VKW30" s="101"/>
      <c r="VKX30" s="101"/>
      <c r="VKY30" s="101"/>
      <c r="VKZ30" s="101"/>
      <c r="VLA30" s="101"/>
      <c r="VLB30" s="101"/>
      <c r="VLC30" s="101"/>
      <c r="VLD30" s="101"/>
      <c r="VLE30" s="101"/>
      <c r="VLF30" s="101"/>
      <c r="VLG30" s="101"/>
      <c r="VLH30" s="101"/>
      <c r="VLI30" s="101"/>
      <c r="VLJ30" s="101"/>
      <c r="VLK30" s="101"/>
      <c r="VLL30" s="101"/>
      <c r="VLM30" s="101"/>
      <c r="VLN30" s="101"/>
      <c r="VLO30" s="101"/>
      <c r="VLP30" s="101"/>
      <c r="VLQ30" s="101"/>
      <c r="VLR30" s="101"/>
      <c r="VLS30" s="101"/>
      <c r="VLT30" s="101"/>
      <c r="VLU30" s="101"/>
      <c r="VLV30" s="101"/>
      <c r="VLW30" s="101"/>
      <c r="VLX30" s="101"/>
      <c r="VLY30" s="101"/>
      <c r="VLZ30" s="101"/>
      <c r="VMA30" s="101"/>
      <c r="VMB30" s="101"/>
      <c r="VMC30" s="101"/>
      <c r="VMD30" s="101"/>
      <c r="VME30" s="101"/>
      <c r="VMF30" s="101"/>
      <c r="VMG30" s="101"/>
      <c r="VMH30" s="101"/>
      <c r="VMI30" s="101"/>
      <c r="VMJ30" s="101"/>
      <c r="VMK30" s="101"/>
      <c r="VML30" s="101"/>
      <c r="VMM30" s="101"/>
      <c r="VMN30" s="101"/>
      <c r="VMO30" s="101"/>
      <c r="VMP30" s="101"/>
      <c r="VMQ30" s="101"/>
      <c r="VMR30" s="101"/>
      <c r="VMS30" s="101"/>
      <c r="VMT30" s="101"/>
      <c r="VMU30" s="101"/>
      <c r="VMV30" s="101"/>
      <c r="VMW30" s="101"/>
      <c r="VMX30" s="101"/>
      <c r="VMY30" s="101"/>
      <c r="VMZ30" s="101"/>
      <c r="VNA30" s="101"/>
      <c r="VNB30" s="101"/>
      <c r="VNC30" s="101"/>
      <c r="VND30" s="101"/>
      <c r="VNE30" s="101"/>
      <c r="VNF30" s="101"/>
      <c r="VNG30" s="101"/>
      <c r="VNH30" s="101"/>
      <c r="VNI30" s="101"/>
      <c r="VNJ30" s="101"/>
      <c r="VNK30" s="101"/>
      <c r="VNL30" s="101"/>
      <c r="VNM30" s="101"/>
      <c r="VNN30" s="101"/>
      <c r="VNO30" s="101"/>
      <c r="VNP30" s="101"/>
      <c r="VNQ30" s="101"/>
      <c r="VNR30" s="101"/>
      <c r="VNS30" s="101"/>
      <c r="VNT30" s="101"/>
      <c r="VNU30" s="101"/>
      <c r="VNV30" s="101"/>
      <c r="VNW30" s="101"/>
      <c r="VNX30" s="101"/>
      <c r="VNY30" s="101"/>
      <c r="VNZ30" s="101"/>
      <c r="VOA30" s="101"/>
      <c r="VOB30" s="101"/>
      <c r="VOC30" s="101"/>
      <c r="VOD30" s="101"/>
      <c r="VOE30" s="101"/>
      <c r="VOF30" s="101"/>
      <c r="VOG30" s="101"/>
      <c r="VOH30" s="101"/>
      <c r="VOI30" s="101"/>
      <c r="VOJ30" s="101"/>
      <c r="VOK30" s="101"/>
      <c r="VOL30" s="101"/>
      <c r="VOM30" s="101"/>
      <c r="VON30" s="101"/>
      <c r="VOO30" s="101"/>
      <c r="VOP30" s="101"/>
      <c r="VOQ30" s="101"/>
      <c r="VOR30" s="101"/>
      <c r="VOS30" s="101"/>
      <c r="VOT30" s="101"/>
      <c r="VOU30" s="101"/>
      <c r="VOV30" s="101"/>
      <c r="VOW30" s="101"/>
      <c r="VOX30" s="101"/>
      <c r="VOY30" s="101"/>
      <c r="VOZ30" s="101"/>
      <c r="VPA30" s="101"/>
      <c r="VPB30" s="101"/>
      <c r="VPC30" s="101"/>
      <c r="VPD30" s="101"/>
      <c r="VPE30" s="101"/>
      <c r="VPF30" s="101"/>
      <c r="VPG30" s="101"/>
      <c r="VPH30" s="101"/>
      <c r="VPI30" s="101"/>
      <c r="VPJ30" s="101"/>
      <c r="VPK30" s="101"/>
      <c r="VPL30" s="101"/>
      <c r="VPM30" s="101"/>
      <c r="VPN30" s="101"/>
      <c r="VPO30" s="101"/>
      <c r="VPP30" s="101"/>
      <c r="VPQ30" s="101"/>
      <c r="VPR30" s="101"/>
      <c r="VPS30" s="101"/>
      <c r="VPT30" s="101"/>
      <c r="VPU30" s="101"/>
      <c r="VPV30" s="101"/>
      <c r="VPW30" s="101"/>
      <c r="VPX30" s="101"/>
      <c r="VPY30" s="101"/>
      <c r="VPZ30" s="101"/>
      <c r="VQA30" s="101"/>
      <c r="VQB30" s="101"/>
      <c r="VQC30" s="101"/>
      <c r="VQD30" s="101"/>
      <c r="VQE30" s="101"/>
      <c r="VQF30" s="101"/>
      <c r="VQG30" s="101"/>
      <c r="VQH30" s="101"/>
      <c r="VQI30" s="101"/>
      <c r="VQJ30" s="101"/>
      <c r="VQK30" s="101"/>
      <c r="VQL30" s="101"/>
      <c r="VQM30" s="101"/>
      <c r="VQN30" s="101"/>
      <c r="VQO30" s="101"/>
      <c r="VQP30" s="101"/>
      <c r="VQQ30" s="101"/>
      <c r="VQR30" s="101"/>
      <c r="VQS30" s="101"/>
      <c r="VQT30" s="101"/>
      <c r="VQU30" s="101"/>
      <c r="VQV30" s="101"/>
      <c r="VQW30" s="101"/>
      <c r="VQX30" s="101"/>
      <c r="VQY30" s="101"/>
      <c r="VQZ30" s="101"/>
      <c r="VRA30" s="101"/>
      <c r="VRB30" s="101"/>
      <c r="VRC30" s="101"/>
      <c r="VRD30" s="101"/>
      <c r="VRE30" s="101"/>
      <c r="VRF30" s="101"/>
      <c r="VRG30" s="101"/>
      <c r="VRH30" s="101"/>
      <c r="VRI30" s="101"/>
      <c r="VRJ30" s="101"/>
      <c r="VRK30" s="101"/>
      <c r="VRL30" s="101"/>
      <c r="VRM30" s="101"/>
      <c r="VRN30" s="101"/>
      <c r="VRO30" s="101"/>
      <c r="VRP30" s="101"/>
      <c r="VRQ30" s="101"/>
      <c r="VRR30" s="101"/>
      <c r="VRS30" s="101"/>
      <c r="VRT30" s="101"/>
      <c r="VRU30" s="101"/>
      <c r="VRV30" s="101"/>
      <c r="VRW30" s="101"/>
      <c r="VRX30" s="101"/>
      <c r="VRY30" s="101"/>
      <c r="VRZ30" s="101"/>
      <c r="VSA30" s="101"/>
      <c r="VSB30" s="101"/>
      <c r="VSC30" s="101"/>
      <c r="VSD30" s="101"/>
      <c r="VSE30" s="101"/>
      <c r="VSF30" s="101"/>
      <c r="VSG30" s="101"/>
      <c r="VSH30" s="101"/>
      <c r="VSI30" s="101"/>
      <c r="VSJ30" s="101"/>
      <c r="VSK30" s="101"/>
      <c r="VSL30" s="101"/>
      <c r="VSM30" s="101"/>
      <c r="VSN30" s="101"/>
      <c r="VSO30" s="101"/>
      <c r="VSP30" s="101"/>
      <c r="VSQ30" s="101"/>
      <c r="VSR30" s="101"/>
      <c r="VSS30" s="101"/>
      <c r="VST30" s="101"/>
      <c r="VSU30" s="101"/>
      <c r="VSV30" s="101"/>
      <c r="VSW30" s="101"/>
      <c r="VSX30" s="101"/>
      <c r="VSY30" s="101"/>
      <c r="VSZ30" s="101"/>
      <c r="VTA30" s="101"/>
      <c r="VTB30" s="101"/>
      <c r="VTC30" s="101"/>
      <c r="VTD30" s="101"/>
      <c r="VTE30" s="101"/>
      <c r="VTF30" s="101"/>
      <c r="VTG30" s="101"/>
      <c r="VTH30" s="101"/>
      <c r="VTI30" s="101"/>
      <c r="VTJ30" s="101"/>
      <c r="VTK30" s="101"/>
      <c r="VTL30" s="101"/>
      <c r="VTM30" s="101"/>
      <c r="VTN30" s="101"/>
      <c r="VTO30" s="101"/>
      <c r="VTP30" s="101"/>
      <c r="VTQ30" s="101"/>
      <c r="VTR30" s="101"/>
      <c r="VTS30" s="101"/>
      <c r="VTT30" s="101"/>
      <c r="VTU30" s="101"/>
      <c r="VTV30" s="101"/>
      <c r="VTW30" s="101"/>
      <c r="VTX30" s="101"/>
      <c r="VTY30" s="101"/>
      <c r="VTZ30" s="101"/>
      <c r="VUA30" s="101"/>
      <c r="VUB30" s="101"/>
      <c r="VUC30" s="101"/>
      <c r="VUD30" s="101"/>
      <c r="VUE30" s="101"/>
      <c r="VUF30" s="101"/>
      <c r="VUG30" s="101"/>
      <c r="VUH30" s="101"/>
      <c r="VUI30" s="101"/>
      <c r="VUJ30" s="101"/>
      <c r="VUK30" s="101"/>
      <c r="VUL30" s="101"/>
      <c r="VUM30" s="101"/>
      <c r="VUN30" s="101"/>
      <c r="VUO30" s="101"/>
      <c r="VUP30" s="101"/>
      <c r="VUQ30" s="101"/>
      <c r="VUR30" s="101"/>
      <c r="VUS30" s="101"/>
      <c r="VUT30" s="101"/>
      <c r="VUU30" s="101"/>
      <c r="VUV30" s="101"/>
      <c r="VUW30" s="101"/>
      <c r="VUX30" s="101"/>
      <c r="VUY30" s="101"/>
      <c r="VUZ30" s="101"/>
      <c r="VVA30" s="101"/>
      <c r="VVB30" s="101"/>
      <c r="VVC30" s="101"/>
      <c r="VVD30" s="101"/>
      <c r="VVE30" s="101"/>
      <c r="VVF30" s="101"/>
      <c r="VVG30" s="101"/>
      <c r="VVH30" s="101"/>
      <c r="VVI30" s="101"/>
      <c r="VVJ30" s="101"/>
      <c r="VVK30" s="101"/>
      <c r="VVL30" s="101"/>
      <c r="VVM30" s="101"/>
      <c r="VVN30" s="101"/>
      <c r="VVO30" s="101"/>
      <c r="VVP30" s="101"/>
      <c r="VVQ30" s="101"/>
      <c r="VVR30" s="101"/>
      <c r="VVS30" s="101"/>
      <c r="VVT30" s="101"/>
      <c r="VVU30" s="101"/>
      <c r="VVV30" s="101"/>
      <c r="VVW30" s="101"/>
      <c r="VVX30" s="101"/>
      <c r="VVY30" s="101"/>
      <c r="VVZ30" s="101"/>
      <c r="VWA30" s="101"/>
      <c r="VWB30" s="101"/>
      <c r="VWC30" s="101"/>
      <c r="VWD30" s="101"/>
      <c r="VWE30" s="101"/>
      <c r="VWF30" s="101"/>
      <c r="VWG30" s="101"/>
      <c r="VWH30" s="101"/>
      <c r="VWI30" s="101"/>
      <c r="VWJ30" s="101"/>
      <c r="VWK30" s="101"/>
      <c r="VWL30" s="101"/>
      <c r="VWM30" s="101"/>
      <c r="VWN30" s="101"/>
      <c r="VWO30" s="101"/>
      <c r="VWP30" s="101"/>
      <c r="VWQ30" s="101"/>
      <c r="VWR30" s="101"/>
      <c r="VWS30" s="101"/>
      <c r="VWT30" s="101"/>
      <c r="VWU30" s="101"/>
      <c r="VWV30" s="101"/>
      <c r="VWW30" s="101"/>
      <c r="VWX30" s="101"/>
      <c r="VWY30" s="101"/>
      <c r="VWZ30" s="101"/>
      <c r="VXA30" s="101"/>
      <c r="VXB30" s="101"/>
      <c r="VXC30" s="101"/>
      <c r="VXD30" s="101"/>
      <c r="VXE30" s="101"/>
      <c r="VXF30" s="101"/>
      <c r="VXG30" s="101"/>
      <c r="VXH30" s="101"/>
      <c r="VXI30" s="101"/>
      <c r="VXJ30" s="101"/>
      <c r="VXK30" s="101"/>
      <c r="VXL30" s="101"/>
      <c r="VXM30" s="101"/>
      <c r="VXN30" s="101"/>
      <c r="VXO30" s="101"/>
      <c r="VXP30" s="101"/>
      <c r="VXQ30" s="101"/>
      <c r="VXR30" s="101"/>
      <c r="VXS30" s="101"/>
      <c r="VXT30" s="101"/>
      <c r="VXU30" s="101"/>
      <c r="VXV30" s="101"/>
      <c r="VXW30" s="101"/>
      <c r="VXX30" s="101"/>
      <c r="VXY30" s="101"/>
      <c r="VXZ30" s="101"/>
      <c r="VYA30" s="101"/>
      <c r="VYB30" s="101"/>
      <c r="VYC30" s="101"/>
      <c r="VYD30" s="101"/>
      <c r="VYE30" s="101"/>
      <c r="VYF30" s="101"/>
      <c r="VYG30" s="101"/>
      <c r="VYH30" s="101"/>
      <c r="VYI30" s="101"/>
      <c r="VYJ30" s="101"/>
      <c r="VYK30" s="101"/>
      <c r="VYL30" s="101"/>
      <c r="VYM30" s="101"/>
      <c r="VYN30" s="101"/>
      <c r="VYO30" s="101"/>
      <c r="VYP30" s="101"/>
      <c r="VYQ30" s="101"/>
      <c r="VYR30" s="101"/>
      <c r="VYS30" s="101"/>
      <c r="VYT30" s="101"/>
      <c r="VYU30" s="101"/>
      <c r="VYV30" s="101"/>
      <c r="VYW30" s="101"/>
      <c r="VYX30" s="101"/>
      <c r="VYY30" s="101"/>
      <c r="VYZ30" s="101"/>
      <c r="VZA30" s="101"/>
      <c r="VZB30" s="101"/>
      <c r="VZC30" s="101"/>
      <c r="VZD30" s="101"/>
      <c r="VZE30" s="101"/>
      <c r="VZF30" s="101"/>
      <c r="VZG30" s="101"/>
      <c r="VZH30" s="101"/>
      <c r="VZI30" s="101"/>
      <c r="VZJ30" s="101"/>
      <c r="VZK30" s="101"/>
      <c r="VZL30" s="101"/>
      <c r="VZM30" s="101"/>
      <c r="VZN30" s="101"/>
      <c r="VZO30" s="101"/>
      <c r="VZP30" s="101"/>
      <c r="VZQ30" s="101"/>
      <c r="VZR30" s="101"/>
      <c r="VZS30" s="101"/>
      <c r="VZT30" s="101"/>
      <c r="VZU30" s="101"/>
      <c r="VZV30" s="101"/>
      <c r="VZW30" s="101"/>
      <c r="VZX30" s="101"/>
      <c r="VZY30" s="101"/>
      <c r="VZZ30" s="101"/>
      <c r="WAA30" s="101"/>
      <c r="WAB30" s="101"/>
      <c r="WAC30" s="101"/>
      <c r="WAD30" s="101"/>
      <c r="WAE30" s="101"/>
      <c r="WAF30" s="101"/>
      <c r="WAG30" s="101"/>
      <c r="WAH30" s="101"/>
      <c r="WAI30" s="101"/>
      <c r="WAJ30" s="101"/>
      <c r="WAK30" s="101"/>
      <c r="WAL30" s="101"/>
      <c r="WAM30" s="101"/>
      <c r="WAN30" s="101"/>
      <c r="WAO30" s="101"/>
      <c r="WAP30" s="101"/>
      <c r="WAQ30" s="101"/>
      <c r="WAR30" s="101"/>
      <c r="WAS30" s="101"/>
      <c r="WAT30" s="101"/>
      <c r="WAU30" s="101"/>
      <c r="WAV30" s="101"/>
      <c r="WAW30" s="101"/>
      <c r="WAX30" s="101"/>
      <c r="WAY30" s="101"/>
      <c r="WAZ30" s="101"/>
      <c r="WBA30" s="101"/>
      <c r="WBB30" s="101"/>
      <c r="WBC30" s="101"/>
      <c r="WBD30" s="101"/>
      <c r="WBE30" s="101"/>
      <c r="WBF30" s="101"/>
      <c r="WBG30" s="101"/>
      <c r="WBH30" s="101"/>
      <c r="WBI30" s="101"/>
      <c r="WBJ30" s="101"/>
      <c r="WBK30" s="101"/>
      <c r="WBL30" s="101"/>
      <c r="WBM30" s="101"/>
      <c r="WBN30" s="101"/>
      <c r="WBO30" s="101"/>
      <c r="WBP30" s="101"/>
      <c r="WBQ30" s="101"/>
      <c r="WBR30" s="101"/>
      <c r="WBS30" s="101"/>
      <c r="WBT30" s="101"/>
      <c r="WBU30" s="101"/>
      <c r="WBV30" s="101"/>
      <c r="WBW30" s="101"/>
      <c r="WBX30" s="101"/>
      <c r="WBY30" s="101"/>
      <c r="WBZ30" s="101"/>
      <c r="WCA30" s="101"/>
      <c r="WCB30" s="101"/>
      <c r="WCC30" s="101"/>
      <c r="WCD30" s="101"/>
      <c r="WCE30" s="101"/>
      <c r="WCF30" s="101"/>
      <c r="WCG30" s="101"/>
      <c r="WCH30" s="101"/>
      <c r="WCI30" s="101"/>
      <c r="WCJ30" s="101"/>
      <c r="WCK30" s="101"/>
      <c r="WCL30" s="101"/>
      <c r="WCM30" s="101"/>
      <c r="WCN30" s="101"/>
      <c r="WCO30" s="101"/>
      <c r="WCP30" s="101"/>
      <c r="WCQ30" s="101"/>
      <c r="WCR30" s="101"/>
      <c r="WCS30" s="101"/>
      <c r="WCT30" s="101"/>
      <c r="WCU30" s="101"/>
      <c r="WCV30" s="101"/>
      <c r="WCW30" s="101"/>
      <c r="WCX30" s="101"/>
      <c r="WCY30" s="101"/>
      <c r="WCZ30" s="101"/>
      <c r="WDA30" s="101"/>
      <c r="WDB30" s="101"/>
      <c r="WDC30" s="101"/>
      <c r="WDD30" s="101"/>
      <c r="WDE30" s="101"/>
      <c r="WDF30" s="101"/>
      <c r="WDG30" s="101"/>
      <c r="WDH30" s="101"/>
      <c r="WDI30" s="101"/>
      <c r="WDJ30" s="101"/>
      <c r="WDK30" s="101"/>
      <c r="WDL30" s="101"/>
      <c r="WDM30" s="101"/>
      <c r="WDN30" s="101"/>
      <c r="WDO30" s="101"/>
      <c r="WDP30" s="101"/>
      <c r="WDQ30" s="101"/>
      <c r="WDR30" s="101"/>
      <c r="WDS30" s="101"/>
      <c r="WDT30" s="101"/>
      <c r="WDU30" s="101"/>
      <c r="WDV30" s="101"/>
      <c r="WDW30" s="101"/>
      <c r="WDX30" s="101"/>
      <c r="WDY30" s="101"/>
      <c r="WDZ30" s="101"/>
      <c r="WEA30" s="101"/>
      <c r="WEB30" s="101"/>
      <c r="WEC30" s="101"/>
      <c r="WED30" s="101"/>
      <c r="WEE30" s="101"/>
      <c r="WEF30" s="101"/>
      <c r="WEG30" s="101"/>
      <c r="WEH30" s="101"/>
      <c r="WEI30" s="101"/>
      <c r="WEJ30" s="101"/>
      <c r="WEK30" s="101"/>
      <c r="WEL30" s="101"/>
      <c r="WEM30" s="101"/>
      <c r="WEN30" s="101"/>
      <c r="WEO30" s="101"/>
      <c r="WEP30" s="101"/>
      <c r="WEQ30" s="101"/>
      <c r="WER30" s="101"/>
      <c r="WES30" s="101"/>
      <c r="WET30" s="101"/>
      <c r="WEU30" s="101"/>
      <c r="WEV30" s="101"/>
      <c r="WEW30" s="101"/>
      <c r="WEX30" s="101"/>
      <c r="WEY30" s="101"/>
      <c r="WEZ30" s="101"/>
      <c r="WFA30" s="101"/>
      <c r="WFB30" s="101"/>
      <c r="WFC30" s="101"/>
      <c r="WFD30" s="101"/>
      <c r="WFE30" s="101"/>
      <c r="WFF30" s="101"/>
      <c r="WFG30" s="101"/>
      <c r="WFH30" s="101"/>
      <c r="WFI30" s="101"/>
      <c r="WFJ30" s="101"/>
      <c r="WFK30" s="101"/>
      <c r="WFL30" s="101"/>
      <c r="WFM30" s="101"/>
      <c r="WFN30" s="101"/>
      <c r="WFO30" s="101"/>
      <c r="WFP30" s="101"/>
      <c r="WFQ30" s="101"/>
      <c r="WFR30" s="101"/>
      <c r="WFS30" s="101"/>
      <c r="WFT30" s="101"/>
      <c r="WFU30" s="101"/>
      <c r="WFV30" s="101"/>
      <c r="WFW30" s="101"/>
      <c r="WFX30" s="101"/>
      <c r="WFY30" s="101"/>
      <c r="WFZ30" s="101"/>
      <c r="WGA30" s="101"/>
      <c r="WGB30" s="101"/>
      <c r="WGC30" s="101"/>
      <c r="WGD30" s="101"/>
      <c r="WGE30" s="101"/>
      <c r="WGF30" s="101"/>
      <c r="WGG30" s="101"/>
      <c r="WGH30" s="101"/>
      <c r="WGI30" s="101"/>
      <c r="WGJ30" s="101"/>
      <c r="WGK30" s="101"/>
      <c r="WGL30" s="101"/>
      <c r="WGM30" s="101"/>
      <c r="WGN30" s="101"/>
      <c r="WGO30" s="101"/>
      <c r="WGP30" s="101"/>
      <c r="WGQ30" s="101"/>
      <c r="WGR30" s="101"/>
      <c r="WGS30" s="101"/>
      <c r="WGT30" s="101"/>
      <c r="WGU30" s="101"/>
      <c r="WGV30" s="101"/>
      <c r="WGW30" s="101"/>
      <c r="WGX30" s="101"/>
      <c r="WGY30" s="101"/>
      <c r="WGZ30" s="101"/>
      <c r="WHA30" s="101"/>
      <c r="WHB30" s="101"/>
      <c r="WHC30" s="101"/>
      <c r="WHD30" s="101"/>
      <c r="WHE30" s="101"/>
      <c r="WHF30" s="101"/>
      <c r="WHG30" s="101"/>
      <c r="WHH30" s="101"/>
      <c r="WHI30" s="101"/>
      <c r="WHJ30" s="101"/>
      <c r="WHK30" s="101"/>
      <c r="WHL30" s="101"/>
      <c r="WHM30" s="101"/>
      <c r="WHN30" s="101"/>
      <c r="WHO30" s="101"/>
      <c r="WHP30" s="101"/>
      <c r="WHQ30" s="101"/>
      <c r="WHR30" s="101"/>
      <c r="WHS30" s="101"/>
      <c r="WHT30" s="101"/>
      <c r="WHU30" s="101"/>
      <c r="WHV30" s="101"/>
      <c r="WHW30" s="101"/>
      <c r="WHX30" s="101"/>
      <c r="WHY30" s="101"/>
      <c r="WHZ30" s="101"/>
      <c r="WIA30" s="101"/>
      <c r="WIB30" s="101"/>
      <c r="WIC30" s="101"/>
      <c r="WID30" s="101"/>
      <c r="WIE30" s="101"/>
      <c r="WIF30" s="101"/>
      <c r="WIG30" s="101"/>
      <c r="WIH30" s="101"/>
      <c r="WII30" s="101"/>
      <c r="WIJ30" s="101"/>
      <c r="WIK30" s="101"/>
      <c r="WIL30" s="101"/>
      <c r="WIM30" s="101"/>
      <c r="WIN30" s="101"/>
      <c r="WIO30" s="101"/>
      <c r="WIP30" s="101"/>
      <c r="WIQ30" s="101"/>
      <c r="WIR30" s="101"/>
      <c r="WIS30" s="101"/>
      <c r="WIT30" s="101"/>
      <c r="WIU30" s="101"/>
      <c r="WIV30" s="101"/>
      <c r="WIW30" s="101"/>
      <c r="WIX30" s="101"/>
      <c r="WIY30" s="101"/>
      <c r="WIZ30" s="101"/>
      <c r="WJA30" s="101"/>
      <c r="WJB30" s="101"/>
      <c r="WJC30" s="101"/>
      <c r="WJD30" s="101"/>
      <c r="WJE30" s="101"/>
      <c r="WJF30" s="101"/>
      <c r="WJG30" s="101"/>
      <c r="WJH30" s="101"/>
      <c r="WJI30" s="101"/>
      <c r="WJJ30" s="101"/>
      <c r="WJK30" s="101"/>
      <c r="WJL30" s="101"/>
      <c r="WJM30" s="101"/>
      <c r="WJN30" s="101"/>
      <c r="WJO30" s="101"/>
      <c r="WJP30" s="101"/>
      <c r="WJQ30" s="101"/>
      <c r="WJR30" s="101"/>
      <c r="WJS30" s="101"/>
      <c r="WJT30" s="101"/>
      <c r="WJU30" s="101"/>
      <c r="WJV30" s="101"/>
      <c r="WJW30" s="101"/>
      <c r="WJX30" s="101"/>
      <c r="WJY30" s="101"/>
      <c r="WJZ30" s="101"/>
      <c r="WKA30" s="101"/>
      <c r="WKB30" s="101"/>
      <c r="WKC30" s="101"/>
      <c r="WKD30" s="101"/>
      <c r="WKE30" s="101"/>
      <c r="WKF30" s="101"/>
      <c r="WKG30" s="101"/>
      <c r="WKH30" s="101"/>
      <c r="WKI30" s="101"/>
      <c r="WKJ30" s="101"/>
      <c r="WKK30" s="101"/>
      <c r="WKL30" s="101"/>
      <c r="WKM30" s="101"/>
      <c r="WKN30" s="101"/>
      <c r="WKO30" s="101"/>
      <c r="WKP30" s="101"/>
      <c r="WKQ30" s="101"/>
      <c r="WKR30" s="101"/>
      <c r="WKS30" s="101"/>
      <c r="WKT30" s="101"/>
      <c r="WKU30" s="101"/>
      <c r="WKV30" s="101"/>
      <c r="WKW30" s="101"/>
      <c r="WKX30" s="101"/>
      <c r="WKY30" s="101"/>
      <c r="WKZ30" s="101"/>
      <c r="WLA30" s="101"/>
      <c r="WLB30" s="101"/>
      <c r="WLC30" s="101"/>
      <c r="WLD30" s="101"/>
      <c r="WLE30" s="101"/>
      <c r="WLF30" s="101"/>
      <c r="WLG30" s="101"/>
      <c r="WLH30" s="101"/>
      <c r="WLI30" s="101"/>
      <c r="WLJ30" s="101"/>
      <c r="WLK30" s="101"/>
      <c r="WLL30" s="101"/>
      <c r="WLM30" s="101"/>
      <c r="WLN30" s="101"/>
      <c r="WLO30" s="101"/>
      <c r="WLP30" s="101"/>
      <c r="WLQ30" s="101"/>
      <c r="WLR30" s="101"/>
      <c r="WLS30" s="101"/>
      <c r="WLT30" s="101"/>
      <c r="WLU30" s="101"/>
      <c r="WLV30" s="101"/>
      <c r="WLW30" s="101"/>
      <c r="WLX30" s="101"/>
      <c r="WLY30" s="101"/>
      <c r="WLZ30" s="101"/>
      <c r="WMA30" s="101"/>
      <c r="WMB30" s="101"/>
      <c r="WMC30" s="101"/>
      <c r="WMD30" s="101"/>
      <c r="WME30" s="101"/>
      <c r="WMF30" s="101"/>
      <c r="WMG30" s="101"/>
      <c r="WMH30" s="101"/>
      <c r="WMI30" s="101"/>
      <c r="WMJ30" s="101"/>
      <c r="WMK30" s="101"/>
      <c r="WML30" s="101"/>
      <c r="WMM30" s="101"/>
      <c r="WMN30" s="101"/>
      <c r="WMO30" s="101"/>
      <c r="WMP30" s="101"/>
      <c r="WMQ30" s="101"/>
      <c r="WMR30" s="101"/>
      <c r="WMS30" s="101"/>
      <c r="WMT30" s="101"/>
      <c r="WMU30" s="101"/>
      <c r="WMV30" s="101"/>
      <c r="WMW30" s="101"/>
      <c r="WMX30" s="101"/>
      <c r="WMY30" s="101"/>
      <c r="WMZ30" s="101"/>
      <c r="WNA30" s="101"/>
      <c r="WNB30" s="101"/>
      <c r="WNC30" s="101"/>
      <c r="WND30" s="101"/>
      <c r="WNE30" s="101"/>
      <c r="WNF30" s="101"/>
      <c r="WNG30" s="101"/>
      <c r="WNH30" s="101"/>
      <c r="WNI30" s="101"/>
      <c r="WNJ30" s="101"/>
      <c r="WNK30" s="101"/>
      <c r="WNL30" s="101"/>
      <c r="WNM30" s="101"/>
      <c r="WNN30" s="101"/>
      <c r="WNO30" s="101"/>
      <c r="WNP30" s="101"/>
      <c r="WNQ30" s="101"/>
      <c r="WNR30" s="101"/>
      <c r="WNS30" s="101"/>
      <c r="WNT30" s="101"/>
      <c r="WNU30" s="101"/>
      <c r="WNV30" s="101"/>
      <c r="WNW30" s="101"/>
      <c r="WNX30" s="101"/>
      <c r="WNY30" s="101"/>
      <c r="WNZ30" s="101"/>
      <c r="WOA30" s="101"/>
      <c r="WOB30" s="101"/>
      <c r="WOC30" s="101"/>
      <c r="WOD30" s="101"/>
      <c r="WOE30" s="101"/>
      <c r="WOF30" s="101"/>
      <c r="WOG30" s="101"/>
      <c r="WOH30" s="101"/>
      <c r="WOI30" s="101"/>
      <c r="WOJ30" s="101"/>
      <c r="WOK30" s="101"/>
      <c r="WOL30" s="101"/>
      <c r="WOM30" s="101"/>
      <c r="WON30" s="101"/>
      <c r="WOO30" s="101"/>
      <c r="WOP30" s="101"/>
      <c r="WOQ30" s="101"/>
      <c r="WOR30" s="101"/>
      <c r="WOS30" s="101"/>
      <c r="WOT30" s="101"/>
      <c r="WOU30" s="101"/>
      <c r="WOV30" s="101"/>
      <c r="WOW30" s="101"/>
      <c r="WOX30" s="101"/>
      <c r="WOY30" s="101"/>
      <c r="WOZ30" s="101"/>
      <c r="WPA30" s="101"/>
      <c r="WPB30" s="101"/>
      <c r="WPC30" s="101"/>
      <c r="WPD30" s="101"/>
      <c r="WPE30" s="101"/>
      <c r="WPF30" s="101"/>
      <c r="WPG30" s="101"/>
      <c r="WPH30" s="101"/>
      <c r="WPI30" s="101"/>
      <c r="WPJ30" s="101"/>
      <c r="WPK30" s="101"/>
      <c r="WPL30" s="101"/>
      <c r="WPM30" s="101"/>
      <c r="WPN30" s="101"/>
      <c r="WPO30" s="101"/>
      <c r="WPP30" s="101"/>
      <c r="WPQ30" s="101"/>
      <c r="WPR30" s="101"/>
      <c r="WPS30" s="101"/>
      <c r="WPT30" s="101"/>
      <c r="WPU30" s="101"/>
      <c r="WPV30" s="101"/>
      <c r="WPW30" s="101"/>
      <c r="WPX30" s="101"/>
      <c r="WPY30" s="101"/>
      <c r="WPZ30" s="101"/>
      <c r="WQA30" s="101"/>
      <c r="WQB30" s="101"/>
      <c r="WQC30" s="101"/>
      <c r="WQD30" s="101"/>
      <c r="WQE30" s="101"/>
      <c r="WQF30" s="101"/>
      <c r="WQG30" s="101"/>
      <c r="WQH30" s="101"/>
      <c r="WQI30" s="101"/>
      <c r="WQJ30" s="101"/>
      <c r="WQK30" s="101"/>
      <c r="WQL30" s="101"/>
      <c r="WQM30" s="101"/>
      <c r="WQN30" s="101"/>
      <c r="WQO30" s="101"/>
      <c r="WQP30" s="101"/>
      <c r="WQQ30" s="101"/>
      <c r="WQR30" s="101"/>
      <c r="WQS30" s="101"/>
      <c r="WQT30" s="101"/>
      <c r="WQU30" s="101"/>
      <c r="WQV30" s="101"/>
      <c r="WQW30" s="101"/>
      <c r="WQX30" s="101"/>
      <c r="WQY30" s="101"/>
      <c r="WQZ30" s="101"/>
      <c r="WRA30" s="101"/>
      <c r="WRB30" s="101"/>
      <c r="WRC30" s="101"/>
      <c r="WRD30" s="101"/>
      <c r="WRE30" s="101"/>
      <c r="WRF30" s="101"/>
      <c r="WRG30" s="101"/>
      <c r="WRH30" s="101"/>
      <c r="WRI30" s="101"/>
      <c r="WRJ30" s="101"/>
      <c r="WRK30" s="101"/>
      <c r="WRL30" s="101"/>
      <c r="WRM30" s="101"/>
      <c r="WRN30" s="101"/>
      <c r="WRO30" s="101"/>
      <c r="WRP30" s="101"/>
      <c r="WRQ30" s="101"/>
      <c r="WRR30" s="101"/>
      <c r="WRS30" s="101"/>
      <c r="WRT30" s="101"/>
      <c r="WRU30" s="101"/>
      <c r="WRV30" s="101"/>
      <c r="WRW30" s="101"/>
      <c r="WRX30" s="101"/>
      <c r="WRY30" s="101"/>
      <c r="WRZ30" s="101"/>
      <c r="WSA30" s="101"/>
      <c r="WSB30" s="101"/>
      <c r="WSC30" s="101"/>
      <c r="WSD30" s="101"/>
      <c r="WSE30" s="101"/>
      <c r="WSF30" s="101"/>
      <c r="WSG30" s="101"/>
      <c r="WSH30" s="101"/>
      <c r="WSI30" s="101"/>
      <c r="WSJ30" s="101"/>
      <c r="WSK30" s="101"/>
      <c r="WSL30" s="101"/>
      <c r="WSM30" s="101"/>
      <c r="WSN30" s="101"/>
      <c r="WSO30" s="101"/>
      <c r="WSP30" s="101"/>
      <c r="WSQ30" s="101"/>
      <c r="WSR30" s="101"/>
      <c r="WSS30" s="101"/>
      <c r="WST30" s="101"/>
      <c r="WSU30" s="101"/>
      <c r="WSV30" s="101"/>
      <c r="WSW30" s="101"/>
      <c r="WSX30" s="101"/>
      <c r="WSY30" s="101"/>
      <c r="WSZ30" s="101"/>
      <c r="WTA30" s="101"/>
      <c r="WTB30" s="101"/>
      <c r="WTC30" s="101"/>
      <c r="WTD30" s="101"/>
      <c r="WTE30" s="101"/>
      <c r="WTF30" s="101"/>
      <c r="WTG30" s="101"/>
      <c r="WTH30" s="101"/>
      <c r="WTI30" s="101"/>
      <c r="WTJ30" s="101"/>
      <c r="WTK30" s="101"/>
      <c r="WTL30" s="101"/>
      <c r="WTM30" s="101"/>
      <c r="WTN30" s="101"/>
      <c r="WTO30" s="101"/>
      <c r="WTP30" s="101"/>
      <c r="WTQ30" s="101"/>
      <c r="WTR30" s="101"/>
      <c r="WTS30" s="101"/>
      <c r="WTT30" s="101"/>
      <c r="WTU30" s="101"/>
      <c r="WTV30" s="101"/>
      <c r="WTW30" s="101"/>
      <c r="WTX30" s="101"/>
      <c r="WTY30" s="101"/>
      <c r="WTZ30" s="101"/>
      <c r="WUA30" s="101"/>
      <c r="WUB30" s="101"/>
      <c r="WUC30" s="101"/>
      <c r="WUD30" s="101"/>
      <c r="WUE30" s="101"/>
      <c r="WUF30" s="101"/>
      <c r="WUG30" s="101"/>
      <c r="WUH30" s="101"/>
      <c r="WUI30" s="101"/>
      <c r="WUJ30" s="101"/>
      <c r="WUK30" s="101"/>
      <c r="WUL30" s="101"/>
      <c r="WUM30" s="101"/>
      <c r="WUN30" s="101"/>
      <c r="WUO30" s="101"/>
      <c r="WUP30" s="101"/>
      <c r="WUQ30" s="101"/>
      <c r="WUR30" s="101"/>
      <c r="WUS30" s="101"/>
      <c r="WUT30" s="101"/>
      <c r="WUU30" s="101"/>
      <c r="WUV30" s="101"/>
      <c r="WUW30" s="101"/>
      <c r="WUX30" s="101"/>
      <c r="WUY30" s="101"/>
      <c r="WUZ30" s="101"/>
      <c r="WVA30" s="101"/>
      <c r="WVB30" s="101"/>
      <c r="WVC30" s="101"/>
      <c r="WVD30" s="101"/>
      <c r="WVE30" s="101"/>
      <c r="WVF30" s="101"/>
      <c r="WVG30" s="101"/>
      <c r="WVH30" s="101"/>
      <c r="WVI30" s="101"/>
      <c r="WVJ30" s="101"/>
      <c r="WVK30" s="101"/>
      <c r="WVL30" s="101"/>
      <c r="WVM30" s="101"/>
      <c r="WVN30" s="101"/>
      <c r="WVO30" s="101"/>
      <c r="WVP30" s="101"/>
      <c r="WVQ30" s="101"/>
      <c r="WVR30" s="101"/>
      <c r="WVS30" s="101"/>
      <c r="WVT30" s="101"/>
      <c r="WVU30" s="101"/>
      <c r="WVV30" s="101"/>
      <c r="WVW30" s="101"/>
      <c r="WVX30" s="101"/>
      <c r="WVY30" s="101"/>
      <c r="WVZ30" s="101"/>
      <c r="WWA30" s="101"/>
      <c r="WWB30" s="101"/>
      <c r="WWC30" s="101"/>
      <c r="WWD30" s="101"/>
      <c r="WWE30" s="101"/>
      <c r="WWF30" s="101"/>
      <c r="WWG30" s="101"/>
      <c r="WWH30" s="101"/>
      <c r="WWI30" s="101"/>
      <c r="WWJ30" s="101"/>
      <c r="WWK30" s="101"/>
      <c r="WWL30" s="101"/>
      <c r="WWM30" s="101"/>
      <c r="WWN30" s="101"/>
      <c r="WWO30" s="101"/>
      <c r="WWP30" s="101"/>
      <c r="WWQ30" s="101"/>
      <c r="WWR30" s="101"/>
      <c r="WWS30" s="101"/>
      <c r="WWT30" s="101"/>
      <c r="WWU30" s="101"/>
      <c r="WWV30" s="101"/>
      <c r="WWW30" s="101"/>
      <c r="WWX30" s="101"/>
      <c r="WWY30" s="101"/>
      <c r="WWZ30" s="101"/>
      <c r="WXA30" s="101"/>
      <c r="WXB30" s="101"/>
      <c r="WXC30" s="101"/>
      <c r="WXD30" s="101"/>
      <c r="WXE30" s="101"/>
      <c r="WXF30" s="101"/>
      <c r="WXG30" s="101"/>
      <c r="WXH30" s="101"/>
      <c r="WXI30" s="101"/>
      <c r="WXJ30" s="101"/>
      <c r="WXK30" s="101"/>
      <c r="WXL30" s="101"/>
      <c r="WXM30" s="101"/>
      <c r="WXN30" s="101"/>
      <c r="WXO30" s="101"/>
      <c r="WXP30" s="101"/>
      <c r="WXQ30" s="101"/>
      <c r="WXR30" s="101"/>
      <c r="WXS30" s="101"/>
      <c r="WXT30" s="101"/>
      <c r="WXU30" s="101"/>
      <c r="WXV30" s="101"/>
      <c r="WXW30" s="101"/>
      <c r="WXX30" s="101"/>
      <c r="WXY30" s="101"/>
      <c r="WXZ30" s="101"/>
      <c r="WYA30" s="101"/>
      <c r="WYB30" s="101"/>
      <c r="WYC30" s="101"/>
      <c r="WYD30" s="101"/>
      <c r="WYE30" s="101"/>
      <c r="WYF30" s="101"/>
      <c r="WYG30" s="101"/>
      <c r="WYH30" s="101"/>
      <c r="WYI30" s="101"/>
      <c r="WYJ30" s="101"/>
      <c r="WYK30" s="101"/>
      <c r="WYL30" s="101"/>
      <c r="WYM30" s="101"/>
      <c r="WYN30" s="101"/>
      <c r="WYO30" s="101"/>
      <c r="WYP30" s="101"/>
      <c r="WYQ30" s="101"/>
      <c r="WYR30" s="101"/>
      <c r="WYS30" s="101"/>
      <c r="WYT30" s="101"/>
      <c r="WYU30" s="101"/>
      <c r="WYV30" s="101"/>
      <c r="WYW30" s="101"/>
      <c r="WYX30" s="101"/>
      <c r="WYY30" s="101"/>
      <c r="WYZ30" s="101"/>
      <c r="WZA30" s="101"/>
      <c r="WZB30" s="101"/>
      <c r="WZC30" s="101"/>
      <c r="WZD30" s="101"/>
      <c r="WZE30" s="101"/>
      <c r="WZF30" s="101"/>
      <c r="WZG30" s="101"/>
      <c r="WZH30" s="101"/>
      <c r="WZI30" s="101"/>
      <c r="WZJ30" s="101"/>
      <c r="WZK30" s="101"/>
      <c r="WZL30" s="101"/>
      <c r="WZM30" s="101"/>
      <c r="WZN30" s="101"/>
      <c r="WZO30" s="101"/>
      <c r="WZP30" s="101"/>
      <c r="WZQ30" s="101"/>
      <c r="WZR30" s="101"/>
      <c r="WZS30" s="101"/>
      <c r="WZT30" s="101"/>
      <c r="WZU30" s="101"/>
      <c r="WZV30" s="101"/>
      <c r="WZW30" s="101"/>
      <c r="WZX30" s="101"/>
      <c r="WZY30" s="101"/>
      <c r="WZZ30" s="101"/>
      <c r="XAA30" s="101"/>
      <c r="XAB30" s="101"/>
      <c r="XAC30" s="101"/>
      <c r="XAD30" s="101"/>
      <c r="XAE30" s="101"/>
      <c r="XAF30" s="101"/>
      <c r="XAG30" s="101"/>
      <c r="XAH30" s="101"/>
      <c r="XAI30" s="101"/>
      <c r="XAJ30" s="101"/>
      <c r="XAK30" s="101"/>
      <c r="XAL30" s="101"/>
      <c r="XAM30" s="101"/>
      <c r="XAN30" s="101"/>
      <c r="XAO30" s="101"/>
      <c r="XAP30" s="101"/>
      <c r="XAQ30" s="101"/>
      <c r="XAR30" s="101"/>
      <c r="XAS30" s="101"/>
      <c r="XAT30" s="101"/>
      <c r="XAU30" s="101"/>
      <c r="XAV30" s="101"/>
      <c r="XAW30" s="101"/>
      <c r="XAX30" s="101"/>
      <c r="XAY30" s="101"/>
      <c r="XAZ30" s="101"/>
      <c r="XBA30" s="101"/>
      <c r="XBB30" s="101"/>
      <c r="XBC30" s="101"/>
      <c r="XBD30" s="101"/>
      <c r="XBE30" s="101"/>
      <c r="XBF30" s="101"/>
      <c r="XBG30" s="101"/>
      <c r="XBH30" s="101"/>
      <c r="XBI30" s="101"/>
      <c r="XBJ30" s="101"/>
      <c r="XBK30" s="101"/>
      <c r="XBL30" s="101"/>
      <c r="XBM30" s="101"/>
      <c r="XBN30" s="101"/>
      <c r="XBO30" s="101"/>
      <c r="XBP30" s="101"/>
      <c r="XBQ30" s="101"/>
      <c r="XBR30" s="101"/>
      <c r="XBS30" s="101"/>
      <c r="XBT30" s="101"/>
      <c r="XBU30" s="101"/>
      <c r="XBV30" s="101"/>
      <c r="XBW30" s="101"/>
      <c r="XBX30" s="101"/>
      <c r="XBY30" s="101"/>
      <c r="XBZ30" s="101"/>
      <c r="XCA30" s="101"/>
      <c r="XCB30" s="101"/>
      <c r="XCC30" s="101"/>
      <c r="XCD30" s="101"/>
      <c r="XCE30" s="101"/>
      <c r="XCF30" s="101"/>
      <c r="XCG30" s="101"/>
      <c r="XCH30" s="101"/>
      <c r="XCI30" s="101"/>
      <c r="XCJ30" s="101"/>
      <c r="XCK30" s="101"/>
      <c r="XCL30" s="101"/>
      <c r="XCM30" s="101"/>
      <c r="XCN30" s="101"/>
      <c r="XCO30" s="101"/>
      <c r="XCP30" s="101"/>
      <c r="XCQ30" s="101"/>
      <c r="XCR30" s="101"/>
      <c r="XCS30" s="101"/>
      <c r="XCT30" s="101"/>
      <c r="XCU30" s="101"/>
      <c r="XCV30" s="101"/>
      <c r="XCW30" s="101"/>
      <c r="XCX30" s="101"/>
      <c r="XCY30" s="101"/>
      <c r="XCZ30" s="101"/>
      <c r="XDA30" s="101"/>
      <c r="XDB30" s="101"/>
      <c r="XDC30" s="101"/>
      <c r="XDD30" s="101"/>
      <c r="XDE30" s="101"/>
      <c r="XDF30" s="101"/>
      <c r="XDG30" s="101"/>
      <c r="XDH30" s="101"/>
      <c r="XDI30" s="101"/>
      <c r="XDJ30" s="101"/>
      <c r="XDK30" s="101"/>
      <c r="XDL30" s="101"/>
      <c r="XDM30" s="101"/>
      <c r="XDN30" s="101"/>
      <c r="XDO30" s="101"/>
      <c r="XDP30" s="101"/>
      <c r="XDQ30" s="101"/>
      <c r="XDR30" s="101"/>
      <c r="XDS30" s="101"/>
      <c r="XDT30" s="101"/>
      <c r="XDU30" s="101"/>
      <c r="XDV30" s="101"/>
      <c r="XDW30" s="101"/>
      <c r="XDX30" s="101"/>
      <c r="XDY30" s="101"/>
      <c r="XDZ30" s="101"/>
      <c r="XEA30" s="101"/>
      <c r="XEB30" s="101"/>
      <c r="XEC30" s="101"/>
      <c r="XED30" s="101"/>
      <c r="XEE30" s="101"/>
      <c r="XEF30" s="101"/>
      <c r="XEG30" s="101"/>
      <c r="XEH30" s="101"/>
      <c r="XEI30" s="101"/>
      <c r="XEJ30" s="101"/>
      <c r="XEK30" s="101"/>
      <c r="XEL30" s="101"/>
      <c r="XEM30" s="101"/>
      <c r="XEN30" s="101"/>
      <c r="XEO30" s="101"/>
      <c r="XEP30" s="101"/>
      <c r="XEQ30" s="101"/>
      <c r="XER30" s="101"/>
      <c r="XES30" s="101"/>
      <c r="XET30" s="101"/>
      <c r="XEU30" s="101"/>
      <c r="XEV30" s="101"/>
      <c r="XEW30" s="101"/>
      <c r="XEX30" s="101"/>
      <c r="XEY30" s="101"/>
      <c r="XEZ30" s="101"/>
      <c r="XFA30" s="101"/>
      <c r="XFB30" s="101"/>
      <c r="XFC30" s="101"/>
      <c r="XFD30" s="101"/>
    </row>
    <row r="31" spans="1:16384" ht="409.5" x14ac:dyDescent="0.25">
      <c r="A31" s="101" t="s">
        <v>38</v>
      </c>
      <c r="B31" s="6" t="s">
        <v>258</v>
      </c>
      <c r="C31" s="6" t="s">
        <v>3040</v>
      </c>
      <c r="D31" s="103" t="s">
        <v>118</v>
      </c>
      <c r="E31" s="103" t="s">
        <v>1430</v>
      </c>
      <c r="F31" s="103" t="s">
        <v>3337</v>
      </c>
      <c r="G31" s="103" t="s">
        <v>3357</v>
      </c>
      <c r="H31" s="111" t="s">
        <v>245</v>
      </c>
      <c r="I31" s="103" t="s">
        <v>3020</v>
      </c>
      <c r="J31" s="103" t="s">
        <v>97</v>
      </c>
      <c r="K31" s="108">
        <v>42214.806944444441</v>
      </c>
      <c r="L31" s="11">
        <f ca="1">IFERROR(IF(AND(Y31&lt;&gt;"Concluído",Y31&lt;&gt;"Cancelado"),TODAY()-K31+1,Z31-K31),"")</f>
        <v>308.19305555555911</v>
      </c>
      <c r="M31" s="108">
        <v>42217</v>
      </c>
      <c r="N31" s="108" t="s">
        <v>3358</v>
      </c>
      <c r="O31" s="108" t="s">
        <v>2306</v>
      </c>
      <c r="P31" s="108" t="s">
        <v>2306</v>
      </c>
      <c r="Q31" s="108" t="s">
        <v>2306</v>
      </c>
      <c r="R31" s="44"/>
      <c r="S31" s="109" t="s">
        <v>3769</v>
      </c>
      <c r="T31" s="109" t="str">
        <f t="shared" si="0"/>
        <v xml:space="preserve">                                      
31/05 - Conforme retorno da Equipe de Aplicações (Morais), esta demanda só será tratada a partir da entrega das solicitações CTXRECSA-358319 – ( fase 1 e fase2).
24/05 - Conforme retorno da Equipe de Aplicações (Morais), esta demanda só será tratada a partir da entrega das solicitações CTXRECSA-358319 – ( fase 1 e fase2).
17/05 - Conforme retorno da Equipe de Aplicações (Morais), esta demanda só será tratada a partir da entrega das solicitações CTXRECSA-358319 – ( fase 1 e fase2).
10/05 - Mesmo Status
03/05 - Mesmo Status
25/04 - Conforme retorno da Equipe de Aplicações (Morais), esta demanda só será tratada a partir da entrega das solicitações CTXRECSA-358319 – ( fase 1 e fase2).
19/04 -  Mesmo status.
12/04 - Conforme retorno da Equipe de Aplicações (Morais), esta demanda só será tratada a partir da entrega das solicitações CTXRECSA-358319 – ( fase 1 e fase2).
04/04 -  Conforme retorno da Equipe de Aplicações (Morais), esta demanda só será tratada a partir da entrega das solicitações CTXRECSA-358319 – ( fase 1 e fase2).
28/03 - Mesmo Status
21/03 - Mesmo Status
15/03 - Mesmo Status
07/03 -  Conforme retorno da Equipe de Aplicações (Morais), esta demanda só será tratada a partir da entrega das solicitações CTXRECSA-358319 – ( fase 1 e fase2):
01/03- Conforme retorno da Equipe de Aplicações (Morais), esta demanda só será tratada a partir da entrega das solicitações CTXRECSA-358319 – ( fase 1 e fase2):
23/02 - Mesmo Status
15/02 - Conforme retorno da Equipe de Aplicações (Morais), esta demanda só será tratada a partir da entrega das solicitações CTXRECSA-358319 – ( fase 1 e fase2):
10/02 -Solicitada a entrada na Fila da Equipe de Moraes devido a necessidade de Integração do sistema Perfiquality X TGuidance X Discador.
02/02 - Conforme retorno hoje da operação o sistema Perfiquality é Oi , Infra na Oi e  é uma ferramenta para perfilamento e não tem vinculo com a telefonia. Sendo assim, iremos acionar a Equipe de Aplicações  para análise.
26/01 - Desenho de Engenharia de Telecom já está feito. 
Estamos aguardando retorno da operação verificar as informações da Infra do sistema com o José Nilton (Oi).
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18/12 - Em Comitê.
24/11 - Em Comitê.
Em paralelo, está sendo realizado interações com o Fornecedor peraante as regras de Negócios, Infra , Discador.
17/11 - Aguardando retorno do cliente perante a análise da proposta do fornecedor, interação referente as regras de negócio e verificando questões de licença
30/10 - Proposta enviada pelo Fornecedor. Em análise. Estimativa de OG. AGUARDANDO OK PARA CONTRATAÇÃO DA TQS. DISCUSSÃO DE LINKS LICENÇAS DISCADOR.
13/10 - Em comitê
06/10 - Em Comitê
29/09 - Em fase de Aprovação da Proposta Comercial
----------------------------------------------
22/09 - 1) Não temos licenças de TLV disponível para este crescimento – Verificando com a operação orçamento disponível para abrir um processo de compra de Licenças
2) O Planejamento destas Operações precisa dimensionar o crescimento de troncos, com base nesta informação saberemos se temos espaço disponível nos DCPs para inclusão de novos troncos.
</v>
      </c>
      <c r="V31" s="109" t="s">
        <v>3433</v>
      </c>
      <c r="W31" s="109" t="s">
        <v>3034</v>
      </c>
      <c r="X31" s="109" t="s">
        <v>2306</v>
      </c>
      <c r="Y31" s="109" t="s">
        <v>107</v>
      </c>
      <c r="AA31" s="109">
        <v>185</v>
      </c>
      <c r="AB31" s="108" t="s">
        <v>273</v>
      </c>
      <c r="AC31" s="108" t="s">
        <v>2282</v>
      </c>
      <c r="AD31" s="101" t="s">
        <v>2350</v>
      </c>
    </row>
    <row r="32" spans="1:16384" ht="409.5" x14ac:dyDescent="0.25">
      <c r="A32" s="101" t="s">
        <v>251</v>
      </c>
      <c r="B32" s="7" t="s">
        <v>252</v>
      </c>
      <c r="C32" s="7" t="s">
        <v>3040</v>
      </c>
      <c r="D32" s="109" t="s">
        <v>2288</v>
      </c>
      <c r="E32" s="103" t="s">
        <v>1430</v>
      </c>
      <c r="F32" s="103" t="s">
        <v>3337</v>
      </c>
      <c r="G32" s="103" t="s">
        <v>3345</v>
      </c>
      <c r="H32" s="111" t="s">
        <v>245</v>
      </c>
      <c r="I32" s="103" t="s">
        <v>3357</v>
      </c>
      <c r="J32" s="103" t="s">
        <v>97</v>
      </c>
      <c r="K32" s="108">
        <v>42230</v>
      </c>
      <c r="L32" s="11">
        <f ca="1">IFERROR(IF(AND(Y32&lt;&gt;"Concluído",Y32&lt;&gt;"Cancelado"),TODAY()-K32+1,Z32-K32),"")</f>
        <v>293</v>
      </c>
      <c r="M32" s="108">
        <v>42272</v>
      </c>
      <c r="N32" s="108" t="s">
        <v>3358</v>
      </c>
      <c r="O32" s="108" t="s">
        <v>2306</v>
      </c>
      <c r="P32" s="108" t="s">
        <v>2306</v>
      </c>
      <c r="Q32" s="108" t="s">
        <v>2306</v>
      </c>
      <c r="R32" s="45"/>
      <c r="S32" s="109" t="s">
        <v>3770</v>
      </c>
      <c r="T32" s="109" t="str">
        <f t="shared" si="0"/>
        <v xml:space="preserve">                                      
31/05 - Conforme último status da operação , tivemos mudança de Dir da Oi, com isso estamos aguardando próxima diretiva perante esta aprovação.
24/05 - Mesmo Status.
17/05 - Em fase de Aprovação com o cliente, foi solicitado o prazo do mesmo.
10/05 - Mesmo Status.
03/05 - Mesmo Status.
25/04 - Em fase de Aprovação com o cliente, foi solicitado o prazo do mesmo.
19/04 - Mesmo status
12/04 - Em fase de Aprovação com o cliente, foi solicitado o prazo do mesmo.
04/04 - Interação com a Equipe de Ura sobre esta demanda. 
Ressaltando que essa restruturação não contempla a inclusão de novas consultas não relacionadas ao STC, apenas a melhorias dos menus e processos da aplicação de URA.
28/03 - Mesmo status, cliente Oi analisando a última proposta enviada
21/03 - Mesmo status, cliente analisando a última proposta enviada.
15/03 - Mesmo Status.
07/03 - Mesmo Status.
01/03 - Proposta renovada e enviada ao cliente. Aguardando definição.
23/02 - Aguardando cronograma de Engenharia e em paralelo a Equipe de Ura está renovando a proposta.
15/02 - Mesmo Status, acrescentando a solicitação da Equipe de Ura Contax, renovar a proposta interna devido a validade da mesma.
10/02 - Solicitado o Estudo de Engenharia para o desenho desta solução, pois o valor  anterior da proposta da Equipe de Ura Contax  não contemplava infraestrutura e  sistema de monitoração.
02/02 - Mesmo status.
26/01 - Mesmo status, sem retorno da operação.
18/12 - Proposta realizada pela Equipe Interna Contax de URA , enviada para o solicitante, aguardando retorno.
08/12 - Proposta enviada para o solicitante, aguardando retorno.
01/12 - Aguardando definição de valores da Proposta da Equipe de Ura Contax. Foi cobrado a área de Ura Contax sobre a Proposta.
24/11 - Conforme alinhamento, a Equipe de Ura Contax enviará a proposta no dia 27/11 (Sext)
17/11 - Aguardando o aval do solicitante para que a Equipe de Ura Contax possa interagir e gerar uma nova proposta.
09/11 - Equipe de URA Contax aceitou fazer estudo de custo e prazo como alternativa a Avaya. Fontes solicitados para a AVAYA, que ainda não retornou.
30/10 - Acionado a área de Ura Produção para análise desta proposta.
20/10 -  Sendo analisado a Proposta enviada pela Avaya.
13/10 - Aguardando janela da operação para alinhamento sobre a proposta da avaya.
06/10 - Aguardando aprovação
29/09-Encaminhado o orçamento em PDF para aprovação.
16/09-Encaminhado orçamento para a area solicitante, estamos aguardando a proposta comercial em PDF, solicitada em 17/09.</v>
      </c>
      <c r="V32" s="109" t="s">
        <v>3434</v>
      </c>
      <c r="W32" s="109" t="s">
        <v>3035</v>
      </c>
      <c r="X32" s="109" t="s">
        <v>2306</v>
      </c>
      <c r="Y32" s="109" t="s">
        <v>1515</v>
      </c>
      <c r="AA32" s="109">
        <v>220</v>
      </c>
      <c r="AB32" s="108" t="s">
        <v>273</v>
      </c>
      <c r="AC32" s="108" t="s">
        <v>2282</v>
      </c>
      <c r="AD32" s="101" t="s">
        <v>273</v>
      </c>
    </row>
    <row r="33" spans="1:30" ht="409.5" x14ac:dyDescent="0.25">
      <c r="A33" s="101" t="s">
        <v>2447</v>
      </c>
      <c r="B33" s="7" t="s">
        <v>3070</v>
      </c>
      <c r="C33" s="7" t="s">
        <v>3077</v>
      </c>
      <c r="D33" s="103" t="s">
        <v>2288</v>
      </c>
      <c r="E33" s="103" t="s">
        <v>1430</v>
      </c>
      <c r="F33" s="103" t="s">
        <v>3337</v>
      </c>
      <c r="G33" s="103" t="s">
        <v>3345</v>
      </c>
      <c r="H33" s="111" t="s">
        <v>246</v>
      </c>
      <c r="J33" s="103" t="s">
        <v>98</v>
      </c>
      <c r="K33" s="108">
        <v>42251.796527777777</v>
      </c>
      <c r="L33" s="11">
        <f ca="1">IFERROR(IF(AND(Y33&lt;&gt;"Concluído",Y33&lt;&gt;"Cancelado"),TODAY()-K33+1,Z33-K33),"")</f>
        <v>271.20347222222335</v>
      </c>
      <c r="M33" s="108">
        <v>42272</v>
      </c>
      <c r="N33" s="108" t="s">
        <v>273</v>
      </c>
      <c r="O33" s="108" t="s">
        <v>2306</v>
      </c>
      <c r="P33" s="108" t="s">
        <v>2306</v>
      </c>
      <c r="Q33" s="103" t="s">
        <v>2306</v>
      </c>
      <c r="R33" s="45"/>
      <c r="S33" s="114" t="s">
        <v>3838</v>
      </c>
      <c r="T33" s="109" t="str">
        <f t="shared" si="0"/>
        <v xml:space="preserve">                                      
Edison Nei Siqueira added a comment - 31/Mai/16 17:48
Estamos realizando ajustes junto a Telecom-PT na aplicação para operação Outbound.
Edison Nei Siqueira added a comment - 18/Mai/16 11:30
Estamos realizando os ajustes nas aplicações junto ao fornecedor Telecom-PT para darmos inicio ao piloto das operações outbound.
Edison Nei Siqueira added a comment - 03/Mai/16 12:36
Continuamos aguardando o posicionamento da Telecom-PT com relação a versão que vai tratar as chamadas da operação Outbound estava previsto para 27/04 e até o presente momento não recebemos um posicionamento.
Edison Nei Siqueira added a comment - 26/Abr/16 20:24
Continuamos aguardando o posicionamento da Telecom-PT com relação a versão que vai tratar as chamadas da operação Outbound previsto para 26/04.
Edison Nei Siqueira added a comment - 20/Abr/16 08:49
Realizada a carga do mailing do Outbound com sucesso, estamos aguardando agora a Telecom-PT disponibilizar a versão do Carbon que vai tratar o recebimento da chamada, previsão de liberação da versão por parte da Telecom-PT ficou para o dia 26/04.
Edison Nei Siqueira added a comment - 12/Abr/16 18:22
Hoje foi concluído o rollout do Carbon para a operação Unificado. 
Aguardando o versão da Telecom-PT para homologar as operações de Outbound .
Edison Nei Siqueira added a comment - 05/Abr/16 17:08
Iniciamos o rollout da integração tGuidance x Carbon nas operações Ountbound. 
4P - rollout realizado em 04/04 para 100% da operação. 
3P - rollout em andamento. 
Edison Nei Siqueira added a comment - 29/Mar/16 15:40
Desenvolvimento tControl, tGuidance e Carbon, homologação concluída e validada junto a operação. 
Instalação do Carbon nas posições de crescimento, 209 PAs site Comércio OCT e 164 no site Boa Viagem concluído e em homologação por parte de operações. 
SCs com necessidade de ajuste de valores para aquisição dos demais insumos para a infraestrutura definitiva.
15/03 - Mesmo status. Handover Finalizado com o Edson Siqueira 
07/03 - Todo o Site Comércio (Célula 4P) e Site Boa Viagem (Célula 3P) estão com as operações com o Carbon instalado.
Hoje estamos na Fase de Teste do tGuidance com Carbon ou usando um skill da operação ou VDN DDR.
Em paralelo, temos uma Fase que envolve o TControl no qual foi alinhado uma EF no dia 03/03, com ambas as frentes. 
Conforme retorno de TI, dentro do planejamento o período de desenvolvimento é no dia  09/03/2016 Quarta  à  21/03/2016 Segunda.
01/03 - PTI - Terminando a validação da resolução dos monitores em relação ao Carbon; Início de testes em relação a Integração Tguidance x Carbon;
Interação sobre o Novo Escopo tControl x Carbon x TGuidance
23/02 - Sites Boa Viagem e Comercio estão preparados com o Carbon, no momento a operação está testando o mesmo junto ao fornecedor perante regras de negócios operacionais.
15/02 - Fornecedor não conseguiu  completar a carga da base de clientes, mas já consegui subir parcialmente. Sobre os scripts, foi alterado a abordagem que realizamos o cadastro dos textos . 
Em paralelo , estamos atuando on site perante a preparação do ambiente (Boa Viagem e Comércio).
Em última conferência , a fornecedora PT propôs que a integração do tControl seja com o Carbon e, após abertura do Carbon, o Carbon chame o tGuidance. Foi sinalizado esta necessidade a Equipe de Aplicações TI, aguardando retorno.
10/02 - Fornecedor realizando algumas correções, no processo de upload da Base de clientes para os testes.
02/02 - O fornecedor  PTI  verificou a  necessidade de alterações nas telas da campanha 3P Receptivo para adequar aos tamanhos dos monitores da Contax. Aguardando retorno da homologação.
26/01 - Dentro da Demanda do Carbon temos 3 fases:
No momento estamos em  homologaçao:
FASE 1 - Sem Integração
Validação do Carbon (Operação inbound) 
18/12 - Cronograma enviado no dia 02/12, sendo aceito pela solicitante.
Fase: Instalação do Carbon pelo Fornecedor PTI e Início dos testes.
Em paralelo está sendo Desenvolvimento a frente de Mailing pela Equipe de Aplicações.
Foi avaliado que o Site Comercio não tem infraestrutura para o aceite de 32 pas, sendo avaliado possibilidade de colocar tudo no Site Boa Viagem ou em outro Site.
Hoje temos o layout assertivo de 68 pas no Site Boa Viagem, já foi avaliado a premissa de desktops 
dos agentes. 
08/12 - ENG - Desenho da Solução enviado ao solicitante, retorno de aceite do mesmo.Cronograma sendo seguido
Site - Solicitação de layout para o solicitante para avaliação da infra dos desktops do agente, aguardando retorno do solicitante.Em paralelo, houve questionamento do Site pois o site comercio não tem link mpls direto com o DC, e migramos 300 pas para o mesmo nesta semana. 
Questionamentos feitos a ENG (Villa) "Houve avaliação do link? Suporta? Qual será a rota de saída?”
01/12 - Cronograma sendo alinhado com as áreas.
Ações de CSE em andamento.
Doc do Desenho da Solução sendo finalizado por ENG, em paralelo a Dell estará enviando as cotações dos servidores para a infra definitiva seguindo o processo de Suprimentos.
24/11 - Na frente de infra foi acionado o Klaus que somente vai poder nos atender entre 01 e 08/12. 
Foi acionado o LW para fechar a implementação do ambiente após entrega do desenho do Klaus.
O Alexandre Morais entrou em detalhe com Tiago da PT.
A operação informa que a solução tem que entrar até 24/11, pois estava com Rivaldo e  etc. Já sinalizado que possivelmente só ano que vem estará apto para fornecedor poder atuar. Assunto já escalado.
17/11 - Na frente de infra foi acionado o Klaus que somente vai poder nos atender entre 01 e 08/12. 
Foi acionado o LW para fechar a implementação do ambiente após entrega do desenho do Klaus.
O Alexandre Morais entrou em detalhe com Tiago da PT.
A operação informa que a solução tem que entrar até 24/11, pois estava com Rivaldo e  etc. Já sinalizado que possivelmente só ano que vem estará apto para fornecedor poder atuar. Assunto já escalado.
-------------------------
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
30/10 - Reunião de alinhamento sobre execução de integração do Carbon com tguidance realizada entre operação,  TI e OI.
27/10 -  Análise e Entendimento do Escopo do Projeto, em defesa de prioridades por Diretoria.
20/10 - Análise e Entendimento do Escopo do Projeto
13/10 - Análise e Entendimento do Escopo do Projeto
06/10 -Informado ao solicitante para preencher o formulário de detalhamento do projeto para podermos dar continuidade na Análise e estimativa do mesmo. 
</v>
      </c>
      <c r="U33" s="114"/>
      <c r="V33" s="109" t="s">
        <v>3458</v>
      </c>
      <c r="W33" s="109" t="s">
        <v>3458</v>
      </c>
      <c r="X33" s="109" t="s">
        <v>2306</v>
      </c>
      <c r="Y33" s="109" t="s">
        <v>231</v>
      </c>
      <c r="AA33" s="109">
        <v>15</v>
      </c>
      <c r="AB33" s="108" t="s">
        <v>2350</v>
      </c>
      <c r="AC33" s="108">
        <v>42399</v>
      </c>
      <c r="AD33" s="101" t="s">
        <v>273</v>
      </c>
    </row>
    <row r="34" spans="1:30" ht="409.5" x14ac:dyDescent="0.25">
      <c r="A34" s="101" t="s">
        <v>1699</v>
      </c>
      <c r="B34" s="7" t="s">
        <v>1700</v>
      </c>
      <c r="C34" s="7" t="s">
        <v>3041</v>
      </c>
      <c r="D34" s="109" t="s">
        <v>2288</v>
      </c>
      <c r="E34" s="103" t="s">
        <v>1430</v>
      </c>
      <c r="F34" s="103" t="s">
        <v>3337</v>
      </c>
      <c r="G34" s="103" t="s">
        <v>3345</v>
      </c>
      <c r="H34" s="111" t="s">
        <v>245</v>
      </c>
      <c r="I34" s="103" t="s">
        <v>3359</v>
      </c>
      <c r="J34" s="103" t="s">
        <v>97</v>
      </c>
      <c r="K34" s="108">
        <v>42188.760416666664</v>
      </c>
      <c r="L34" s="11">
        <f ca="1">IFERROR(IF(AND(Y34&lt;&gt;"Concluído",Y34&lt;&gt;"Cancelado"),TODAY()-K34+1,Z34-K34),"")</f>
        <v>334.23958333333576</v>
      </c>
      <c r="M34" s="108">
        <v>42272</v>
      </c>
      <c r="N34" s="108" t="s">
        <v>2350</v>
      </c>
      <c r="O34" s="108" t="s">
        <v>2282</v>
      </c>
      <c r="P34" s="108">
        <v>42496</v>
      </c>
      <c r="Q34" s="103" t="s">
        <v>2350</v>
      </c>
      <c r="R34" s="44"/>
      <c r="S34" s="109" t="s">
        <v>3771</v>
      </c>
      <c r="T34" s="109" t="str">
        <f t="shared" si="0"/>
        <v xml:space="preserve">                                      
31/05 - Pendencia do acesso externo sendo verificada. 
Através do chamado SPOAS-12705, estamos estudando as viabilidades.
O mesmo foi fechado , pedimos para o cliente testar, aguardando retorno.
24/05 -  Conseguimos resolver a questão da Matriz de Acionamento que será realizada diretamente do cliente ao Noc e o mesmo será incluso no grupo de sms.
Quanto ao acesso externo, foi realizado uma conferência com Redes Oi e Contax no qual surgiram 2 cenários de viabilidade e depois o 3 via VPN . Através do chamado SPOAS-12705, estamos estudando as viabilidades.
17/05 - Temos duas ações que o cliente está solicitando para o fechamento desta demanda, conforme abaixo:
1. Acesso ao NGR Monitor ao cliente, fora do ambiente Contax
Nesta Quarta (disponibilidade do cliente) , será realizado uma conferência com Redes Oi e Redes Contax para verificação deste acesso, via NAT.
2. Matriz de Acionamento
Foi enviado esta matriz conforme padrão da Empresa, porém a cliente solicita um 0800 exclusivo para acionamento, caso precise.
Conforme última interação com o Ger. Jose Carlos de Ura , não temos este tipo de acionamento.
10/05 - Estamos em processo de Homologação, porém o solicitante deseja.
1 - Acesso externo para o cliente Oi, via Nat:
Aberto chamado SPOAS-12705, aguardando o DA do solicitante.
2 - Acionamento direto do cliente Oi ao Suporte de Ura:
Sendo analisado os contratos de Ura Oi para verificar a viabilidade.
03/05 - Cliente está solicitando uma liberação via web que não está dentro do escopo da demanda. Foi solicitado uma call amanhã 04/05 para esta definição.
25/04 - Mesmo status.
19/04 - Aguardando o retorno de Ura Contax com as pendências de finalização desta demanda.
12/04 -Noc já treinado. a Matriz de Acionamento enviada.
Aguardando retorno sobre os acessos e finalizando questões de relatórios.
04/04 - Treinamento do Noc sendo realizado.Liberação do cliente, sendo realizado. 
Conforme interação com Dennys Noc, o treinamento será finalizado no dia 11/04, no qual posteriormente será enviado a Matriz de Acionamento para o solicitante.
28/03 - Treinamento do Noc sendo realizado.Liberação do cliente, sendo realizado.
21/03 - Mesmo status.
15/03 - Analisando a possibilidade dos acesso do cliente Oi ( Via Link de Internet ou Acesso Via Nat);
 - Matriz de Acionamento, estamos em treinamento do Noc  para que possamos enviá-la.
07/03 - Definição de treinamento com NOC.
01/03 - Aplicação em Produção, feito treinamento direto com o cliente.
Homologado com sucesso.
No momento estamos, tentando interação com o NOC para definição 
de processos de Monitoração.
23/02- A ferramenta está em Produção porém, para a Ura conseguir passar as informações de Produção é necessário a GMUD (dia 24/02).
Fase de Piloto com término no dia 26/02.
Quanto a parte de Monitoração, estamos alinhando com as partes de TI para que o NOC entre em contato com o Manuel Botelho (Site), informando a indisponibilidade, caso haja.
Ontem a Equipe de URA fez um over view com o cliente.
Hoje teremos uma conferência para fechar este fluxo. 
15/02 - Cronograma seguindo conforme acordado. Equipe de Ura atuando, conforme previsto.
10/02 - Cronograma refeito com o dealine 24/02, amanhã daremos continuidade as ações de Ura.
02/02 - Refeito o cronograma, a parte do CSE já está concluída. Estamos trabalhando com a Equipe de Ura para que possamos reduzir as ações do mesmo. Por enquanto dead line está em 29/02.
26/01 - Encontramos um problema no switch onde o servidor está conectado perante a este cenário o cronograma está atrasado, aguardando retorno do LW para atualização.
15/12 - CTXSALSM-78582 - Projeto entregue em: 15/12/2015 
18/12 - Conforme retorno de Engenharia, foi consolidado o cronograma de ações do CSE e Ura, enviados hoje ao solicitante.
Prazo Homologação Final: 19/02/2016
08/12 - Apesar do solicitante pedir a homologação dentro do prazo do dia 09/12, devido as prioridades, o Prazo ENG foi 08/12 às 15/12.
01/12 - a Equipe de Ura está andando com o processo. Porém, a Equipe de  ENG estão reprogramando a fila devido as solicitações da diretoria e não podiam definir um prazo no momento.
24/11 - Interação entre a Equipe de Ura e Linux a fim de criar um script de limpeza dos logs.  Assim que recebermos as inf de Ura, o Analista Linux irá criar a rotina de expurgo de dados.
17/11 - Aguardando retorno do cliente perante estas informações de Infra, verificando necessidade de uma redução nos requisitos da infra solicitada pelo Klaus.
Foi solicitado um valor mínimo aceitável para o número de processadores e espaço em disco.
05/11 - Conforme análise de Infra pelo Klaus:
-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
</v>
      </c>
      <c r="V34" s="109" t="s">
        <v>3435</v>
      </c>
      <c r="W34" s="109" t="s">
        <v>3491</v>
      </c>
      <c r="X34" s="110">
        <v>42528</v>
      </c>
      <c r="Y34" s="109" t="s">
        <v>231</v>
      </c>
      <c r="AB34" s="108" t="s">
        <v>2350</v>
      </c>
      <c r="AC34" s="108">
        <v>42399</v>
      </c>
      <c r="AD34" s="101" t="s">
        <v>273</v>
      </c>
    </row>
    <row r="35" spans="1:30" ht="409.5" x14ac:dyDescent="0.25">
      <c r="A35" s="101" t="s">
        <v>1825</v>
      </c>
      <c r="B35" s="7" t="s">
        <v>3036</v>
      </c>
      <c r="C35" s="6" t="s">
        <v>3043</v>
      </c>
      <c r="D35" s="103" t="s">
        <v>118</v>
      </c>
      <c r="E35" s="103" t="s">
        <v>161</v>
      </c>
      <c r="F35" s="103" t="s">
        <v>3338</v>
      </c>
      <c r="G35" s="103" t="s">
        <v>3349</v>
      </c>
      <c r="H35" s="111" t="s">
        <v>245</v>
      </c>
      <c r="I35" s="103" t="s">
        <v>2872</v>
      </c>
      <c r="J35" s="103" t="s">
        <v>3346</v>
      </c>
      <c r="K35" s="108">
        <v>42326.645833333336</v>
      </c>
      <c r="L35" s="11">
        <f ca="1">IFERROR(IF(AND(Y35&lt;&gt;"Concluído",Y35&lt;&gt;"Cancelado"),TODAY()-K35+1,Z35-K35),"")</f>
        <v>196.35416666666424</v>
      </c>
      <c r="M35" s="108">
        <v>42340</v>
      </c>
      <c r="N35" s="108" t="s">
        <v>2350</v>
      </c>
      <c r="O35" s="108">
        <v>42505</v>
      </c>
      <c r="P35" s="129">
        <v>42485</v>
      </c>
      <c r="Q35" s="103" t="s">
        <v>273</v>
      </c>
      <c r="R35" s="44"/>
      <c r="S35" s="109" t="s">
        <v>3772</v>
      </c>
      <c r="T35" s="109" t="str">
        <f t="shared" si="0"/>
        <v xml:space="preserve">                                      
31/05 - Mesmo status. 
24/05 - Mesmo status. 
17/05 - Prazo do solicitante expirado, foi solicitado novamente urgencia neste retorno.
10/05 - A Ticket deverá retornar com previsão e cronograma para dia 15 de maio
03/05 - A troca dos equipamentos irá ser efetuada pela Ticket/DNK e a Ticket deverá retornar com previsão e cronograma para dia 15 de maio.
19/04 - Mesmo status. Agendado reunião dia 25/04 sobre estes pontos da Ticket.
12/04 - Conforme contato com o ponto focal de TI do Site Lapa, não tivemos retorno da DNK sobre os servidores.
Contanto, o cronograma está defasado. Foi solicitado atualização.
04/04 -  Mesmo Status. Cronograma sendo seguido.
28/03 - Mesmo Status. Cronograma sendo seguido.
21/03 - Mesmo status.
15/03 - Cronograma da DNK recebido e alinhado com TI.  
Início 15/04
07/03 - Mesmo status, aguardando retorno da DNK.
01/03 - DNK informou que irão enviar novo cronograma para sequencia da demanda. Foi solicitado por TI envio com 72 horas de antecendência, para organização de todas as frentes.
23/02 - Carlos reportou que DNK e Cliente tiveram reunião na sexta 19/02 e fizeram um cronograma, aguardando o mesmo.
15/02 - Mesmo Status. Cronograma realizado junto ao CSE e Suporte Site. Dead line 17/02
10/02 - Cronograma realizado junto ao CSE e Suporte Site. Dead line 17/02
02/02 - CSE já está atuando no sentido de preparar a Infra no ambiente, interação com Controle de Ativos para esta necessidade.
26/01 - Aguardando cronograma do CSE  em relação a preparação de Infra para os servidores da DNK.
21/01 - Definido as ações abaixo, ainda aguardando retorno do Item 1.
1. O servidores serão disponibilizados pela própria DNK – Definição dos servidores nesta Seg 18/01.
2. A instalação e configuração serão realizadas pela DNK
3. Precisamos informar para a  DNK os IPs dos servidores  10.51.0.83/23 e 10.51.84./23 (descritos na topologia)
4. Necessário a  passagem de cabeamento dos core ate os servidores
5. No firewall já existem uma regras,  para  validar o é necessário efetuar testes em conjunto com a DNK
-----------------------------------------------
18/12 - Prazo de Engenharia: 
14/12 à 05/01/2016
08/12 - Conforme padrão, foi enviado para Fila de ENG com todo  o escopo detalhado da demanda. Aguardando Prazo para análise</v>
      </c>
      <c r="V35" s="109" t="s">
        <v>3437</v>
      </c>
      <c r="W35" s="109" t="s">
        <v>3301</v>
      </c>
      <c r="X35" s="131">
        <v>42510</v>
      </c>
      <c r="Y35" s="109" t="s">
        <v>243</v>
      </c>
      <c r="AA35" s="109">
        <v>150</v>
      </c>
      <c r="AB35" s="108" t="s">
        <v>2350</v>
      </c>
      <c r="AC35" s="108" t="s">
        <v>1356</v>
      </c>
      <c r="AD35" s="101" t="s">
        <v>2350</v>
      </c>
    </row>
    <row r="36" spans="1:30" ht="409.5" x14ac:dyDescent="0.25">
      <c r="A36" s="101" t="s">
        <v>1823</v>
      </c>
      <c r="B36" s="7" t="s">
        <v>2577</v>
      </c>
      <c r="C36" s="6" t="s">
        <v>3043</v>
      </c>
      <c r="D36" s="103" t="s">
        <v>118</v>
      </c>
      <c r="E36" s="103" t="s">
        <v>161</v>
      </c>
      <c r="F36" s="103" t="s">
        <v>3338</v>
      </c>
      <c r="G36" s="103" t="s">
        <v>3349</v>
      </c>
      <c r="H36" s="111" t="s">
        <v>245</v>
      </c>
      <c r="I36" s="103" t="s">
        <v>2872</v>
      </c>
      <c r="J36" s="103" t="s">
        <v>3346</v>
      </c>
      <c r="K36" s="108">
        <v>42326.668749999997</v>
      </c>
      <c r="L36" s="11">
        <f ca="1">IFERROR(IF(AND(Y36&lt;&gt;"Concluído",Y36&lt;&gt;"Cancelado"),TODAY()-K36+1,Z36-K36),"")</f>
        <v>196.33125000000291</v>
      </c>
      <c r="M36" s="108">
        <v>42340</v>
      </c>
      <c r="N36" s="108" t="s">
        <v>3358</v>
      </c>
      <c r="O36" s="108" t="s">
        <v>2306</v>
      </c>
      <c r="P36" s="108" t="s">
        <v>2306</v>
      </c>
      <c r="Q36" s="103" t="s">
        <v>2306</v>
      </c>
      <c r="R36" s="44"/>
      <c r="S36" s="109" t="s">
        <v>3773</v>
      </c>
      <c r="T36" s="109" t="str">
        <f t="shared" si="0"/>
        <v xml:space="preserve">                                      
31/05 - A ticket  está analisando toda a ferramenta da Uranet para posteriormente realizar a implantação. TBD
24/05 - Mesmo Status.
17/05 - Os testes na operação seriam no dia 12/05 porém devido ao atraso do treinamento, não ocorreu. Foi solicitado a atualização do cronograma.
10/05 - Treinamento para administração do Mailing  está sendo realizado hoje. Posteriormente será o início da operação utilizando mailing de teste.
Aguardando retorno da Uranet.
03/05 - Sem retorno do fornecedor, aguardando.
25/04 - Reunião a ser agendada por Cibele com o time de projeto do lado da Ticket, para levantar histórico e situação atual do projeto, para prover respostas pendentes para a Contax e demais atividades.
19/04 - Aguardando retorno da operação, perante a homologação.
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
Aguardando retorno do solicitante para os testes na operação.
04/04 - Durante a segunda parte da conferência entre as áreas de TI Contax e URANET, foi identificada a necessidade de realizar uma configuração extra nos links para garantir a automatização da solução em caso de queda de um destes links.
Engenharia TI atuando no novo desenho da solução
28/03 - Cronograma alterado: Início: 23/03 Seg  -  Fim: 01/04 Qua
21/03 - Cronograma alterado: Início: 28/03 Seg  -  Fim: 08/04 Qua
15/03 - Prazo TI 
Início: 15/03 Seg  -  Fim: 08/04 Qua
07/03 - Solicitado a atualização do cronograma porTI Site.
01/03 - Tivemos uma ativação de circuito Oi no site Lapa. Cronograma seguindo conforme previsto.
23/02 - Cronograma de TI sendo seguido . Início: 15/02 Seg  -  Fim: 11/03 Qua.  
10/02 - Cronograma realizado junto ao CSE e Suporte Site. Dead line 11/03
02/02 - CSE já está atuando no sentido de preparar a Infra no ambiente, interação com Controle de Ativos para esta necessidade.
26/01 - Aguardando o cronograma de CSE perante as preparações de Infra. Em paralelo estamos interagindo com  a operação perante algumas pendências de informações para análise de Engenharia Telecom.
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
• Instalar um novo switch extranet     (Modelo sugerido 3560G 24portas ).
• Dois roteadores ( 3845, 2811, 1841, 2851) .
• Passagem de cabo do firewall até o novo extranet, passagem de cabo do extranet até os novo roteadores, passagem de cabo dos nossos roteadores até o equipamento das operadoras Algar e Oi .
• Na topologia contem as informações para configurar o extranet e os dois roteadores,  segue também um txt com as regras de firewall e roteamento, as liberações também envolvem a comunicação do nosso PABX com o PABX da Uranet as regras estão no txt.  
• Verificar com Microsoft para  cadastrar os endereços no DNS.
Foi solicitado cronograma ao CSE perante as ações acima.
-----------------------------------------------------------
18/12 - Prazo de Engenharia: 
14/12 à 05/01/2016
08/12 - Conforme padrão, foi enviado para Fila de ENG com todo  o escopo detalhado da demanda. Aguardando Prazo de ENG.</v>
      </c>
      <c r="V36" s="109" t="s">
        <v>3437</v>
      </c>
      <c r="W36" s="109" t="s">
        <v>3301</v>
      </c>
      <c r="X36" s="131">
        <v>42489</v>
      </c>
      <c r="Y36" s="109" t="s">
        <v>231</v>
      </c>
      <c r="AA36" s="109">
        <v>100</v>
      </c>
      <c r="AB36" s="108" t="s">
        <v>2350</v>
      </c>
      <c r="AC36" s="108" t="s">
        <v>185</v>
      </c>
      <c r="AD36" s="101" t="s">
        <v>2350</v>
      </c>
    </row>
    <row r="37" spans="1:30" ht="409.5" x14ac:dyDescent="0.25">
      <c r="A37" s="40" t="s">
        <v>110</v>
      </c>
      <c r="B37" s="7" t="s">
        <v>125</v>
      </c>
      <c r="C37" s="103" t="s">
        <v>3089</v>
      </c>
      <c r="D37" s="103" t="s">
        <v>118</v>
      </c>
      <c r="E37" s="103" t="s">
        <v>159</v>
      </c>
      <c r="F37" s="103" t="s">
        <v>3339</v>
      </c>
      <c r="G37" s="103" t="s">
        <v>3373</v>
      </c>
      <c r="H37" s="111" t="s">
        <v>2407</v>
      </c>
      <c r="I37" s="103" t="s">
        <v>562</v>
      </c>
      <c r="J37" s="103" t="s">
        <v>2320</v>
      </c>
      <c r="K37" s="108">
        <v>42090</v>
      </c>
      <c r="L37" s="11">
        <f ca="1">IFERROR(IF(AND(Y37&lt;&gt;"Concluído",Y37&lt;&gt;"Cancelado"),TODAY()-K37+1,Z37-K37),"")</f>
        <v>433</v>
      </c>
      <c r="M37" s="108">
        <v>42217</v>
      </c>
      <c r="N37" s="108" t="s">
        <v>2350</v>
      </c>
      <c r="O37" s="108" t="s">
        <v>2282</v>
      </c>
      <c r="P37" s="108">
        <v>42583</v>
      </c>
      <c r="Q37" s="108" t="s">
        <v>2350</v>
      </c>
      <c r="R37" s="146"/>
      <c r="S37" s="109" t="s">
        <v>3631</v>
      </c>
      <c r="T37" s="109" t="str">
        <f t="shared" si="0"/>
        <v xml:space="preserve">                                      
[30/05] - Projeto está paralisado até que a equipe de desenvolvimento tenha retorno da NICE para não conectividade com a tela de callback. 
[23/05] - UAT em andamento. O ganho de TMO com a solução é significativo, no entanto, ainda não temos o ok para seguir com o piloto devido ao probelma de conectividade do RTI com a tela de callback. Nossa sugestão é seguir com o piloto, pois, mesmo com o problema, ainda temos ganho, tanto de TMO como de qualidade. 
[16/05] - UAT será iniciado no dia 16 para validação da funcionalidade e medição do TMA, no entanto, devido ao problema de conectividade do RTI com a tela de callback, a operação solicitou o congelamento do projeto até a que a Nice nos envie uma solução. 
[09/05] - Em desenvolvimento. Há algumas questões encotradas durante o ajuste da solução que deverão ser tratadas pela NICE. Solicitamos um call em 09/05/16 para informar as questões e definir UAT. 
[03/05] - Em desenvolvimento
[25/04] - Iniciado o desenvolvimento conforme previsto. 
[18/04] - Aguardando desenvolvimento. Inicio em 25/04. 
[11/04] - Aguardando desenvolvimento. 
[04/04] Datas de desenvolvimento replanejada devido ao remanejamento de recursos para a execução das demandas de Claro. Datas de UAT precisam ser validadas com a operação.
[29/03] - Terá impacto no desenvolvido, pois o recurso foi alocado no projeto da Claro. Prazo para novas datas de desnvolvimento  4/4
[22/03] Aguardando inicio dos desenvolvimentos, conforme cronograma publicado. 
[15/03] Aguardando inicio do desenvolvimento. Data de UAT sugerida de 28/04 a 04/05/16. Aguardando confirmação de datas de piloto e rollout por PMO-Negócio. 
Data fim de desenvolvimento agora está considerando testes internos. Não impacta as demais datas. 
[08/03] - Desenvolvimento dos ajustes foram reagendados para 06/04/16 a 19/04/16. Sugestão de datas de Homologação de 29/04/16 a 07/06/16                                                   01/03/16: Pendente resposta do fornecedor. 
22/02/16: Homologação do Callback não aprovada pela operação. Nos dias 24 e 25, TI fará análise técnica in loco para determinar as próximas ações e replanejamento. 
10/02 - Piloto inconclusivo. Negócio deve confirmar o roll out... Aguardando
10/02 - Mesmo status
05/02 - Homologação "Call Back" não aprovada pela operação. Piloto estendido até 12/02. Demais OK
01/02: Aguarda a definição de negócio quanto a prioridade de projetos. Retrofit x RTI para definir a data do rollout.
26/01 – Piloto  em andamento sem problemas reportados no site Navegantes. Data  final estendida devido a necessidade  de testes nos sites de Recife, sem impacto no Rollout. 
18/01 - Funcionalidade em  teste. Sugerida por operações a data de roll out com início em 16/02 em função do DMM. Mariana APP
25/11 - • O projeto está previsto para ser tratado por ENG somente do dia 08/12 a 14/12 (quando a previsão inicial era para conclusão até o dia 27/11)
• Necessário rever atividades com CSE e site para novo cronograma de entrega
• Como a complexidade é alta, será realizado o projeto primeiramente no site de Navegantes para depois avançarmos para Santo Amaro e Aurora
24/11 – Encaminhamos ao PMO-TI um alerta de risco de atraso pois precisamos das atividades de ENG, CSE e Site prontos até dia 27/11
[17/11] Cronograma alinhado. Parte de desenvolvimento já concluída. Aguardando resposta de ENG com as datas de implantação.
Como o projeto é de alta complexidade, ocorrerá o piloto no site de navegantes, onde já temos cronogramas.  Para os sites de Aurora-PE e Santo Amaro-PE serão realizados depois do Freezing e do piloto -&gt; Cronograma a ser realizado
[27/10 – Leandro] disponibilizado um login único provisório para continuidade da equipe de RTI em 27/10  / em paralelo suporte negócio continuará tentar viabilizanr com a NET um login definitivo para uso de RTI)
[20/10 – Leandro] Alteração dos logins que serão usados para os testes e desenvolvimentos. Suporte ao Negócio interagindo com com NET para habilitação dos logins.  (ainda aguardando)
[13/10 – Leandro] Alteração dos logins que serão usados para os testes e desenvolvimentos. Suporte ao Negócio interagindo com com NET para habilitação dos logins. 
[5/10 – Leandro] Identificado a necessidade de abertura automática do registro.  Automação de processos aguardando passo a passo do processo de abertura de call-back pelo operador, para ajustar o desenho do TO BE e o desenho da solução. 
[28/09 - Leandro] Automação de Processos está tocando o detalhamento do processo, os mesmos solicitaram o apoio de Juliano Molina para auxilia-los, o mesmo já retornou com documento.
[17/09 – Cleonice] Aguardando recurso para realizar a análise da documentação e disponibilizar cronograma de desenvolvimento.</v>
      </c>
      <c r="V37" s="103" t="s">
        <v>2345</v>
      </c>
      <c r="W37" s="108" t="s">
        <v>2889</v>
      </c>
      <c r="X37" s="133">
        <v>42487</v>
      </c>
      <c r="Y37" s="103" t="s">
        <v>3157</v>
      </c>
      <c r="Z37" s="108">
        <v>42217</v>
      </c>
      <c r="AA37" s="103">
        <v>1500</v>
      </c>
      <c r="AB37" s="103" t="s">
        <v>2314</v>
      </c>
      <c r="AC37" s="103">
        <v>47.7</v>
      </c>
      <c r="AD37" s="101" t="s">
        <v>2350</v>
      </c>
    </row>
    <row r="38" spans="1:30" ht="409.5" x14ac:dyDescent="0.25">
      <c r="A38" s="40" t="s">
        <v>475</v>
      </c>
      <c r="B38" s="7" t="s">
        <v>474</v>
      </c>
      <c r="C38" s="103" t="s">
        <v>3089</v>
      </c>
      <c r="D38" s="103" t="s">
        <v>118</v>
      </c>
      <c r="E38" s="103" t="s">
        <v>159</v>
      </c>
      <c r="F38" s="103" t="s">
        <v>3339</v>
      </c>
      <c r="G38" s="103" t="s">
        <v>3373</v>
      </c>
      <c r="H38" s="111" t="s">
        <v>2407</v>
      </c>
      <c r="I38" s="103" t="s">
        <v>562</v>
      </c>
      <c r="J38" s="103" t="s">
        <v>2320</v>
      </c>
      <c r="K38" s="108">
        <v>42277</v>
      </c>
      <c r="L38" s="11">
        <f ca="1">IFERROR(IF(AND(Y38&lt;&gt;"Concluído",Y38&lt;&gt;"Cancelado"),TODAY()-K38+1,Z38-K38),"")</f>
        <v>246</v>
      </c>
      <c r="M38" s="108">
        <v>42284</v>
      </c>
      <c r="N38" s="108" t="s">
        <v>2350</v>
      </c>
      <c r="O38" s="108">
        <v>42446</v>
      </c>
      <c r="P38" s="108">
        <v>42545</v>
      </c>
      <c r="Q38" s="103" t="s">
        <v>2350</v>
      </c>
      <c r="R38" s="44"/>
      <c r="S38" s="109" t="s">
        <v>3632</v>
      </c>
      <c r="T38" s="109" t="str">
        <f t="shared" si="0"/>
        <v xml:space="preserve">                                      
[30/05] - Desenho da solução que foi desenvolvida em 4 mãos e aprovada no piloto não apresentou os ganhos esperados e será alinhado entre os diretores Zambon e Rivaldo qual definição será adotado para o projeto.
 [24/05] - Em piloto
[16/05] - Piloto iniciado em 16/5
[09/05] - UAT finalizado. Será realizado um call para definição do piloto em 10/05/16.
[03/05] - Mesmo status
[25/04] - UAT em andamento.
[18/04]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01/02: Assessment realizado por terceiro não atendeu aos requisitos mínimos para desenvolvimento. Reunião para envio de complementos agendada para 01/02/16 com impacto na data inicial do desenvolvimento. Nova da data a ser definida até 05/02/16.
26/01 – Processo de assessment concluído, com entrega da solução a ser desenvolvida prevista para dia 26/01.
18/01 - Início do assessment reagendado para 18/01 a pedido da Operação. Afetando demais datas do projeto
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v>
      </c>
      <c r="V38" s="103" t="s">
        <v>2758</v>
      </c>
      <c r="W38" s="103" t="s">
        <v>562</v>
      </c>
      <c r="X38" s="133"/>
      <c r="Y38" s="109" t="s">
        <v>231</v>
      </c>
      <c r="Z38" s="108">
        <v>42545</v>
      </c>
      <c r="AA38" s="103"/>
      <c r="AB38" s="103" t="s">
        <v>2314</v>
      </c>
      <c r="AC38" s="103">
        <v>3.15</v>
      </c>
      <c r="AD38" s="101" t="s">
        <v>2350</v>
      </c>
    </row>
    <row r="39" spans="1:30" ht="409.5" x14ac:dyDescent="0.25">
      <c r="A39" s="40" t="s">
        <v>472</v>
      </c>
      <c r="B39" s="7" t="s">
        <v>473</v>
      </c>
      <c r="C39" s="103" t="s">
        <v>3089</v>
      </c>
      <c r="D39" s="103" t="s">
        <v>118</v>
      </c>
      <c r="E39" s="103" t="s">
        <v>159</v>
      </c>
      <c r="F39" s="103" t="s">
        <v>3339</v>
      </c>
      <c r="G39" s="103" t="s">
        <v>3373</v>
      </c>
      <c r="H39" s="111" t="s">
        <v>2407</v>
      </c>
      <c r="I39" s="103" t="s">
        <v>562</v>
      </c>
      <c r="J39" s="103" t="s">
        <v>2320</v>
      </c>
      <c r="K39" s="108">
        <v>42277</v>
      </c>
      <c r="L39" s="11">
        <f ca="1">IFERROR(IF(AND(Y39&lt;&gt;"Concluído",Y39&lt;&gt;"Cancelado"),TODAY()-K39+1,Z39-K39),"")</f>
        <v>246</v>
      </c>
      <c r="M39" s="108">
        <v>42284</v>
      </c>
      <c r="N39" s="108" t="s">
        <v>2350</v>
      </c>
      <c r="O39" s="108">
        <v>42446</v>
      </c>
      <c r="P39" s="108">
        <v>42545</v>
      </c>
      <c r="Q39" s="103" t="s">
        <v>2350</v>
      </c>
      <c r="R39" s="44"/>
      <c r="S39" s="109" t="s">
        <v>3633</v>
      </c>
      <c r="T39" s="109" t="str">
        <f t="shared" si="0"/>
        <v xml:space="preserve">                                      
[30/05] - Desenho da solução que foi desenvolvida em 4 mãos e aprovada no piloto não apresentou os ganhos esperados e será alinhado entre os diretores Zambon e Rivaldo qual definição será adotado para o projeto.
[24/05]- Em piloto
[16/05] - Piloto iniciado em 16/5
[09/05] - UAT finalizado. Será realizado um call para definição do piloto em 10/05/16.
[03/05] - Mesmo status
[25/04] - UAT em andamento.
[18/04]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10/02 - Mesmo status
05/02 - Recebida revisão do documento em 05/02 e está em avaliação pelo time interno. Nova data de início do desenvolvimento será definida até dia 12/02
01/02: Assessment realizado por terceiro não atendeu aos requisitos mínimos para desenvolvimento. Reunião para envio de complementos agendada para 01/02/16 com impacto na data inicial do desenvolvimento. Nova da data a ser definida até 05/02/16.
26/01: Devido à incremento de escopo, tempo de desenvolvimento replanejado.
18/01 - Devido à incremento de escopo, tempo de desenvolvimento replanejado.
Solicitante respondeu EF ontem (dia 23/11) e no mesmo dia, após avaliação de TI, encaminhamos ao fornecedor para obter a proposta comercial
[23/11] EF encaminhada. O próximo passo agora é enviar os documentos recebidos na sexta-feira para o fornecedor, que nos enviará a proposta comercial para ser aprovada. O fornecedor está levando em média de 5 a 7 dias úteis para nos retornar.
[16/11] Aguardando retorno do solicitante.</v>
      </c>
      <c r="V39" s="103" t="s">
        <v>2758</v>
      </c>
      <c r="W39" s="108" t="s">
        <v>562</v>
      </c>
      <c r="X39" s="103"/>
      <c r="Y39" s="103" t="s">
        <v>231</v>
      </c>
      <c r="Z39" s="108">
        <v>42545</v>
      </c>
      <c r="AA39" s="103"/>
      <c r="AB39" s="103" t="s">
        <v>2314</v>
      </c>
      <c r="AC39" s="103">
        <v>3.83</v>
      </c>
      <c r="AD39" s="101" t="s">
        <v>2350</v>
      </c>
    </row>
    <row r="40" spans="1:30" ht="409.5" x14ac:dyDescent="0.25">
      <c r="A40" s="40" t="s">
        <v>476</v>
      </c>
      <c r="B40" s="7" t="s">
        <v>1495</v>
      </c>
      <c r="C40" s="103" t="s">
        <v>3089</v>
      </c>
      <c r="D40" s="103" t="s">
        <v>118</v>
      </c>
      <c r="E40" s="103" t="s">
        <v>159</v>
      </c>
      <c r="F40" s="103" t="s">
        <v>3339</v>
      </c>
      <c r="G40" s="103" t="s">
        <v>3373</v>
      </c>
      <c r="H40" s="111" t="s">
        <v>2407</v>
      </c>
      <c r="I40" s="103" t="s">
        <v>562</v>
      </c>
      <c r="J40" s="103" t="s">
        <v>2320</v>
      </c>
      <c r="K40" s="108">
        <v>42277</v>
      </c>
      <c r="L40" s="11">
        <f ca="1">IFERROR(IF(AND(Y40&lt;&gt;"Concluído",Y40&lt;&gt;"Cancelado"),TODAY()-K40+1,Z40-K40),"")</f>
        <v>246</v>
      </c>
      <c r="M40" s="108">
        <v>42284</v>
      </c>
      <c r="N40" s="108" t="s">
        <v>2350</v>
      </c>
      <c r="O40" s="108">
        <v>42446</v>
      </c>
      <c r="P40" s="108">
        <v>42545</v>
      </c>
      <c r="Q40" s="103" t="s">
        <v>2350</v>
      </c>
      <c r="R40" s="44"/>
      <c r="S40" s="109" t="s">
        <v>3634</v>
      </c>
      <c r="T40" s="109" t="str">
        <f t="shared" si="0"/>
        <v xml:space="preserve">                                      
[30/05] - Desenho da solução que foi desenvolvida em 4 mãos e aprovada no piloto não apresentou os ganhos esperados e será alinhado entre os diretores Zambon e Rivaldo qual definição será adotado para o projeto.
[24/05] - Em piloto
[16/5] - Piloto iniciado 16/5
[09/05] - UAT finalizado. Será realizado um call para definição do piloto em 10/05/16.
[03/05] - Mesmo status
[25/04] - UAT em andamento.
[19/04]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01/02: Assessment realizado por terceiro não atendeu aos requisitos mínimos para desenvolvimento. Reunião para envio de complementos agendada para 01/02/16 com impacto na data inicial do desenvolvimento. Nova da data a ser definida até 05/02/16.
26/01 – Piloto  em andamento sem problemas reportados no site Navegantes. Data  final estendida devido a necessidade  de testes nos sites de Recife, sem impacto no Rollout. 
18/01 - Funcionalidade em  teste. Sugerida por operações a data de roll out com início em 16/02 em função do DMM. 
Fornecedor BETTA respondeu a proposta em 17/11, porém a proposta do fornecedor veio incompleta – Aguardando nova proposta 24/11
[16/11] Enviamos solicitação para proposta comercial de fornecedro BETTA – Aguardando proposta</v>
      </c>
      <c r="V40" s="103" t="s">
        <v>2758</v>
      </c>
      <c r="W40" s="108" t="s">
        <v>562</v>
      </c>
      <c r="X40" s="103"/>
      <c r="Y40" s="103" t="s">
        <v>231</v>
      </c>
      <c r="Z40" s="108">
        <v>42545</v>
      </c>
      <c r="AA40" s="103"/>
      <c r="AB40" s="103" t="s">
        <v>2314</v>
      </c>
      <c r="AC40" s="103">
        <v>14.9</v>
      </c>
      <c r="AD40" s="101" t="s">
        <v>2350</v>
      </c>
    </row>
    <row r="41" spans="1:30" ht="409.5" x14ac:dyDescent="0.25">
      <c r="A41" s="40" t="s">
        <v>1479</v>
      </c>
      <c r="B41" s="7" t="s">
        <v>1483</v>
      </c>
      <c r="C41" s="103" t="s">
        <v>3089</v>
      </c>
      <c r="D41" s="103" t="s">
        <v>118</v>
      </c>
      <c r="E41" s="103" t="s">
        <v>159</v>
      </c>
      <c r="F41" s="103" t="s">
        <v>3339</v>
      </c>
      <c r="G41" s="103" t="s">
        <v>3373</v>
      </c>
      <c r="H41" s="111" t="s">
        <v>2407</v>
      </c>
      <c r="I41" s="103" t="s">
        <v>562</v>
      </c>
      <c r="J41" s="103" t="s">
        <v>2320</v>
      </c>
      <c r="K41" s="108">
        <v>42298</v>
      </c>
      <c r="L41" s="11">
        <f ca="1">IFERROR(IF(AND(Y41&lt;&gt;"Concluído",Y41&lt;&gt;"Cancelado"),TODAY()-K41+1,Z41-K41),"")</f>
        <v>225</v>
      </c>
      <c r="M41" s="108">
        <v>42299</v>
      </c>
      <c r="N41" s="108" t="s">
        <v>2350</v>
      </c>
      <c r="O41" s="108" t="s">
        <v>2282</v>
      </c>
      <c r="P41" s="108">
        <v>42539</v>
      </c>
      <c r="Q41" s="103" t="s">
        <v>2350</v>
      </c>
      <c r="R41" s="44"/>
      <c r="S41" s="109" t="s">
        <v>3635</v>
      </c>
      <c r="T41" s="109" t="str">
        <f t="shared" si="0"/>
        <v xml:space="preserve">                                      
[30/05] - Versão que entrou em piloto apresentou problemas de travamento e foi disponibilizada nova versão para piloto em 30/05 e será realizado novos testes na operação. [23/05] - Desenvolvimento concluído. UAT em progresso.
 [16/05] - Desenvolvimento concluído. UAT será iniciado em 16/05. 
[10/05] - Mesmo desenvolvimento
[03/05] - Mesmo status
[25/04] - Desenvolvimento em andamento
[18/04] - Desenvolvimento em andamento
 [11/04] - TO BE aprovado pela operação. Inicio do desenvolvimento em 11/04/16. 
[04/04] TO BE enviado para aprovação da operação em 01/04/16; aguardando retorno da operação. Datas de desenvolvimento e UAT replanejadas devido ao remanejamento de recursos para a execução das demandas de Claro; datas de UAT precisam ser validadas.
 [29/03] - To be iniciado. Previsto entrega dia 30/4. 
[21/03] Aguardando inicio do desenho do TO BE, conforme cronograma publicado. 
[15/03]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
 [08/03] - Operação retornou com EF complementar em 03/03/16. Novas datas de desenvolvimento e TO BE publicadas. Datas de Homologação 18/05/16 a 24/06/16 01/03/16: Mesmo status.
22/02/16: Desenvolvimento da EF previamente enviada está concluído. Aguardando EF complementar ser enviada pela operação. 
11/02 - Replanejado para dia 26/02
05/02 - Devido à incremento de escopo, tempo de desenvolvimento replanejado para 06/01 a 19/02
01/02: Piloto previsto para 25/02 à 07/03.
26/01 – Piloto  em andamento sem problemas reportados no site Navegantes. Data  final estendida devido a necessidade  de testes nos sites de Recife, sem impacto no Rollout. 
18/01 - Funcionalidade em  teste. Sugerida por operações a data de roll out com início em 16/02 em função do DMM. 
24/11 - Juliano respondeu dia 19/11. Após avaliação de TI encaminhamos proposta para o fornecedor 24/11/15
[16/11] Aguardando retorno do solicitante.</v>
      </c>
      <c r="V41" s="103" t="s">
        <v>2345</v>
      </c>
      <c r="W41" s="108" t="s">
        <v>2889</v>
      </c>
      <c r="X41" s="133">
        <v>42461</v>
      </c>
      <c r="Y41" s="109" t="s">
        <v>243</v>
      </c>
      <c r="Z41" s="108">
        <v>42539</v>
      </c>
      <c r="AA41" s="103"/>
      <c r="AB41" s="103" t="s">
        <v>2314</v>
      </c>
      <c r="AC41" s="103">
        <v>6.7674896618569997</v>
      </c>
      <c r="AD41" s="101" t="s">
        <v>2350</v>
      </c>
    </row>
    <row r="42" spans="1:30" ht="409.5" x14ac:dyDescent="0.25">
      <c r="A42" s="40" t="s">
        <v>1477</v>
      </c>
      <c r="B42" s="7" t="s">
        <v>1481</v>
      </c>
      <c r="C42" s="103" t="s">
        <v>3089</v>
      </c>
      <c r="D42" s="103" t="s">
        <v>118</v>
      </c>
      <c r="E42" s="103" t="s">
        <v>159</v>
      </c>
      <c r="F42" s="103" t="s">
        <v>3339</v>
      </c>
      <c r="G42" s="103" t="s">
        <v>3373</v>
      </c>
      <c r="H42" s="111" t="s">
        <v>2407</v>
      </c>
      <c r="I42" s="103" t="s">
        <v>562</v>
      </c>
      <c r="J42" s="103" t="s">
        <v>2320</v>
      </c>
      <c r="K42" s="108">
        <v>42299</v>
      </c>
      <c r="L42" s="11">
        <f ca="1">IFERROR(IF(AND(Y42&lt;&gt;"Concluído",Y42&lt;&gt;"Cancelado"),TODAY()-K42+1,Z42-K42),"")</f>
        <v>224</v>
      </c>
      <c r="M42" s="108">
        <v>42299</v>
      </c>
      <c r="N42" s="108" t="s">
        <v>2350</v>
      </c>
      <c r="O42" s="108" t="s">
        <v>2282</v>
      </c>
      <c r="P42" s="108">
        <v>42507</v>
      </c>
      <c r="Q42" s="103" t="s">
        <v>2350</v>
      </c>
      <c r="R42" s="44"/>
      <c r="S42" s="109" t="s">
        <v>3636</v>
      </c>
      <c r="T42" s="109" t="str">
        <f t="shared" si="0"/>
        <v xml:space="preserve">                                      
[30/05] - Inicio do Rollout 30/05. Previsão de conclusão 31/05.
[24/05] - Em piloto
[16/05] - Mesmo status
[10/05] - Mesmo status
[03/05] - Em piloto
[25/04] - Iniciado piloto em 20/04
[19/04] - Piloto programado para iniciar dia 20/04
[11/04] UAT aprovado pela operação. Aguardando inicio do Piloto, de acordo com as datas definidas pela operação.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[22/03] Inicio de UAT programado para as 14h do dia 22/03/16. Data de piloto confirmada pela operação.
[14/03] Validar com os sites as datas para piloto e rollout.
[08/03] - Rollout em Recife planejado do dia 08/03 a 18/03, porém a operação não aprovou as datas devido ao DMM. Aguardando novas datas para programarmos o rollout. 01/03/16: Pendente envio de cronograma. 
22/01/16: Em desenvolvimento, não há pendências. Piloto antecipado em função do DMM da operação.
05/02 - Em desenvolvimento até 19/02, porém o piloto foi antecipado para 29/02 a 09/03 devido ao DMM da operação
01/02: Piloto previsto para 29/02 à 09/03. Piloto foi antecipado a pedido de negócio devido ao DMM.
26/01 - Mesmo status 
18/01 - Devido à alteração da solução tecnico/operacional , necessário redesenho da solução técnica impactando início do desenvolvimento. 
[16/11] Aguardando retorno do solicitante. EF com dados insuficientes para solicitar a Proposta Comercial.</v>
      </c>
      <c r="V42" s="103" t="s">
        <v>2758</v>
      </c>
      <c r="W42" s="108" t="s">
        <v>562</v>
      </c>
      <c r="X42" s="103"/>
      <c r="Y42" s="103" t="s">
        <v>179</v>
      </c>
      <c r="Z42" s="108">
        <v>42507</v>
      </c>
      <c r="AA42" s="103" t="s">
        <v>3286</v>
      </c>
      <c r="AB42" s="103" t="s">
        <v>2314</v>
      </c>
      <c r="AC42" s="103">
        <v>16.8</v>
      </c>
      <c r="AD42" s="101" t="s">
        <v>2350</v>
      </c>
    </row>
    <row r="43" spans="1:30" ht="409.5" x14ac:dyDescent="0.25">
      <c r="A43" s="101" t="s">
        <v>199</v>
      </c>
      <c r="B43" s="43" t="s">
        <v>2953</v>
      </c>
      <c r="C43" s="43" t="s">
        <v>3023</v>
      </c>
      <c r="D43" s="103" t="s">
        <v>118</v>
      </c>
      <c r="E43" s="103" t="s">
        <v>159</v>
      </c>
      <c r="F43" s="103" t="s">
        <v>3339</v>
      </c>
      <c r="G43" s="103" t="s">
        <v>3373</v>
      </c>
      <c r="H43" s="111" t="s">
        <v>2130</v>
      </c>
      <c r="I43" s="103" t="s">
        <v>3020</v>
      </c>
      <c r="J43" s="103" t="s">
        <v>2256</v>
      </c>
      <c r="K43" s="108">
        <v>42250</v>
      </c>
      <c r="L43" s="11">
        <f ca="1">IFERROR(IF(AND(Y43&lt;&gt;"Concluído",Y43&lt;&gt;"Cancelado"),TODAY()-K43+1,Z43-K43),"")</f>
        <v>273</v>
      </c>
      <c r="M43" s="108">
        <v>42217</v>
      </c>
      <c r="N43" s="108" t="s">
        <v>273</v>
      </c>
      <c r="O43" s="108" t="s">
        <v>2306</v>
      </c>
      <c r="P43" s="108" t="s">
        <v>2306</v>
      </c>
      <c r="Q43" s="103" t="s">
        <v>2306</v>
      </c>
      <c r="R43" s="153"/>
      <c r="S43" s="114" t="s">
        <v>3792</v>
      </c>
      <c r="T43" s="109" t="str">
        <f t="shared" si="0"/>
        <v xml:space="preserve">                                      
[31/05] - Aguardando retorno da TAM sobre a necessidade de liberações de redes no ambiente TAM e Multiplus. Acionado equipe negócios em 23/05.
Proximos passos: 
1) Validar liberações realizadas pela TAM e Fornecedor ISYS, realizar testes com a nova aplicação no ambiente Virtualizado;
2) Fornecedor ISYS apresentar Plano de Ação para testes do ambiente com Cliente e Operação TAM;
3) Fornecedor ISYS apresentar Plano de Ação para RollOut do novo ambiente;
[23/05] - Identificado pelo CSE , a necessidade de liberações de redes no ambiente TAM e Multiplus. Acionado cienteem 23/05.
Proximos passos - Acionar TI TAM e Multiplus.
1) Fornecedor ISYS, realizar testes com a nova aplicação no ambiente Virtualizado;
2) Fornecedor ISYS apresentar Plano de Ação para testes do ambiente com Cliente e Operação TAM;
3) Fornecedor ISYS apresentar Plano de Ação para RollOut do novo ambiente;
[17/05] - Liberações de redes executadas. Aguardando retorno do fornecedor ISYS, sobre testes de acesso .
Proximos passos: Fornecedor entregar plano de Ação para Validação (Testes e RollOut ) para novo ambinete URA.
.[10/05] - Pendências de Liberações de redes executada. Necessario cobrar retorno do fornecedor; 
[03/05] - Pendências de Liberações de redes executada. Necessario solicitar novos testes com o fornecedor; 
[26/04] - Pendências de Liberações de redes para prosseguimento ações ISYS (Homologação Infra/Aplicação). Solicitado apoio CSE (emial em18/04, com informações)
[19/04] - Pendências de Liberações de redes para prosseguimento ações ISYS (Homologação Infra/Aplicação). Solicitado apoio CSE (emial em18/04, com informações)
[12/04] - Problemas de redes Contax,  inviabilizaram testes dia 06/04. 
Nova data proposta para retomada dos testes com ISYS ( 13/04] .
Fase Atual - Homologação da Plataforma e da Nova Aplicação. [previsto até 25/04 ]
1) Plano de Ação para homologação Aplicação, será apresentado pela ISYS após homologação da nova plataforma.
[05/04] - Agendado Teste de Homologação da Plataforma com Fornecedor ISYS ( 06/03 - 14HS ). 
Proxima etapa - Plano de Açã opara testes de Homologação Aplicação na nova Plataforma.
[29/03] -  Ambiente disponibilizado para testes . Solicitado esclarecimentos para fornecedor ISYS sobre Plano de ação para homologação (Login Agent) . Ag. retorno para dar inicio aos testes,
[22/03] -  Entrega ambnte para para testes tecnicos planejado para 23/03. O fornecedor enviará o plano de ação para a homologação da nova infra até 22/03.
Fase de validação por Negócios, para as informações  solicitdas pelo Fornecedor YSYS, para configuração do novo ambinete URA  (Plano de rollout)  [Logins, vdns e skill, hostnames pa's ativas]
[15/03] - Desenvolvimento em andamento pela ISYS. Aguardando agendda do Cliente para alinharmos a criação do  plano de Ação para Rollout ambiente.
 [11/03] - Problemas de redes e Infra CTX, resolvidos em 10/03. Solicitado testes e atualizaão do Cronograma, para fornecedor ISYS. Impacto estimado de 8 dias . Nova data entrega ambiente para homologação TAM - 23/03
[08/03] - Solucionados problemas de Infra (redes) no ambiente Contax.
Fornecedor retomou a etapa de instalação componentes para prosseguir com desenvolvimento.
Impacto no Cronograma  (Atraso) : +/-  15 dias
[29/02] - Ponto Atenção (Atraso) - Identificamos problemas Infra Contax e está sendo tratado pela equipe Tecnica. 
Impacto direto no tempo de desenvolvimento do fornecedor URA ( 10 dias )
 até momento.
Expectativa de Conclusão: até 04/03
[23/02] - Desenvolvimento URA sendo executado pelo fornecedor, conforme planejado. Data prevista para disponibilização da ferramenta para testes ( 15/03 ).
[16/02] - Desenvolvimento URA sendo executado pelo fornecedor, conforme planejado. Data prevista para disponibilização da ferramenta para testes ( 15/03 ).
[10/02] - Desenvolvimento URA sendo executado pelo fornecedor, conforme planejado. Data prevista para disponibilização da ferramenta para testes ( 15/03 ).
02/02 - Desenvolvimento sendo realizado pelo fornecedor, conforme planejado. Data prevista para disponibilização da ferramenta é 15/03.
[29/01] - Aguardando status atualizado do cronograma de desenvolvimento da URA (Fornecedor ISYS)
[26/01] - Em andamento Desenvolvimento.
[21/01] - Em andamento. Fase de Desenvolvimento pelo Fornecedor ISYS até 15/03. Cronograma d eentrega replanejado, devido a imprevistos de Infra Contax. Nova data informada no status de 21/01.
Proxima etapa será homologação TAM (30DIAS) 
[18/12] - Aguardando conclusão de liberações de acesso para Fornecedor ISYS [ LW - CSE ], previsão conclusão 18/12.
O fornecedor ISYS iniciará desenvolvimento dia 04/01. Previsão de disponibilização do ambiente para Homologação da TAM em 02/03/16.
[01/12] Servidores OK. Previsão de liberação na rede em 2/12.
Pendente informação dos logins dos analistas pela ISYS para liberação do acesso nos novos servidores.
Pendente status da disponibilização do AES
Cronograma enviado para atualização pela ISYS.
[25/11] Aguardando retorno do Marangoni (área de Segurança) quanto alguns questionamentos realizados
Cliente está cobrando posicionamento
[18/11] Projeto está com as filas executoras e cronograma já foi feito.
Necessário cobrar atividades de CSE, as mesmas não estão sendo pontuadas por eles.
[15/10 – Leandro] Cronograma enviado em 20/10
[5/10 – Leandro]  Novo call envolvendo áreas técnicas  e cliente realizado dia 5/10. Próximos passos: cada área enviar suas lista  de atividades para montagem do cronograma.
[18/09 – Dalton] Cronograma disponibilizado pelo Thiago Ferreira em 16/Set, neste momento estamos aguardando a definição do range de IPs pela equipe do Felipe Villa. 
[28/09 - Leandro] Retorno pendente de ENG. Faremos um follow-up e cobrança desse assunto para prosseguimento.</v>
      </c>
      <c r="U43" s="114"/>
      <c r="V43" s="109" t="s">
        <v>3453</v>
      </c>
      <c r="W43" s="110" t="s">
        <v>2847</v>
      </c>
      <c r="X43" s="131" t="s">
        <v>2531</v>
      </c>
      <c r="Y43" s="109" t="s">
        <v>243</v>
      </c>
      <c r="Z43" s="110">
        <v>42459</v>
      </c>
      <c r="AA43" s="109">
        <v>600</v>
      </c>
      <c r="AB43" s="101" t="s">
        <v>2350</v>
      </c>
      <c r="AC43" s="108">
        <v>42376</v>
      </c>
      <c r="AD43" s="101" t="s">
        <v>2350</v>
      </c>
    </row>
    <row r="44" spans="1:30" ht="409.5" x14ac:dyDescent="0.25">
      <c r="A44" s="101" t="s">
        <v>1766</v>
      </c>
      <c r="B44" s="103" t="s">
        <v>289</v>
      </c>
      <c r="C44" s="103" t="s">
        <v>3022</v>
      </c>
      <c r="D44" s="103" t="s">
        <v>2288</v>
      </c>
      <c r="E44" s="103" t="s">
        <v>174</v>
      </c>
      <c r="F44" s="103" t="s">
        <v>3338</v>
      </c>
      <c r="G44" s="103" t="s">
        <v>3349</v>
      </c>
      <c r="H44" s="111" t="s">
        <v>1411</v>
      </c>
      <c r="I44" s="103" t="s">
        <v>2394</v>
      </c>
      <c r="J44" s="103" t="s">
        <v>2256</v>
      </c>
      <c r="K44" s="108">
        <v>42256</v>
      </c>
      <c r="L44" s="11">
        <f ca="1">IFERROR(IF(AND(Y44&lt;&gt;"Concluído",Y44&lt;&gt;"Cancelado"),TODAY()-K44+1,Z44-K44),"")</f>
        <v>267</v>
      </c>
      <c r="M44" s="108">
        <v>42217</v>
      </c>
      <c r="N44" s="108" t="s">
        <v>2306</v>
      </c>
      <c r="O44" s="108" t="s">
        <v>2306</v>
      </c>
      <c r="P44" s="108" t="s">
        <v>2306</v>
      </c>
      <c r="Q44" s="108" t="s">
        <v>2306</v>
      </c>
      <c r="R44" s="45"/>
      <c r="S44" s="109" t="s">
        <v>3606</v>
      </c>
      <c r="T44" s="109" t="str">
        <f t="shared" si="0"/>
        <v xml:space="preserve">                                      
24/05 - Mesmo status
17/05 - Mesmo status
11/05 - Mesmo status
04/05 - Aguardando aprovação do solicitante
27/04 - Aguardando aprovação
19/04 - Proposta enviada pela ISYS e necessário inclusão na fila de ENG (equipe de infra se é possível disponibilizar um Servidor de Banco de Dados ou se já temos um disponível sendo usado pela operação)
13/04 - Mesmo status
06/04 - Mesmo status
01/04 - Questionamentos enviados pela Information no dia 21/03. 
Aguardando resposta do Santander
29/03 - Mesmo status
15/03 - Mesmo status
08/03 - Mesmo status
29/02 - Aguardando geração de pedido
22/02 - Mesmo status
16/02 - Aguardando DE ACORDO do solicitante em relação a proposta enviada pelo fornecedor
10/02 - Mesmo status
02/02 - Mesmo status
[28/01] - Aguardando aceite por parte do solicitante
[26/01] Aguardando proposta da ISYS
[26/11] Solicitação de proposta técnica/comercial para a Information. Aguardando retorno
[18/11] Pendente informações por parte de negócios (George / Veronica / Noemia)
14/10]] Análise de orçamento junto a Information Systems
[19/09 - Dalton] – encaminhado para George questionamentos levantados pela information, aguardando retorno.
[18/09 - Dalton] Aguardando análise e orçamento da Information.</v>
      </c>
      <c r="V44" s="109" t="s">
        <v>2758</v>
      </c>
      <c r="W44" s="110" t="s">
        <v>2394</v>
      </c>
      <c r="X44" s="109" t="s">
        <v>2757</v>
      </c>
      <c r="Y44" s="109" t="s">
        <v>243</v>
      </c>
      <c r="AD44" s="101" t="s">
        <v>273</v>
      </c>
    </row>
    <row r="45" spans="1:30" ht="409.5" x14ac:dyDescent="0.25">
      <c r="A45" s="101" t="s">
        <v>2514</v>
      </c>
      <c r="B45" s="103" t="s">
        <v>405</v>
      </c>
      <c r="C45" s="103" t="s">
        <v>3022</v>
      </c>
      <c r="D45" s="103" t="s">
        <v>2288</v>
      </c>
      <c r="E45" s="103" t="s">
        <v>174</v>
      </c>
      <c r="F45" s="103" t="s">
        <v>3338</v>
      </c>
      <c r="G45" s="103" t="s">
        <v>3349</v>
      </c>
      <c r="H45" s="111" t="s">
        <v>1411</v>
      </c>
      <c r="I45" s="103" t="s">
        <v>2394</v>
      </c>
      <c r="J45" s="103" t="s">
        <v>97</v>
      </c>
      <c r="K45" s="108">
        <v>42167.658333333333</v>
      </c>
      <c r="L45" s="11">
        <f ca="1">IFERROR(IF(AND(Y45&lt;&gt;"Concluído",Y45&lt;&gt;"Cancelado"),TODAY()-K45+1,Z45-K45),"")</f>
        <v>355.34166666666715</v>
      </c>
      <c r="M45" s="108">
        <v>42217</v>
      </c>
      <c r="N45" s="108" t="s">
        <v>2350</v>
      </c>
      <c r="O45" s="108" t="s">
        <v>2282</v>
      </c>
      <c r="P45" s="110" t="s">
        <v>3657</v>
      </c>
      <c r="Q45" s="109" t="s">
        <v>3658</v>
      </c>
      <c r="R45" s="44"/>
      <c r="S45" s="109" t="s">
        <v>3656</v>
      </c>
      <c r="T45" s="109" t="str">
        <f t="shared" si="0"/>
        <v xml:space="preserve">                                      
31/05 - Atualização ocorrida com sucesso, porém tivemos pendência do lado da ISYS em relação aos relatórios.  Aguardando normalização para fechamento do projeto
24/05 - Homologação ocorrida com sucesso. Em execução por TI: Iniciamos a atualização do Screen Pop do Santander para o site Antártica e finalizamos das PAs 3397 até 3508, total de 111 PAs. Nessa madrugada continuaremos.
No site Mackenzie só conseguiremos executar no dia 28, o ambiente todo.
17/05 - Mesmo status
11/05 - Reprogramado devido solicitação da operação. A homologação foi remarcada para dia 19/05, marcaremos a entrega de atualização da nova versão do SPOP em todas as PAS da operação no dia 31/05.
04/05 - Homologação marcada para dia 06/05 para finalização do projeto.
29/04 - Testes realizados e OK...
01/04 - Cronograma em andamento. Previsão de entrega - 13/05
29/02 - Desenvolvimento pela ISYS previsto para terminar em 15/04. Após isso será disponibilizado para testes e homologação. Depois de homologado, entrará as atividades do site TI prevista para início em 02/05
22/02 - Mesmo status
16/02 - Information repassou o Cronograma de desenvolvimeto da aplicação. Devido a complexibilidade, recebemos a previsão de implantação em produção em 13/05. Já alinhado com a operação (Veronica).
10/02 - Cronograma elaborado e andando conforme
02/02 - Aguardando elaboração de cronograma pela ISYS
[26/01] Pedido gerado. Aguardando cronograma da ISYS para execução
[17/11] Solicitações de compras geradas -&gt; Aguardando aprovações no fluig -&gt; Falta Ibrahim
[27/10– Bruno/Leandro] Em tratativa com controladoria  referente a SC, Information aguardando esse trâmite interno para dar inicio ao cronograma por parte deles.
[05/10 – Dalton/Leandro] Aguardando o “de acordo” do Cliente referente à Proposta da Information Systems para prosseguir com o Projeto.
[18/09 – Leandro] Aguardando o “de acordo” do Cliente referente à Pr Assim que se tiver esses usuários, se dará inicio nas movimentações.oposta da Information Systems para prosseguir com o Projeto.</v>
      </c>
      <c r="V45" s="109" t="s">
        <v>2758</v>
      </c>
      <c r="W45" s="110" t="s">
        <v>2394</v>
      </c>
      <c r="X45" s="131">
        <v>42524</v>
      </c>
      <c r="Y45" s="109" t="s">
        <v>243</v>
      </c>
      <c r="AD45" s="101" t="s">
        <v>273</v>
      </c>
    </row>
    <row r="46" spans="1:30" ht="409.5" x14ac:dyDescent="0.25">
      <c r="A46" s="101" t="s">
        <v>196</v>
      </c>
      <c r="B46" s="103" t="s">
        <v>169</v>
      </c>
      <c r="C46" s="103" t="s">
        <v>3023</v>
      </c>
      <c r="D46" s="103" t="s">
        <v>2288</v>
      </c>
      <c r="E46" s="103" t="s">
        <v>174</v>
      </c>
      <c r="F46" s="103" t="s">
        <v>3338</v>
      </c>
      <c r="G46" s="103" t="s">
        <v>2872</v>
      </c>
      <c r="H46" s="111" t="s">
        <v>2130</v>
      </c>
      <c r="I46" s="103" t="s">
        <v>2394</v>
      </c>
      <c r="J46" s="103" t="s">
        <v>97</v>
      </c>
      <c r="K46" s="108">
        <v>42247</v>
      </c>
      <c r="L46" s="11">
        <f ca="1">IFERROR(IF(AND(Y46&lt;&gt;"Concluído",Y46&lt;&gt;"Cancelado"),TODAY()-K46+1,Z46-K46),"")</f>
        <v>276</v>
      </c>
      <c r="M46" s="108">
        <v>42217</v>
      </c>
      <c r="N46" s="108" t="s">
        <v>273</v>
      </c>
      <c r="O46" s="108" t="s">
        <v>2306</v>
      </c>
      <c r="P46" s="108" t="s">
        <v>2306</v>
      </c>
      <c r="Q46" s="103" t="s">
        <v>2306</v>
      </c>
      <c r="R46" s="45"/>
      <c r="S46" s="114" t="s">
        <v>3793</v>
      </c>
      <c r="T46" s="109" t="str">
        <f t="shared" si="0"/>
        <v xml:space="preserve">                                      
[31/05] - Doctos encaminhados pela equipe Negócios, não esclarecem quais são as regras de negócio para validação arquivo mailing antes submeter ao discador. Informação pendente para fechamento da validação EF. Avaliando se as regras aplicadas no projeto CTXRECSA-457626, podem ser refeerencia para este projeto.
[24/05] - Aguardando retorno do Solicitante para conclusão da analise da EF pela equipe Aplicações.
[17/05] - EF esta sendo validada pela equipe de Aplicações, retorno previsto 18/05.
[03/05] Servidor a ser concluido por CSE ainda pendente. Cal realizada para tirar duvidas sobre EF.
[03/05] Servidor a ser concluido por CSE em 04/05. Novas duvidas levantadas por aplicações a serem encaminhadas para solicitante.
[26/04] A etapa de disponibilização da infra está em execução e terá seus servidores entregues no dia de terça-feira(27/04).
Ao consultar o cronograma do projeto, notei que ele ainda não existe data do desenvolvimento, por estar em analise do time de aplicações dos itens que estavam pendentes da EF. Ainda sem previsão de retorno. Email para Marcelo Guedes.
[19/04] - Aguardando Cronograma CSE.
[12/04] - Infra Servidores definida por Arquitetura e EF fase final de validação por Aplicações. Encaminhando para fila de Execução (CSE). Proximo passo avaliação e definição de  esforço, insumo e Cronograma de execução ( Criação Maquinas)
[05/04] - Esclarecimentos da EF ( solicitante) recebidos em 05/04 e encaminhados  para equipe Tecnica Aplicações. . Em paralelo , equipe Engenharia avaliando premissas de Infra TI par aatender a nova Aplicação.
[29/03] -  Pendencia Solicitante  - Aguardando  retorno do solicitante para os esclarecimentos a EF.
[22/03] - Aguardando  retorno do solicitante para os esclarecimentos a EF.
Projeto direcionado para fila de Engenharia para validação de primissas de Infra estrutura solicitadas por Aplicações .
[15/03] - EF recebida em  10/03. Projeto encaminhado para fila de Aplicações. (Aguardando analise EF e mapeamento de esforço e necessidade insumos TI.
[11/03] - EF recebida em 10/03. Considerações e questionamentos esclarecidos com Solicitando. Aguardando validação da EF com Operação . Proximo passo - encaminhar EF para analise da equipe de Aplicações.
Solicitante informado que o projeto será encerrado em 09/03, pois ainda não consta EF. 
[29/02] - Aguardando EF com escopo atualizado.
[23/02] - Mudança de Escopo. Entendimento Escopo do projeto realizado com equipe Projeto Negocios (George) e GerOperação (Veronica). Aguardando EF atualizada para 
direcionar projeto para fila de Aplicações. Necesidade: Front End integrada com discador com possibilidade de discagem manual. Mantendo mesmas funcionalidades da aplicação atual em produção.
[16/02] - Avaliando proposta Tecnica TQS com equipe Aplicações.
[10/02] - Avaliando proposta tecnica do fornecedor .
[02/02] - Necessário levantar maiores esclarecimentos com C. Sasaki e Engenharia (Telecom), para esclarecer escopo e como foi elaborada a proposta Comercial do fornecedor TQS.
Avaliar com fornecedor a possibilidade de execução piloto sem custos.
[29/01]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
[26/01] - sEM ALTERAÇÃO.
[21/01] - Proposta Comercial Contax encaminhada para aprovação do cliente Santander em 02/12 ( Solução TQS). Ainda não obtivemos retorno sobre a aprovação. O cliente solicitou a realização de um Piloto antes da aprovação da Proposta.
Solução FF descartada, pois o escopo contempla Operação Blended e o FF não foi customizado para operações Bended. (C. Sasaki - 21/01)
[17/11 - George] Solicitada nova proposta comercial para a Ayty. Finalizando documentação da operação para orçamento.
[14/10 – Dalton/Leandro] Pontos de atenção:
-Aprovação proposta TQS pelo solicitante  Esclarecido dúvidas sobre TQS / aguardando decisão da possibilidade de um benck mark em outro cliente)
-Desenho da topologia (Pendente com ENG).
-Preenchimento Quadro TODO´s (George complementou itens referentes a ele.).
[05/10 – Dalton/Leandro] Pontos de atenção:
-Aprovação proposta TQS pelo solicitante (Pendente conversa entre Suporte ao Negócio/Projetos/Aplicações) para esclarecer a necessidade de se contratar a TQS.
-Desenho da topologia (Pendente com ENG).
-Preenchimento Quadro TODO´s (Necessário apoio George).
[23/09 - Leandro] Washington realizou a análise do discador e decidiu-se pelo Aspect 7.1.
Próximos passos antes da execução:
Orçamento TQS; 
Desenho da topologia;
Saber-se se o Link é do cliente ou não.
[18/09 – Leandro] Ainda encontra-se em análise pela equipe de CSE e aplicações
[16/09 - Leandro] Realizando levantamento com área de CSE sobre a viabilidade do uso das ferramentas APC ou Aspect para atender a demanda
</v>
      </c>
      <c r="U46" s="114"/>
      <c r="V46" s="109" t="s">
        <v>3454</v>
      </c>
      <c r="W46" s="110" t="s">
        <v>3289</v>
      </c>
      <c r="X46" s="109" t="s">
        <v>2531</v>
      </c>
      <c r="Y46" s="109" t="s">
        <v>243</v>
      </c>
      <c r="Z46" s="110" t="s">
        <v>2531</v>
      </c>
      <c r="AB46" s="101" t="s">
        <v>273</v>
      </c>
      <c r="AC46" s="108" t="s">
        <v>1356</v>
      </c>
      <c r="AD46" s="101" t="s">
        <v>273</v>
      </c>
    </row>
    <row r="47" spans="1:30" ht="409.5" x14ac:dyDescent="0.25">
      <c r="A47" s="40" t="s">
        <v>2515</v>
      </c>
      <c r="B47" s="103" t="s">
        <v>167</v>
      </c>
      <c r="C47" s="103" t="s">
        <v>3023</v>
      </c>
      <c r="D47" s="103" t="s">
        <v>2288</v>
      </c>
      <c r="E47" s="103" t="s">
        <v>174</v>
      </c>
      <c r="F47" s="103" t="s">
        <v>3338</v>
      </c>
      <c r="G47" s="103" t="s">
        <v>2872</v>
      </c>
      <c r="H47" s="111" t="s">
        <v>2407</v>
      </c>
      <c r="I47" s="103" t="s">
        <v>2394</v>
      </c>
      <c r="J47" s="103" t="s">
        <v>97</v>
      </c>
      <c r="K47" s="108">
        <v>41844</v>
      </c>
      <c r="L47" s="11">
        <f ca="1">IFERROR(IF(AND(Y47&lt;&gt;"Concluído",Y47&lt;&gt;"Cancelado"),TODAY()-K47+1,Z47-K47),"")</f>
        <v>679</v>
      </c>
      <c r="M47" s="108">
        <v>42217</v>
      </c>
      <c r="N47" s="108" t="s">
        <v>273</v>
      </c>
      <c r="O47" s="108" t="s">
        <v>2306</v>
      </c>
      <c r="P47" s="108" t="s">
        <v>2306</v>
      </c>
      <c r="Q47" s="103" t="s">
        <v>2306</v>
      </c>
      <c r="R47" s="145"/>
      <c r="S47" s="109" t="s">
        <v>3637</v>
      </c>
      <c r="T47" s="109" t="str">
        <f t="shared" si="0"/>
        <v xml:space="preserve">                                      
[30/05] - Mesmo status
[24/05] - Mesmo status
[16/05] - Mesmo status
[10/05] - Mesmo status
[03/05] - Mesmo status
[25/04] - Mesmo status
[19/03] - Mesmo status
[12/4] - Aguardando aprovação do cliente 
[4/4] - Cliente solicita os logs em documento. Solicitado informações a equipe de MS. [29/03] - Mesmo status
[22/3] - Mesmo Status
[15/03] - Mesmo status
[08/03] - Encaminhado os logs dos servidores para George. Aguardando aprovação do cliente. 
[29/02] - Solicitado o processo de log dos servidores para equipe de MS.    
[23/02] - Aguardando resposta da equipe de aplicações para o processo de log dos servidores do tGuidance.                                                                                                                                    [16/02] - Agendado reunião de alinhamento com George                                           [10/02] - Mesmo status                                                                                                                                                                                                                                                                                                               02/02 - Mesmo status
26/01 - Mesmo status 
VERIFICAR COM O GEORGE
[05/10 – Dalton/Leandro] Aguardando Robson Costa com aceite do cliente para prosseguimento
[23/09 -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[18/09 – Leandro] faltando OK do cliente.
[16/09 - Leandro] Realizado follow-up presencial com Robson Costa, os mesmos mencionaram não terem conseguido o de acordo do cliente ainda.
</v>
      </c>
      <c r="V47" s="109" t="s">
        <v>2758</v>
      </c>
      <c r="X47" s="109" t="s">
        <v>2525</v>
      </c>
      <c r="Y47" s="109" t="s">
        <v>1515</v>
      </c>
      <c r="Z47" s="110" t="s">
        <v>2525</v>
      </c>
      <c r="AB47" s="101" t="s">
        <v>273</v>
      </c>
      <c r="AC47" s="108" t="s">
        <v>2282</v>
      </c>
      <c r="AD47" s="101" t="s">
        <v>273</v>
      </c>
    </row>
    <row r="48" spans="1:30" ht="409.5" x14ac:dyDescent="0.25">
      <c r="A48" s="101" t="s">
        <v>1415</v>
      </c>
      <c r="B48" s="103" t="s">
        <v>435</v>
      </c>
      <c r="C48" s="103" t="s">
        <v>3448</v>
      </c>
      <c r="D48" s="103" t="s">
        <v>118</v>
      </c>
      <c r="E48" s="103" t="s">
        <v>108</v>
      </c>
      <c r="F48" s="103" t="s">
        <v>3350</v>
      </c>
      <c r="G48" s="103" t="s">
        <v>3377</v>
      </c>
      <c r="H48" s="111" t="s">
        <v>2248</v>
      </c>
      <c r="I48" s="103" t="s">
        <v>2687</v>
      </c>
      <c r="J48" s="103" t="s">
        <v>97</v>
      </c>
      <c r="K48" s="108">
        <v>42270</v>
      </c>
      <c r="L48" s="11">
        <f ca="1">IFERROR(IF(AND(Y48&lt;&gt;"Concluído",Y48&lt;&gt;"Cancelado"),TODAY()-K48+1,Z48-K48),"")</f>
        <v>253</v>
      </c>
      <c r="M48" s="108">
        <v>42278</v>
      </c>
      <c r="N48" s="108" t="s">
        <v>273</v>
      </c>
      <c r="O48" s="108" t="s">
        <v>2306</v>
      </c>
      <c r="P48" s="108" t="s">
        <v>2306</v>
      </c>
      <c r="Q48" s="108" t="s">
        <v>2306</v>
      </c>
      <c r="R48" s="44"/>
      <c r="S48" s="109" t="s">
        <v>3592</v>
      </c>
      <c r="T48" s="109" t="str">
        <f t="shared" si="0"/>
        <v xml:space="preserve">                                      
23/5  - Liberação Genesys prevista para 25/5. TSA segue via chamado.
Escopo MIS ainda não avaliado.
16/5 - Liberação acesso TSA e Genesys em andamento. Equipes TI local enviou mapeamento dos IPs dos sites.
MIS - Qualidade enviou escopo para análise.
10/5 - Liberação acesso das aplicações TSA e Genesys nos Sites em andamento:
- TSA - Operação deve abrir chamado p/ liberação Proxy (em andamento);
- Genesys - Operação deve enviar IP das estações para enviarmos demanda para CSE (procedimento + planilha para extração do IP enviado para os supervisroes) - aguardando retorno da operação.
MIS - Aguardando escopo Operação para análise e cronograma.
12/04 - Fase 1 (Alegria): Em implantação/ajustes
Fase 2 (liberação outros sites): Na fila de Engenharia com previsão para entrega da análise em 15/04
Fase 3 (MIS): Em planejamento
29/03 - Dois dias de atraso em Claro e Net e um dia na Vivo e Oi.
Em homologação
22/03 - Mesmo status
17/03:
Etapa concluída:
Liberação de acessos ao ambiente Oi, Vivo, Valro e NETa partir do site Alegria;
Criação da VPN TSA x Genesys
Pontos de atenção:
Homlogação do acesso aos sistemas a partir do Alegria;
Instabilidade VPN TSA
Acesso ambiente TSA e Genesys
Próximos passos:
Preparação máquinas para homologaç~dos acessos
Homologação dos acessos pela equipe de qualidade, TSA e Genesys - 21/03
Transporte e preparação das PAs no Site Alegria - 21/03 (Claro) 24/03 (NET) 28/03 (Oi e Vivo)
08/03 - Etapas concluídas:
Liberações de acesso CTC Dom Pedro para Oi, VIVO, Claro e Net
Separação de 55 estações com controle de ativos
Desenho da solução acesso para a operação no Site Alegria
Criação de servidores TS para Claro e VIVO
Criação de usuário TS
Pontos de atenção:
Liberação de acessos pelos clientes (Oi principalmente)
Homologação do acesso aos sistemas a partir do Alegria
Próximos passos: 
Liberações de acessos ao site Alegria
Preparação das estações para homologação - 11/03
Homologação dos acessos pela equipe de qualidade - 16/03
Homologação dos acessos pela equipe Genesys e TSA - 18/03
Transporte e preparação das PAs no site alegria - 18/03 (Claro) , 21/03 (NET), 24/3 (Oi e VIVO)
16/02 - Etapas concluídas:
Separação de 55 estações com controle de ativos;
Mapeamento de 95% dos 130 sistemas;
Análise de banda WEB para acesso via VPN/Web;
Pontos de atenção:
Liberação de acesso para treianemnto CTC D.Pedro
Liberação de acesso pelos clientes (Oi principalmente)
Licenças terminal services (acessos Vivo e Claro)
Próximos passos:
Análise e liberação de acessos Rede Contax - CTC D. Pedro
Análise e liberação de acessos Rede Contax - Site Alegria
Transporte de estações Lapa &gt; Alegria
Homologar estação Alegria
Previsão: 20/mar
02/02 - Mesmo status
26/01 - Mesmo status 
15/1 - projeto retomado. Kick off agendado com Genesys e TSA
15/10-Leandro] Projeto encaminhado a fila do site para Análise e estimativa / Acionamento de sites para estudo de mapeamento de sistemas atrelados - na fila.
Dalton Bondesan added a comment - 29/Set/15 14:50 
Projeto encaminhado a fila do site para Análise e estimativa. </v>
      </c>
      <c r="V48" s="109" t="s">
        <v>2755</v>
      </c>
      <c r="W48" s="110" t="s">
        <v>2888</v>
      </c>
      <c r="X48" s="131">
        <v>42515</v>
      </c>
      <c r="Y48" s="109" t="s">
        <v>243</v>
      </c>
      <c r="Z48" s="110">
        <v>42515</v>
      </c>
      <c r="AA48" s="109">
        <v>54</v>
      </c>
      <c r="AD48" s="101" t="s">
        <v>2350</v>
      </c>
    </row>
    <row r="49" spans="1:30" ht="409.5" x14ac:dyDescent="0.25">
      <c r="A49" s="40" t="s">
        <v>1449</v>
      </c>
      <c r="B49" s="103" t="s">
        <v>3308</v>
      </c>
      <c r="C49" s="103" t="s">
        <v>3085</v>
      </c>
      <c r="D49" s="103" t="s">
        <v>2288</v>
      </c>
      <c r="E49" s="103" t="s">
        <v>1430</v>
      </c>
      <c r="F49" s="103" t="s">
        <v>3337</v>
      </c>
      <c r="G49" s="103" t="s">
        <v>3345</v>
      </c>
      <c r="H49" s="111" t="s">
        <v>2407</v>
      </c>
      <c r="I49" s="103" t="s">
        <v>2620</v>
      </c>
      <c r="J49" s="103" t="s">
        <v>97</v>
      </c>
      <c r="K49" s="108">
        <v>42276</v>
      </c>
      <c r="L49" s="11">
        <f ca="1">IFERROR(IF(AND(Y49&lt;&gt;"Concluído",Y49&lt;&gt;"Cancelado"),TODAY()-K49+1,Z49-K49),"")</f>
        <v>247</v>
      </c>
      <c r="M49" s="108">
        <v>42298</v>
      </c>
      <c r="N49" s="108" t="s">
        <v>273</v>
      </c>
      <c r="O49" s="108" t="s">
        <v>2306</v>
      </c>
      <c r="P49" s="108" t="s">
        <v>2306</v>
      </c>
      <c r="Q49" s="109" t="s">
        <v>2526</v>
      </c>
      <c r="R49" s="146"/>
      <c r="S49" s="109" t="s">
        <v>3638</v>
      </c>
      <c r="T49" s="109" t="str">
        <f t="shared" si="0"/>
        <v xml:space="preserve">                                      
[30/05] - Mesmo status
[23/05] - Conversado com equipe de TI e foi formalizado que o desenvolvimento da integração com o TG só poderá ser realizado após a entrega no polo Aspect.
[16/05] - Mesmo status
[10/05] - Mesmo status
[03/05] - Mesmo status
[25/4] - mesmo status
[19/04] - Mesmo Status
[12/4] - Aguardando a conclusão do POP
[4/4] - Mesmo status
[29/03] Mesmo status
[22/03] Mesmo status
[15/03] - Mesmo status
08/03 - Em hold
[29/02]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v>
      </c>
      <c r="V49" s="109" t="s">
        <v>2345</v>
      </c>
      <c r="W49" s="110" t="s">
        <v>2763</v>
      </c>
      <c r="X49" s="131" t="s">
        <v>2525</v>
      </c>
      <c r="Y49" s="103" t="s">
        <v>3157</v>
      </c>
      <c r="Z49" s="110" t="s">
        <v>2525</v>
      </c>
      <c r="AA49" s="109">
        <v>384</v>
      </c>
      <c r="AB49" s="101" t="s">
        <v>273</v>
      </c>
      <c r="AC49" s="108" t="s">
        <v>2282</v>
      </c>
      <c r="AD49" s="101" t="s">
        <v>273</v>
      </c>
    </row>
    <row r="50" spans="1:30" ht="409.5" x14ac:dyDescent="0.25">
      <c r="A50" s="101" t="s">
        <v>1671</v>
      </c>
      <c r="B50" s="103" t="s">
        <v>1672</v>
      </c>
      <c r="C50" s="103" t="s">
        <v>108</v>
      </c>
      <c r="D50" s="103" t="s">
        <v>2288</v>
      </c>
      <c r="E50" s="103" t="s">
        <v>108</v>
      </c>
      <c r="F50" s="103" t="s">
        <v>3350</v>
      </c>
      <c r="G50" s="103" t="s">
        <v>3351</v>
      </c>
      <c r="H50" s="111" t="s">
        <v>1411</v>
      </c>
      <c r="I50" s="103" t="s">
        <v>2674</v>
      </c>
      <c r="J50" s="103" t="s">
        <v>2358</v>
      </c>
      <c r="K50" s="108">
        <v>42319</v>
      </c>
      <c r="L50" s="11">
        <f ca="1">IFERROR(IF(AND(Y50&lt;&gt;"Concluído",Y50&lt;&gt;"Cancelado"),TODAY()-K50+1,Z50-K50),"")</f>
        <v>204</v>
      </c>
      <c r="M50" s="108">
        <v>42325</v>
      </c>
      <c r="N50" s="108" t="s">
        <v>273</v>
      </c>
      <c r="O50" s="108" t="s">
        <v>2306</v>
      </c>
      <c r="P50" s="108" t="s">
        <v>2306</v>
      </c>
      <c r="Q50" s="108" t="s">
        <v>2306</v>
      </c>
      <c r="R50" s="45"/>
      <c r="S50" s="109" t="s">
        <v>3607</v>
      </c>
      <c r="T50" s="109" t="str">
        <f t="shared" si="0"/>
        <v xml:space="preserve">                                      
24/05 - Em hold
17/05 - Mesmo status
11/05 - Aguardando desenvolvimento da equipe de informacional para validação.
02/05 - Necessário o acesso da equipe de BI na base do aspect para extração de relatórios.  Já foi incluído na fila de aplicações, porém o Marcelo Caldeira entrará em contato para verificar se um desenvolvimento que eles estão fazendo pode ser aplicado para extração desses relatórios.
27/04 - Liberações e bancos de dados liberados. Aguardando homologação
20/04 - Liberações foram feitas. Hoje teremos uma reunião para definição do projeto
12/04 - Mesmo status
06/04 - Aguardando retorno de CSE
29/03 - Não homologado. LW solicitado para identificar o problema. Aguardando
14/03 - Servidor piloto disponibilizado. Aguardando homologação
08/03 - Aguardando homologação
01/03 - Aguardando homologação por parte do solicitante, referente ao Servidor Piloto
10/02 - Servidor piloto já foi elaborado (CSE e ENG). Hoje a equipe de negócios passou a relação dos usuários que precisam ter acesso a esse servidor. LW irá cadastrar... Para o servidor definitivo, é necessário uma outra call e definição melhor do escopo
02/02 - No call houve a mudança de escopo, Engenharia está elaborando a documentação com previsão de término até amanhã (03/02)
[28/01] Proposta enviada por Engenharia e aguardando aprovação por parte do solicitante.
[26/01] Tivemos uma call no início da semana com o José Maria, Eder e o Maurício Lustosa.
Esse projeto tinha um escopo inicial e foi mudado totalmente o escopo:
• Requisitos funcionais com dimensões bem maiores;
• Dois servidores ao invés de um;
• Necessidade de piloto (o que não estava contemplado no escopo inicial).
</v>
      </c>
      <c r="V50" s="109" t="s">
        <v>2758</v>
      </c>
      <c r="W50" s="110" t="s">
        <v>3320</v>
      </c>
      <c r="X50" s="109" t="s">
        <v>2757</v>
      </c>
      <c r="Y50" s="103" t="s">
        <v>3157</v>
      </c>
      <c r="AD50" s="101" t="s">
        <v>273</v>
      </c>
    </row>
    <row r="51" spans="1:30" ht="409.5" x14ac:dyDescent="0.25">
      <c r="A51" s="101" t="s">
        <v>2379</v>
      </c>
      <c r="B51" s="103" t="s">
        <v>2380</v>
      </c>
      <c r="C51" s="109" t="s">
        <v>3047</v>
      </c>
      <c r="D51" s="103" t="s">
        <v>118</v>
      </c>
      <c r="E51" s="103" t="s">
        <v>1430</v>
      </c>
      <c r="F51" s="103" t="s">
        <v>3337</v>
      </c>
      <c r="G51" s="103" t="s">
        <v>3345</v>
      </c>
      <c r="H51" s="111" t="s">
        <v>2451</v>
      </c>
      <c r="I51" s="103" t="s">
        <v>3160</v>
      </c>
      <c r="J51" s="103" t="s">
        <v>97</v>
      </c>
      <c r="K51" s="108">
        <v>42341</v>
      </c>
      <c r="L51" s="11">
        <f ca="1">IFERROR(IF(AND(Y51&lt;&gt;"Concluído",Y51&lt;&gt;"Cancelado"),TODAY()-K51+1,Z51-K51),"")</f>
        <v>182</v>
      </c>
      <c r="M51" s="108">
        <v>42355</v>
      </c>
      <c r="N51" s="108" t="s">
        <v>2350</v>
      </c>
      <c r="O51" s="108" t="s">
        <v>348</v>
      </c>
      <c r="P51" s="108">
        <v>42521</v>
      </c>
      <c r="Q51" s="103" t="s">
        <v>2389</v>
      </c>
      <c r="R51" s="45"/>
      <c r="S51" s="109" t="s">
        <v>3665</v>
      </c>
      <c r="T51" s="109" t="str">
        <f t="shared" si="0"/>
        <v xml:space="preserve">                                      
31/05 - Em Piloto no Site Borges de Melo. Rollout no Site Santo Amaro. E Piloto no Site Mackenzie. 
24/05 -Cronograma reprogramada para 16/05. 
17/05 - Rollout Site João Pessoa finalizado. Redefinido o cronograma e houve atraso de 15 dias.
10/05 - Rollout Niterói finalizado. Iniciado Piloto em João Pessoa. 
02/05 - Piloto Santo Amaro inciado. Rollout Niterói programado para 04/05.
19/04 - Piloto Santo Amaro programado para início em 20/04.
12/04 - Piloto em andamento.
05/04 - Iniciado Piloto no Site Niterói 
29/03 - Cronograma em linha.
22/03 - Cronograma fechado. 
15/03 - Definindo cronograma. Entrega 16/03.
10/03 - Finalizada a EF. Aguardando data APP.
08/03 - Necessário conferência entre aplicações e buscando agenda para quarta.
02/03 - Ana fez a definição da solução a ser adotada;
Enviado para a área de aplicações para fazer entendimento e reprogramar cronograma.
22/02 - Ana informou que alinhará com PH no dia 23/02 para definir a solução a ser adotada. 
16/02 - Alinhado novo desenho de solução proposto pela área de APP. 
Aguardando definição do cliente.
11/02 - Ana informou à equipe q a solução desenhada não atende. 
- Rivaldo avaliando com a equipe.
10/02 - Em linha. 
03/02/2016 - Alinhamento das necessidades de definição de layout com a operação;
- Alexandre ainda não enviou a EF final, FUP realizado; 
- Operação já definiu mesagem a ser apresentada para o operador e aguarda EF para incluir;
- Operação já definiu "última transferência", após recebimento da EF será inserida na mesma.
28/01 - Fechamento do cronograma.
27/01 - Kickoff com os Sites. Envio do cronograma para validação (SItes e Aplicações)
26/01 - Mesmo status 
09/01/2016 - Início do tratamento do projeto.
Definição das etapas macro e avaliação da EF.
14/01/2016 - Kickoff com a participação da área de desenvolviemnto e operações para apresentação da solução desenhada.
Mudança de escopo, acordada entrega de nova EF dia 15/01/2016.
Envio do draft da solução para aprovação de operações.
18/01/2016 - Entrega da nova EF com o detalhamento da alteração de escopo.
Início da avaliação pela área de desenvolvimento.</v>
      </c>
      <c r="V51" s="109" t="s">
        <v>3478</v>
      </c>
      <c r="W51" s="110" t="s">
        <v>2451</v>
      </c>
      <c r="X51" s="131" t="s">
        <v>348</v>
      </c>
      <c r="Y51" s="109" t="s">
        <v>243</v>
      </c>
      <c r="Z51" s="110">
        <v>42521</v>
      </c>
      <c r="AA51" s="109">
        <v>1200</v>
      </c>
      <c r="AB51" s="108" t="s">
        <v>2350</v>
      </c>
      <c r="AC51" s="108" t="s">
        <v>1356</v>
      </c>
      <c r="AD51" s="101" t="s">
        <v>2350</v>
      </c>
    </row>
    <row r="52" spans="1:30" ht="409.5" x14ac:dyDescent="0.25">
      <c r="A52" s="40" t="s">
        <v>2519</v>
      </c>
      <c r="B52" s="103" t="s">
        <v>2463</v>
      </c>
      <c r="C52" s="103" t="s">
        <v>3087</v>
      </c>
      <c r="D52" s="103" t="s">
        <v>118</v>
      </c>
      <c r="E52" s="103" t="s">
        <v>106</v>
      </c>
      <c r="F52" s="103" t="s">
        <v>3336</v>
      </c>
      <c r="G52" s="103" t="s">
        <v>3342</v>
      </c>
      <c r="H52" s="111" t="s">
        <v>2407</v>
      </c>
      <c r="I52" s="103" t="s">
        <v>2576</v>
      </c>
      <c r="J52" s="103" t="s">
        <v>97</v>
      </c>
      <c r="K52" s="108">
        <v>42250</v>
      </c>
      <c r="L52" s="11">
        <f ca="1">IFERROR(IF(AND(Y52&lt;&gt;"Concluído",Y52&lt;&gt;"Cancelado"),TODAY()-K52+1,Z52-K52),"")</f>
        <v>273</v>
      </c>
      <c r="M52" s="108">
        <v>42272</v>
      </c>
      <c r="N52" s="108" t="s">
        <v>2350</v>
      </c>
      <c r="O52" s="108">
        <v>42402</v>
      </c>
      <c r="P52" s="110" t="s">
        <v>3617</v>
      </c>
      <c r="Q52" s="103" t="s">
        <v>2678</v>
      </c>
      <c r="R52" s="113"/>
      <c r="S52" s="109" t="s">
        <v>3624</v>
      </c>
      <c r="T52" s="109" t="str">
        <f t="shared" si="0"/>
        <v xml:space="preserve">                                      
[30/05] - Banco aprovou no dia 23/05 a utlização do tSupervisor. Próximo passo será alinhamento com os sites sobre as viradas e elaboração do cronograma.
[24/05] - Mesmo status
[16/05] - Aguardando aprovação do banco para a utilização do tSupervidor
[10/05] - Banco solicita novamente uma call para tirar dúvidas do tSupervisor.
[02/05] - Banco fez novamente questionamentos sobre a aplicação. Prazo de entrega 04/05
[25/04] - Mesmo status
[19/4] - Mesmo status
[12/4] - Mesmo status
[4/4] - Aguardando aprovação do banco para utilização do tSupervior
[29/03] - Mesmo status
[22/03]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
Aguardando apenas o de acordo para seguir com a migração do t-Supervisor, pois é um pré-requisito para a migração do win7. Débora 01/12
Projeto previsto para iniciar em 17/11 no site e a migração tem duração de 22 dias. Aguardando apenas o de acordo para seguir com a migração do t-Supervisor, pois é um pré-requisito para a migração do win7. Débora 23/11
Projeto previsto para iniciar em 17/11 no site e a migração tem duração de 22 dias. Aguardando apenas o de acordo para seguir com a migração do t-Supervisor, pois é um pré-requisito para a migração do win7. Débora 17/11
Projeto previsto para iniciar em 17/11 no site e a migração tem duração de 22 dias. Aguardando apenas o de acordo para seguir com a migração do t-Supervisor, pois é um pré-requisito para a migração do win7. Débora 03/11
Projeto previsto para iniciar em 17/11 no site e a migração tem duração de 22 dias. Aguardando apenas o de acordo para seguir com a migração do t-Supervisor, pois é um pré-requisito para a migração do win7. Débora 27/10
Em levantamento com os executores a duração para configuração do t-Supervisor, pois é um pré-requisito para implantar o Win7. Débora 20/10/15
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Windows 7 - Rosim concluiu a criação da imagem do Win 7 e iníciou os teste na operação em 25/09 com duração de uma semana  até a conclusão dos testes. Necessário realinhar o cronograma. 
Ainda permanece em andamento a Negociação das Licenças com o Banco (Resp.: Ricardo) / Pendente Mapeamento Operações 2° e 3° onda de PE (Resp.: Rosim).
Esse chamado aplica-se a implantação no Site Santo Amaro. Débora 25/09/15</v>
      </c>
      <c r="V52" s="109" t="s">
        <v>2758</v>
      </c>
      <c r="W52" s="110" t="s">
        <v>2576</v>
      </c>
      <c r="X52" s="109" t="s">
        <v>2525</v>
      </c>
      <c r="Y52" s="109" t="s">
        <v>2886</v>
      </c>
      <c r="Z52" s="110">
        <v>42488</v>
      </c>
      <c r="AA52" s="109">
        <v>3076</v>
      </c>
      <c r="AB52" s="101" t="s">
        <v>273</v>
      </c>
      <c r="AC52" s="108" t="s">
        <v>2282</v>
      </c>
      <c r="AD52" s="101" t="s">
        <v>273</v>
      </c>
    </row>
    <row r="53" spans="1:30" ht="409.5" x14ac:dyDescent="0.25">
      <c r="A53" s="101" t="s">
        <v>1896</v>
      </c>
      <c r="B53" s="103" t="s">
        <v>2435</v>
      </c>
      <c r="C53" s="103" t="s">
        <v>3048</v>
      </c>
      <c r="D53" s="103" t="s">
        <v>118</v>
      </c>
      <c r="E53" s="103" t="s">
        <v>161</v>
      </c>
      <c r="F53" s="103" t="s">
        <v>3339</v>
      </c>
      <c r="G53" s="103" t="s">
        <v>3352</v>
      </c>
      <c r="H53" s="111" t="s">
        <v>2451</v>
      </c>
      <c r="I53" s="103" t="s">
        <v>3020</v>
      </c>
      <c r="J53" s="103" t="s">
        <v>97</v>
      </c>
      <c r="K53" s="108">
        <v>42312</v>
      </c>
      <c r="L53" s="11">
        <f ca="1">IFERROR(IF(AND(Y53&lt;&gt;"Concluído",Y53&lt;&gt;"Cancelado"),TODAY()-K53+1,Z53-K53),"")</f>
        <v>211</v>
      </c>
      <c r="M53" s="108">
        <v>42361</v>
      </c>
      <c r="N53" s="108" t="s">
        <v>2350</v>
      </c>
      <c r="O53" s="108">
        <v>42388</v>
      </c>
      <c r="P53" s="108">
        <v>42583</v>
      </c>
      <c r="Q53" s="103" t="s">
        <v>2389</v>
      </c>
      <c r="R53" s="45"/>
      <c r="S53" s="109" t="s">
        <v>3666</v>
      </c>
      <c r="T53" s="109" t="str">
        <f t="shared" si="0"/>
        <v xml:space="preserve">                                      
31/05 - Cronograma em linha. Agendada a homologação do desenvolvimento para o dia 01/06.
24/05 - Em desenvolvimento, Cronograma em linha.
17/05 - Aguardando posição da Operação (Juliano) para início do desenvolvimento da segunda fase.
10/05 - Aguardando finalização de homologação primeira fase projeto. Previsão 16/05.
03/05 - Início do desenvolvimento previsto para 06/05.
22/01/2016 - Desevolvimento se iniciará após entrega do Projeto CTXPOARB- 95971.</v>
      </c>
      <c r="Y53" s="109" t="s">
        <v>243</v>
      </c>
      <c r="AA53" s="109">
        <v>75</v>
      </c>
      <c r="AB53" s="108" t="s">
        <v>273</v>
      </c>
      <c r="AC53" s="108" t="s">
        <v>2282</v>
      </c>
      <c r="AD53" s="101" t="s">
        <v>2350</v>
      </c>
    </row>
    <row r="54" spans="1:30" ht="409.5" x14ac:dyDescent="0.25">
      <c r="A54" s="40" t="s">
        <v>2443</v>
      </c>
      <c r="B54" s="103" t="s">
        <v>2444</v>
      </c>
      <c r="C54" s="103" t="s">
        <v>3090</v>
      </c>
      <c r="D54" s="103" t="s">
        <v>118</v>
      </c>
      <c r="E54" s="103" t="s">
        <v>108</v>
      </c>
      <c r="F54" s="103" t="s">
        <v>3363</v>
      </c>
      <c r="G54" s="103" t="s">
        <v>3364</v>
      </c>
      <c r="H54" s="111" t="s">
        <v>2407</v>
      </c>
      <c r="I54" s="103" t="s">
        <v>3020</v>
      </c>
      <c r="J54" s="103" t="s">
        <v>97</v>
      </c>
      <c r="K54" s="108">
        <v>42335</v>
      </c>
      <c r="L54" s="11">
        <f ca="1">IFERROR(IF(AND(Y54&lt;&gt;"Concluído",Y54&lt;&gt;"Cancelado"),TODAY()-K54+1,Z54-K54),"")</f>
        <v>188</v>
      </c>
      <c r="M54" s="108">
        <v>42366</v>
      </c>
      <c r="N54" s="108" t="s">
        <v>2350</v>
      </c>
      <c r="O54" s="108" t="s">
        <v>2282</v>
      </c>
      <c r="P54" s="154" t="s">
        <v>3472</v>
      </c>
      <c r="Q54" s="109" t="s">
        <v>2526</v>
      </c>
      <c r="R54" s="45"/>
      <c r="S54" s="109" t="s">
        <v>3639</v>
      </c>
      <c r="T54" s="109" t="str">
        <f t="shared" si="0"/>
        <v xml:space="preserve">                                      
[30/05] - Será agendado uma nova reunião de trabalho com a Nice nesta semana.
[24/05] - Realizado conferencia com a NIce para entendimento da documentação. Solicitado nova reunião de trabalho para semana do dia 30.
[16/05] - Mesmo status
[10/05] - Nice soliictou uma reunião para uma avaliação das EFs. Data prevista 17/5
[03/05] - Atualizado EF da integração do Ecadop com TTV. Aguradando aprovação para envio a Nice.
[25/04] - Aguardando aprovação das EFs (Negócio e Nice). 
[19/04] - Aguardando Nice enviar cronograma. Prazo TDB [12/4] -Aguardando envio da EF. Prazo 11/4 
[5/4] - Realizado reunião hoje com a Nice para alinhamento das integrações e foi defindo que na sexta-feira Adalton irá encaminhar a EF e após o recebimento Nice encaminha o cronograma. [29/03] - Nice solicita reunião no dia 30/3 para tratar as integrações (tClock; Ecadop). 
[22/03] Realizado reunião com Nice e alinhado as integrações que deveão ser realizadas. 
[15/03] - Aguardando reunião do Rivaldo com a Nice dia 17/03.
[08/03]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v>
      </c>
      <c r="V54" s="109" t="s">
        <v>2758</v>
      </c>
      <c r="W54" s="109" t="s">
        <v>3365</v>
      </c>
      <c r="X54" s="131">
        <v>42494</v>
      </c>
      <c r="Y54" s="109" t="s">
        <v>1515</v>
      </c>
      <c r="Z54" s="110" t="s">
        <v>2525</v>
      </c>
      <c r="AA54" s="109">
        <v>2000</v>
      </c>
      <c r="AB54" s="101" t="s">
        <v>2350</v>
      </c>
      <c r="AC54" s="108" t="s">
        <v>1356</v>
      </c>
      <c r="AD54" s="101" t="s">
        <v>2350</v>
      </c>
    </row>
    <row r="55" spans="1:30" ht="409.5" x14ac:dyDescent="0.25">
      <c r="A55" s="101" t="s">
        <v>1887</v>
      </c>
      <c r="B55" s="103" t="s">
        <v>1993</v>
      </c>
      <c r="C55" s="103" t="s">
        <v>3049</v>
      </c>
      <c r="D55" s="103" t="s">
        <v>118</v>
      </c>
      <c r="E55" s="103" t="s">
        <v>1430</v>
      </c>
      <c r="F55" s="103" t="s">
        <v>3337</v>
      </c>
      <c r="G55" s="103" t="s">
        <v>3345</v>
      </c>
      <c r="H55" s="111" t="s">
        <v>2451</v>
      </c>
      <c r="I55" s="103" t="s">
        <v>2315</v>
      </c>
      <c r="J55" s="103" t="s">
        <v>97</v>
      </c>
      <c r="K55" s="108">
        <v>42325</v>
      </c>
      <c r="L55" s="11">
        <f ca="1">IFERROR(IF(AND(Y55&lt;&gt;"Concluído",Y55&lt;&gt;"Cancelado"),TODAY()-K55+1,Z55-K55),"")</f>
        <v>198</v>
      </c>
      <c r="M55" s="108">
        <v>42380</v>
      </c>
      <c r="N55" s="108" t="s">
        <v>273</v>
      </c>
      <c r="O55" s="108" t="s">
        <v>2306</v>
      </c>
      <c r="P55" s="108" t="s">
        <v>2306</v>
      </c>
      <c r="Q55" s="103" t="s">
        <v>2306</v>
      </c>
      <c r="R55" s="45"/>
      <c r="S55" s="109" t="s">
        <v>3667</v>
      </c>
      <c r="T55" s="109" t="str">
        <f t="shared" si="0"/>
        <v xml:space="preserve">                                      
31/05 - Agendado o início da atividade pela TQS para o dia 02/06. Prazo estimado de 2 semanas.
24/05 - preparando ambiente para TQS fazer acesso remoto. Previsão de início 30/05.
17/05 - TQS liberou a realização da atividade. Aguardando posicionamento de CSE para a disponibilizaçãodo ambiente. Data 19/05.
10/05 - Mesmo status.
03/05 - Mesmo status.
19/04 - TQS informou que só pode dar andamento do Projeto após o fechamento do contrato. Suprimentos ainda em negociação. Sem data
12/04 - Aguardando agenda TQS.
05/04 - Em aprovação pelo demandante.
29/03 - Mesmo status
21/03 - Aguardando proposta fornecedor.
11/03 - Enviadas as informações. Aguardando retorno APP.
10/03 - Em levantamento de informações do discador para fechamento do escopo e solicitação de proposta ao fornecedor.
08/03 - Definida a utilização de disca fácil+tGuidance. 
Em verificação com engenharia de pré-requisitos informados pela área. 03/03 - Aplicações enviará as informações de definições do projeto dia 03/03.
25/02 - Solicitado mais informações com relação ao ambiente Aspect.
Em levantamento informações do Discador Aspect para fechamento da avaliação pelo fornecedor. Novo contato com Engenharia 02/03. 
22/02 - Solicitado orçamento ao fornecedor TQS, sem data de envio.
16/02 - EF enviada para avaliação da área de desenvolvimento. Resposta 19/02.
10/02 - Providenciando EF - Elaine
02/01/2016 - Envio de solicitação de EF novamente.
26/01 - Mesmo status 
20/01/2016 - Em validação de EF.
21/01/2016 - EF sendo corrigida de acordo com a demanda.</v>
      </c>
      <c r="V55" s="109" t="s">
        <v>2345</v>
      </c>
      <c r="W55" s="110" t="s">
        <v>3203</v>
      </c>
      <c r="X55" s="131" t="s">
        <v>2757</v>
      </c>
      <c r="Y55" s="109" t="s">
        <v>1515</v>
      </c>
      <c r="AB55" s="108" t="s">
        <v>273</v>
      </c>
      <c r="AC55" s="108" t="s">
        <v>2282</v>
      </c>
      <c r="AD55" s="101" t="s">
        <v>2350</v>
      </c>
    </row>
    <row r="56" spans="1:30" ht="409.5" x14ac:dyDescent="0.25">
      <c r="A56" s="101" t="s">
        <v>2469</v>
      </c>
      <c r="B56" s="103" t="s">
        <v>2470</v>
      </c>
      <c r="C56" s="109" t="s">
        <v>3051</v>
      </c>
      <c r="D56" s="103" t="s">
        <v>2288</v>
      </c>
      <c r="E56" s="103" t="s">
        <v>1430</v>
      </c>
      <c r="F56" s="103" t="s">
        <v>3337</v>
      </c>
      <c r="G56" s="103" t="s">
        <v>3345</v>
      </c>
      <c r="H56" s="111" t="s">
        <v>2451</v>
      </c>
      <c r="I56" s="103" t="s">
        <v>2867</v>
      </c>
      <c r="J56" s="103" t="s">
        <v>97</v>
      </c>
      <c r="K56" s="108">
        <v>42226</v>
      </c>
      <c r="L56" s="11">
        <f ca="1">IFERROR(IF(AND(Y56&lt;&gt;"Concluído",Y56&lt;&gt;"Cancelado"),TODAY()-K56+1,Z56-K56),"")</f>
        <v>297</v>
      </c>
      <c r="M56" s="108">
        <v>42380</v>
      </c>
      <c r="N56" s="108" t="s">
        <v>2306</v>
      </c>
      <c r="O56" s="108" t="s">
        <v>2306</v>
      </c>
      <c r="P56" s="108" t="s">
        <v>2306</v>
      </c>
      <c r="Q56" s="103" t="s">
        <v>2306</v>
      </c>
      <c r="R56" s="45"/>
      <c r="S56" s="109" t="s">
        <v>3668</v>
      </c>
      <c r="T56" s="109" t="str">
        <f t="shared" si="0"/>
        <v xml:space="preserve">                                      
31/ 05 - Mesmo Status
24/ 05 - Mesmo Status
17/ 05 - Mesmo Status
10/05 - Mesmo status
19/04 - Mesmo status
29/03 - Mesmo status
10/03 - Orçamento finalizado. Aguardando aprovação do cliente.
08/03 - respondidos os questionamentos da Elaine e com base na resposta ela solicitou que fosse realizada uma alteração no orçamento. 
03/03 - Proposta enviada para área de negócios. Elaine enviou 2 questionamentos que estão sendo verificados por aplicações. Entrega 04/03.
26/02 - Aguardando orçamento TQS, data era 24/02. Enviada nova cobrança hoje.
18/02 - Liberado pela diretoria a precificação a ser realizada pela TQS. Sem data de entrega TQS.
16/02 - Informado à Diretoria a questão financeira. Será verificada.
TQS enviará a OG dia 18/02.
11/02 - Fechada a solução em conferência. TQS apresentará proposta para desenvolvimento. 
TQS informa que ainda não houve uma definição pela Contax com relação ao contrato de manutenção, só será possível fazer orçamento após essa definição.
10/02 - Conferência com fornecedor dia 11/02 para definir solução.
04/02/2016 - Conferência será reagendada para 11/04/2016.
03/02/2016 - Não foi possível realizar conferência. Agendada para o dia 04/02.
29/02/2016 - Feita nova rodada de negociação técnica para definição da solução a ser adotada. Nova conferênica agendada para 03/02/2016.
26/01/2016 - Em validação de EF com fornecedor e negócios
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v>
      </c>
      <c r="V56" s="109" t="s">
        <v>2782</v>
      </c>
      <c r="W56" s="110" t="s">
        <v>2818</v>
      </c>
      <c r="X56" s="131" t="s">
        <v>2757</v>
      </c>
      <c r="Y56" s="109" t="s">
        <v>1515</v>
      </c>
      <c r="AB56" s="108" t="s">
        <v>273</v>
      </c>
      <c r="AC56" s="108" t="s">
        <v>2282</v>
      </c>
      <c r="AD56" s="101" t="s">
        <v>273</v>
      </c>
    </row>
    <row r="57" spans="1:30" ht="409.5" x14ac:dyDescent="0.25">
      <c r="A57" s="101" t="s">
        <v>1886</v>
      </c>
      <c r="B57" s="103" t="s">
        <v>1992</v>
      </c>
      <c r="C57" s="103" t="s">
        <v>3052</v>
      </c>
      <c r="D57" s="103" t="s">
        <v>2288</v>
      </c>
      <c r="E57" s="103" t="s">
        <v>1430</v>
      </c>
      <c r="F57" s="103" t="s">
        <v>3337</v>
      </c>
      <c r="G57" s="103" t="s">
        <v>3345</v>
      </c>
      <c r="H57" s="111" t="s">
        <v>2451</v>
      </c>
      <c r="I57" s="103" t="s">
        <v>2867</v>
      </c>
      <c r="J57" s="103" t="s">
        <v>97</v>
      </c>
      <c r="K57" s="108">
        <v>42321</v>
      </c>
      <c r="L57" s="11">
        <f ca="1">IFERROR(IF(AND(Y57&lt;&gt;"Concluído",Y57&lt;&gt;"Cancelado"),TODAY()-K57+1,Z57-K57),"")</f>
        <v>202</v>
      </c>
      <c r="M57" s="108">
        <v>42380</v>
      </c>
      <c r="N57" s="108" t="s">
        <v>2306</v>
      </c>
      <c r="O57" s="108" t="s">
        <v>2306</v>
      </c>
      <c r="P57" s="108" t="s">
        <v>2306</v>
      </c>
      <c r="Q57" s="103" t="s">
        <v>2306</v>
      </c>
      <c r="R57" s="45"/>
      <c r="S57" s="109" t="s">
        <v>3669</v>
      </c>
      <c r="T57" s="109" t="str">
        <f t="shared" si="0"/>
        <v xml:space="preserve">                                      
31/ 05 - Mesmo Status
24/ 05 - Mesmo Status
17/ 05 - Mesmo Status 
10/05 - Mesmo status
19/04 - Mesmo status
29/03 - Mesmo status
10/03 - Orçamento finalizado. Aguardando aprovação do cliente.
08/03 - respondidos os questionamentos da Elaine e com base na resposta ela solicitou que fosse realizada uma alteração no orçamento.
03/03 - Proposta enviada para área de negócios. Elaine enviou 2 questionamentos que estão sendo verificados por aplicações. Entrega 04/03.
26/02 - Aguardando orçamento TQS, data era 24/02. Enviada nova cobrança hoje.
18/02 - Liberado pela diretoria a precificação a ser realizada pela TQS. Sem data de entrega TQS.
16/02 - Informado à Diretoria a questão financeira. Será verificada.
TQS enviará a OG dia 18/02.
11/02 - Fechada a solução em conferência. TQS apresentará proposta para desenvolvimento.
TQS informa que ainda não houve uma definição pela Contax com relação ao contrato de manutenção, só será possível fazer orçamento após essa definição.
10/02 - Idem.
04/02/2016 - Conferência será reagendada para 11/04/2016.
29/02/2016 - Feita nova rodada de negociação técnica para definição da solução a ser adotada. Nova conferênica agendada para 03/02/2016.
26/01/2016 - Em validação de EF com fornecedor e negócios
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v>
      </c>
      <c r="V57" s="109" t="s">
        <v>2782</v>
      </c>
      <c r="W57" s="110" t="s">
        <v>2818</v>
      </c>
      <c r="X57" s="131" t="s">
        <v>2757</v>
      </c>
      <c r="Y57" s="109" t="s">
        <v>1515</v>
      </c>
      <c r="AB57" s="108" t="s">
        <v>273</v>
      </c>
      <c r="AC57" s="108" t="s">
        <v>2282</v>
      </c>
      <c r="AD57" s="101" t="s">
        <v>273</v>
      </c>
    </row>
    <row r="58" spans="1:30" ht="409.5" x14ac:dyDescent="0.25">
      <c r="A58" s="101" t="s">
        <v>2474</v>
      </c>
      <c r="B58" s="103" t="s">
        <v>2475</v>
      </c>
      <c r="C58" s="103" t="s">
        <v>3049</v>
      </c>
      <c r="D58" s="103" t="s">
        <v>2288</v>
      </c>
      <c r="E58" s="103" t="s">
        <v>1430</v>
      </c>
      <c r="F58" s="103" t="s">
        <v>3337</v>
      </c>
      <c r="G58" s="103" t="s">
        <v>3345</v>
      </c>
      <c r="H58" s="111" t="s">
        <v>2451</v>
      </c>
      <c r="I58" s="103" t="s">
        <v>3353</v>
      </c>
      <c r="J58" s="103" t="s">
        <v>97</v>
      </c>
      <c r="K58" s="108">
        <v>42380</v>
      </c>
      <c r="L58" s="11">
        <f ca="1">IFERROR(IF(AND(Y58&lt;&gt;"Concluído",Y58&lt;&gt;"Cancelado"),TODAY()-K58+1,Z58-K58),"")</f>
        <v>143</v>
      </c>
      <c r="M58" s="108">
        <v>42383</v>
      </c>
      <c r="N58" s="108" t="s">
        <v>2350</v>
      </c>
      <c r="O58" s="108" t="s">
        <v>348</v>
      </c>
      <c r="P58" s="108">
        <v>42559</v>
      </c>
      <c r="Q58" s="103" t="s">
        <v>2350</v>
      </c>
      <c r="R58" s="44"/>
      <c r="S58" s="109" t="s">
        <v>3670</v>
      </c>
      <c r="T58" s="109" t="str">
        <f t="shared" si="0"/>
        <v xml:space="preserve">                                      
31/ 05 - Mesmo Status
24/ 05 - Mesmo Status
17/ 05 - Mesmo Status
10/05 - Cronograma em linha.
03/05 - Cronograma em linha.
26/04 - Cronograma em linha.
12/04 - Cronograma em linha.
04/04 - Realizado Kickoff do Projeto. Em andamento.
29/03 - Mesmo status
21/03 - Cronograma em criação pela área desenvolvimento. Data: 31/03
15/03 - Recebida aprovação do cliente. Cronograma em confecção. Data 17/03.
08/03 - Aguardando resposta do Cliente
26/02 - Aguardando resposta cliente.
18/02 - Respostas enviadas. Aguardando aprovação do cliente.
16/02 - Negócios solicitou a informação da validade da proposta e tempo estimado de implantação. Encaminhado à área de URA.
04/10 - Operação avaliando custos. (Anthonny)
02/02/2016 - Envio dos custos para operação, aguardando avaliação.
27/01/2016 - Kickoff agendado para 01/02/2016.
19/01/2016 - Verificado que a URA CO não está sob a tutela de nosso contrato de desenvolvimento OI. Será necessário criar proposta ou incluir a mesma no contrato.
20/01/2016 - Anthonny verificará a possibilidade de propormos a inclusão dessa URA no pool de desenvolvimento de URAs da OI.
26/01/2016 - Envio do status da operação para desenvolvimento; "decisão da operação pela não inclusão dessa URA no Pool".
Devolutiva para verificação de caminho a seguir, desenvolver, solicitar código à Avaya ou orçar com Avaya.</v>
      </c>
      <c r="V58" s="109" t="s">
        <v>3479</v>
      </c>
      <c r="W58" s="110" t="s">
        <v>626</v>
      </c>
      <c r="X58" s="131">
        <v>42460</v>
      </c>
      <c r="Y58" s="109" t="s">
        <v>243</v>
      </c>
      <c r="AB58" s="108" t="s">
        <v>273</v>
      </c>
      <c r="AC58" s="108" t="s">
        <v>2282</v>
      </c>
      <c r="AD58" s="101" t="s">
        <v>273</v>
      </c>
    </row>
    <row r="59" spans="1:30" ht="409.5" x14ac:dyDescent="0.25">
      <c r="A59" s="101" t="s">
        <v>1927</v>
      </c>
      <c r="B59" s="103" t="s">
        <v>2029</v>
      </c>
      <c r="C59" s="103" t="s">
        <v>3053</v>
      </c>
      <c r="D59" s="103" t="s">
        <v>118</v>
      </c>
      <c r="E59" s="103" t="s">
        <v>1430</v>
      </c>
      <c r="F59" s="103" t="s">
        <v>3337</v>
      </c>
      <c r="G59" s="103" t="s">
        <v>3345</v>
      </c>
      <c r="H59" s="111" t="s">
        <v>2451</v>
      </c>
      <c r="I59" s="103" t="s">
        <v>3020</v>
      </c>
      <c r="J59" s="103" t="s">
        <v>97</v>
      </c>
      <c r="K59" s="108">
        <v>42318</v>
      </c>
      <c r="L59" s="11">
        <f ca="1">IFERROR(IF(AND(Y59&lt;&gt;"Concluído",Y59&lt;&gt;"Cancelado"),TODAY()-K59+1,Z59-K59),"")</f>
        <v>205</v>
      </c>
      <c r="M59" s="108">
        <v>42383</v>
      </c>
      <c r="N59" s="108" t="s">
        <v>2350</v>
      </c>
      <c r="O59" s="108" t="s">
        <v>348</v>
      </c>
      <c r="P59" s="108">
        <v>42674</v>
      </c>
      <c r="Q59" s="103" t="s">
        <v>2389</v>
      </c>
      <c r="R59" s="45"/>
      <c r="S59" s="109" t="s">
        <v>3671</v>
      </c>
      <c r="T59" s="109" t="str">
        <f t="shared" si="0"/>
        <v xml:space="preserve">                                      
31/ 05 - Mesmo Status
24/05 - Após a validação de espaço em outro polo, operação não aprovou. Volta ao status de Hold, aguardando polo Aspect 7.3.
17/05 - Avaliando disponibilidade de licenças em outro Polo. Data 19/05
10/05 - Mesmo status.
03/05 -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10/03 - Validado pela engenharia, operação será no Polo Prado. 
08/03 - Em validação de possibilidade de colocar operação no Polo Aspect Prado.
03/03 - EF será disponibilizada 18/03.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v>
      </c>
      <c r="V59" s="109" t="s">
        <v>3480</v>
      </c>
      <c r="W59" s="110" t="s">
        <v>2831</v>
      </c>
      <c r="X59" s="131" t="s">
        <v>2892</v>
      </c>
      <c r="Y59" s="109" t="s">
        <v>1515</v>
      </c>
      <c r="AD59" s="101" t="s">
        <v>2350</v>
      </c>
    </row>
    <row r="60" spans="1:30" ht="409.5" x14ac:dyDescent="0.25">
      <c r="A60" s="101" t="s">
        <v>2070</v>
      </c>
      <c r="B60" s="103" t="s">
        <v>2109</v>
      </c>
      <c r="C60" s="109" t="s">
        <v>3024</v>
      </c>
      <c r="D60" s="103" t="s">
        <v>118</v>
      </c>
      <c r="E60" s="103" t="s">
        <v>1430</v>
      </c>
      <c r="F60" s="103" t="s">
        <v>3337</v>
      </c>
      <c r="G60" s="103" t="s">
        <v>3345</v>
      </c>
      <c r="H60" s="111" t="s">
        <v>1411</v>
      </c>
      <c r="I60" s="103" t="s">
        <v>2761</v>
      </c>
      <c r="J60" s="103" t="s">
        <v>97</v>
      </c>
      <c r="K60" s="108">
        <v>42166</v>
      </c>
      <c r="L60" s="11">
        <f ca="1">IFERROR(IF(AND(Y60&lt;&gt;"Concluído",Y60&lt;&gt;"Cancelado"),TODAY()-K60+1,Z60-K60),"")</f>
        <v>357</v>
      </c>
      <c r="M60" s="108">
        <v>42383</v>
      </c>
      <c r="N60" s="108" t="s">
        <v>273</v>
      </c>
      <c r="O60" s="108" t="s">
        <v>2306</v>
      </c>
      <c r="P60" s="108" t="s">
        <v>2306</v>
      </c>
      <c r="Q60" s="103" t="s">
        <v>2306</v>
      </c>
      <c r="R60" s="44"/>
      <c r="S60" s="109" t="s">
        <v>3659</v>
      </c>
      <c r="T60" s="109" t="str">
        <f t="shared" si="0"/>
        <v xml:space="preserve">                                      
31/05 - 2. Próximas etapas mapeadas?
A. Estamos programando a entrada da ferramenta em 175 PAs no site Boa Viagem - BA para o dia 20/jun  PAs configuradas com o CRM. Homologação a ser realizada até dia  03/jun
o SAC OI TV – 125 PAs
o NID – 50 PAs
B. Entrada de 63 PAs no site Santo Amaro nas operações Oi TV e Oi Contas para meado de junho, conforme abaixo  PAs serão configuradas com o CRM até dia 07/jun para homologação 
o 13/06 =&gt; 33 PAs BO Oi Tv 
o 15/06 =&gt; 30 PAs BO Oi Contas
C. Entrada de 60 PAs em Borges de Melo em 04/07 na operação Oi Fixo
D. Entrada de 35 PAs em João Pessoa em julho
o 11/07 =&gt; 10 PAs Empresarial B2B
o 18/07 =&gt; 25 PAs Empresarial B2B
25/05 – Nova solicitação de roll out em Santo Amaro. Em verificação com o site sobre  a possibilidade
17/05 - A data da entrada de operação na Bahia foi reprogramada para meados de junho (falta equipe de negócio confirmar). Aguardando homologação
Necessário fazer novo levantamento do parque de máquinas de todas as operações ´para verificarmos quais são as PAs aptas para entrada do CRM e estratégia de implantação
Decomissionamento: Realizando definições para envio à equipe de aplicações
11/05 - Aguardando retorno da operação para homologar as PAs da Bahia desde 09/mai. Sem retorno
PE: Operação funcionando normalemnte. 
Decomissionamento: Aguardando respostas do solicitante
02/05 - Mesmpo status para ambos estados, porém a soliciatção de entrada de nova operação não será possível.
27/04 - PE: Operação assistida dos operadores previstos para essa semana.  Foi solicitado pela Brigida entrada de nova operação.  Aguardando plano de roll out alinhado com a Oi para que TI possa analisar a viabilidade
BA: Configurações sendo realizadas na sala de treinamento, porém é necessário passar o login de rede dos operadores que realizarão o treinamento. Aguardando time de negócios 
Decomissionamento: Chamado em análise pela equipe de aplicações
20/04 - PE: Treinamento realizado pela operação, máquinas da operação configuradas, homologação prevista para hoje, operação inicia no dia 25. Disponibilização de rede para o cliente em andamento
BA: Configurações sendo realizadas na sala de treinamento, porém é necessário passar o login de rede dos operadores que realizarão o treinamento. Aguardando time de negócios 
Testes OSVC: Desenvolvimento realizado em 18/abr, testes agendados para a próxima semana (26,27)
Decomissionamento: Chamado aberto, incluindo na fila da equipe de aplicações, porém será necessário envio da EF por parte de negócios
13/04 - Máquinas de treinamento de PE configuradas e homologadas pela operação.
Treinamento sendo realizado até dia15/04.
Em paralelo estamos realizando a adequação das máquinas da operação em PE
06/04 - Cronograma alinhado com a equipe de negócio.
Pendências: 
Resultado dos testes no CTC em PE [Bruno Guerra, 06/abr]
Previsão de instalação do CRM nas máquinas do CTC em PE [Bruno Guerra, 08/abr]
Envio do layout de PE e BA [Brigida, 06/abr]
29/03 - PE:
Definições:
 Conseguimos 31PAs com os requisitos mínimos para a fase de estabilização do projeto;
 Treinamento será nos dias 12 e 13/abril no ECC (anexo do Santo Amaro)
Pendências:
1. Envio do layout com as PAs que serão utilizadas na operação para a fase de estabilização [Brígida]
2. Envio do plano de treinamento (salas, quantidade de PAs necessárias, etc) [Brígida]
Próximos passos:
o Após a resolução da pendência 1, conseguiremos elaborar um cronograma para troca das máquinas nas PAs solicitadas e instalação do CRM
o Após a resolução da pendência 2, conseguiremos elaborar estratégia para instalação do CRM nas PAs
Riscos
 Não é viável a utilização das mesmas PAs da operação para treinamento. Sendo assim, fica o ponto de atenção de não termos PAs adequadas para realização dos treinamentos
BA:
Definições:
 169 PAs na BA  (cenário é mais confortável já que o parque de maquinas é novo e o nosso prazo de implantação é 25/05)
 
Pendências:
1. Envio do layout com as PAs que serão utilizadas na operação para a fase de estabilização [Brígida]
2. Envio do plano de treinamento (salas, quantidade de PAs necessárias, etc) [Brígida]
Próximos passos:
o Após a resolução da pendência 1, conseguiremos elaborar um cronograma para troca das máquinas nas PAs solicitadas e instalação do CRM
o Após a resolução da pendência 2, conseguiremos elaborar estratégia para instalação do CRM nas PAs
14/03 - Mesmo status.
08/03 - Foi definida uma "Fase de estabilização" para abril em PE e em maio em BA.  Estamos realizando os alinhamentos das atividades necessárias para adequação das salas de treinamento e máquinas disponibilizadas
01/03 - Configuração já efetuadas para realização dos testes nos dias 01/03 e 02/03.
23/02 - . A Oi esta se planejando para realizar novos testes nos dias 01 e 02/03, precisaremos deixar nossa parte preparada para novos testes.
OBJETIVO PRINCIPAL:
Verificar se as novas informações disponibilizadas no servidor de contexto da Contax seriam enviadas corretamente ao OSvC, através da string do Front Fácil. Para a realização dos testes, foi necessário:
1. Viabilizar a transferência de chamadas de testes da URA Fixa
2. Adequar o FrontFácil para “popular” os campos da string com as novas informações
19/02 - Máquinas levantadas. Já com comercial para realizar proposta comercial.
A Oi fez os testes nas máquinas hoje com sucesso.
Próximos passos em definição
10/02 - Estamos levantando a quantidade de máquinas para Upgrade
02/02 - Foram levantados os custos de adequações das máquinas para suportar a aplicação nas regionais. Está com a equipe de comercial realizar a precificação. Em paralelo estamos realizando testes nas máquinas, performance e conectividade
28/01 - Call realizada. Está pendente a adequação das máquinas para aceitar a ferramente do OsVC... Plano de rollout já disponibilziado pela Oi, onde a primeira onda será em Recife (nosso pior cenário de máquinas)
26/01 - Mesmo status 
14/01 - Preencher o formulário de abertura de projeto</v>
      </c>
      <c r="V60" s="109" t="s">
        <v>2760</v>
      </c>
      <c r="W60" s="110" t="s">
        <v>3321</v>
      </c>
      <c r="X60" s="131" t="s">
        <v>2306</v>
      </c>
      <c r="Y60" s="109" t="s">
        <v>243</v>
      </c>
      <c r="AD60" s="101" t="s">
        <v>2350</v>
      </c>
    </row>
    <row r="61" spans="1:30" ht="409.5" x14ac:dyDescent="0.25">
      <c r="A61" s="101" t="s">
        <v>939</v>
      </c>
      <c r="B61" s="103" t="s">
        <v>940</v>
      </c>
      <c r="C61" s="103" t="s">
        <v>3052</v>
      </c>
      <c r="D61" s="103" t="s">
        <v>2288</v>
      </c>
      <c r="E61" s="103" t="s">
        <v>1430</v>
      </c>
      <c r="F61" s="103" t="s">
        <v>3337</v>
      </c>
      <c r="G61" s="103" t="s">
        <v>3345</v>
      </c>
      <c r="H61" s="111" t="s">
        <v>2451</v>
      </c>
      <c r="I61" s="103" t="s">
        <v>3354</v>
      </c>
      <c r="J61" s="103" t="s">
        <v>97</v>
      </c>
      <c r="K61" s="108">
        <v>42202</v>
      </c>
      <c r="L61" s="11">
        <f ca="1">IFERROR(IF(AND(Y61&lt;&gt;"Concluído",Y61&lt;&gt;"Cancelado"),TODAY()-K61+1,Z61-K61),"")</f>
        <v>321</v>
      </c>
      <c r="M61" s="108">
        <v>42383</v>
      </c>
      <c r="N61" s="108" t="s">
        <v>273</v>
      </c>
      <c r="O61" s="108" t="s">
        <v>2306</v>
      </c>
      <c r="P61" s="108" t="s">
        <v>2306</v>
      </c>
      <c r="Q61" s="103" t="s">
        <v>2306</v>
      </c>
      <c r="R61" s="45"/>
      <c r="S61" s="109" t="s">
        <v>3672</v>
      </c>
      <c r="T61" s="109" t="str">
        <f t="shared" si="0"/>
        <v xml:space="preserve">                                      
31/ 05 - Mesmo Status
24/05 - Pedido enviado ao fornecedor no dia 19/05. Previsão de entrega do ambiente para URAS: 16/06.
17/ 05 - Mesmo Status
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03/03 - Área de URA entrega informações de uso do banco de dados 03/03.
26/02 - Recebida OG de Telecom. Aguardando avaliação BD do ambiente NGR. Buscando data de entrega da avaliação pela engenharia.
18/02 - Definido que não será necessário utilizar ICR.
- OG de CSE em montagem (26/02)
16/02 - Solicitado à área de URAS o encaminhamento das chamadas para avaliação com planejamento. (19/02).
11/02 - Enviado questionamento de utilização de ICR para área de roteamento.(Julio)
05/02 - Disponibilizada EF - Àrea de aplicações avaliando
26/01 - Mesmo status 
14/01 - Agurando confecção da EF</v>
      </c>
      <c r="V61" s="109" t="s">
        <v>3461</v>
      </c>
      <c r="W61" s="110" t="s">
        <v>2820</v>
      </c>
      <c r="X61" s="131">
        <v>42457</v>
      </c>
      <c r="Y61" s="109" t="s">
        <v>107</v>
      </c>
      <c r="AB61" s="108" t="s">
        <v>2350</v>
      </c>
      <c r="AC61" s="108" t="s">
        <v>1356</v>
      </c>
      <c r="AD61" s="101" t="s">
        <v>273</v>
      </c>
    </row>
    <row r="62" spans="1:30" ht="409.5" x14ac:dyDescent="0.25">
      <c r="A62" s="101" t="s">
        <v>1901</v>
      </c>
      <c r="B62" s="103" t="s">
        <v>2007</v>
      </c>
      <c r="C62" s="103" t="s">
        <v>3052</v>
      </c>
      <c r="D62" s="103" t="s">
        <v>2288</v>
      </c>
      <c r="E62" s="103" t="s">
        <v>1430</v>
      </c>
      <c r="F62" s="103" t="s">
        <v>3337</v>
      </c>
      <c r="G62" s="103" t="s">
        <v>3345</v>
      </c>
      <c r="H62" s="111" t="s">
        <v>2451</v>
      </c>
      <c r="I62" s="103" t="s">
        <v>3354</v>
      </c>
      <c r="J62" s="103" t="s">
        <v>97</v>
      </c>
      <c r="K62" s="108">
        <v>42317</v>
      </c>
      <c r="L62" s="11">
        <f ca="1">IFERROR(IF(AND(Y62&lt;&gt;"Concluído",Y62&lt;&gt;"Cancelado"),TODAY()-K62+1,Z62-K62),"")</f>
        <v>206</v>
      </c>
      <c r="M62" s="108">
        <v>42383</v>
      </c>
      <c r="N62" s="108" t="s">
        <v>273</v>
      </c>
      <c r="O62" s="108" t="s">
        <v>2306</v>
      </c>
      <c r="P62" s="108" t="s">
        <v>2306</v>
      </c>
      <c r="Q62" s="103" t="s">
        <v>2306</v>
      </c>
      <c r="R62" s="45"/>
      <c r="S62" s="109" t="s">
        <v>3673</v>
      </c>
      <c r="T62" s="109" t="str">
        <f t="shared" si="0"/>
        <v xml:space="preserve">                                      
31/ 05 - Mesmo Status
24/05 - Pedido enviado ao fornecedor no dia 19/05. Previsão de entrega do ambiente para URAS: 16/06.
17/ 05 - Mesmo Status
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pela Engenharia.
23/02 - Aguardando informações área de negócios.
16/02 - Solicitado à área de URAS o encaminhamento das chamadas para avaliação com planejamento. (19/02).
11/02 - Enviado questionamento de utilização de ICR para área de roteamento.
05/02 - Disponibilizada EF - Àrea de aplicações avaliando
26/01 - Mesmo status 
14/01 - Agurando confecção da EFc</v>
      </c>
      <c r="V62" s="109" t="s">
        <v>3461</v>
      </c>
      <c r="W62" s="110" t="s">
        <v>2820</v>
      </c>
      <c r="X62" s="131">
        <v>42457</v>
      </c>
      <c r="Y62" s="109" t="s">
        <v>107</v>
      </c>
      <c r="AB62" s="108" t="s">
        <v>2350</v>
      </c>
      <c r="AC62" s="108" t="s">
        <v>1356</v>
      </c>
      <c r="AD62" s="101" t="s">
        <v>273</v>
      </c>
    </row>
    <row r="63" spans="1:30" ht="409.5" x14ac:dyDescent="0.25">
      <c r="A63" s="101" t="s">
        <v>1928</v>
      </c>
      <c r="B63" s="103" t="s">
        <v>2030</v>
      </c>
      <c r="C63" s="103" t="s">
        <v>3053</v>
      </c>
      <c r="D63" s="103" t="s">
        <v>2288</v>
      </c>
      <c r="E63" s="103" t="s">
        <v>1430</v>
      </c>
      <c r="F63" s="103" t="s">
        <v>3337</v>
      </c>
      <c r="G63" s="103" t="s">
        <v>3345</v>
      </c>
      <c r="H63" s="111" t="s">
        <v>2451</v>
      </c>
      <c r="I63" s="103" t="s">
        <v>3354</v>
      </c>
      <c r="J63" s="103" t="s">
        <v>97</v>
      </c>
      <c r="K63" s="108">
        <v>42318</v>
      </c>
      <c r="L63" s="11">
        <f ca="1">IFERROR(IF(AND(Y63&lt;&gt;"Concluído",Y63&lt;&gt;"Cancelado"),TODAY()-K63+1,Z63-K63),"")</f>
        <v>205</v>
      </c>
      <c r="M63" s="108">
        <v>42383</v>
      </c>
      <c r="N63" s="108" t="s">
        <v>273</v>
      </c>
      <c r="O63" s="108" t="s">
        <v>2306</v>
      </c>
      <c r="P63" s="108" t="s">
        <v>2306</v>
      </c>
      <c r="Q63" s="103" t="s">
        <v>2306</v>
      </c>
      <c r="R63" s="45"/>
      <c r="S63" s="109" t="s">
        <v>3674</v>
      </c>
      <c r="T63" s="109" t="str">
        <f t="shared" si="0"/>
        <v xml:space="preserve">                                      
31/ 05 - Mesmo Status
24/05 - Pedido enviado ao fornecedor no dia 19/05. Previsão de entrega do ambiente para URAS: 16/06.
17/ 05 - Mesmo Status
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pela Engenharia.
03/03 - Área de URA entrega informações de uso do banco de dados 03/03.
26/02 - Aguardando OG CSE e avaliação de BD do ambietne NGR.
18/02 - Definido que não será necessário utilizar ICR.
16/02 - Solicitado à área de URAS o encaminhamento das chamadas para avaliação com planejamento. (19/02).
11/02 - Enviado questionamento de utilização de ICR para área de roteamento.(Julio)
27/01 -Disponibilizada EF e inserida no chamado.
26/01 - Mesmo status 
14/01 - Agurando confecção da EF. 
20/01/2016 - Insumos de Telecom já disponibilizados. Continuamos aguardando EF.</v>
      </c>
      <c r="V63" s="109" t="s">
        <v>3461</v>
      </c>
      <c r="W63" s="110" t="s">
        <v>2820</v>
      </c>
      <c r="X63" s="131">
        <v>42457</v>
      </c>
      <c r="Y63" s="109" t="s">
        <v>107</v>
      </c>
      <c r="AB63" s="108" t="s">
        <v>2350</v>
      </c>
      <c r="AC63" s="108" t="s">
        <v>1356</v>
      </c>
      <c r="AD63" s="101" t="s">
        <v>273</v>
      </c>
    </row>
    <row r="64" spans="1:30" ht="409.5" x14ac:dyDescent="0.25">
      <c r="A64" s="101" t="s">
        <v>751</v>
      </c>
      <c r="B64" s="103" t="s">
        <v>752</v>
      </c>
      <c r="C64" s="103" t="s">
        <v>3025</v>
      </c>
      <c r="D64" s="103" t="s">
        <v>2288</v>
      </c>
      <c r="E64" s="103" t="s">
        <v>1430</v>
      </c>
      <c r="F64" s="103" t="s">
        <v>3337</v>
      </c>
      <c r="G64" s="103" t="s">
        <v>3345</v>
      </c>
      <c r="H64" s="111" t="s">
        <v>280</v>
      </c>
      <c r="I64" s="103" t="s">
        <v>3462</v>
      </c>
      <c r="J64" s="103" t="s">
        <v>97</v>
      </c>
      <c r="K64" s="108">
        <v>42142</v>
      </c>
      <c r="L64" s="11">
        <f ca="1">IFERROR(IF(AND(Y64&lt;&gt;"Concluído",Y64&lt;&gt;"Cancelado"),TODAY()-K64+1,Z64-K64),"")</f>
        <v>381</v>
      </c>
      <c r="M64" s="108">
        <v>42383</v>
      </c>
      <c r="N64" s="108" t="s">
        <v>273</v>
      </c>
      <c r="O64" s="108" t="s">
        <v>2306</v>
      </c>
      <c r="P64" s="108" t="s">
        <v>2306</v>
      </c>
      <c r="Q64" s="108" t="s">
        <v>2306</v>
      </c>
      <c r="R64" s="44"/>
      <c r="S64" s="103" t="s">
        <v>3852</v>
      </c>
      <c r="T64" s="109" t="str">
        <f t="shared" si="0"/>
        <v xml:space="preserve">                                      
31/05: Mesmo status
24/05: Aguardando retonor com a homologação novamente.
17/05: Aguardando retorno Sterlaine desde 13/05 com a homologação para encerramento do projeto
10/05: Mesmo Status.
03/05: Foram apontadas novas falhas e o time de APP está atuando para solucionar. 
26/04: Aguardando retorno da operação quanto as pendências solucionadas.
19/04: Permanece pendente a liberação de rede e algumas dúvidas que são enviadas diariamente pela operação.
12/04: Rollout concluído em 08/04, porém a operação sinalizou em 11/04 algumas pendências a serem tratadas, como por exemplo dúvida sobre o processo de tratamento de tickets e liberação de rede.
05/04: Em 01/04 foi alterado o escopo do projeto para implantar o SISGO na operação toda. Foram feitas reuniões para validação do escopo e recebido o ok da homologação. Esta em validação o cronograma do Rollout.
28/03: Mesmo status
21/03: Aguardando negócio enviar o hostname das PA´s para iniciar o piloto.
17/03 - Os testes hoje ou amanhã serão acompanhados pela equipe de APP com a operação, pois não estavam conseguindo gerar tickets.
08/03: Aguardando conclusão dos testes de 2º nível 
01/03/16 Aguardando os testes da área de negócio com as PA´s do Nascente e definição do hostnamento para o Borges de Melo. Data do piloto indefinida.
22/02/16: Liberação de rede realizada em 22/02, pendete testes e instalação da aplicação no site.
01/02: Previsto para 03/02 apresentação sobre a ferramenta.
26/01 - Mesmo status 
14/01 - Em setembro: EF aprovada e aprovação enviada para Dalton e Fornecedor. Aguardando aprovação de proposta comercial pelo cliente. </v>
      </c>
      <c r="U64" s="103"/>
      <c r="V64" s="103" t="s">
        <v>2851</v>
      </c>
      <c r="W64" s="103" t="s">
        <v>3360</v>
      </c>
      <c r="X64" s="133" t="s">
        <v>2306</v>
      </c>
      <c r="Y64" s="103" t="s">
        <v>179</v>
      </c>
      <c r="Z64" s="108"/>
      <c r="AA64" s="101">
        <v>1825</v>
      </c>
      <c r="AB64" s="103"/>
      <c r="AC64" s="103"/>
      <c r="AD64" s="101" t="s">
        <v>273</v>
      </c>
    </row>
    <row r="65" spans="1:30" ht="409.5" x14ac:dyDescent="0.25">
      <c r="A65" s="101" t="s">
        <v>1902</v>
      </c>
      <c r="B65" s="103" t="s">
        <v>2479</v>
      </c>
      <c r="C65" s="103" t="s">
        <v>3052</v>
      </c>
      <c r="D65" s="103" t="s">
        <v>2288</v>
      </c>
      <c r="E65" s="103" t="s">
        <v>1430</v>
      </c>
      <c r="F65" s="103" t="s">
        <v>3337</v>
      </c>
      <c r="G65" s="103" t="s">
        <v>3345</v>
      </c>
      <c r="H65" s="111" t="s">
        <v>2451</v>
      </c>
      <c r="J65" s="103" t="s">
        <v>97</v>
      </c>
      <c r="K65" s="108">
        <v>42317</v>
      </c>
      <c r="L65" s="11">
        <f ca="1">IFERROR(IF(AND(Y65&lt;&gt;"Concluído",Y65&lt;&gt;"Cancelado"),TODAY()-K65+1,Z65-K65),"")</f>
        <v>206</v>
      </c>
      <c r="M65" s="108">
        <v>42383</v>
      </c>
      <c r="N65" s="108" t="s">
        <v>273</v>
      </c>
      <c r="O65" s="108" t="s">
        <v>2306</v>
      </c>
      <c r="P65" s="108" t="s">
        <v>2306</v>
      </c>
      <c r="Q65" s="103" t="s">
        <v>2306</v>
      </c>
      <c r="R65" s="45"/>
      <c r="S65" s="109" t="s">
        <v>3675</v>
      </c>
      <c r="T65" s="109" t="str">
        <f t="shared" si="0"/>
        <v xml:space="preserve">                                      
31/ 05 - Mesmo Status
24/ 05 - Mesmo Status.
17/ 05 - Mesmo Status
10/05 - Mesmo status.
29/03 - Mesmo status.
15/03 - Solicitado pela Tatiane que o Projeto seja colocado em hold pois o cliente não tem ainda o layout do mailing para a confecção da EF.
08/03 - Aguardando EF
03/03 - Aguardando EF.
22/02 - Faltam ainda informações que estão sendo levantadas pela Tatiane.
16/02 - Anderson enviará os custos no dia 16/02.
11/02 - Anderson enviará a EF com o entendimento da necessidade e após validação será gerado o custo.
04/02 - Enviadas as informações faltantes solicitadas pelo fornecedor para a precificação. (Julio)
- em avaliação a possibilidade de utilizar o tBPM.
02/02/2016 - Realização de conferência com o Fornecedor;
- Tatiane providenciará a criação das árvores de perfilamento;
29/01/2016 - Fornecedor enviou dúvidas com relação a EF, já respondidas pela Elaine.
26/01/2016 - Verificado com Fabiana Carla e há a ncessidade de acionamento de fornecedor para verificação do desenvolvimento.
Fabiana informou que o acionamento não é feito por ela.
Enviada EF para o fornecedor avaliar, data estimada de devolução 28/01/2016.
21/01/2016 - Verificado com o Luiz Washington o acionamento e ele verificará e retornará no dia 22/01/2016.
22/01/2016 - Luiz retornou que não tem histórico nem recurso que conhece aplicação para dar andamento.
26/01/2016 - envio da EF para o Fornecedor avaliar.</v>
      </c>
      <c r="V65" s="109" t="s">
        <v>2782</v>
      </c>
      <c r="W65" s="110" t="s">
        <v>2822</v>
      </c>
      <c r="X65" s="109" t="s">
        <v>2819</v>
      </c>
      <c r="Y65" s="103" t="s">
        <v>3157</v>
      </c>
      <c r="AB65" s="108" t="s">
        <v>273</v>
      </c>
      <c r="AC65" s="108" t="s">
        <v>2282</v>
      </c>
      <c r="AD65" s="101" t="s">
        <v>273</v>
      </c>
    </row>
    <row r="66" spans="1:30" ht="409.5" x14ac:dyDescent="0.25">
      <c r="A66" s="101" t="s">
        <v>2521</v>
      </c>
      <c r="B66" s="103" t="s">
        <v>2480</v>
      </c>
      <c r="C66" s="103" t="s">
        <v>3025</v>
      </c>
      <c r="D66" s="103" t="s">
        <v>2288</v>
      </c>
      <c r="E66" s="103" t="s">
        <v>1430</v>
      </c>
      <c r="F66" s="103" t="s">
        <v>3337</v>
      </c>
      <c r="G66" s="103" t="s">
        <v>3345</v>
      </c>
      <c r="H66" s="111" t="s">
        <v>2451</v>
      </c>
      <c r="I66" s="103" t="s">
        <v>3117</v>
      </c>
      <c r="J66" s="103" t="s">
        <v>97</v>
      </c>
      <c r="K66" s="108">
        <v>42368</v>
      </c>
      <c r="L66" s="11">
        <f ca="1">IFERROR(IF(AND(Y66&lt;&gt;"Concluído",Y66&lt;&gt;"Cancelado"),TODAY()-K66+1,Z66-K66),"")</f>
        <v>155</v>
      </c>
      <c r="M66" s="108">
        <v>42383</v>
      </c>
      <c r="N66" s="108" t="s">
        <v>273</v>
      </c>
      <c r="O66" s="108" t="s">
        <v>2306</v>
      </c>
      <c r="P66" s="108" t="s">
        <v>2306</v>
      </c>
      <c r="Q66" s="108" t="s">
        <v>2306</v>
      </c>
      <c r="R66" s="45"/>
      <c r="S66" s="109" t="s">
        <v>3676</v>
      </c>
      <c r="T66" s="109" t="str">
        <f t="shared" si="0"/>
        <v xml:space="preserve">                                      
31/ 05 - Aguardando posição área negócios.
24/ 05 - Mesmo Status.
17/05 - Fornecedor fez um alinhamento com relação à solução que deve ser repassado à cliente
10/05 - Cliente solicitou mudanças. Alinhamento a ser realizado com o fornecedor 11/05.
26/04 - EF confeccionada. Aguardando aprovação do cliente.
19/04 - aguardando confecção EF fornecedor. 
12/04 - Mesmo status
28/03 - Fornecedor realizaou as alterações. Em validação pelo Lucas Lourenço.
22/03 - Lucas enviou as alterações a serem feitas. Aguardando atuação do fornecedor.
10/03 - EF enviada pelo fornecedor. Aguardando validação Lucas Lourenço.
08/03 - Fornecedor enviou alguns questionamentos que Lucas está buscando.
01/03 - Lucas enviou as informações para fornecedor. Aguardando proposta. Sem data.
16/02 - Mesmo Status
01/02/2016 - Em revisão das especificações pelo demandante. (Lucas Lorencato)
28/01/2016 - Verificando responsável pelo projeto por parte de operações.
26/01/2016 - Verificado com Fabiana Carla e há a ncessidade de acionamento de fornecedor para verificação do desenvolvimento.
Fabiana informou que o acionamento não é feito por ela.
Enviada EF para o fornecedor avaliar, data estimada de devolução
21/01/2016 - Verificado com o Luiz Washington o acionamento e ele verificará e retornará no dia 22/01/2016.</v>
      </c>
      <c r="V66" s="109" t="s">
        <v>2782</v>
      </c>
      <c r="W66" s="110" t="s">
        <v>2823</v>
      </c>
      <c r="X66" s="131">
        <v>42460</v>
      </c>
      <c r="Y66" s="109" t="s">
        <v>107</v>
      </c>
      <c r="AB66" s="108" t="s">
        <v>273</v>
      </c>
      <c r="AC66" s="108" t="s">
        <v>2282</v>
      </c>
      <c r="AD66" s="101" t="s">
        <v>273</v>
      </c>
    </row>
    <row r="67" spans="1:30" ht="409.5" x14ac:dyDescent="0.25">
      <c r="A67" s="101" t="s">
        <v>2481</v>
      </c>
      <c r="B67" s="103" t="s">
        <v>2482</v>
      </c>
      <c r="C67" s="103" t="s">
        <v>3025</v>
      </c>
      <c r="D67" s="103" t="s">
        <v>119</v>
      </c>
      <c r="E67" s="103" t="s">
        <v>1430</v>
      </c>
      <c r="F67" s="103" t="s">
        <v>3337</v>
      </c>
      <c r="G67" s="103" t="s">
        <v>3345</v>
      </c>
      <c r="H67" s="111" t="s">
        <v>177</v>
      </c>
      <c r="I67" s="103" t="s">
        <v>2388</v>
      </c>
      <c r="J67" s="103" t="s">
        <v>3346</v>
      </c>
      <c r="K67" s="108">
        <v>42382</v>
      </c>
      <c r="L67" s="11">
        <f ca="1">IFERROR(IF(AND(Y67&lt;&gt;"Concluído",Y67&lt;&gt;"Cancelado"),TODAY()-K67+1,Z67-K67),"")</f>
        <v>141</v>
      </c>
      <c r="M67" s="108">
        <v>42383</v>
      </c>
      <c r="N67" s="108" t="s">
        <v>2350</v>
      </c>
      <c r="O67" s="108" t="s">
        <v>2282</v>
      </c>
      <c r="P67" s="108">
        <v>42510</v>
      </c>
      <c r="Q67" s="103" t="s">
        <v>2389</v>
      </c>
      <c r="R67" s="45"/>
      <c r="S67" s="109" t="s">
        <v>3809</v>
      </c>
      <c r="T67" s="109" t="str">
        <f t="shared" si="0"/>
        <v xml:space="preserve">                                      
31/05 - Aguardando o aceite do Projeto pelo solicitante / operações;
25/05 - Projeto concluído, sem quedas.  Aguardando retorno da homologação
17/05 - A operação entrou em produção ontem. Tivemos três quedas de operação na data de ontem, porém, nenhuma das quedas teve relação com a Ret Invol R2.  Estamos analisando através do chamado FORBM-492948 e com a equipe de planejamento.  Devemos ter um retorno até o final da semana para identificar a causa raiz e atuação em cima do problema.
11/05 - Aplicações está terminando até hoje as cargas de mailing.  Aguardando algumas definições da equipe de operações para realização dos testes amanhã.
04/05 - Projeto está em desenvolvimento pela equipe de aplicações com previsão de término dia 16/mai. Após isso, o site atuará para entrega das posições
26/04 - Definido em 19/04 qu iremos utilizar o polo aspect MG para implantar essas posições. no momento estamos aguardando a configrações dos servidores que esta prevista para ser entregue no dia 03/04. após isso continua-se os desenvolvimentos (estou buscando datas). Jasolicitado ao LW a criação de OU/AD e os usuários que precisam ter acesso as essa estrutura;
19/04 - Aguardando Definição de qual polo aspect utilizar. Definição Corporativa. sem prazo. Rico alto de atraso.
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
23/02 - Realizado em 19/02 uma reunião de alinhamento entre solicitante, desenvolvimento, PMOs. Estamos em processo de To Be;
16/02 - Aguardando, desde 20/01, a EF para analises de Desenvolvimentos  e Engenharia. Sem Previsão.
26/02 - Aguardando agenda com a Accenture;
20/01 - Em analise de engenharia e plataforma de TI, já acionado Equipe de NGR - Desenvolvimento;
14/01 - Favor preencher o formulário de crescimento anexo. 
Favor enviar o layout aprovado pela equipe de planejamento. </v>
      </c>
      <c r="V67" s="109" t="s">
        <v>2758</v>
      </c>
      <c r="W67" s="110" t="s">
        <v>2388</v>
      </c>
      <c r="X67" s="131" t="s">
        <v>2306</v>
      </c>
      <c r="Y67" s="109" t="s">
        <v>231</v>
      </c>
      <c r="AA67" s="109">
        <v>15</v>
      </c>
      <c r="AD67" s="101" t="s">
        <v>2350</v>
      </c>
    </row>
    <row r="68" spans="1:30" ht="409.5" x14ac:dyDescent="0.25">
      <c r="A68" s="101" t="s">
        <v>951</v>
      </c>
      <c r="B68" s="103" t="s">
        <v>2485</v>
      </c>
      <c r="C68" s="103" t="s">
        <v>3052</v>
      </c>
      <c r="D68" s="103" t="s">
        <v>2288</v>
      </c>
      <c r="E68" s="103" t="s">
        <v>1430</v>
      </c>
      <c r="F68" s="103" t="s">
        <v>3337</v>
      </c>
      <c r="G68" s="103" t="s">
        <v>3345</v>
      </c>
      <c r="H68" s="111" t="s">
        <v>2451</v>
      </c>
      <c r="I68" s="103" t="s">
        <v>2824</v>
      </c>
      <c r="J68" s="103" t="s">
        <v>97</v>
      </c>
      <c r="K68" s="108">
        <v>42205</v>
      </c>
      <c r="L68" s="11">
        <f ca="1">IFERROR(IF(AND(Y68&lt;&gt;"Concluído",Y68&lt;&gt;"Cancelado"),TODAY()-K68+1,Z68-K68),"")</f>
        <v>318</v>
      </c>
      <c r="M68" s="108">
        <v>42383</v>
      </c>
      <c r="N68" s="108" t="s">
        <v>2350</v>
      </c>
      <c r="O68" s="108" t="s">
        <v>2282</v>
      </c>
      <c r="P68" s="108">
        <v>42583</v>
      </c>
      <c r="Q68" s="103" t="s">
        <v>2350</v>
      </c>
      <c r="R68" s="44"/>
      <c r="S68" s="109" t="s">
        <v>3677</v>
      </c>
      <c r="T68" s="109" t="str">
        <f t="shared" ref="T68:T131" si="1">CONCATENATE(U68,"                                      
",S68)</f>
        <v xml:space="preserve">                                      
31/05 - Agendado o início da homologação para o dia 01/06. Previsão de homologação em 5 dias.
24/ 05 - Finalizado desenvolvimento Avaya. Alinhando início do Piloto.
17/ 05 - Mesmo Status
10/05 - Em desenvolvimento. Data entrega 30/06.
19/04 - Mesmo status.
12/04 - Aprovada SC Avaya. Avaya criando cronograma.
04/04 - Mesmo status
08/03 - Mesmo status
03/02 - Finalizada documentação Telecom para implantação.
Em aprovação proposta Avaya para configuração da URA.
26/02 - Nova data de validação por Engenharia e CSE - 26/02.
22/02 - Em aprovação proposta Avaya,
Em valiação por CSE da parte Telecom (25/02)
16/02 - Mesmo status
11/02 - Rodrigo verificou demandas no mesmo ambiente e não há concomitância de especificações técnicas entre demandas.
Solictei volume para estudo pela área de URA. (Rodrigo)
10/02 - Em avaliação.
03/02 - Rodrigo avaliará a real necessidade da demanda em comparação com outras 2 demandas para a mesma URA (CO).
02/02/2016 - Dificuldade de contato com Rodrigo, demandante.
01/02/2016 - Em conversa com o Gerson verifiquei a necessidade de levantar mais informações para darmos andamento. FAlar com Rodrigo.
27/01/2016 - aguardando retorno Avaya.
26/01/2016 - Início do tratamento da demanda.
21/02/2016 - Solicitada à Avaya a atualização da proposta de desenvolvimento que é de 16/09/2015 e tinha validade de 60 dias.</v>
      </c>
      <c r="V68" s="109" t="s">
        <v>3481</v>
      </c>
      <c r="W68" s="110" t="s">
        <v>2824</v>
      </c>
      <c r="X68" s="109" t="s">
        <v>2825</v>
      </c>
      <c r="Y68" s="109" t="s">
        <v>107</v>
      </c>
      <c r="AA68" s="109">
        <v>9</v>
      </c>
      <c r="AB68" s="108" t="s">
        <v>273</v>
      </c>
      <c r="AC68" s="108" t="s">
        <v>2282</v>
      </c>
      <c r="AD68" s="101" t="s">
        <v>273</v>
      </c>
    </row>
    <row r="69" spans="1:30" ht="409.5" x14ac:dyDescent="0.25">
      <c r="A69" s="101" t="s">
        <v>2582</v>
      </c>
      <c r="B69" s="103" t="s">
        <v>2554</v>
      </c>
      <c r="C69" s="103" t="s">
        <v>3133</v>
      </c>
      <c r="D69" s="103" t="s">
        <v>119</v>
      </c>
      <c r="E69" s="103" t="s">
        <v>159</v>
      </c>
      <c r="F69" s="103" t="s">
        <v>3339</v>
      </c>
      <c r="G69" s="103" t="s">
        <v>3373</v>
      </c>
      <c r="H69" s="111" t="s">
        <v>177</v>
      </c>
      <c r="I69" s="103" t="s">
        <v>2315</v>
      </c>
      <c r="J69" s="103" t="s">
        <v>3346</v>
      </c>
      <c r="K69" s="108">
        <v>42389</v>
      </c>
      <c r="L69" s="11">
        <f ca="1">IFERROR(IF(AND(Y69&lt;&gt;"Concluído",Y69&lt;&gt;"Cancelado"),TODAY()-K69+1,Z69-K69),"")</f>
        <v>134</v>
      </c>
      <c r="M69" s="108">
        <v>42395</v>
      </c>
      <c r="N69" s="108" t="s">
        <v>2350</v>
      </c>
      <c r="O69" s="108" t="s">
        <v>2282</v>
      </c>
      <c r="P69" s="108">
        <v>42502</v>
      </c>
      <c r="Q69" s="103" t="s">
        <v>2389</v>
      </c>
      <c r="R69" s="45"/>
      <c r="S69" s="109" t="s">
        <v>3810</v>
      </c>
      <c r="T69" s="109" t="str">
        <f t="shared" si="1"/>
        <v xml:space="preserve">                                      
31/05 - 3° onda prevista para 19/05 com 20 PAs. Em Andamento;
17/05 - A operação entrou em produção ontem.Tivemos alguns problemas nos CIDs (responsável: TAM) , porém estamos atuando normalmente. Para A 3º onda (28 recursos) o treinamento terá inicio em 19/5. 
Em relação aos aparelhos AVAYA, foram bloqueados pela SEFAZ de JP e o nosso Jurídico está verificando para liberação
11/05 - Aparelhos AVAYA chegarão até amanhã de manhã no site. E, após isso, iniciará a configuração e implantação das PAs para homologação
03/05 - Aparelhos AVAYA Estão no site Lapa reservados para transporte para JPA. SC foi aprovada 28/abr e PC precisa ser imediato.  Aparelhos devem chegar até dia 05/mai. Em paralelo, TI site está atuando nas demais configurações
26/04 - 110 Heads enviadosde PL407 para site JPA via Malote. 105 Avayas 9608 devem ser enviados de site Lapa - SP para site JPA, estamos em processo de SC/PC (precisam chegar até dia 05/05 em JPA). Estamos solicitando criação de CDIs, Ofice ID, Ramais, etc para essa ampliação;
19/04 - Buscando Saving de insumos para implantação da 2° onda, prevista para 14/05. Treinamento em Andamento.
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
29/03 - Realizado o transporte dos computadores , avayas e heads. teremos que refazer as imagens, devido a solicitação do cliente de trocar de win XP para win7. Iniciaremos em 30/03 até dia 04/04. Homologação de 05 à 07/04. Roll out em 08/04;
22/03 - Agendando transporte dos insumos, os mesmos devem chegar ate a proxima semana;
15/03 - Aguardando numero de PC para transportes de maquinas FOR/JPA e avayas de FOR/JPA;
08/03 - Entregamos o ambiente de treinamento com 3 salas. estamos aguardando numero de PC para transporte de maquinas FOR/JPS e avayas de FOR/JPA;
01/03 - Em Homologação do ambiente de trainamento pelo cliente. GMUD realizada com sucesso no dia 24/02 com sucesso. Configuração das maquinas de treinamento configuradas no periodo de 25 à 29/02 .
23/02 - Realizando algumas configurações nas maquinas da sala de treinamento, realizando liberações de rota / rede. Previsão de configurações por parte do cliente é de 25/02 a partir da 23hs;
16/02 - roteadores entregues no sites JP (em 16/02 às 15h30min). iremos instalar no local e disponibilizar uma maquina remota para as configurações, que devem ir até dia 18/02 à 11h00min;
10/02 - Aguardando numero do PC para acionar a transportadora para poder realizar o trasnporte dos dois roteadores de Lapa p/ JPA. estamos dependendo desse trasnporte para poder acionar as equipes internas e do cliente para realizar as devidas liberações e configurações de redes;
02/02 - Há necessidade detransporte de roteadores de SP para JPA. Estamos buscando 25 Maquinas e heads para completar os insumos. Em paralelo estamos levantando informações para repassar ao cliente para liberação de acessos no site JPA;
26/01 - Realizando o entendimento do projeto;</v>
      </c>
      <c r="V69" s="109" t="s">
        <v>2758</v>
      </c>
      <c r="W69" s="109" t="s">
        <v>2315</v>
      </c>
      <c r="X69" s="110">
        <v>42509</v>
      </c>
      <c r="Y69" s="109" t="s">
        <v>179</v>
      </c>
      <c r="AA69" s="109">
        <v>100</v>
      </c>
      <c r="AD69" s="101" t="s">
        <v>2350</v>
      </c>
    </row>
    <row r="70" spans="1:30" ht="409.5" x14ac:dyDescent="0.25">
      <c r="A70" s="101" t="s">
        <v>2583</v>
      </c>
      <c r="B70" s="103" t="s">
        <v>2555</v>
      </c>
      <c r="C70" s="103" t="s">
        <v>3134</v>
      </c>
      <c r="D70" s="103" t="s">
        <v>119</v>
      </c>
      <c r="E70" s="103" t="s">
        <v>159</v>
      </c>
      <c r="F70" s="103" t="s">
        <v>3339</v>
      </c>
      <c r="G70" s="103" t="s">
        <v>3373</v>
      </c>
      <c r="H70" s="111" t="s">
        <v>177</v>
      </c>
      <c r="I70" s="103" t="s">
        <v>2315</v>
      </c>
      <c r="J70" s="103" t="s">
        <v>3346</v>
      </c>
      <c r="K70" s="108">
        <v>42383</v>
      </c>
      <c r="L70" s="11">
        <f ca="1">IFERROR(IF(AND(Y70&lt;&gt;"Concluído",Y70&lt;&gt;"Cancelado"),TODAY()-K70+1,Z70-K70),"")</f>
        <v>140</v>
      </c>
      <c r="M70" s="108">
        <v>42395</v>
      </c>
      <c r="N70" s="108" t="s">
        <v>2350</v>
      </c>
      <c r="O70" s="108" t="s">
        <v>2282</v>
      </c>
      <c r="P70" s="110" t="s">
        <v>3375</v>
      </c>
      <c r="Q70" s="109" t="s">
        <v>3376</v>
      </c>
      <c r="R70" s="45"/>
      <c r="S70" s="109" t="s">
        <v>3811</v>
      </c>
      <c r="T70" s="109" t="str">
        <f t="shared" si="1"/>
        <v xml:space="preserve">                                      
31/05 - Configurações de REDES TAM no site AS em andamento com previsão de termino até 01/06, configurações das maquinas e ramais com previsão até 03/06 ////////// TAM Viagens, previsão de configurações até dia 20/06;
25/05 - Switchs e roteadores entregue ao site Alameda Santos. Hoje chegam as máquinas no Augusta e Alameda Santos.  Solicitado CIDs e outras informações para TAM.  Teremos 5 dias úteis para configuração de rede, após configuração de rede 3 dias para configuração do ambiente (depende de info da TAM).  Previsão de conclusão: 10/jun
17/05 - Pedido gerado para transporte dos Switchs --&gt; Verificando a questão se será por transporte rodoviário (Pedido gerado já, porém sera entregue até 8 dias uteis) ou se por transprote áreo (adicional de cerca de R$500,00, qual deve passar por todas as aprovações pertinentes). Resp.: Thiago Fellipe
Pedido gerado para transporte das máquinas + aparelhos (Alegria para Alameda e Alegria para Augusta) --&gt; Marcando com o fornecedor para dia 24/05 o transporte desses insumos.
2 roteadores --&gt; Será enviado na segunda-feira
Após a chegada no site, TI site deverá realizar as configurações
11/05 - Mesmo status
04/05 - Sala de Treinamento no Alameda Santos (27/mai): Dois roteadores serão transportados para o site AS ainda essa semana. Pendente geração de PC de transporte dos Switchs, Máquinas, Avayas do site Alegria para o Alameda Santos. Após chegada no site:
• Acionar LW para realizar as liberações e configurações de rede e Coordenador do site para instalar os roteadores e switches
• Cobrar a Zenailde de uma VLAN para colocar nessas posições
• Acionar o coordenador do site AS e Zenailde para apoiar nas configurações das máquinas e ramais
Entrada de 91PAs no Augusta (10/mai): Pendente geração de PC de transporte das Máquinas e Avayas do site Alegria para o Augusta (em conjunto com os da Sala de Treinamento). Após chegada no site: • Acionar a Zenailde para configurações das máquinas e ramais com as imagens já disponíveis e outras configurações que o cliente enviar
26/04 - Dois Roteadores localizado em SP (modelo 3800), iremos transportar via taxi para o site Alameda Santos. Dois Switch localizado no site Santo Amaro, Luciana Cardoso esta cobrando processo de SC/PC para transportar para o site Alameda Santos. com os insumos no site As, necessario realizar as devidas configurações junto a Redes / Microsoft. Necessario levantar a rede a ser utilizada no site AS, Zenailde esta verificando disponibilidade.
19/04 - Aguardando definições das atividades para os movimentos 8, 9 e10. Faremos uma reunião em 19 e 20/04 para definições das proximas fazes. Cobrando Controle de Ativos sobre os insumos necesarios (Switches e Roteadores) para implantar as salas de treinamemnto no site Alameda Santos, entretanto o cliente quer uma reunião para esse tema , pois diz não estar ciente. estamos agendando.
12/04 - Analisando atividades para os proximos movimentos (8, 9 e 10);
29/03 - Migrado Mazanino para 4° andar. fazermos movimentações entre o 5°andar e o 3° andar do grupos Reserva e Cargo, e voltaremos o Planejamento para o Mezanino, no periodo de 01 à 04/04;
22/03 - Em execução de movimentações entre andares, e analisando as necessidades das salas de treinamentos no site AS;
15/03 -  Em execução das movimentações entre andares para execuções das obras. validando insumos para o crescimeto;
01/03 - Realizamos algumas reuniões na ultima semana, e foi definido o cronograma com base na data alvo a ser atingida em 10/05;
23/02 - realizado alguns alinhamentos, e no momento estamos aguardando definição de cronograma de obras e de ordem para as atividades nos andares;
16/02 - Aguardando cliente disponibilizar links e aplicações a serm utilizadas na operação (desde 28/01). Em paralelo estamos analisando o layout proposto, infra, insumos, etc. Precisamos tambem que seja definida a data de liberação do ambiente para TI trabalhar;
10/02 - Aguardando cliente disponibilizar links e aplicações a serm utilizadas na operação (desde 28/01). Em paralelo estamos analisando o layout proposto, infra, insumos, etc;
26/01 - Realizando o entendimento do projeto;</v>
      </c>
      <c r="V70" s="109" t="s">
        <v>2783</v>
      </c>
      <c r="W70" s="110" t="s">
        <v>3374</v>
      </c>
      <c r="X70" s="110">
        <v>42500</v>
      </c>
      <c r="Y70" s="109" t="s">
        <v>179</v>
      </c>
      <c r="AA70" s="109">
        <v>200</v>
      </c>
      <c r="AD70" s="101" t="s">
        <v>2350</v>
      </c>
    </row>
    <row r="71" spans="1:30" ht="409.5" x14ac:dyDescent="0.25">
      <c r="A71" s="101" t="s">
        <v>2594</v>
      </c>
      <c r="B71" s="103" t="s">
        <v>2595</v>
      </c>
      <c r="C71" s="103" t="s">
        <v>3025</v>
      </c>
      <c r="D71" s="103" t="s">
        <v>2288</v>
      </c>
      <c r="E71" s="103" t="s">
        <v>1430</v>
      </c>
      <c r="F71" s="103" t="s">
        <v>3337</v>
      </c>
      <c r="G71" s="103" t="s">
        <v>3345</v>
      </c>
      <c r="H71" s="111" t="s">
        <v>1411</v>
      </c>
      <c r="I71" s="103" t="s">
        <v>2875</v>
      </c>
      <c r="J71" s="103" t="s">
        <v>97</v>
      </c>
      <c r="K71" s="108">
        <v>42383</v>
      </c>
      <c r="L71" s="11">
        <f ca="1">IFERROR(IF(AND(Y71&lt;&gt;"Concluído",Y71&lt;&gt;"Cancelado"),TODAY()-K71+1,Z71-K71),"")</f>
        <v>140</v>
      </c>
      <c r="M71" s="108">
        <v>42391</v>
      </c>
      <c r="N71" s="108" t="s">
        <v>273</v>
      </c>
      <c r="O71" s="108" t="s">
        <v>2306</v>
      </c>
      <c r="P71" s="108" t="s">
        <v>2306</v>
      </c>
      <c r="Q71" s="103" t="s">
        <v>2306</v>
      </c>
      <c r="R71" s="45"/>
      <c r="S71" s="109" t="s">
        <v>3660</v>
      </c>
      <c r="T71" s="109" t="str">
        <f t="shared" si="1"/>
        <v xml:space="preserve">                                      
31/05 - Mesmo status
17/05 - Aguardando homologação
12/05 - Proposta já foi aceita pelo cliente, já foi aberta SC e o pedido já foi gerado. Simulador em fase de homologação pelo cliente.
11/05 - Sem retorno do solicitante
02/05 - Sem retorno do solicitante
12/04 - Aguardando contato do solicitante
06/04 - Mesmo status
29/03 - Mesmo status
14/03 - Aguardando solicitação de compra por parte da operação
08/03 - Mesmo status
01/03 - EF não aprovada. Solicitado ao fornecedor novo desenho.
23/02 - Aguardando aprovação do solicitante quanto a EF 
10/02 - Em fase de definição de EF com a Lisandra
02/02 - Aguardando proposta comercial até amanhã (03/02)
29/01 - Enviado e-mail ao fornecedor solicitando proposta comercial
22/01 - Projeto novo em 22/01</v>
      </c>
      <c r="V71" s="109" t="s">
        <v>2758</v>
      </c>
      <c r="W71" s="110" t="s">
        <v>2875</v>
      </c>
      <c r="X71" s="109" t="s">
        <v>2757</v>
      </c>
      <c r="Y71" s="109" t="s">
        <v>231</v>
      </c>
      <c r="AD71" s="101" t="s">
        <v>273</v>
      </c>
    </row>
    <row r="72" spans="1:30" ht="409.5" x14ac:dyDescent="0.25">
      <c r="A72" s="101" t="s">
        <v>2609</v>
      </c>
      <c r="B72" s="103" t="s">
        <v>2610</v>
      </c>
      <c r="C72" s="103" t="s">
        <v>3022</v>
      </c>
      <c r="D72" s="103" t="s">
        <v>118</v>
      </c>
      <c r="E72" s="103" t="s">
        <v>161</v>
      </c>
      <c r="F72" s="103" t="s">
        <v>3338</v>
      </c>
      <c r="G72" s="103" t="s">
        <v>3349</v>
      </c>
      <c r="H72" s="111" t="s">
        <v>280</v>
      </c>
      <c r="I72" s="103" t="s">
        <v>3462</v>
      </c>
      <c r="J72" s="103" t="s">
        <v>97</v>
      </c>
      <c r="K72" s="108">
        <v>42396</v>
      </c>
      <c r="L72" s="11">
        <f ca="1">IFERROR(IF(AND(Y72&lt;&gt;"Concluído",Y72&lt;&gt;"Cancelado"),TODAY()-K72+1,Z72-K72),"")</f>
        <v>127</v>
      </c>
      <c r="M72" s="108">
        <v>42401</v>
      </c>
      <c r="N72" s="108" t="s">
        <v>2350</v>
      </c>
      <c r="O72" s="108">
        <v>42500</v>
      </c>
      <c r="P72" s="108" t="s">
        <v>2306</v>
      </c>
      <c r="Q72" s="103" t="s">
        <v>2306</v>
      </c>
      <c r="R72" s="50"/>
      <c r="S72" s="103" t="s">
        <v>3853</v>
      </c>
      <c r="T72" s="109" t="str">
        <f t="shared" si="1"/>
        <v xml:space="preserve">                                      
31/05: Recebido o retorno da homologação com a negativa. Link não funcionou. Em verificação o motivo. 
24/05: Aguardando retorno da homologação.
17/05: NDA assinado e Matris RACCI preenchida. Em fase de verificação co capacity do site para implantar o projeto. 
10/05: Mesmo Status, cronograma elaborado porém aguardamos o NDA e a Matriz RACCIX serem concluídos.
03/05: Mesmo Status, em paralelo o projeto foi alocado na fila de CSE em 29/04. Aguardo retorno, para construir um cronograma.
26/04: Mesmo Status
19/04: Mesmo Status
12/04: Mesmo Status,por isso este projeto ficará em hold até termos o NDA assinado
05/04: Mesmo Status
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
21/03: Após avaliação de SI será necessário: • Utilização do Protocolo HTTPS entre o sistema e a PA;
• Alteração de contrato com inclusão da Whisbi ou NDA entre as empresas TICKET x WHISBI X CONTAX, onde o escopo é o vazamento de informação e indisponibilidade da aplicação (somente para esta célula);
• Criação de uma matriz RACCIX de papéis e responsabilidades para o cenário desta célula;
Além disso será necessário realizar a contratação de link de acordo com Eduardo Ávila (Comercial) , pois a proposta não considera link de internet. 
08/03: Aguardando o recebimento do contrato para SI analisar a aplicabilidade e os  requisitos técnicos ds ferramenta Whisbi.
01/03/16: Foi alterada a prioridade do projeto na reunião do Giulio em 26/02 pelo Giuseppe. Nova data será definida.
22/02/16: Projeto está previsto para terminar a parte de rede (Villa) em 11/03.</v>
      </c>
      <c r="U72" s="103"/>
      <c r="V72" s="103" t="s">
        <v>2859</v>
      </c>
      <c r="W72" s="108" t="s">
        <v>3084</v>
      </c>
      <c r="X72" s="103" t="s">
        <v>2306</v>
      </c>
      <c r="Y72" s="103" t="s">
        <v>243</v>
      </c>
      <c r="Z72" s="108"/>
      <c r="AA72" s="101">
        <v>9</v>
      </c>
      <c r="AB72" s="103"/>
      <c r="AC72" s="103"/>
      <c r="AD72" s="101" t="s">
        <v>2350</v>
      </c>
    </row>
    <row r="73" spans="1:30" ht="409.5" x14ac:dyDescent="0.25">
      <c r="A73" s="101" t="s">
        <v>2611</v>
      </c>
      <c r="B73" s="103" t="s">
        <v>2612</v>
      </c>
      <c r="D73" s="103" t="s">
        <v>108</v>
      </c>
      <c r="E73" s="103" t="s">
        <v>108</v>
      </c>
      <c r="F73" s="103" t="s">
        <v>3350</v>
      </c>
      <c r="G73" s="103" t="s">
        <v>3377</v>
      </c>
      <c r="H73" s="111" t="s">
        <v>280</v>
      </c>
      <c r="J73" s="103" t="s">
        <v>97</v>
      </c>
      <c r="K73" s="108">
        <v>42376</v>
      </c>
      <c r="L73" s="11">
        <f ca="1">IFERROR(IF(AND(Y73&lt;&gt;"Concluído",Y73&lt;&gt;"Cancelado"),TODAY()-K73+1,Z73-K73),"")</f>
        <v>147</v>
      </c>
      <c r="M73" s="108">
        <v>42401</v>
      </c>
      <c r="N73" s="108" t="s">
        <v>273</v>
      </c>
      <c r="O73" s="108" t="s">
        <v>2306</v>
      </c>
      <c r="P73" s="108" t="s">
        <v>2306</v>
      </c>
      <c r="Q73" s="108" t="s">
        <v>2306</v>
      </c>
      <c r="R73" s="145"/>
      <c r="S73" s="103" t="s">
        <v>3847</v>
      </c>
      <c r="T73" s="109" t="str">
        <f t="shared" si="1"/>
        <v xml:space="preserve">                                      
31/05: Mesmo Status
24/05: Mesmo Status
17/05: Mesmo Status
10/05: Mesmo Status
03/05: Mesmo Status
26/04: Mesmo Status
19/04: Mesmo Status
12/04: Aguardando o número do pedido a ser enviado para o fornecedor. Solicitado em 12/02 à auditoria interna abrir SC. Portanto projeto estará em hold até recebermos o número do pedido.
05/04: Controle de Ativos está cotando o valor das licenças Windows 8.1. 
29/03: Verificar com o Toscani a possibilidade de alterar o escopo do projeto, pois de acordo com ele a aplicação deve ficar em um Servidor, porém o ACL não é homologado para o Windows 2008 R2, sendo assim criaríamos uma VM com Windows 8.1 ou 7 para atender está demanda.
22/03: Será necessário adquirir licenças de windows professional 8.1.
08/03/16: Chamado continua em aberto, aguardando autorização de SI.
01/03/16: Aguardando o autorização de acesso ao ftp por SI. Chamado aberto em 01/03/16.
22/02/16: Engenheria terminou a construção do desenho e o projeto foi incluído na fila de CSE em 19/02 para criar um ambiente de infra.</v>
      </c>
      <c r="U73" s="103"/>
      <c r="V73" s="103" t="s">
        <v>2758</v>
      </c>
      <c r="W73" s="108" t="s">
        <v>3206</v>
      </c>
      <c r="X73" s="133" t="s">
        <v>2306</v>
      </c>
      <c r="Y73" s="103" t="s">
        <v>3157</v>
      </c>
      <c r="Z73" s="108"/>
      <c r="AA73" s="101"/>
      <c r="AB73" s="103"/>
      <c r="AC73" s="103"/>
      <c r="AD73" s="101" t="s">
        <v>273</v>
      </c>
    </row>
    <row r="74" spans="1:30" ht="409.5" x14ac:dyDescent="0.25">
      <c r="A74" s="101" t="s">
        <v>1159</v>
      </c>
      <c r="B74" s="83" t="s">
        <v>2628</v>
      </c>
      <c r="C74" s="83" t="s">
        <v>3023</v>
      </c>
      <c r="D74" s="103" t="s">
        <v>2288</v>
      </c>
      <c r="E74" s="101" t="s">
        <v>159</v>
      </c>
      <c r="F74" s="103" t="s">
        <v>3339</v>
      </c>
      <c r="G74" s="101" t="s">
        <v>3373</v>
      </c>
      <c r="H74" s="111" t="s">
        <v>2130</v>
      </c>
      <c r="I74" s="103" t="s">
        <v>2606</v>
      </c>
      <c r="J74" s="103" t="s">
        <v>97</v>
      </c>
      <c r="K74" s="108">
        <v>42249</v>
      </c>
      <c r="L74" s="11">
        <f ca="1">IFERROR(IF(AND(Y74&lt;&gt;"Concluído",Y74&lt;&gt;"Cancelado"),TODAY()-K74+1,Z74-K74),"")</f>
        <v>274</v>
      </c>
      <c r="M74" s="108">
        <v>42403</v>
      </c>
      <c r="N74" s="108" t="s">
        <v>273</v>
      </c>
      <c r="O74" s="108" t="s">
        <v>2306</v>
      </c>
      <c r="P74" s="108" t="s">
        <v>2306</v>
      </c>
      <c r="Q74" s="103" t="s">
        <v>2306</v>
      </c>
      <c r="R74" s="160"/>
      <c r="S74" s="114" t="s">
        <v>3794</v>
      </c>
      <c r="T74" s="109" t="str">
        <f t="shared" si="1"/>
        <v xml:space="preserve">                                      
[31/05] - Aguardando retorno Comercial . Compartilhado com equipe Negócios.
[24/05] - Aguardando direcionamento da Diretoria TI, para seguirmos com solução desenhada por Engenharia, sem custos para Cliente.
Pendente estimativas e diefinição de custos para repasse para cliente ( Infra já disponivel, não necessário investimento Contax)
[17/05] - Aguardando direcionamento da Diretoria TI, para seguirmos com solução desenhada por Engenharia, sem custos para Cliente.
Pendente estimativas e diefinição de custos para repasse para cliente ( Infra já disponivel, não necessário investimento Contax)
[03/05] - Aguardando definição Koreeda (Email Villa) Escalar Milene.
[26/04] - Aguardando definição Koreeda (Email Villa) 
[19/04] - Aguardando definição Koreeda (Email Villa) 
[12/04] - Aguardando definição da Diretoria TI. (Direcionamento Gestor Engenharia)
[05/04] -  Aguardando esclarecimentos tecnicos entre  Engenharia e  Comercial Contax, para prosseguimento do projeto.
[2903] -  Aguardando esclarecimentos tecnicos entre  Engenharia e  Comercial.
[22/03] -  Aguardando esclarecimentos Engenharia e direcionamento Comercial.
[15/03] - Aguardando retorno de Engenharia  para os questionamento realizados pelo Comercial.
[08/03] -  Em 08/03 recebemos alguns questionamento enviados  pelo Comercial, referente as respostas do cliente TAM , para itens contidos na RFP. Será necessário avaliação equipe tecnica.
[29/02] - Aguardando Retorno Comercial. Custos encaminhados para equipe Projetos e Comercial . Aguardando direcionamento, para iniciar execução.
[23/02] - Custos encaminhados para equipe Projetos e Comercial . Aguardando direcionamento, para iniciar execução.
[16/02] - Necessário esclarecer qustão comercial Contax .
Equipe de Engenharia levantando os custos de TI para a Infra DAC (SM) que será utilizada neste projeto, para encaminhar para Comercial Contax. Passível de repasse custos para Cliente. Previsão : 17/02
[10/02] - Em analise e aprovação da solução tecnica, pela Diretoria TI.
[02/02] - Desenho arquitetura e solução finalizado por Engenharia.
Direcionado para Equipe Implantação CSE.
Necessário a aprovação da diretoria, para utilização da Plataforma o Avaya Session Manager  no data center. Já encaminhado .</v>
      </c>
      <c r="U74" s="114"/>
      <c r="V74" s="109" t="s">
        <v>2844</v>
      </c>
      <c r="W74" s="110" t="s">
        <v>3290</v>
      </c>
      <c r="X74" s="109" t="s">
        <v>2531</v>
      </c>
      <c r="Y74" s="109" t="s">
        <v>1515</v>
      </c>
      <c r="AB74" s="101" t="s">
        <v>273</v>
      </c>
      <c r="AC74" s="108"/>
      <c r="AD74" s="101" t="s">
        <v>273</v>
      </c>
    </row>
    <row r="75" spans="1:30" ht="409.5" x14ac:dyDescent="0.25">
      <c r="A75" s="40" t="s">
        <v>2646</v>
      </c>
      <c r="B75" s="7" t="s">
        <v>2647</v>
      </c>
      <c r="C75" s="103" t="s">
        <v>3085</v>
      </c>
      <c r="D75" s="103" t="s">
        <v>118</v>
      </c>
      <c r="E75" s="103" t="s">
        <v>1430</v>
      </c>
      <c r="F75" s="103" t="s">
        <v>3337</v>
      </c>
      <c r="G75" s="103" t="s">
        <v>3345</v>
      </c>
      <c r="H75" s="111" t="s">
        <v>2407</v>
      </c>
      <c r="I75" s="103" t="s">
        <v>3160</v>
      </c>
      <c r="J75" s="103" t="s">
        <v>2320</v>
      </c>
      <c r="K75" s="108">
        <v>42403</v>
      </c>
      <c r="L75" s="11">
        <f ca="1">IFERROR(IF(AND(Y75&lt;&gt;"Concluído",Y75&lt;&gt;"Cancelado"),TODAY()-K75+1,Z75-K75),"")</f>
        <v>120</v>
      </c>
      <c r="M75" s="108">
        <v>42403</v>
      </c>
      <c r="N75" s="108" t="s">
        <v>2350</v>
      </c>
      <c r="O75" s="108">
        <v>42457</v>
      </c>
      <c r="P75" s="108">
        <v>42501</v>
      </c>
      <c r="Q75" s="103" t="s">
        <v>2350</v>
      </c>
      <c r="R75" s="44"/>
      <c r="S75" s="109" t="s">
        <v>3640</v>
      </c>
      <c r="T75" s="109" t="str">
        <f t="shared" si="1"/>
        <v xml:space="preserve">                                      
[30/05] - Piloto iniciado dia 30/05. 
[23/05] - Inicio do piloto programado para 23/05.
 [16/05] - Inicio do piloto programado para 17/05. 
[09/05] - UAT iniciada. Prorrogada para 11/05. 
[02/05] - UAT iniciada. Termino dia 06/05.
[26/4] - em desenvolvimento
[19/04] - Em desenvolvimento
[12/4] - Em desenvolvimento
[04/04] Em desenvolvimento. Atraso devido à demora na liberação de usuário pela operação. 
Risco de atraso também devido a montagem do ambiente de desenvolvimento. Novo prazo de entrega 29/04/16.
[29/03] -  Usuários de sistemas envolvidos não foram enviados, portanto, haverá atraso. Aguardando previsão de envio para analisar impactos.
[22/03] - To Be validado.
[14/03] -  TO BE enviado para aprovação em 09/03/16. Em 11/03, negócios solicitou alteração no desenho. Previsão de envio para aprovação em 14/03/16. 
Não há impacto nas outras datas. 
[08/03] - Na execução do TO BE, identificamos falhas na EF. Aguardando envio de EF complementar para gerar cronograma.                                             01/03/16: Pendente desenho do TO BE.
22/02/16: PMO Negócios solicitou alteração no cronograma enviado no documento de OG no dia 19/02. Nova OG será enviada até 23/02.
12/02/16 - EF recebida , será enviada OG no dia 19/02/16
10/02 - Mesmo status
05/02 - EF em análise. Agendada sala de guerra para retirada de duvidas e fechamento da EF em 12/02
03/02 - A iniciar</v>
      </c>
      <c r="V75" s="103" t="s">
        <v>2345</v>
      </c>
      <c r="W75" s="108" t="s">
        <v>2889</v>
      </c>
      <c r="X75" s="133">
        <v>42489</v>
      </c>
      <c r="Y75" s="103" t="s">
        <v>231</v>
      </c>
      <c r="Z75" s="108"/>
      <c r="AA75" s="103"/>
      <c r="AB75" s="103"/>
      <c r="AC75" s="103"/>
      <c r="AD75" s="101" t="s">
        <v>2350</v>
      </c>
    </row>
    <row r="76" spans="1:30" ht="409.5" x14ac:dyDescent="0.25">
      <c r="A76" s="101" t="s">
        <v>2665</v>
      </c>
      <c r="B76" s="103" t="s">
        <v>2666</v>
      </c>
      <c r="C76" s="103" t="s">
        <v>3044</v>
      </c>
      <c r="D76" s="103" t="s">
        <v>119</v>
      </c>
      <c r="E76" s="103" t="s">
        <v>1430</v>
      </c>
      <c r="F76" s="103" t="s">
        <v>3337</v>
      </c>
      <c r="G76" s="103" t="s">
        <v>3345</v>
      </c>
      <c r="H76" s="111" t="s">
        <v>245</v>
      </c>
      <c r="I76" s="103" t="s">
        <v>2388</v>
      </c>
      <c r="J76" s="103" t="s">
        <v>3346</v>
      </c>
      <c r="K76" s="108">
        <v>42403</v>
      </c>
      <c r="L76" s="11">
        <f ca="1">IFERROR(IF(AND(Y76&lt;&gt;"Concluído",Y76&lt;&gt;"Cancelado"),TODAY()-K76+1,Z76-K76),"")</f>
        <v>120</v>
      </c>
      <c r="M76" s="108">
        <v>42403</v>
      </c>
      <c r="N76" s="108" t="s">
        <v>2350</v>
      </c>
      <c r="O76" s="108" t="s">
        <v>2282</v>
      </c>
      <c r="P76" s="108">
        <v>42496</v>
      </c>
      <c r="Q76" s="103" t="s">
        <v>273</v>
      </c>
      <c r="R76" s="145"/>
      <c r="S76" s="6" t="s">
        <v>3774</v>
      </c>
      <c r="T76" s="109" t="str">
        <f t="shared" si="1"/>
        <v xml:space="preserve">                                      
31/05 - Em processo de  transporte.
24/05 - Processo de NF sendo verificado, em transporte.
17/05 - Pedido de transporte foi aprovado hoje, solicitando verificando com Suprimentos.
10/05 - Em Comitê, para aprovação do transporte do Servidor para gravação
03/05 - Em Comitê, para aprovação do transporte do Servidor para gravação. Lembrando que são 15 pas para gravação.
25/04 - Mesmo Status.
19/04 - Em Comitê, para aprovação do transporte do Servidor para gravação. Lembrando que são 15 pas para gravação.
12/04 - Aguardando status do CC Brasil quanto a cotação de transporte para remanejamento do Servidor para gravação. 
04/04 - Mesmo status. 
28/03 - Foi repassado a cotação de Transporte ao recurso de Negócios (Jonas), para seguimento de abertura de SC. Ressaltando que apenas 15 pas estão sem gravação.
21/03 - Servidor de gravação encontrado. Em cotação de transporte para posterior abertura de SC.
15/03 - Aguardando retorno de Controle de Ativos.
07/03 - Mesmo Status.
01/03 - Ainda temos apenas pendência de gravação em 15 pas. CSE está estudando um upgrade no Nice 2.0 para que possamos resolver este "problema" de gravação.
23/02 - 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"problema" de gravação.
15/02 - Mesmo Status.
10/02 - Acionamento Site para os pré-requisitos de Dac e Imagem das pas. Em paralelo aguardando retorno de Engenharia para as verificações do Discador. Única ação da Equipe do Morais é no final da demanda com o cadastro do novo range de Hostname.
03/02 - A iniciar</v>
      </c>
      <c r="U76" s="6"/>
      <c r="V76" s="109" t="s">
        <v>3438</v>
      </c>
      <c r="W76" s="109" t="s">
        <v>2388</v>
      </c>
      <c r="X76" s="109" t="s">
        <v>2306</v>
      </c>
      <c r="Y76" s="109" t="s">
        <v>243</v>
      </c>
      <c r="AA76" s="109">
        <v>30</v>
      </c>
      <c r="AB76" s="108"/>
      <c r="AC76" s="108"/>
      <c r="AD76" s="101" t="s">
        <v>2350</v>
      </c>
    </row>
    <row r="77" spans="1:30" ht="409.5" x14ac:dyDescent="0.25">
      <c r="A77" s="101" t="s">
        <v>2672</v>
      </c>
      <c r="B77" s="103" t="s">
        <v>2671</v>
      </c>
      <c r="C77" s="103" t="s">
        <v>3026</v>
      </c>
      <c r="D77" s="103" t="s">
        <v>2288</v>
      </c>
      <c r="E77" s="103" t="s">
        <v>1430</v>
      </c>
      <c r="F77" s="103" t="s">
        <v>3337</v>
      </c>
      <c r="G77" s="103" t="s">
        <v>3345</v>
      </c>
      <c r="H77" s="111" t="s">
        <v>1411</v>
      </c>
      <c r="I77" s="103" t="s">
        <v>2402</v>
      </c>
      <c r="J77" s="103" t="s">
        <v>2256</v>
      </c>
      <c r="K77" s="108">
        <v>42401</v>
      </c>
      <c r="L77" s="11">
        <f ca="1">IFERROR(IF(AND(Y77&lt;&gt;"Concluído",Y77&lt;&gt;"Cancelado"),TODAY()-K77+1,Z77-K77),"")</f>
        <v>122</v>
      </c>
      <c r="M77" s="108">
        <v>42404</v>
      </c>
      <c r="N77" s="108" t="s">
        <v>2350</v>
      </c>
      <c r="O77" s="110" t="s">
        <v>2282</v>
      </c>
      <c r="P77" s="110" t="s">
        <v>3655</v>
      </c>
      <c r="Q77" s="103" t="s">
        <v>2389</v>
      </c>
      <c r="R77" s="113"/>
      <c r="S77" s="109" t="s">
        <v>3654</v>
      </c>
      <c r="T77" s="109" t="str">
        <f t="shared" si="1"/>
        <v xml:space="preserve">                                      
31/05 - Liberações foram realizadas por fim.  Realizando testes internos e homologação estimada para dia 03/06
24/05 - Liberação de rede está pendente de liberação da Oi Cliente
17/05 - Apenas hoje foi liberada a rede. Estamos aguardando os testes da equipe de URA para finalização da primeira fase do projeto.
11/05 - Call marcada com o solicitante para hoje, definição de próximos passos
04/05 - Chamado de liberação das URLs aprovado por SI. Na fila de CSE Redes para atuação e, assim, continuação de testes pela equipe de desenvolvimento de URA
02/05 - Chamado com CSE Microsoft sem atuação desde 28/04
27/04 - Ocorreu erros no link, CSE Redes foi acionado. Está em análise desde 25/04, aguardando retorno.
19/04 - A partir da segunda-feira (18/04)
Desenvolvimento: 3 dias
Testes Unitários e funcionais: 2 dias
Previsão para homologação: 27/abr
12/04 - Mesmo status
06/04 - Estamos aguardando a liberação de proxy para iniciar os testes e retomar o cronograma. Ficamos parados grande parte do tempo aguardando a resposta do Cliente em relação a porta, proxy, envio de novo URL. 
29/03 - Aguardando informação do Tiago com a Oi para liberação da porta para prosseguirmos com os testes e homologação. 
"Bruno,
Tive retorno a pouco do Rubens da OI onde os mesmo irão criar “um novo acesso com IP público e assim que estiver disponível vamos informá-lo para que você solicite a liberação no seu proxy e possa executar os testes”.
"
14/03 - Alinhamento realizado. Aguardando retorno da equipe de desenvolvimento de URA quanto aos prazos para Base Fixa e Base Móvel
08/03 - Foram realizados os alinhamentos com engenharia. Hoje será realizado o alinhamento total (URA + ENG + Planejamento)
01/03 - Projeto aprovado pelo cliente em questão do desenvolvimento. Porém existem alguns custos adicionais que estão sendo verificados com a equipe de URA se é possível a redução. Em paralelo, os links estão sendo analisados pela equipe de Telecom
24/02 - Infelizmente na fila de Engenharia só conseguiremos iniciar a análise no dia 01/03.  
As primeiras demandas da fila de Engenharia são crescimentos, expansões, migrações e desmobilizações.
17/02 - Proposta da equipe de URA enviada à Cristiane Kuzuhara para aprovação. Com prazo em dias de 15 dias para implantação
10/02 - Aguardando resposta da equipe de URA
03/02 - A iniciar</v>
      </c>
      <c r="V77" s="109" t="s">
        <v>2256</v>
      </c>
      <c r="W77" s="110" t="s">
        <v>3505</v>
      </c>
      <c r="X77" s="131">
        <v>42524</v>
      </c>
      <c r="Y77" s="109" t="s">
        <v>243</v>
      </c>
      <c r="AD77" s="101" t="s">
        <v>273</v>
      </c>
    </row>
    <row r="78" spans="1:30" ht="409.5" x14ac:dyDescent="0.25">
      <c r="A78" s="40" t="s">
        <v>2689</v>
      </c>
      <c r="B78" s="7" t="s">
        <v>2680</v>
      </c>
      <c r="D78" s="103" t="s">
        <v>118</v>
      </c>
      <c r="E78" s="103" t="s">
        <v>1430</v>
      </c>
      <c r="F78" s="103" t="s">
        <v>3337</v>
      </c>
      <c r="G78" s="103" t="s">
        <v>3345</v>
      </c>
      <c r="H78" s="111" t="s">
        <v>2407</v>
      </c>
      <c r="I78" s="103" t="s">
        <v>3160</v>
      </c>
      <c r="J78" s="103" t="s">
        <v>2320</v>
      </c>
      <c r="K78" s="108">
        <v>42411</v>
      </c>
      <c r="L78" s="11">
        <f ca="1">IFERROR(IF(AND(Y78&lt;&gt;"Concluído",Y78&lt;&gt;"Cancelado"),TODAY()-K78+1,Z78-K78),"")</f>
        <v>112</v>
      </c>
      <c r="M78" s="108">
        <v>42411</v>
      </c>
      <c r="N78" s="108" t="s">
        <v>2350</v>
      </c>
      <c r="O78" s="108">
        <v>42457</v>
      </c>
      <c r="P78" s="108">
        <v>42501</v>
      </c>
      <c r="Q78" s="103" t="s">
        <v>2350</v>
      </c>
      <c r="R78" s="44"/>
      <c r="S78" s="109" t="s">
        <v>3641</v>
      </c>
      <c r="T78" s="109" t="str">
        <f t="shared" si="1"/>
        <v xml:space="preserve">                                      
[30/05] - Piloto iniciado dia 30/05. 
[23/05] - Inicio do piloto programado para 23/05.
[16/05] - Inicio do piloto programado para 17/05. 
[09/05] - UAT iniciada. Prorrogada para 11/05. 
[02/05] - Em desenvolvimento. Inicio da UAT dia 04/05. 
[25/4] - Em desenvolvimento
[19/04] - Em desenvolvimento
[12/4] - Em desenvolvimento. Prazo de conclusão 3/5
[04/04] Em desenvolvimento
[29/03] - Em desenvolvimento
[22/03] - To Be ajustado pela equipe de desenvolvimento.
[14/03] TO BE em andamento 
[08/03] - Mesmo status
01/03/16: Pendente aprovação de OG.
22/02/16: Pendente revisão de EF.
12/02/2016  Primeira analise da EF concluída no dia 12/02  solicitado sala de guerra para retirada de dúvidas da EF. 
12/02 - A iniciar</v>
      </c>
      <c r="V78" s="103" t="s">
        <v>2345</v>
      </c>
      <c r="W78" s="108" t="s">
        <v>2889</v>
      </c>
      <c r="X78" s="133">
        <v>42493</v>
      </c>
      <c r="Y78" s="103" t="s">
        <v>231</v>
      </c>
      <c r="Z78" s="108"/>
      <c r="AA78" s="103"/>
      <c r="AB78" s="103"/>
      <c r="AC78" s="103"/>
      <c r="AD78" s="101" t="s">
        <v>2350</v>
      </c>
    </row>
    <row r="79" spans="1:30" ht="409.5" x14ac:dyDescent="0.25">
      <c r="A79" s="40" t="s">
        <v>2684</v>
      </c>
      <c r="B79" s="103" t="s">
        <v>2683</v>
      </c>
      <c r="C79" s="103" t="s">
        <v>3367</v>
      </c>
      <c r="D79" s="103" t="s">
        <v>118</v>
      </c>
      <c r="E79" s="103" t="s">
        <v>1430</v>
      </c>
      <c r="F79" s="103" t="s">
        <v>3337</v>
      </c>
      <c r="G79" s="103" t="s">
        <v>3345</v>
      </c>
      <c r="H79" s="111" t="s">
        <v>2407</v>
      </c>
      <c r="I79" s="103" t="s">
        <v>3020</v>
      </c>
      <c r="J79" s="103" t="s">
        <v>97</v>
      </c>
      <c r="K79" s="108">
        <v>42411</v>
      </c>
      <c r="L79" s="11">
        <f ca="1">IFERROR(IF(AND(Y79&lt;&gt;"Concluído",Y79&lt;&gt;"Cancelado"),TODAY()-K79+1,Z79-K79),"")</f>
        <v>112</v>
      </c>
      <c r="M79" s="108">
        <v>42412</v>
      </c>
      <c r="N79" s="108" t="s">
        <v>2350</v>
      </c>
      <c r="O79" s="108">
        <v>42475</v>
      </c>
      <c r="P79" s="108">
        <v>42570</v>
      </c>
      <c r="Q79" s="103" t="s">
        <v>2350</v>
      </c>
      <c r="R79" s="44"/>
      <c r="S79" s="109" t="s">
        <v>3642</v>
      </c>
      <c r="T79" s="109" t="str">
        <f t="shared" si="1"/>
        <v xml:space="preserve">                                      
[30/05] - Equipe de TI aprovou a solução apresentada pela Avaya. Aguardando retorno do fornecedor para saber se haverá custo a solução.
[24/05] - No dia 20/05 Heitor solicitou a alteração de fornecedor alegando que a Information estava demorando muito para a entrega da solução. Heitor conversou com Avaya e solicitou uma reunião para entendimento da solução.
Na data de hoje foi realizado reunião com Avaya e ficou alinhado a entrega do desenho macro da solução no dia 25 e será avaliado a necessidade de custo pela Avaya.
[16/05] - Heitor solicitou uma nova reunião com a Information. Aguardando ok do fornecedor para dia 17/05.
[10/05] - Mesmo status
[03/05] - Projeto em andamento conforme planejado no cronograma.
[25/4] - Information esta avaliando as datas do cronograma e checar a viabilidade de alocação de recurso. Prazo de retorno 27/4.
[19/04] - Recebimento da Information EF e cronograma.  Elaboração e envio do cronograma de TI.
[12/4]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
[29/03] - Pendente envio do cronograma. Prazo 31/03.
[22/3] - Aguardando aprovação da Ana Coelho para a regra de negócios 
[15/03] - Solicitado cronograma para Information - Prazo de entrega 18/03. 
[08/03] - Realizada a reunião com o fornecedor Information para explicação da topologia. Aguardando envio das documentões para fornecedor desenhar EF. 
[29/02]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v>
      </c>
      <c r="V79" s="109" t="s">
        <v>2759</v>
      </c>
      <c r="W79" s="109"/>
      <c r="X79" s="131">
        <v>42515</v>
      </c>
      <c r="Y79" s="109" t="s">
        <v>1515</v>
      </c>
      <c r="Z79" s="110" t="s">
        <v>2525</v>
      </c>
      <c r="AA79" s="109">
        <v>20</v>
      </c>
      <c r="AB79" s="101" t="s">
        <v>2350</v>
      </c>
      <c r="AD79" s="101" t="s">
        <v>2350</v>
      </c>
    </row>
    <row r="80" spans="1:30" ht="409.5" x14ac:dyDescent="0.25">
      <c r="A80" s="101" t="s">
        <v>2691</v>
      </c>
      <c r="B80" s="103" t="s">
        <v>2690</v>
      </c>
      <c r="C80" s="103" t="s">
        <v>3053</v>
      </c>
      <c r="D80" s="103" t="s">
        <v>118</v>
      </c>
      <c r="E80" s="103" t="s">
        <v>1430</v>
      </c>
      <c r="F80" s="103" t="s">
        <v>3337</v>
      </c>
      <c r="G80" s="103" t="s">
        <v>3345</v>
      </c>
      <c r="H80" s="111" t="s">
        <v>2451</v>
      </c>
      <c r="I80" s="103" t="s">
        <v>3020</v>
      </c>
      <c r="J80" s="103" t="s">
        <v>97</v>
      </c>
      <c r="K80" s="108">
        <v>42411</v>
      </c>
      <c r="L80" s="11">
        <f ca="1">IFERROR(IF(AND(Y80&lt;&gt;"Concluído",Y80&lt;&gt;"Cancelado"),TODAY()-K80+1,Z80-K80),"")</f>
        <v>112</v>
      </c>
      <c r="M80" s="108">
        <v>42417</v>
      </c>
      <c r="N80" s="108" t="s">
        <v>2350</v>
      </c>
      <c r="O80" s="108">
        <v>42486</v>
      </c>
      <c r="P80" s="108">
        <v>42606</v>
      </c>
      <c r="Q80" s="103" t="s">
        <v>2389</v>
      </c>
      <c r="R80" s="146"/>
      <c r="S80" s="109" t="s">
        <v>3678</v>
      </c>
      <c r="T80" s="109" t="str">
        <f t="shared" si="1"/>
        <v xml:space="preserve">                                      
31/ 05 - Mesmo Status
24/05 - Após a validação de espaço em outro polo, operação não aprovou. Volta ao status de Hold, aguardando polo Aspect 7.3.
17/05 - Avaliando disponibilidade de licenças em outro Polo. Data 19/05
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03/03 - Data de entrega aplicações 29/06. Aguardando redefinição de filas de prioridade para montar cronograma.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v>
      </c>
      <c r="V80" s="109" t="s">
        <v>2345</v>
      </c>
      <c r="W80" s="110" t="s">
        <v>2816</v>
      </c>
      <c r="X80" s="109" t="s">
        <v>2830</v>
      </c>
      <c r="Y80" s="109" t="s">
        <v>107</v>
      </c>
      <c r="AD80" s="101" t="s">
        <v>2350</v>
      </c>
    </row>
    <row r="81" spans="1:30" ht="409.5" x14ac:dyDescent="0.25">
      <c r="A81" s="101" t="s">
        <v>2692</v>
      </c>
      <c r="B81" s="103" t="s">
        <v>2693</v>
      </c>
      <c r="C81" s="103" t="s">
        <v>3053</v>
      </c>
      <c r="D81" s="103" t="s">
        <v>118</v>
      </c>
      <c r="E81" s="103" t="s">
        <v>1430</v>
      </c>
      <c r="F81" s="103" t="s">
        <v>3337</v>
      </c>
      <c r="G81" s="103" t="s">
        <v>3345</v>
      </c>
      <c r="H81" s="111" t="s">
        <v>2451</v>
      </c>
      <c r="I81" s="103" t="s">
        <v>3020</v>
      </c>
      <c r="J81" s="103" t="s">
        <v>97</v>
      </c>
      <c r="K81" s="108">
        <v>42411</v>
      </c>
      <c r="L81" s="11">
        <f ca="1">IFERROR(IF(AND(Y81&lt;&gt;"Concluído",Y81&lt;&gt;"Cancelado"),TODAY()-K81+1,Z81-K81),"")</f>
        <v>112</v>
      </c>
      <c r="M81" s="108">
        <v>42417</v>
      </c>
      <c r="N81" s="108" t="s">
        <v>2350</v>
      </c>
      <c r="O81" s="108">
        <v>42486</v>
      </c>
      <c r="P81" s="108">
        <v>42374</v>
      </c>
      <c r="Q81" s="103" t="s">
        <v>2389</v>
      </c>
      <c r="R81" s="146"/>
      <c r="S81" s="109" t="s">
        <v>3679</v>
      </c>
      <c r="T81" s="109" t="str">
        <f t="shared" si="1"/>
        <v xml:space="preserve">                                      
31/ 05 - Mesmo Status
24/05 - Após a validação de espaço em outro polo, operação não aprovou. Volta ao status de Hold, aguardando polo Aspect 7.3.
17/05 - Avaliando disponibilidade de licenças em outro Polo. Data 19/05
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01/03 - Ef será entregue dia 25/03.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v>
      </c>
      <c r="V81" s="109" t="s">
        <v>3482</v>
      </c>
      <c r="W81" s="110" t="s">
        <v>2831</v>
      </c>
      <c r="X81" s="131">
        <v>42454</v>
      </c>
      <c r="Y81" s="109" t="s">
        <v>107</v>
      </c>
      <c r="AD81" s="101" t="s">
        <v>2350</v>
      </c>
    </row>
    <row r="82" spans="1:30" ht="409.5" x14ac:dyDescent="0.25">
      <c r="A82" s="101" t="s">
        <v>2694</v>
      </c>
      <c r="B82" s="103" t="s">
        <v>2695</v>
      </c>
      <c r="C82" s="103" t="s">
        <v>3053</v>
      </c>
      <c r="D82" s="103" t="s">
        <v>118</v>
      </c>
      <c r="E82" s="103" t="s">
        <v>1430</v>
      </c>
      <c r="F82" s="103" t="s">
        <v>3337</v>
      </c>
      <c r="G82" s="103" t="s">
        <v>3345</v>
      </c>
      <c r="H82" s="111" t="s">
        <v>2451</v>
      </c>
      <c r="I82" s="103" t="s">
        <v>3020</v>
      </c>
      <c r="J82" s="103" t="s">
        <v>97</v>
      </c>
      <c r="K82" s="108">
        <v>42411</v>
      </c>
      <c r="L82" s="11">
        <f ca="1">IFERROR(IF(AND(Y82&lt;&gt;"Concluído",Y82&lt;&gt;"Cancelado"),TODAY()-K82+1,Z82-K82),"")</f>
        <v>112</v>
      </c>
      <c r="M82" s="108">
        <v>42417</v>
      </c>
      <c r="N82" s="108" t="s">
        <v>2350</v>
      </c>
      <c r="O82" s="108">
        <v>42486</v>
      </c>
      <c r="P82" s="108">
        <v>42621</v>
      </c>
      <c r="Q82" s="103" t="s">
        <v>2389</v>
      </c>
      <c r="R82" s="146"/>
      <c r="S82" s="109" t="s">
        <v>3680</v>
      </c>
      <c r="T82" s="109" t="str">
        <f t="shared" si="1"/>
        <v xml:space="preserve">                                      
31/ 05 - Mesmo Status
24/05 - Após a validação de espaço em outro polo, operação não aprovou. Volta ao status de Hold, aguardando polo Aspect 7.3.
17/05 - Avaliando disponibilidade de licenças em outro Polo. Data 19/05
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01/03 EF será entegue dia 01/04.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v>
      </c>
      <c r="V82" s="109" t="s">
        <v>3482</v>
      </c>
      <c r="W82" s="110" t="s">
        <v>2831</v>
      </c>
      <c r="X82" s="131">
        <v>42461</v>
      </c>
      <c r="Y82" s="109" t="s">
        <v>107</v>
      </c>
      <c r="AD82" s="101" t="s">
        <v>2350</v>
      </c>
    </row>
    <row r="83" spans="1:30" ht="409.5" x14ac:dyDescent="0.25">
      <c r="A83" s="101" t="s">
        <v>2663</v>
      </c>
      <c r="B83" s="103" t="s">
        <v>3037</v>
      </c>
      <c r="C83" s="103" t="s">
        <v>3045</v>
      </c>
      <c r="D83" s="103" t="s">
        <v>119</v>
      </c>
      <c r="E83" s="103" t="s">
        <v>1430</v>
      </c>
      <c r="F83" s="103" t="s">
        <v>3337</v>
      </c>
      <c r="G83" s="103" t="s">
        <v>3345</v>
      </c>
      <c r="H83" s="111" t="s">
        <v>245</v>
      </c>
      <c r="I83" s="103" t="s">
        <v>2388</v>
      </c>
      <c r="J83" s="103" t="s">
        <v>3346</v>
      </c>
      <c r="K83" s="108">
        <v>42403</v>
      </c>
      <c r="L83" s="11">
        <f ca="1">IFERROR(IF(AND(Y83&lt;&gt;"Concluído",Y83&lt;&gt;"Cancelado"),TODAY()-K83+1,Z83-K83),"")</f>
        <v>120</v>
      </c>
      <c r="M83" s="108">
        <v>42403</v>
      </c>
      <c r="N83" s="108" t="s">
        <v>2350</v>
      </c>
      <c r="O83" s="108" t="s">
        <v>2282</v>
      </c>
      <c r="P83" s="108">
        <v>42496</v>
      </c>
      <c r="Q83" s="103" t="s">
        <v>3358</v>
      </c>
      <c r="R83" s="145"/>
      <c r="S83" s="6" t="s">
        <v>3775</v>
      </c>
      <c r="T83" s="109" t="str">
        <f t="shared" si="1"/>
        <v xml:space="preserve">                                      
31/05 - Em processo de  transporte.
24/05 - Processo de NF sendo verificado, em transporte.
17/05 - Pedido de transporte foi aprovado hoje, solicitando verificando com Suprimentos.
10/05 - Em Comitê, para aprovação do transporte do Servidor para gravação.
03/05 - Em Comitê, para aprovação do transporte do Servidor para gravação. Lembrando que são 15 pas para gravação.
25/04 - Mesmo Status.
19/04 - Em Comitê, para aprovação do transporte do Servidor para gravação.
12/04 - Aguardando status do CC Brasil quanto a cotação de transporte para remanejamento do Servidor para gravação. 
04/04 - Mesmo Status.
28/03 - Foi repassado a cotação de Transporte ao recurso de Negócios, para seguimento de abertura de SC.
21/03 - Servidor de gravação encontrado. Em cotação de transporte para posterior abertura de SC.
15/03 -Aguardando retorno de Controle de Ativos.
07/03 - Mesmo status.
01/03 - Headsets ok. 
Ainda temos  pendência de gravação  nas pas. CSE está estudando um upgrade no Nice 2.0 para que possamos resolver este "problema" de gravação.
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
10/02 - Em análise.
03/02 - A iniciar</v>
      </c>
      <c r="U83" s="6"/>
      <c r="V83" s="109" t="s">
        <v>2760</v>
      </c>
      <c r="W83" s="109" t="s">
        <v>2388</v>
      </c>
      <c r="X83" s="109" t="s">
        <v>2306</v>
      </c>
      <c r="Y83" s="109" t="s">
        <v>243</v>
      </c>
      <c r="Z83" s="108"/>
      <c r="AA83" s="103">
        <v>20</v>
      </c>
      <c r="AB83" s="108"/>
      <c r="AC83" s="108"/>
      <c r="AD83" s="101" t="s">
        <v>2350</v>
      </c>
    </row>
    <row r="84" spans="1:30" ht="409.5" x14ac:dyDescent="0.25">
      <c r="A84" s="101" t="s">
        <v>1232</v>
      </c>
      <c r="B84" s="103" t="s">
        <v>2762</v>
      </c>
      <c r="C84" s="103" t="s">
        <v>3049</v>
      </c>
      <c r="D84" s="103" t="s">
        <v>2289</v>
      </c>
      <c r="E84" s="103" t="s">
        <v>108</v>
      </c>
      <c r="F84" s="103" t="s">
        <v>3350</v>
      </c>
      <c r="G84" s="103" t="s">
        <v>3377</v>
      </c>
      <c r="H84" s="111" t="s">
        <v>1411</v>
      </c>
      <c r="I84" s="103" t="s">
        <v>3199</v>
      </c>
      <c r="J84" s="103" t="s">
        <v>97</v>
      </c>
      <c r="K84" s="108">
        <v>42261</v>
      </c>
      <c r="L84" s="11">
        <f ca="1">IFERROR(IF(AND(Y84&lt;&gt;"Concluído",Y84&lt;&gt;"Cancelado"),TODAY()-K84+1,Z84-K84),"")</f>
        <v>262</v>
      </c>
      <c r="M84" s="108">
        <v>42373</v>
      </c>
      <c r="N84" s="108" t="s">
        <v>273</v>
      </c>
      <c r="O84" s="108" t="s">
        <v>2306</v>
      </c>
      <c r="P84" s="108" t="s">
        <v>2306</v>
      </c>
      <c r="Q84" s="108" t="s">
        <v>2306</v>
      </c>
      <c r="R84" s="45"/>
      <c r="S84" s="109" t="s">
        <v>3506</v>
      </c>
      <c r="T84" s="109" t="str">
        <f t="shared" si="1"/>
        <v xml:space="preserve">                                      
17/05 -  Aguardando envio do IP Nat de destino pelo solicitante
11/05 - Mesmo status
02/05 - Mesmo status
27/04 - Aguardando envio do IP Nat de destino pelo solicitante
20/04 - Mesmo status
12/04 - Aguardando retorno do CSE
06/04 - Não estamos conseguindo a criação de NAT por parte da Oi
29/03 - Mesmo status
14/03 - Foi identificado uma pendência no projeto. E será necessário a criação de NAT por parte da Oi
09/03 - Projeto entregue. Aguardando homologação do cliente
01/03 - Entrega prevista para hoje: VMs e Banco de dados. Após isso será passado para o solicitante homologar.
19/01 - Necessidade de Migração dos servidores do sistema Perficall para o Datacenter. </v>
      </c>
      <c r="V84" s="109" t="s">
        <v>2758</v>
      </c>
      <c r="W84" s="110" t="s">
        <v>3199</v>
      </c>
      <c r="X84" s="131" t="s">
        <v>2757</v>
      </c>
      <c r="Y84" s="109" t="s">
        <v>243</v>
      </c>
      <c r="AD84" s="101" t="s">
        <v>273</v>
      </c>
    </row>
    <row r="85" spans="1:30" ht="409.5" x14ac:dyDescent="0.25">
      <c r="A85" s="101" t="s">
        <v>2767</v>
      </c>
      <c r="B85" s="103" t="s">
        <v>2768</v>
      </c>
      <c r="C85" s="103" t="s">
        <v>3076</v>
      </c>
      <c r="D85" s="103" t="s">
        <v>118</v>
      </c>
      <c r="E85" s="103" t="s">
        <v>106</v>
      </c>
      <c r="F85" s="103" t="s">
        <v>3336</v>
      </c>
      <c r="G85" s="103" t="s">
        <v>3342</v>
      </c>
      <c r="H85" s="111" t="s">
        <v>246</v>
      </c>
      <c r="I85" s="103" t="s">
        <v>2313</v>
      </c>
      <c r="J85" s="103" t="s">
        <v>2358</v>
      </c>
      <c r="K85" s="108">
        <v>42389</v>
      </c>
      <c r="L85" s="11">
        <f ca="1">IFERROR(IF(AND(Y85&lt;&gt;"Concluído",Y85&lt;&gt;"Cancelado"),TODAY()-K85+1,Z85-K85),"")</f>
        <v>134</v>
      </c>
      <c r="M85" s="108">
        <v>42430</v>
      </c>
      <c r="N85" s="108" t="s">
        <v>273</v>
      </c>
      <c r="O85" s="108" t="s">
        <v>2306</v>
      </c>
      <c r="P85" s="108" t="s">
        <v>2306</v>
      </c>
      <c r="Q85" s="108" t="s">
        <v>2306</v>
      </c>
      <c r="R85" s="45"/>
      <c r="S85" s="114" t="s">
        <v>3459</v>
      </c>
      <c r="T85" s="109" t="str">
        <f t="shared" si="1"/>
        <v xml:space="preserve">                                      
Edison Nei Siqueira added a comment - 10/Mai/16 18:44
Aguardando retorno do comercial para fechar a demanda junto a PMO TI.
Edison Nei Siqueira added a comment - 03/Mai/16 18:08
Estamos aguardando o retorno do fornecedor MicroFocus com a proposta para upgrade de versão do emulador, em paralelo estamos providenciando a homologação do software no site Site Amaro.
Edison Nei Siqueira added a comment - 26/Abr/16 20:17
Entramos em contato com o fornecedor do software e nos foi solicitado o serial do mesmo, pelo que foi visto o Rumba 8.0 ainda não suportava TLS 1.2 só 1.1 logo a versão que está instalada na operação possivelmente também não deve suportar tal criptografia. A demanda ainda continua em analise junto a engenharia.
Edison Nei Siqueira added a comment - 20/Abr/16 08:35
Realizada a áudio junto o cliente ITAÚ, porém estamos buscando internamente junto ao site as informações se o emulador suporta ou não tal tipo de criptografia, o fornecedor nos solicitou o serial do do software para verificação, tal solicitação ja´feita ao site para auxiliar no levantamento da informação.
Edison Nei Siqueira added a comment - 12/Abr/16 18:10
Agendada audio junto ao cliente para entendimento da demanda, pois precisamos de maiores detalhes para que engenharia consiga evoluir na analise.
Edison Nei Siqueira added a comment - 15/Mar/16 12:10
Demanda em analise na área de engenharia com previsão de retorno para o dia 22/03/2016. 
01/03 - A Iniciar</v>
      </c>
      <c r="U85" s="114"/>
      <c r="V85" s="109" t="s">
        <v>3460</v>
      </c>
      <c r="W85" s="110" t="s">
        <v>2784</v>
      </c>
      <c r="Y85" s="109" t="s">
        <v>107</v>
      </c>
      <c r="AD85" s="101" t="s">
        <v>2350</v>
      </c>
    </row>
    <row r="86" spans="1:30" ht="409.5" x14ac:dyDescent="0.25">
      <c r="A86" s="101" t="s">
        <v>2769</v>
      </c>
      <c r="B86" s="103" t="s">
        <v>2770</v>
      </c>
      <c r="C86" s="103" t="s">
        <v>3076</v>
      </c>
      <c r="D86" s="103" t="s">
        <v>2288</v>
      </c>
      <c r="E86" s="103" t="s">
        <v>159</v>
      </c>
      <c r="F86" s="103" t="s">
        <v>3339</v>
      </c>
      <c r="H86" s="111" t="s">
        <v>246</v>
      </c>
      <c r="I86" s="103" t="s">
        <v>2606</v>
      </c>
      <c r="J86" s="103" t="s">
        <v>97</v>
      </c>
      <c r="K86" s="108">
        <v>42412</v>
      </c>
      <c r="L86" s="11">
        <f ca="1">IFERROR(IF(AND(Y86&lt;&gt;"Concluído",Y86&lt;&gt;"Cancelado"),TODAY()-K86+1,Z86-K86),"")</f>
        <v>111</v>
      </c>
      <c r="M86" s="108">
        <v>42430</v>
      </c>
      <c r="N86" s="108" t="s">
        <v>2306</v>
      </c>
      <c r="O86" s="108" t="s">
        <v>2306</v>
      </c>
      <c r="P86" s="108" t="s">
        <v>2306</v>
      </c>
      <c r="Q86" s="108" t="s">
        <v>2306</v>
      </c>
      <c r="R86" s="145"/>
      <c r="S86" s="109" t="s">
        <v>3307</v>
      </c>
      <c r="T86" s="109" t="str">
        <f t="shared" si="1"/>
        <v xml:space="preserve">                                      
Edison Nei Siqueira added a comment - 26/Abr/16 20:03
Continuamos aguardando retorno com relação a homologação da instalação.
Edison Nei Siqueira added a comment - 12/Abr/16 18:09
Realizamos a reinstalação da aplicação e estamos aguardando a validação por parte do cliente.
Edison Nei Siqueira added a comment - 15/Mar/16 12:12
Demanda em analise junto a equipe de engenharia com previsão de retorno para o dia 22/03/2016.
01/03 - A Iniciar</v>
      </c>
      <c r="V86" s="109" t="s">
        <v>3461</v>
      </c>
      <c r="W86" s="110" t="s">
        <v>2784</v>
      </c>
      <c r="Y86" s="109" t="s">
        <v>107</v>
      </c>
      <c r="AD86" s="101" t="s">
        <v>273</v>
      </c>
    </row>
    <row r="87" spans="1:30" ht="409.5" x14ac:dyDescent="0.25">
      <c r="A87" s="101" t="s">
        <v>2771</v>
      </c>
      <c r="B87" s="103" t="s">
        <v>2772</v>
      </c>
      <c r="C87" s="103" t="s">
        <v>3049</v>
      </c>
      <c r="D87" s="103" t="s">
        <v>118</v>
      </c>
      <c r="E87" s="103" t="s">
        <v>174</v>
      </c>
      <c r="F87" s="103" t="s">
        <v>3338</v>
      </c>
      <c r="G87" s="103" t="s">
        <v>2872</v>
      </c>
      <c r="H87" s="111" t="s">
        <v>2130</v>
      </c>
      <c r="I87" s="103" t="s">
        <v>2394</v>
      </c>
      <c r="J87" s="103" t="s">
        <v>97</v>
      </c>
      <c r="K87" s="108">
        <v>42398</v>
      </c>
      <c r="L87" s="103">
        <f ca="1">IFERROR(IF(AND(Y87&lt;&gt;"Concluído",Y87&lt;&gt;"Cancelado"),TODAY()-K87+1,Z87-K87),"")</f>
        <v>125</v>
      </c>
      <c r="M87" s="108">
        <v>42433</v>
      </c>
      <c r="N87" s="108" t="s">
        <v>273</v>
      </c>
      <c r="O87" s="108" t="s">
        <v>2306</v>
      </c>
      <c r="P87" s="108" t="s">
        <v>2306</v>
      </c>
      <c r="Q87" s="108" t="s">
        <v>2306</v>
      </c>
      <c r="R87" s="45"/>
      <c r="S87" s="114" t="s">
        <v>3797</v>
      </c>
      <c r="T87" s="109" t="str">
        <f t="shared" si="1"/>
        <v xml:space="preserve">                                      
[31/05] - Fase de desenho da Topologia  - em andamento - Eng. TI
PendÊncia - Definições de Estrura de algumas tabelas do BD.
[24/05] - Aguardando retorno Aplicações .
Proximos passos: analise de Infra equipe Arquitetura
[17/05] - Equipe App avaliando localmemente a consistencia das informações enviadas pelo solicitante  (APP FE ).
Frente (Desenvolvimento Relatórios ) - Viviane,
Avaliar ultimos email recebifods Fabio, George, Fabiana
[10/05] Pendente entrega de engenharia. EF de Relatórios sendo refeita.
[03/05] Pendente entrega de engenharia.
[26/04] Falta retorno de Engenhatia sobre infra para Time de App. Previsto para 27/04.
[12/04] - Fase de esclarecimento de Pendências na EF com equipe Aplicações, Negócios e TI. Nova Verão de EF atualizada sendo anexada ao Tprocess.
Pendente: Envio de informações e detalhamento dos  Relatórios que deverão ser contamplados no Projeto ( Projetos /Operações - George)
[05/04] - Avaliação tecnica da EF pela equipe de Aplicações. Estimativas previta : 07/04
[29/03] - Recebida EF. Fase de analise e entendimento escopo.
Direcionado  para fila de analise tecnica /priorizações de Aplicações. 
[22/03]  - Fase de entendimento do escopo e validação da documentação enviada pelo solicitante. Estruturação da EF (PMO Negócios)
[15/03] - Detalhamento Funcional anexado ao Tprocess em 15/03. 
Em fase de avaliação da documentação e posterior direcionamento para Fila de Aplicações.
[08/03] - Aguardando envio da EF preenchida e resposta ao questionamento disponibilizados no Tprocess.
01/03 - Aguardando EF</v>
      </c>
      <c r="U87" s="114"/>
      <c r="V87" s="109" t="s">
        <v>3449</v>
      </c>
      <c r="W87" s="110" t="s">
        <v>3798</v>
      </c>
      <c r="Y87" s="109" t="s">
        <v>1515</v>
      </c>
      <c r="Z87" s="110" t="s">
        <v>2531</v>
      </c>
      <c r="AD87" s="101" t="s">
        <v>2350</v>
      </c>
    </row>
    <row r="88" spans="1:30" ht="409.5" x14ac:dyDescent="0.25">
      <c r="A88" s="101" t="s">
        <v>2774</v>
      </c>
      <c r="B88" s="103" t="s">
        <v>2775</v>
      </c>
      <c r="C88" s="103" t="s">
        <v>3109</v>
      </c>
      <c r="D88" s="103" t="s">
        <v>118</v>
      </c>
      <c r="E88" s="103" t="s">
        <v>106</v>
      </c>
      <c r="F88" s="103" t="s">
        <v>3336</v>
      </c>
      <c r="G88" s="103" t="s">
        <v>3380</v>
      </c>
      <c r="H88" s="111" t="s">
        <v>2130</v>
      </c>
      <c r="I88" s="103" t="s">
        <v>2950</v>
      </c>
      <c r="J88" s="103" t="s">
        <v>97</v>
      </c>
      <c r="K88" s="108">
        <v>42348</v>
      </c>
      <c r="L88" s="103">
        <f ca="1">IFERROR(IF(AND(Y88&lt;&gt;"Concluído",Y88&lt;&gt;"Cancelado"),TODAY()-K88+1,Z88-K88),"")</f>
        <v>175</v>
      </c>
      <c r="M88" s="108">
        <v>42433</v>
      </c>
      <c r="N88" s="108" t="s">
        <v>273</v>
      </c>
      <c r="O88" s="108" t="s">
        <v>2306</v>
      </c>
      <c r="P88" s="108" t="s">
        <v>2306</v>
      </c>
      <c r="Q88" s="108" t="s">
        <v>2306</v>
      </c>
      <c r="R88" s="45"/>
      <c r="S88" s="114" t="s">
        <v>3799</v>
      </c>
      <c r="T88" s="109" t="str">
        <f t="shared" si="1"/>
        <v xml:space="preserve">                                      
[30/05] - Avaliando prazo estimado de entrega com equipe  Aplicações.
Previsão entrega  - 26/07
[24/05] - Infra  para implantação do Tabulador já definida e em fase de implantação. Previsão 08/06.
Aguardando  definição de atividades e prazos de Desenvolvimento por Aplicações.Previsão entrega dos prazos - xxxxxx
[17/05] - Novos entendimentos com cliente sobre a solução que será apresentada para projeto. Proposta é apresentar a mesma solução que está sendo desenvolvida para Itau ( Projeto da Juliana ). Infra necessária sendo avaliada por Engenharia
EF para adequação da solução para CAC sendo avaliada pela equipe APP. 
Necessário Mariana atualizar EF para Juliana APP estimar prazos de desenvolvimento.
[10/05] Pendente entrega de engenharia. Previsão 15/05. App definiu nova solução, sugerida pelo cliente. em fase final de entendimento, para então dar OG.
[03/05] Pendente entrega de engenharia. Solicitaram informações sobre escopo. App fez apresentaçao em 28/04 sobre proposta de implamentação negada pelo solicitante. Estudo de adequação em andamento.
[26/04] - Aguardando retorno Aplicações com data de precvisão conclução e de Eng Sobre estudo de infra.
[19/04] - Aguardando retorno Aplicações ccom precvisão conclução da Analise OG
[12/04] - Projeto direcionado para avaliação tecnica da equipe Aplicações..
EF recebida em 07/04.
[04/04] - Aguardando envio da EF preenchida e resposta ao questionamento disponibilizados no Tprocess.
[29/03] - Aguardando envio da EF preenchida e resposta ao questionamento disponibilizados no Tprocess.
[22/03]  - Aguardando envio da EF preenchida e resposta ao questionamento disponibilizados no Tprocess.
[15/03] - Aguardando envio da EF preenchida e resposta ao questionamento disponibilizados no Tprocess.
[08/03] - Aguardando envio da EF preenchida e resposta ao questionamento disponibilizados no Tprocess.
01/03 - Aguardando EF</v>
      </c>
      <c r="U88" s="114"/>
      <c r="V88" s="109" t="s">
        <v>3452</v>
      </c>
      <c r="W88" s="110" t="s">
        <v>3215</v>
      </c>
      <c r="X88" s="109" t="s">
        <v>2531</v>
      </c>
      <c r="Y88" s="109" t="s">
        <v>2848</v>
      </c>
      <c r="Z88" s="110" t="s">
        <v>2531</v>
      </c>
      <c r="AD88" s="101" t="s">
        <v>2350</v>
      </c>
    </row>
    <row r="89" spans="1:30" ht="409.5" x14ac:dyDescent="0.25">
      <c r="A89" s="101" t="s">
        <v>2776</v>
      </c>
      <c r="B89" s="103" t="s">
        <v>2777</v>
      </c>
      <c r="C89" s="103" t="s">
        <v>3110</v>
      </c>
      <c r="D89" s="103" t="s">
        <v>118</v>
      </c>
      <c r="E89" s="103" t="s">
        <v>161</v>
      </c>
      <c r="H89" s="111" t="s">
        <v>2130</v>
      </c>
      <c r="I89" s="103" t="s">
        <v>3381</v>
      </c>
      <c r="K89" s="108">
        <v>42395</v>
      </c>
      <c r="L89" s="103">
        <f ca="1">IFERROR(IF(AND(Y89&lt;&gt;"Concluído",Y89&lt;&gt;"Cancelado"),TODAY()-K89+1,Z89-K89),"")</f>
        <v>128</v>
      </c>
      <c r="M89" s="108">
        <v>42433</v>
      </c>
      <c r="N89" s="108" t="s">
        <v>273</v>
      </c>
      <c r="O89" s="108" t="s">
        <v>2306</v>
      </c>
      <c r="P89" s="108" t="s">
        <v>2306</v>
      </c>
      <c r="Q89" s="108" t="s">
        <v>2306</v>
      </c>
      <c r="R89" s="149"/>
      <c r="S89" s="114" t="s">
        <v>3800</v>
      </c>
      <c r="T89" s="109" t="str">
        <f t="shared" si="1"/>
        <v xml:space="preserve">                                      
[17/05] - Sem retorno do Cliente. Avaliando possibilidade de cancelamento da solicitação, devido a falta de retorno do solicitante.
[26/04] Sem retorno do cliente. Tratar o pedido de cancelamento.
[19/04]  Mesmo status anterior.
[12/04] -  Aguardando retorno do soliicitante  (Cheuin)  - (Esclarecer escopo com Cliente BBMapfre).
[04/04] -  Aguardando retorno do soliicitante  (Cheuin)  - (Esclarecer escopo com Cliente BBMapfre),. 
[29/03] -  Aguardando retorno do soliicitante (Esclarecer escopo com Cliente BBMapfre),
[22/03] - Aguardando retorno do soliicitante (Esclarecer escopo com Cliente BBMapfre),. 
[15/03] - Projeto sendo analisado por Engenharia TI . Recomendado agendamento de call tecnico com TI Cliente para esclarecimentos escopo.Contato (Fabio Pinheiro - BBMapfre).
[08/03] - Aguardando mapeamento TI Site.
Direcionando projeto para fila de projetos de Engenharia (Redes) .
[04/03] - Detalhamento escopo projeto.
Acionamento equipe TI Site para mapeamento das ações locais.
[08/02)01/03 - Aguardando formulário de abertura de projeto </v>
      </c>
      <c r="U89" s="114"/>
      <c r="V89" s="109" t="s">
        <v>2758</v>
      </c>
      <c r="Y89" s="109" t="s">
        <v>1515</v>
      </c>
      <c r="Z89" s="110" t="s">
        <v>2531</v>
      </c>
      <c r="AD89" s="101" t="s">
        <v>2350</v>
      </c>
    </row>
    <row r="90" spans="1:30" ht="409.5" x14ac:dyDescent="0.25">
      <c r="A90" s="101" t="s">
        <v>2840</v>
      </c>
      <c r="B90" s="103" t="s">
        <v>2841</v>
      </c>
      <c r="C90" s="103" t="s">
        <v>3023</v>
      </c>
      <c r="D90" s="103" t="s">
        <v>118</v>
      </c>
      <c r="E90" s="103" t="s">
        <v>161</v>
      </c>
      <c r="F90" s="103" t="s">
        <v>3336</v>
      </c>
      <c r="G90" s="103" t="s">
        <v>3342</v>
      </c>
      <c r="H90" s="111" t="s">
        <v>280</v>
      </c>
      <c r="I90" s="103" t="s">
        <v>2315</v>
      </c>
      <c r="J90" s="103" t="s">
        <v>2358</v>
      </c>
      <c r="K90" s="108">
        <v>42433</v>
      </c>
      <c r="L90" s="103">
        <f ca="1">IFERROR(IF(AND(Y90&lt;&gt;"Concluído",Y90&lt;&gt;"Cancelado"),TODAY()-K90+1,Z90-K90),"")</f>
        <v>90</v>
      </c>
      <c r="M90" s="108">
        <v>42438</v>
      </c>
      <c r="N90" s="108" t="s">
        <v>273</v>
      </c>
      <c r="O90" s="108" t="s">
        <v>2306</v>
      </c>
      <c r="P90" s="108" t="s">
        <v>2306</v>
      </c>
      <c r="Q90" s="108" t="s">
        <v>2306</v>
      </c>
      <c r="R90" s="50"/>
      <c r="S90" s="103" t="s">
        <v>3856</v>
      </c>
      <c r="T90" s="109" t="str">
        <f t="shared" si="1"/>
        <v xml:space="preserve">                                      
31/05: Mesmo Status
24/05: Mesmo Status
17/05: Mesmo Status
10/05: Mesmo Status.
03/05: Rogério Luiz enviou as informações dos links de voz e dados ontem, 02/05. Aguardo o retorno de ENG para verificar os próximos passos.
26/04: Mesmo Status
19/04: Mesmo status, por isso o status do projeto altera-se para em hold.
12/04: Aguardando o cliente enviar as informações sobre o link. 
05/04: Aguardando o site retornar com as dúvidas gerada pelo Rogério Veloso
29/03: Acionada a equipe responsável para analisar a migração desta operação.
09/03 - A iniciar</v>
      </c>
      <c r="U90" s="103"/>
      <c r="V90" s="103" t="s">
        <v>2844</v>
      </c>
      <c r="W90" s="103" t="s">
        <v>3370</v>
      </c>
      <c r="X90" s="103" t="s">
        <v>2306</v>
      </c>
      <c r="Y90" s="103" t="s">
        <v>243</v>
      </c>
      <c r="Z90" s="108"/>
      <c r="AA90" s="101">
        <v>106</v>
      </c>
      <c r="AB90" s="103"/>
      <c r="AC90" s="103"/>
      <c r="AD90" s="101" t="s">
        <v>2350</v>
      </c>
    </row>
    <row r="91" spans="1:30" ht="409.5" x14ac:dyDescent="0.25">
      <c r="A91" s="101" t="s">
        <v>2843</v>
      </c>
      <c r="B91" s="103" t="s">
        <v>2842</v>
      </c>
      <c r="C91" s="103" t="s">
        <v>3023</v>
      </c>
      <c r="D91" s="103" t="s">
        <v>119</v>
      </c>
      <c r="E91" s="103" t="s">
        <v>161</v>
      </c>
      <c r="F91" s="103" t="s">
        <v>3338</v>
      </c>
      <c r="G91" s="103" t="s">
        <v>3349</v>
      </c>
      <c r="H91" s="111" t="s">
        <v>280</v>
      </c>
      <c r="I91" s="103" t="s">
        <v>2388</v>
      </c>
      <c r="J91" s="103" t="s">
        <v>3346</v>
      </c>
      <c r="K91" s="108">
        <v>42425</v>
      </c>
      <c r="L91" s="103">
        <f ca="1">IFERROR(IF(AND(Y91&lt;&gt;"Concluído",Y91&lt;&gt;"Cancelado"),TODAY()-K91+1,Z91-K91),"")</f>
        <v>98</v>
      </c>
      <c r="M91" s="108">
        <v>42438</v>
      </c>
      <c r="N91" s="108" t="s">
        <v>273</v>
      </c>
      <c r="O91" s="108" t="s">
        <v>2306</v>
      </c>
      <c r="P91" s="108" t="s">
        <v>2306</v>
      </c>
      <c r="Q91" s="108" t="s">
        <v>2306</v>
      </c>
      <c r="R91" s="44"/>
      <c r="S91" s="103" t="s">
        <v>3857</v>
      </c>
      <c r="T91" s="109" t="str">
        <f t="shared" si="1"/>
        <v xml:space="preserve">                                      
31/05: Mesmo Status
24/05: Mesmo Status
17/05: Mesmo Status
10/05: Mesmo Status.
03/05: Aguardando retorono da Zenailde para iniciar o processo de contratação de cabeamento.
26/04: Operação e planejamento autorizaram a contratação da empresa de cabeamento, pois a rede no site Alegria é do santander. 
19/04: Foi realizado um levantamento pelo TI Site, sendo necessário contratar o cabeamento, pois a rede disponível é do Santander.
12/04: Mesmo status 
05/04: Mesmo status
29/03: Aguarda uma data para agendar o kick-off
21/03: A iniciar
09/03 - A iniciar</v>
      </c>
      <c r="U91" s="103"/>
      <c r="V91" s="103" t="s">
        <v>2859</v>
      </c>
      <c r="W91" s="108" t="s">
        <v>3084</v>
      </c>
      <c r="X91" s="133" t="s">
        <v>2306</v>
      </c>
      <c r="Y91" s="103" t="s">
        <v>243</v>
      </c>
      <c r="Z91" s="108"/>
      <c r="AA91" s="101">
        <v>15</v>
      </c>
      <c r="AB91" s="103"/>
      <c r="AC91" s="103"/>
      <c r="AD91" s="101" t="s">
        <v>2350</v>
      </c>
    </row>
    <row r="92" spans="1:30" ht="30" customHeight="1" x14ac:dyDescent="0.25">
      <c r="A92" s="101" t="s">
        <v>2856</v>
      </c>
      <c r="B92" s="103" t="s">
        <v>2857</v>
      </c>
      <c r="C92" s="103" t="s">
        <v>3038</v>
      </c>
      <c r="D92" s="103" t="s">
        <v>119</v>
      </c>
      <c r="E92" s="103" t="s">
        <v>1430</v>
      </c>
      <c r="F92" s="103" t="s">
        <v>3337</v>
      </c>
      <c r="G92" s="103" t="s">
        <v>3345</v>
      </c>
      <c r="H92" s="111" t="s">
        <v>245</v>
      </c>
      <c r="I92" s="103" t="s">
        <v>2388</v>
      </c>
      <c r="J92" s="103" t="s">
        <v>3346</v>
      </c>
      <c r="K92" s="108">
        <v>42403</v>
      </c>
      <c r="L92" s="11">
        <f ca="1">IFERROR(IF(AND(Y92&lt;&gt;"Concluído",Y92&lt;&gt;"Cancelado"),TODAY()-K92+1,Z92-K92),"")</f>
        <v>120</v>
      </c>
      <c r="M92" s="108">
        <v>42403</v>
      </c>
      <c r="N92" s="108" t="s">
        <v>2350</v>
      </c>
      <c r="O92" s="108" t="s">
        <v>2282</v>
      </c>
      <c r="P92" s="108">
        <v>42496</v>
      </c>
      <c r="Q92" s="103" t="s">
        <v>273</v>
      </c>
      <c r="R92" s="145"/>
      <c r="S92" s="6" t="s">
        <v>3776</v>
      </c>
      <c r="T92" s="109" t="str">
        <f t="shared" si="1"/>
        <v xml:space="preserve">                                      
31/05 - Pendência de uma fonte avaya para que possamos finalizar a pa 127 Térreo . Encerrando assim , esta demanda.
24/05 - Em homologação da operação.
17/05 - Já finalizamos a alteração do SO na operação. No momento implantações TI está retornando com as correções do térreo que foram sinalizadas na última homologação.
10/05 - Suporte TI, finalizando os últimos ajustes da alteração do SO para finalizar a demanda.
03/05 - Gravação - homologado 
SO foi alterado neste final de semana., aguardando homologação.
A questão das licenças do Tlv ainda estão em análise.
25/04 - Em pendência das licenças do Tlv, não sendo necessário abri SC sendo anallisado a partir do contrato.
Alteração do SO, área de Implantações verificando questões de GPO, previsão de alteração neste final de semana.
19/04 - 5  Onda em homologação, incluindo a parte de gravação.
Conforme contato com CC Brasil, a SC foi aprovada, porém estava com erro em um formulário . Aguardando definição com Financeiro.
12/04 - 4 Onda homologada. Definindo de escopo na 5 Onda.
Gravação - Ramais cadastrados hoje, solicitado a operação, a hpmologação.  
Tlv 5  -  Aberto SC para as licenças do Tlv , em comitê com o Jonas (Negócios)
04/04 -Homologação da 4 Onda no Térreo, em andamento. 
Gravação -   Portas ainda disponíveis, informado os IP´s dos ramais para o CSE cadastrar, aguardando retorno.
Tlv 5  -  Aberto SC para as alicenças do Tlv , em comitê com o Jonas (Negócios)
*Aguardando  o final da homologação da 4 onda para fechamento de escopo da 5 Onda.
28/03 - Layout do Térreo em homologação.
21/03 - Layout do 9 andar e 11 andar entregues. Sendo revisado a lista de insumos necessárias para entrega do Térreo. Em paralelo, estamos analisando questões de licenças de Tlv 5, portas de gravação e afins.
15/03 - Dentro das 5 Ondas, estamos entregando a 2 Onda. Aguardando DA de licenças do TLV 5 (+84)  e Desenho de Engenharia  referente a Migração do a migração de licenças do Polo Aspect de CE para PE .
07/03 - Crescimento sendo dividido em 5 Ondas. Estamos na 2 Fase em Homologação.</v>
      </c>
      <c r="U92" s="6"/>
      <c r="V92" s="109" t="s">
        <v>3439</v>
      </c>
      <c r="W92" s="109" t="s">
        <v>3440</v>
      </c>
      <c r="X92" s="110">
        <v>42517</v>
      </c>
      <c r="Y92" s="109" t="s">
        <v>231</v>
      </c>
      <c r="Z92" s="108"/>
      <c r="AA92" s="103">
        <v>300</v>
      </c>
      <c r="AB92" s="108"/>
      <c r="AC92" s="108"/>
      <c r="AD92" s="101" t="s">
        <v>2350</v>
      </c>
    </row>
    <row r="93" spans="1:30" ht="409.5" x14ac:dyDescent="0.25">
      <c r="A93" s="101" t="s">
        <v>2879</v>
      </c>
      <c r="B93" s="103" t="s">
        <v>2880</v>
      </c>
      <c r="C93" s="103" t="s">
        <v>3071</v>
      </c>
      <c r="D93" s="109" t="s">
        <v>119</v>
      </c>
      <c r="E93" s="103" t="s">
        <v>317</v>
      </c>
      <c r="F93" s="103" t="s">
        <v>3336</v>
      </c>
      <c r="G93" s="103" t="s">
        <v>3342</v>
      </c>
      <c r="H93" s="111" t="s">
        <v>246</v>
      </c>
      <c r="I93" s="103" t="s">
        <v>869</v>
      </c>
      <c r="J93" s="103" t="s">
        <v>3346</v>
      </c>
      <c r="K93" s="108">
        <v>42338</v>
      </c>
      <c r="L93" s="11">
        <f ca="1">IFERROR(IF(AND(Y93&lt;&gt;"Concluído",Y93&lt;&gt;"Cancelado"),TODAY()-K93+1,Z93-K93),"")</f>
        <v>185</v>
      </c>
      <c r="M93" s="108">
        <v>42338</v>
      </c>
      <c r="N93" s="108" t="s">
        <v>2530</v>
      </c>
      <c r="O93" s="108" t="s">
        <v>2282</v>
      </c>
      <c r="P93" s="108">
        <v>42520</v>
      </c>
      <c r="Q93" s="103" t="s">
        <v>2389</v>
      </c>
      <c r="R93" s="45"/>
      <c r="S93" s="114" t="s">
        <v>3839</v>
      </c>
      <c r="T93" s="109" t="str">
        <f t="shared" si="1"/>
        <v xml:space="preserve">                                      
Edison Nei Siqueira added a comment - 31/Mai/16 17:52
Caros, 
Iniciamos o rollout do atendimento da TIVIT para a Contax, estamos seguindo o cronograma de rollout abaixo: 
Concluído - Domingo dia 29/05 às 10h: será aberta a URA de CEG/VR/RTR (em torno de 40 PA’s não precisa ser todos os operadores por questões de escala) 
Concluído - 2ª feira dia 30/05 às 7h: iniciaremos GNS + 3 PA’s do Back Office GNS (total 37 PA’s) e 1 PA de deficiente Auditivo 
A Iniciar - 4ª feira dia 1/06: 7h back office (10 PA’s) 
A Iniciar 5ª feira dia 2/06 às 0h CEG Rio e 7h entra SPS (11 PA’s) 
Edison Nei Siqueira added a comment - 18/Mai/16 11:35
Todas as posições no site Rio Comprido já foram montadas e serão homologadas pelo cliente GNF. 
Estamos com as seguintes necessidades ainda para o projeto: 
Prover um servidor SNTP para o acerto do fuso horário dos aparelhos telefônicos que estão pegando o horário da Espanha. 
Estamos com a situação critica relacionado aos links: 
Link de Contingência RC X GNF 
Link de Interligação RC X MCK - para atendimento da madrugada 
Link de contingência RC x MCK - para o atendimento da madrugada 
Edison Nei Siqueira added a comment - 10/Mai/16 18:50
Aguardando retorno da Hit Telecom com relação a ativação do link de contingência entre GNF e o site Rio Comprido. 
Refazendo todas as imagens da operação para atender a necessidade do cliente GNF. 
Aguardando validação da URA de contingência por parte do cliente GNF. 
Edison Nei Siqueira added a comment - 26/Abr/16 20:00
Estamos realizando a homologação junto ao cliente e identificando falhas nas configurações da parte voz do SBC do cliente. 
Pedente entrega de aparelhos telefônicos ainda pendente, suprimentos buscando a priorização junto ao fornecedor. 
Link ponto a ponto Rio Comprido x Mackenzie da Hit Telecom, essa solicitação chegou ontem para equipe de implantação da operadora. Já foi solicitado urgência no agendamento das atividades, mas ainda estamos sem visibilidade de cronograma. 
Link ponto a ponto Rio Comprido x Mackenzie da Unitelco, as vistorias nas pontas já foram executadas e o alinhamento com a Oi visando a liberação para instalação da antena no site Mackenzie, também estamos aguardando o projeto para que a Oi formalize o de acordo para instalação.
Edison Nei Siqueira added a comment - 20/Abr/16 08:40
Todos os insumos referente a topologia de redes já foram transportados. 
Vistoria realizada para instalação do link de contingência, recebemos ontem o de acordo do cliente GNF para seguir com o projeto apresentado pela operadora HIT. 
Homologação do ambiente junto ao cliente, acesso aos aplicativos que eram escopo do projeto validado junto ao cliente, demais aplicativos solicitados para serem instalados nas PAs que não eram escopo da demanda estão em analise junto ao site. 
Aparelhos telefônicos chegando chegando conforme esperado e a ultima remessa prevista para o dia 25/04. 
Ajustes nas configurações de voz sendo realizado em conjunto com o cliente na Espanha. 
Edison Nei Siqueira added a comment - 12/Abr/16 18:06
Estamos realizando o transporte dos insumos e realizando as configurações dos links de interligação entre a Contax e o Cliente GNF.
Edison Nei Siqueira added a comment - 05/Abr/16 17:16
Treinamento dos colaboradores inciado. 
Link de interligação em processo de instalação, foi identificado a necessidade de passagem de fibra no ambiente do cliente GNF pela operadora. 
SC000385 Transporte de Insumos - Continua aguardando a aprovação no comitê de caixa.
Edison Nei Siqueira added a comment - 23/Mar
Link de dados,  a Oi informou o prazo de 08/ 04 devido a investimento em um equipamento em uma das pontas.
Estamos tentando negociar esse prazo já escalado internamente.
Em paralelo vamos tentar um prazo menor com a hit, que seria a contigencia.
Edison Nei Siqueira added a comment - 15/Mar/16 12:19
Treinamento dos multiplicadores teve início no dia 14/03 no site MCK em uma sala, demais salas aguardando a liberação de T&amp;D prevista para o dia 21/03.</v>
      </c>
      <c r="U93" s="114"/>
      <c r="V93" s="109" t="s">
        <v>2782</v>
      </c>
      <c r="W93" s="110" t="s">
        <v>869</v>
      </c>
      <c r="Y93" s="109" t="s">
        <v>243</v>
      </c>
      <c r="AD93" s="101" t="s">
        <v>2350</v>
      </c>
    </row>
    <row r="94" spans="1:30" ht="409.5" x14ac:dyDescent="0.25">
      <c r="A94" s="101" t="s">
        <v>2945</v>
      </c>
      <c r="B94" s="103" t="s">
        <v>2946</v>
      </c>
      <c r="C94" s="103" t="s">
        <v>3086</v>
      </c>
      <c r="D94" s="103" t="s">
        <v>118</v>
      </c>
      <c r="E94" s="103" t="s">
        <v>159</v>
      </c>
      <c r="F94" s="103" t="s">
        <v>3339</v>
      </c>
      <c r="G94" s="103" t="s">
        <v>3373</v>
      </c>
      <c r="H94" s="111" t="s">
        <v>280</v>
      </c>
      <c r="I94" s="103" t="s">
        <v>2773</v>
      </c>
      <c r="J94" s="103" t="s">
        <v>97</v>
      </c>
      <c r="K94" s="108">
        <v>42445</v>
      </c>
      <c r="L94" s="11">
        <f ca="1">IFERROR(IF(AND(Y94&lt;&gt;"Concluído",Y94&lt;&gt;"Cancelado"),TODAY()-K94+1,Z94-K94),"")</f>
        <v>78</v>
      </c>
      <c r="M94" s="108">
        <v>42451</v>
      </c>
      <c r="N94" s="108" t="s">
        <v>2350</v>
      </c>
      <c r="O94" s="108">
        <v>42472</v>
      </c>
      <c r="P94" s="108">
        <v>42530</v>
      </c>
      <c r="Q94" s="103" t="s">
        <v>273</v>
      </c>
      <c r="R94" s="113"/>
      <c r="S94" s="103" t="s">
        <v>3850</v>
      </c>
      <c r="T94" s="109" t="str">
        <f t="shared" si="1"/>
        <v xml:space="preserve">                                      
31/05: Recebido o ok para seguir com o rollout hoje 31/05. Cronograma será replanejado.
24/05: Mesmo Status
17/05: Aguardando OK da operação para seguir com o rollout.
10/05: Mesmo Status
03/05: Mesmo Status
26/04: Mesmo Status
19/04: Cronograma definido. Piloto está previsto de 12/05 à 18/05 e o roll out de 19/05 à 09/06.
12/04: Em definição de cronograma. Sugestão de TI enviado a operação e o mesmo não foi aceito.
05/04: Aguardando a atualização da EF e planilha de insumos pela operação.
29/03: Realizada uma call com o solicitante para entendimento da demanda. Pendente o envio de VDN e atualização da EF.
22/03 - A iniciar</v>
      </c>
      <c r="U94" s="103"/>
      <c r="V94" s="103" t="s">
        <v>2859</v>
      </c>
      <c r="W94" s="108" t="s">
        <v>3084</v>
      </c>
      <c r="X94" s="133" t="s">
        <v>2306</v>
      </c>
      <c r="Y94" s="103" t="s">
        <v>243</v>
      </c>
      <c r="Z94" s="108"/>
      <c r="AA94" s="101">
        <v>205</v>
      </c>
      <c r="AB94" s="103"/>
      <c r="AC94" s="103"/>
      <c r="AD94" s="101" t="s">
        <v>2350</v>
      </c>
    </row>
    <row r="95" spans="1:30" ht="409.5" x14ac:dyDescent="0.25">
      <c r="A95" s="101" t="s">
        <v>2947</v>
      </c>
      <c r="B95" s="7" t="s">
        <v>2948</v>
      </c>
      <c r="D95" s="103" t="s">
        <v>2288</v>
      </c>
      <c r="E95" s="103" t="s">
        <v>108</v>
      </c>
      <c r="F95" s="103" t="s">
        <v>3350</v>
      </c>
      <c r="G95" s="103" t="s">
        <v>3377</v>
      </c>
      <c r="H95" s="111" t="s">
        <v>280</v>
      </c>
      <c r="I95" s="103" t="s">
        <v>2949</v>
      </c>
      <c r="J95" s="103" t="s">
        <v>98</v>
      </c>
      <c r="K95" s="108">
        <v>42422</v>
      </c>
      <c r="L95" s="11">
        <f ca="1">IFERROR(IF(AND(Y95&lt;&gt;"Concluído",Y95&lt;&gt;"Cancelado"),TODAY()-K95+1,Z95-K95),"")</f>
        <v>101</v>
      </c>
      <c r="M95" s="108">
        <v>42451</v>
      </c>
      <c r="N95" s="108" t="s">
        <v>273</v>
      </c>
      <c r="O95" s="108" t="s">
        <v>2306</v>
      </c>
      <c r="P95" s="108" t="s">
        <v>2306</v>
      </c>
      <c r="Q95" s="108" t="s">
        <v>2306</v>
      </c>
      <c r="R95" s="44"/>
      <c r="S95" s="103" t="s">
        <v>3858</v>
      </c>
      <c r="T95" s="109" t="str">
        <f t="shared" si="1"/>
        <v xml:space="preserve">                                      
31/05: Projeto está em análise pelo jurídico para verificar a responsabilidade do pagamento do valor. Orçamento estimado em 1MM.
24/05: Mesmo Status
17/05: Mesmo Status
10/05: Aguarda negociação com fornecedor para aquisição das licenças Windows Server CAL 2012, e posterior alinhamento com o cliente Oi comprovando a compra e aderência aos requisitos Microsoft.
03/05: Levantamento usuários do Siebel, Exchange e Click, a Validação de usuários ativos da lista Oi e o Levantamento de máquinas que acessam Siebel e Click foi realizado. Aguardando o retorno de negócio para os próximos passos.
26/04: Aguardando a validação dos usuários que acessam o sistema click.
19/04: Mesmo status.
12/04: Mesmo status. 
05/04: Aguardando a validação dos usuários ativos no Ecadop para fazer a cotação de licenças.
29/03: Enviado e-mail para controle de ativos verificar a aquisição de licenças.
22/03 - A iniciar</v>
      </c>
      <c r="U95" s="103"/>
      <c r="V95" s="103" t="s">
        <v>3859</v>
      </c>
      <c r="W95" s="103" t="s">
        <v>3860</v>
      </c>
      <c r="X95" s="133" t="s">
        <v>2306</v>
      </c>
      <c r="Y95" s="103" t="s">
        <v>243</v>
      </c>
      <c r="Z95" s="108"/>
      <c r="AA95" s="147">
        <v>35498</v>
      </c>
      <c r="AB95" s="103"/>
      <c r="AC95" s="103"/>
      <c r="AD95" s="101" t="s">
        <v>273</v>
      </c>
    </row>
    <row r="96" spans="1:30" ht="409.5" x14ac:dyDescent="0.25">
      <c r="A96" s="137" t="s">
        <v>2956</v>
      </c>
      <c r="B96" s="83" t="s">
        <v>2954</v>
      </c>
      <c r="C96" s="83" t="s">
        <v>3049</v>
      </c>
      <c r="D96" s="103" t="s">
        <v>2289</v>
      </c>
      <c r="E96" s="103" t="s">
        <v>108</v>
      </c>
      <c r="G96" s="103" t="s">
        <v>3377</v>
      </c>
      <c r="H96" s="111" t="s">
        <v>2130</v>
      </c>
      <c r="I96" s="103" t="s">
        <v>2674</v>
      </c>
      <c r="J96" s="103" t="s">
        <v>97</v>
      </c>
      <c r="K96" s="108">
        <v>42450</v>
      </c>
      <c r="L96" s="11">
        <f ca="1">IFERROR(IF(AND(Y96&lt;&gt;"Concluído",Y96&lt;&gt;"Cancelado"),TODAY()-K96+1,Z96-K96),"")</f>
        <v>73</v>
      </c>
      <c r="M96" s="108">
        <v>42451</v>
      </c>
      <c r="N96" s="108" t="s">
        <v>273</v>
      </c>
      <c r="O96" s="108" t="s">
        <v>2306</v>
      </c>
      <c r="P96" s="108" t="s">
        <v>2306</v>
      </c>
      <c r="Q96" s="108" t="s">
        <v>2306</v>
      </c>
      <c r="R96" s="149"/>
      <c r="S96" s="114" t="s">
        <v>3801</v>
      </c>
      <c r="T96" s="109" t="str">
        <f t="shared" si="1"/>
        <v xml:space="preserve">                                      
[31/05] - Aguardando retorno de avaliação de Impactos pela equipe Aplicações.
[24/05] - Necessário definição de proximos passos sobre a analise / execução dessa solicitação ( Adalto )
[17/05] - Necessário definição de proximos passos sobre a analise / execução dessa solicitação ( Adalto )
[10/05]Pendente entrega de Aplicações.Alinhamento com Rivaldo.
[03/05]Pendente entrega de Aplicações.
[26/04] No aguardo da OG.
[19/04] Projeto encaminhado para analise tecnica equipe Adalto. (Recomendação (Koreeda e Rivaldo). Email Klaus.
Retorno Aplicações previsto 26/04.
[12/04] - Fase de entendimento Tecnico e direcionamento para Equipe Especialista.
[04/04] - Consulta de Saving com Gestão Ativos.
[29/03] - Não identificado saving. Direcionar para Analise tecnica.
[22/03] - Avaliando com equipe TI Recife se procede a disponibilidade de servidores, coforme informado pelo do saving de servidor, conforme sinalizado pelo Solicitante.
</v>
      </c>
      <c r="U96" s="114"/>
      <c r="V96" s="109" t="s">
        <v>3452</v>
      </c>
      <c r="W96" s="110" t="s">
        <v>3802</v>
      </c>
      <c r="X96" s="131">
        <v>42486</v>
      </c>
      <c r="Y96" s="109" t="s">
        <v>1515</v>
      </c>
      <c r="Z96" s="110" t="s">
        <v>2531</v>
      </c>
      <c r="AD96" s="101" t="s">
        <v>273</v>
      </c>
    </row>
    <row r="97" spans="1:30" ht="409.5" x14ac:dyDescent="0.25">
      <c r="A97" s="40" t="s">
        <v>3094</v>
      </c>
      <c r="B97" s="7" t="s">
        <v>3095</v>
      </c>
      <c r="C97" s="103" t="s">
        <v>3096</v>
      </c>
      <c r="D97" s="43" t="s">
        <v>118</v>
      </c>
      <c r="E97" s="103" t="s">
        <v>159</v>
      </c>
      <c r="F97" s="103" t="s">
        <v>3339</v>
      </c>
      <c r="G97" s="103" t="s">
        <v>3373</v>
      </c>
      <c r="H97" s="111" t="s">
        <v>2407</v>
      </c>
      <c r="I97" s="103" t="s">
        <v>2606</v>
      </c>
      <c r="J97" s="103" t="s">
        <v>2320</v>
      </c>
      <c r="K97" s="108">
        <v>42440</v>
      </c>
      <c r="L97" s="103">
        <f ca="1">IFERROR(IF(AND(Y97&lt;&gt;"Concluído",Y97&lt;&gt;"Cancelado"),TODAY()-K97+1,Z97-K97),"")</f>
        <v>83</v>
      </c>
      <c r="M97" s="108">
        <v>42453</v>
      </c>
      <c r="N97" s="108" t="s">
        <v>273</v>
      </c>
      <c r="O97" s="108" t="s">
        <v>2306</v>
      </c>
      <c r="P97" s="108" t="s">
        <v>2306</v>
      </c>
      <c r="Q97" s="108" t="s">
        <v>2306</v>
      </c>
      <c r="R97" s="45"/>
      <c r="S97" s="109" t="s">
        <v>3643</v>
      </c>
      <c r="T97" s="109" t="str">
        <f t="shared" si="1"/>
        <v xml:space="preserve">                                      
[30/05] - Mesmo status
[24/05] - MEsmo status
[16/05] - Em levantamento de processos para a construção da EF
 [10/05] - Equipe de Negócio precisa abrir um chamado para cada solicitação e elaborar EF.
[03/05] - Demanda desmembrada da original 1478. Equipe de Negocio precisa abrir um chamado para cada solicitação
[25/04] - Aguardando priorização dos projetos
 [18/04] - Não será possível cumprir o planejadmento devido ao atraso na aprovação e a necessidade de ajustes, dos POPs 1601 e 1689. O novo replanejamento será publicado até o dia 25/04/16. 
[11/04] Data de TO BE replanejada devido ao atraso na entrega e validação dos TO BEs das outras demandas de Claro. Novo prazo 9/5
 [04/04] Replanejamento de datas devido à disponibilidade de recursos. Aguardando recurso para iniciar. 
[29/03] - Em fase de desenho de solução. 
Previsão de datas será publicado em 04/04/16. Aguradando Recurso</v>
      </c>
      <c r="V97" s="109" t="s">
        <v>2758</v>
      </c>
      <c r="W97" s="110" t="s">
        <v>2606</v>
      </c>
      <c r="X97" s="131" t="s">
        <v>2525</v>
      </c>
      <c r="Y97" s="103" t="s">
        <v>1515</v>
      </c>
      <c r="AD97" s="101" t="s">
        <v>2350</v>
      </c>
    </row>
    <row r="98" spans="1:30" ht="409.5" x14ac:dyDescent="0.25">
      <c r="A98" s="40" t="s">
        <v>3652</v>
      </c>
      <c r="B98" s="7" t="s">
        <v>3097</v>
      </c>
      <c r="C98" s="103" t="s">
        <v>3096</v>
      </c>
      <c r="D98" s="43" t="s">
        <v>118</v>
      </c>
      <c r="E98" s="103" t="s">
        <v>159</v>
      </c>
      <c r="F98" s="103" t="s">
        <v>3339</v>
      </c>
      <c r="G98" s="103" t="s">
        <v>3373</v>
      </c>
      <c r="H98" s="111" t="s">
        <v>2407</v>
      </c>
      <c r="I98" s="103" t="s">
        <v>2606</v>
      </c>
      <c r="J98" s="103" t="s">
        <v>2320</v>
      </c>
      <c r="K98" s="108">
        <v>42440</v>
      </c>
      <c r="L98" s="103">
        <f ca="1">IFERROR(IF(AND(Y98&lt;&gt;"Concluído",Y98&lt;&gt;"Cancelado"),TODAY()-K98+1,Z98-K98),"")</f>
        <v>83</v>
      </c>
      <c r="M98" s="108">
        <v>42453</v>
      </c>
      <c r="N98" s="108" t="s">
        <v>2350</v>
      </c>
      <c r="O98" s="108">
        <v>42444</v>
      </c>
      <c r="P98" s="108">
        <v>42444</v>
      </c>
      <c r="Q98" s="103" t="s">
        <v>2350</v>
      </c>
      <c r="R98" s="44"/>
      <c r="S98" s="109" t="s">
        <v>3644</v>
      </c>
      <c r="T98" s="109" t="str">
        <f t="shared" si="1"/>
        <v xml:space="preserve">                                      
{30/05] - Em piloto até 06/06. 
[23/05] - Em piloto. Foram identificadas oportunidades de melhorias que trarão redução de TMA; aguardando abertura do chamado.
 [16/05] - Em piloto até 25/05.
[09/05] - Testes internos e ajustes finalizados com sucesso. Ambiente e usuários estão ok para inicio do piloto em 11/05/16. 
[02/05] - Iniciamos os testes internos e idenficamos necessidade de fazer ajustes. Cronograma será estendido em 1 semana. 
[25/04] - Solicitado a equipe de negócios layout das PAs para o piloto. Prazo de envio TDB - Desenvolvimento concluído. Teste de conectividade será realizado nesta semana. Prazo de conclusão 29/04.
[18/04] - TO BE avaliado pela operação, ajustado e enviado para aprovação em 14/04/16. Desenvolvimento conforme cronograma.
[12/04] - TO BE enviado para aprovação em 08/04/16; previsão de retorno em 12/04/16. Em desenvolvimento conforme datas reprogramadas.
[04/04]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[29/03] - Pendente de envio do desenho do processo por parte de Negócios. Foi solicitada a sala de guerra para esclarecimento de dúvidas, ainda a ser agendada. </v>
      </c>
      <c r="V98" s="103" t="s">
        <v>2345</v>
      </c>
      <c r="W98" s="110" t="s">
        <v>2889</v>
      </c>
      <c r="X98" s="131">
        <v>42527</v>
      </c>
      <c r="Y98" s="109" t="s">
        <v>243</v>
      </c>
      <c r="Z98" s="110">
        <v>42500</v>
      </c>
      <c r="AD98" s="101" t="s">
        <v>2350</v>
      </c>
    </row>
    <row r="99" spans="1:30" ht="409.5" x14ac:dyDescent="0.25">
      <c r="A99" s="40" t="s">
        <v>3098</v>
      </c>
      <c r="B99" s="7" t="s">
        <v>3099</v>
      </c>
      <c r="C99" s="103" t="s">
        <v>3096</v>
      </c>
      <c r="D99" s="43" t="s">
        <v>118</v>
      </c>
      <c r="E99" s="103" t="s">
        <v>159</v>
      </c>
      <c r="F99" s="103" t="s">
        <v>3339</v>
      </c>
      <c r="G99" s="103" t="s">
        <v>3373</v>
      </c>
      <c r="H99" s="111" t="s">
        <v>2407</v>
      </c>
      <c r="I99" s="103" t="s">
        <v>2606</v>
      </c>
      <c r="J99" s="103" t="s">
        <v>2320</v>
      </c>
      <c r="K99" s="108">
        <v>42440</v>
      </c>
      <c r="L99" s="103">
        <f ca="1">IFERROR(IF(AND(Y99&lt;&gt;"Concluído",Y99&lt;&gt;"Cancelado"),TODAY()-K99+1,Z99-K99),"")</f>
        <v>83</v>
      </c>
      <c r="M99" s="108">
        <v>42453</v>
      </c>
      <c r="N99" s="108" t="s">
        <v>2350</v>
      </c>
      <c r="O99" s="108">
        <v>42444</v>
      </c>
      <c r="P99" s="108">
        <v>42444</v>
      </c>
      <c r="Q99" s="103" t="s">
        <v>2530</v>
      </c>
      <c r="R99" s="44"/>
      <c r="S99" s="109" t="s">
        <v>3645</v>
      </c>
      <c r="T99" s="109" t="str">
        <f t="shared" si="1"/>
        <v xml:space="preserve">                                      
[30/05] - Em piloto até 06/06. 
[23/05] - Em piloto. Foram identificadas oportunidades de melhorias que trarão redução de TMA; aguardando abertura do chamado.
[16/05] - Em piloto até 25/05. 
[09/05] - Testes internos e ajustes finalizados com sucesso. Ambiente e usuários estão ok para inicio do piloto em 11/05/16. 
[02/05] - Iniciamos os testes internos e identificamos necessidade de fazer ajustes. Cronograma será estendido em 1 semana. 
[25/04] - Solicitado a equipe de negócios layout das PAs para o piloto. Prazo de envio TDB - Desenvolvimento concluído. Teste de conectividade será realizado nesta semana. Prazo de conclusão 29/04.
[18/04] - TO BE avaliado pela operação, ajustado e enviado para aprovação em 14/04/16. Desenvolvimento conforme cronograma.
[11/04] TO BE ainda não validado pela operação; previsão 11/04/16. Em desenvolvimento conforme datas reprogramadas.
[04/04] Aguardando validação do TO BE pela operação. Previsto para 04/04/16. Desenvolvimento em andamento e estendido devido à complexidade encontrada. Data de UAT precisa ser validada pela operação.
[29/03] - Em desenvolvimento</v>
      </c>
      <c r="V99" s="103" t="s">
        <v>2345</v>
      </c>
      <c r="W99" s="110" t="s">
        <v>2889</v>
      </c>
      <c r="X99" s="131">
        <v>42527</v>
      </c>
      <c r="Y99" s="109" t="s">
        <v>243</v>
      </c>
      <c r="Z99" s="110">
        <v>42500</v>
      </c>
      <c r="AD99" s="101" t="s">
        <v>2350</v>
      </c>
    </row>
    <row r="100" spans="1:30" ht="409.5" x14ac:dyDescent="0.25">
      <c r="A100" s="40" t="s">
        <v>3100</v>
      </c>
      <c r="B100" s="7" t="s">
        <v>3101</v>
      </c>
      <c r="C100" s="103" t="s">
        <v>3096</v>
      </c>
      <c r="D100" s="43" t="s">
        <v>118</v>
      </c>
      <c r="E100" s="103" t="s">
        <v>159</v>
      </c>
      <c r="F100" s="103" t="s">
        <v>3339</v>
      </c>
      <c r="G100" s="103" t="s">
        <v>3373</v>
      </c>
      <c r="H100" s="111" t="s">
        <v>2407</v>
      </c>
      <c r="I100" s="103" t="s">
        <v>2606</v>
      </c>
      <c r="J100" s="103" t="s">
        <v>2320</v>
      </c>
      <c r="K100" s="108">
        <v>42440</v>
      </c>
      <c r="L100" s="103">
        <f ca="1">IFERROR(IF(AND(Y100&lt;&gt;"Concluído",Y100&lt;&gt;"Cancelado"),TODAY()-K100+1,Z100-K100),"")</f>
        <v>83</v>
      </c>
      <c r="M100" s="108">
        <v>42453</v>
      </c>
      <c r="N100" s="108" t="s">
        <v>273</v>
      </c>
      <c r="O100" s="108" t="s">
        <v>2306</v>
      </c>
      <c r="P100" s="108" t="s">
        <v>2306</v>
      </c>
      <c r="Q100" s="108" t="s">
        <v>2306</v>
      </c>
      <c r="R100" s="45"/>
      <c r="S100" s="109" t="s">
        <v>3646</v>
      </c>
      <c r="T100" s="109" t="str">
        <f t="shared" si="1"/>
        <v xml:space="preserve">                                      
[30/05] - Mesmo status
[24/05] - MEsmo status
[16/05] - Em levantamento de processos para a construção da EF
[10/05] - Equipe de Negócio precisa abrir um chamado para cada solicitação e elaborar EF.
[03/05] - Demanda desmembrada da original 1478. Equipe de Negocio precisa abrir um chamado para cada solicitação
[25/04] - Aguardando priorização dos projetos
[18/04] - TO BE não iniciado devido ao atraso na validação, e a necessidade de ajustes, dos POPs 1601 e 1689. O novo replanejamento será publicado até o dia 25/04/16. 
[11/04] Data de TO BE replanejada devido ao atraso na entrega e validação dos TO BEs das outras demandas de Claro. Novo prazo 27/4.
[04/04] Replanejamento de datas devido à disponibilidade de recursos. Aguardando recurso para iniciar. 
[29/03] - Em fase de desenho de solução. 
Previsão de datas será publicado em 04/04/16. Aguradando Recurso</v>
      </c>
      <c r="V100" s="109" t="s">
        <v>2758</v>
      </c>
      <c r="W100" s="110" t="s">
        <v>2606</v>
      </c>
      <c r="X100" s="131" t="s">
        <v>2525</v>
      </c>
      <c r="Y100" s="103" t="s">
        <v>1515</v>
      </c>
      <c r="AD100" s="101" t="s">
        <v>2350</v>
      </c>
    </row>
    <row r="101" spans="1:30" ht="409.5" x14ac:dyDescent="0.25">
      <c r="A101" s="101" t="s">
        <v>3112</v>
      </c>
      <c r="B101" s="103" t="s">
        <v>3113</v>
      </c>
      <c r="C101" s="103" t="s">
        <v>3597</v>
      </c>
      <c r="D101" s="103" t="s">
        <v>2288</v>
      </c>
      <c r="E101" s="103" t="s">
        <v>1430</v>
      </c>
      <c r="F101" s="103" t="s">
        <v>3337</v>
      </c>
      <c r="G101" s="103" t="s">
        <v>3357</v>
      </c>
      <c r="H101" s="111" t="s">
        <v>244</v>
      </c>
      <c r="I101" s="103" t="s">
        <v>3382</v>
      </c>
      <c r="J101" s="103" t="s">
        <v>97</v>
      </c>
      <c r="K101" s="108">
        <v>42426</v>
      </c>
      <c r="L101" s="103">
        <f ca="1">IFERROR(IF(AND(Y101&lt;&gt;"Concluído",Y101&lt;&gt;"Cancelado"),TODAY()-K101+1,Z101-K101),"")</f>
        <v>97</v>
      </c>
      <c r="M101" s="108">
        <v>42459</v>
      </c>
      <c r="N101" s="108" t="s">
        <v>273</v>
      </c>
      <c r="O101" s="108" t="s">
        <v>2306</v>
      </c>
      <c r="P101" s="108" t="s">
        <v>2306</v>
      </c>
      <c r="Q101" s="103" t="s">
        <v>3502</v>
      </c>
      <c r="R101" s="44"/>
      <c r="S101" s="114" t="s">
        <v>3843</v>
      </c>
      <c r="T101" s="109" t="str">
        <f t="shared" si="1"/>
        <v xml:space="preserve">                                      
31/05- faltando validar informaçãoes que serão passadas(Cliente/SI e Oi). SI pediu para analisar contrato.
24/05 
a- Parte de Controle de Ativos agora tratada em novo chamado. 
b-Parte do RTSocket já foi entregue em Desenho de Telecom, faltando validar informaçãoes que serão passadas(Cliente/SI e Oi).
17/05 
a- Pendente acionar Eng para desenho de Controle de Ativos. 
b-Parte do RTSocket já foi entregue em Desenho de Telecom.
10/05 - Acionar Eng para desenho de Controle de Ativos. Parte do RTSocket está em Desenho de Telecom.
03/05- Em fase de entendimento com solcitante. Muitos pontos em aberto, com necessidade de colocar em estudo com Engenharia. Preciso fechar escopo antes.
26/04 - Alinhamento feito comn FAbiana C arla de que projeto estaria entregue. Acionada a Avaya para dar posicionamento.
12/04: Projeto está na fase de entendimento entre  Lustosa e Marcel/Fabio, pois as infomações solicitadas na EF já são disponobilizadas para a Oi através do RTI.
05/04: Projeto alocado na fila dos executores em 01/04.
30/03 - A iniciar</v>
      </c>
      <c r="U101" s="114"/>
      <c r="V101" s="103" t="s">
        <v>2826</v>
      </c>
      <c r="W101" s="103" t="s">
        <v>3503</v>
      </c>
      <c r="X101" s="133">
        <v>42515</v>
      </c>
      <c r="Y101" s="103" t="s">
        <v>3844</v>
      </c>
      <c r="Z101" s="108">
        <v>42515</v>
      </c>
      <c r="AA101" s="103"/>
      <c r="AB101" s="103"/>
      <c r="AC101" s="103"/>
      <c r="AD101" s="101" t="s">
        <v>273</v>
      </c>
    </row>
    <row r="102" spans="1:30" ht="409.5" x14ac:dyDescent="0.25">
      <c r="A102" s="101" t="s">
        <v>1282</v>
      </c>
      <c r="B102" s="7" t="s">
        <v>1283</v>
      </c>
      <c r="C102" s="103" t="s">
        <v>3114</v>
      </c>
      <c r="D102" s="103" t="s">
        <v>118</v>
      </c>
      <c r="E102" s="103" t="s">
        <v>174</v>
      </c>
      <c r="F102" s="103" t="s">
        <v>3338</v>
      </c>
      <c r="G102" s="103" t="s">
        <v>3349</v>
      </c>
      <c r="H102" s="111" t="s">
        <v>280</v>
      </c>
      <c r="I102" s="103" t="s">
        <v>2773</v>
      </c>
      <c r="J102" s="103" t="s">
        <v>97</v>
      </c>
      <c r="K102" s="108">
        <v>42269</v>
      </c>
      <c r="L102" s="103">
        <f ca="1">IFERROR(IF(AND(Y102&lt;&gt;"Concluído",Y102&lt;&gt;"Cancelado"),TODAY()-K102+1,Z102-K102),"")</f>
        <v>254</v>
      </c>
      <c r="M102" s="108">
        <v>42459</v>
      </c>
      <c r="N102" s="108" t="s">
        <v>273</v>
      </c>
      <c r="O102" s="108" t="s">
        <v>2306</v>
      </c>
      <c r="P102" s="108" t="s">
        <v>2306</v>
      </c>
      <c r="Q102" s="108" t="s">
        <v>2306</v>
      </c>
      <c r="R102" s="145"/>
      <c r="S102" s="103" t="s">
        <v>3849</v>
      </c>
      <c r="T102" s="109" t="str">
        <f t="shared" si="1"/>
        <v xml:space="preserve">                                      
31/05: Mesmo Status
24/05: Mesmo Status
17/05: Mesmo Status
10/05: Mesmo Status
03/05: Mesmo Status
26/04: Mesmo Status
19/04: Mesmo status. Solicitado em paralelo o preenchimento da planilha Cadastro da Operação e até o momento não houve retorno.
12/04: Mesmo status. 
04/04: Projeto em hold, pois a compra de licenças da Nice e a troca do Windows XP para a versão 8 são premissas para implantar o t-supervisor.
30/03 - A iniciar</v>
      </c>
      <c r="U102" s="103"/>
      <c r="V102" s="103" t="s">
        <v>3169</v>
      </c>
      <c r="W102" s="108" t="s">
        <v>3170</v>
      </c>
      <c r="X102" s="103" t="s">
        <v>2306</v>
      </c>
      <c r="Y102" s="103" t="s">
        <v>3157</v>
      </c>
      <c r="Z102" s="108"/>
      <c r="AA102" s="101">
        <v>390</v>
      </c>
      <c r="AB102" s="103"/>
      <c r="AC102" s="103"/>
      <c r="AD102" s="101" t="s">
        <v>2350</v>
      </c>
    </row>
    <row r="103" spans="1:30" ht="409.5" x14ac:dyDescent="0.25">
      <c r="A103" s="101" t="s">
        <v>3115</v>
      </c>
      <c r="B103" s="7" t="s">
        <v>3116</v>
      </c>
      <c r="D103" s="103" t="s">
        <v>2288</v>
      </c>
      <c r="E103" s="103" t="s">
        <v>1430</v>
      </c>
      <c r="F103" s="103" t="s">
        <v>3337</v>
      </c>
      <c r="G103" s="103" t="s">
        <v>3345</v>
      </c>
      <c r="H103" s="111" t="s">
        <v>280</v>
      </c>
      <c r="I103" s="103" t="s">
        <v>2824</v>
      </c>
      <c r="K103" s="108">
        <v>42425</v>
      </c>
      <c r="L103" s="103">
        <f ca="1">IFERROR(IF(AND(Y103&lt;&gt;"Concluído",Y103&lt;&gt;"Cancelado"),TODAY()-K103+1,Z103-K103),"")</f>
        <v>98</v>
      </c>
      <c r="M103" s="108">
        <v>42459</v>
      </c>
      <c r="N103" s="108" t="s">
        <v>273</v>
      </c>
      <c r="O103" s="108" t="s">
        <v>2306</v>
      </c>
      <c r="P103" s="108" t="s">
        <v>2306</v>
      </c>
      <c r="Q103" s="108" t="s">
        <v>2306</v>
      </c>
      <c r="R103" s="145"/>
      <c r="S103" s="103" t="s">
        <v>3848</v>
      </c>
      <c r="T103" s="109" t="str">
        <f t="shared" si="1"/>
        <v xml:space="preserve">                                      
31/05: Mesmo Status
24/05: Mesmo Status
17/05: Mesmo Status
10/05: Mesmo Status
03/05: Mesmo Status
26/04: Mesmo Status
19/04: Mesmo Status, por isso o status do projeto será alterado para em hold.
12/04: Aguardando DA do cliente para seguir com a alteração da URA. 
05/04: Cotação do valor para a alteração da freseologia da URA R$1250,00. Aguarda proposta formal da Avaya.
30/03 - A iniciar</v>
      </c>
      <c r="U103" s="103"/>
      <c r="V103" s="103" t="s">
        <v>2758</v>
      </c>
      <c r="W103" s="103" t="s">
        <v>2824</v>
      </c>
      <c r="X103" s="103" t="s">
        <v>2306</v>
      </c>
      <c r="Y103" s="103" t="s">
        <v>3157</v>
      </c>
      <c r="Z103" s="108"/>
      <c r="AA103" s="101" t="s">
        <v>2306</v>
      </c>
      <c r="AB103" s="103"/>
      <c r="AC103" s="103"/>
      <c r="AD103" s="101" t="s">
        <v>273</v>
      </c>
    </row>
    <row r="104" spans="1:30" ht="409.5" x14ac:dyDescent="0.25">
      <c r="A104" s="101" t="s">
        <v>3653</v>
      </c>
      <c r="B104" s="7" t="s">
        <v>3118</v>
      </c>
      <c r="C104" s="103" t="s">
        <v>3025</v>
      </c>
      <c r="D104" s="103" t="s">
        <v>2288</v>
      </c>
      <c r="E104" s="103" t="s">
        <v>1430</v>
      </c>
      <c r="F104" s="103" t="s">
        <v>3337</v>
      </c>
      <c r="G104" s="103" t="s">
        <v>3345</v>
      </c>
      <c r="H104" s="111" t="s">
        <v>280</v>
      </c>
      <c r="I104" s="103" t="s">
        <v>3117</v>
      </c>
      <c r="K104" s="108">
        <v>42430</v>
      </c>
      <c r="L104" s="103">
        <f ca="1">IFERROR(IF(AND(Y104&lt;&gt;"Concluído",Y104&lt;&gt;"Cancelado"),TODAY()-K104+1,Z104-K104),"")</f>
        <v>93</v>
      </c>
      <c r="M104" s="108">
        <v>42459</v>
      </c>
      <c r="N104" s="108" t="s">
        <v>273</v>
      </c>
      <c r="O104" s="108" t="s">
        <v>2306</v>
      </c>
      <c r="P104" s="108" t="s">
        <v>2306</v>
      </c>
      <c r="Q104" s="108" t="s">
        <v>2306</v>
      </c>
      <c r="R104" s="44"/>
      <c r="S104" s="103" t="s">
        <v>3861</v>
      </c>
      <c r="T104" s="109" t="str">
        <f t="shared" si="1"/>
        <v xml:space="preserve">                                      
31/05: Mesmo Status
24/05: Aguarda retono financeiro. 
17/05: Mesmo Status
10/05: Mesmo Status
03/05: Aguardando retorno da operação quanto ao cancelamento do projeto.
26/04: Viabilidade não foi aprovada por ENG devido a outro projeto em paralelo já contemplar essa alteração. E-mail enviado a operação com este posicionamento. 
19/04: Aguardando análise de ENG para verificar a viabilidade deste projeto.
04/04: Realizado entendimento do projeto junto ao solicitante e alocado na fila dos executores em 01/04.
30/03 - A iniciar</v>
      </c>
      <c r="U104" s="103"/>
      <c r="V104" s="103" t="s">
        <v>2859</v>
      </c>
      <c r="W104" s="108" t="s">
        <v>3084</v>
      </c>
      <c r="X104" s="103" t="s">
        <v>2306</v>
      </c>
      <c r="Y104" s="103" t="s">
        <v>243</v>
      </c>
      <c r="Z104" s="108"/>
      <c r="AA104" s="101">
        <v>70</v>
      </c>
      <c r="AB104" s="103"/>
      <c r="AC104" s="103"/>
      <c r="AD104" s="101" t="s">
        <v>273</v>
      </c>
    </row>
    <row r="105" spans="1:30" ht="409.5" x14ac:dyDescent="0.25">
      <c r="A105" s="101" t="s">
        <v>3119</v>
      </c>
      <c r="B105" s="103" t="s">
        <v>3120</v>
      </c>
      <c r="C105" s="103" t="s">
        <v>3023</v>
      </c>
      <c r="D105" s="103" t="s">
        <v>2288</v>
      </c>
      <c r="E105" s="103" t="s">
        <v>159</v>
      </c>
      <c r="F105" s="103" t="s">
        <v>3339</v>
      </c>
      <c r="G105" s="103" t="s">
        <v>3373</v>
      </c>
      <c r="H105" s="111" t="s">
        <v>2130</v>
      </c>
      <c r="I105" s="103" t="s">
        <v>2606</v>
      </c>
      <c r="K105" s="108">
        <v>42444</v>
      </c>
      <c r="L105" s="103">
        <f ca="1">IFERROR(IF(AND(Y105&lt;&gt;"Concluído",Y105&lt;&gt;"Cancelado"),TODAY()-K105+1,Z105-K105),"")</f>
        <v>79</v>
      </c>
      <c r="M105" s="108">
        <v>42459</v>
      </c>
      <c r="N105" s="108" t="s">
        <v>273</v>
      </c>
      <c r="O105" s="108" t="s">
        <v>2306</v>
      </c>
      <c r="P105" s="108">
        <v>42517</v>
      </c>
      <c r="Q105" s="108" t="s">
        <v>3795</v>
      </c>
      <c r="R105" s="45"/>
      <c r="S105" s="152" t="s">
        <v>3804</v>
      </c>
      <c r="T105" s="109" t="str">
        <f t="shared" si="1"/>
        <v xml:space="preserve">                                      
[31/05] - Fase 01 - Concluida, ativação de um link Contax x Alamviva em 27/05.
Proxima Etapa: Instalação do 2° link Oi (CLiente) - Previsto para 17/06
[24/05] - Configurações Contax  concluidas, testes em andamento (TAM, Almaviva e Contax )
Previsão de RollOut - 27/05 as 8hs
[17/05] - Realizando avaliação de Infra dos links entregues pela Operadora. Problema com um dos circuitos entregue.
Necessário realizar Gmud para concluir configurações de redes dos Links, previsto para 18/05.
Proximos passos &gt; configurações de Telecom e testes com Almaviva.
Entrada em produção  - 23/05
 [10/05] Vistoria da Oi esperada para essa data, para viabilizar instalação dos links. desenho e plano de GMUD fechados e enviados para CSE..
[03/05] Reunião com cliente realizada com sucesso. desenho da solução aprovado com o cliente. Em fase de montagem de cronograma.
[26/04] Reunião com cliente marcada para 02/05.
[19/04] - Em fase de entendimento escopo. Reunião tecnica entre TAM e ENG (Antônio) , agendada para 18/04 as 16hs
[12/04] - Projeto direcionado para  fila de Engenharia TI, previsão de conclusão da analise tecnica em 04/05.
[04/04] - Projeto direcionado para avaliação tecnica da equipe de Engenharia. Expectativa de retorno com  Alocação de Recurso tecnico para  avaliação e tratativa da solicitação - 06/04
30/03 - A iniciar</v>
      </c>
      <c r="U105" s="152"/>
      <c r="V105" s="109" t="s">
        <v>2758</v>
      </c>
      <c r="W105" s="110" t="s">
        <v>3805</v>
      </c>
      <c r="Y105" s="109" t="s">
        <v>243</v>
      </c>
      <c r="AD105" s="101" t="s">
        <v>273</v>
      </c>
    </row>
    <row r="106" spans="1:30" ht="409.5" x14ac:dyDescent="0.25">
      <c r="A106" s="101" t="s">
        <v>1876</v>
      </c>
      <c r="B106" s="103" t="s">
        <v>3218</v>
      </c>
      <c r="C106" s="103" t="s">
        <v>3219</v>
      </c>
      <c r="D106" s="103" t="s">
        <v>118</v>
      </c>
      <c r="E106" s="103" t="s">
        <v>161</v>
      </c>
      <c r="G106" s="103" t="s">
        <v>3380</v>
      </c>
      <c r="H106" s="111" t="s">
        <v>2130</v>
      </c>
      <c r="I106" s="103" t="s">
        <v>3380</v>
      </c>
      <c r="J106" s="103" t="s">
        <v>98</v>
      </c>
      <c r="K106" s="108">
        <v>42297</v>
      </c>
      <c r="L106" s="103">
        <f ca="1">IFERROR(IF(AND(Y106&lt;&gt;"Concluído",Y106&lt;&gt;"Cancelado"),TODAY()-K106+1,Z106-K106),"")</f>
        <v>226</v>
      </c>
      <c r="M106" s="108">
        <v>42459</v>
      </c>
      <c r="N106" s="108" t="s">
        <v>273</v>
      </c>
      <c r="O106" s="108" t="s">
        <v>2306</v>
      </c>
      <c r="P106" s="108" t="s">
        <v>2306</v>
      </c>
      <c r="Q106" s="108" t="s">
        <v>2306</v>
      </c>
      <c r="R106" s="45"/>
      <c r="S106" s="114" t="s">
        <v>3806</v>
      </c>
      <c r="T106" s="109" t="str">
        <f t="shared" si="1"/>
        <v xml:space="preserve">                                      
[31/05] - Em andamento com equipe Engenharia. (Proposta de Cotação novo servidor)
[24/05] - Solicitação de cotação de novos servidores redirecionada para Engenharia.
[17/05] - call com fornecedor TQS realizado. Fornecedor recomendou realizar as ações faseadas, e não garantiu ganho de performance.
Proposta - Avaliar com solicitante se seguiremos com testes ou cotação direto.
[10/05] Para essa data call do CSE com a TQS. Cliente estressado com a demora.
[26/05] Sem evolução. Necessário fazer call com TQS.
[19/04] - Direcionado para Fila CSE. Assunto esclarecido com LW ee direcionado para DBA. Ainda sem retorno da avaliação tecnica. Será necessário envolver fornecedor TQS.
[12/04] -  Avaliação tecnica realizada pela Equipe Engenharia. Foram recomendadas melhorias como Criação de indices para as tabelas, Alarmes criticos de Storage e Back up, e posteriormente avaliar a performance da máquina.
Projeto direcionado para Avaliação equipe Execução.
[04/04] - Projeto direcionado para avaliação tecnica da equipe de Arquitetura. Expectativa de retorno com  Alocação de Recurso tecnico para  avaliação e tratativa da solicitação - 06/04
30/03 - A iniciar</v>
      </c>
      <c r="U106" s="114"/>
      <c r="V106" s="109" t="s">
        <v>3220</v>
      </c>
      <c r="W106" s="110" t="s">
        <v>3217</v>
      </c>
      <c r="Y106" s="109" t="s">
        <v>1515</v>
      </c>
      <c r="AD106" s="101" t="s">
        <v>2350</v>
      </c>
    </row>
    <row r="107" spans="1:30" ht="409.5" x14ac:dyDescent="0.25">
      <c r="A107" s="101" t="s">
        <v>3122</v>
      </c>
      <c r="B107" s="103" t="s">
        <v>3123</v>
      </c>
      <c r="D107" s="103" t="s">
        <v>2288</v>
      </c>
      <c r="E107" s="103" t="s">
        <v>174</v>
      </c>
      <c r="F107" s="103" t="s">
        <v>3338</v>
      </c>
      <c r="G107" s="103" t="s">
        <v>2872</v>
      </c>
      <c r="H107" s="111" t="s">
        <v>280</v>
      </c>
      <c r="I107" s="103" t="s">
        <v>2394</v>
      </c>
      <c r="J107" s="103" t="s">
        <v>98</v>
      </c>
      <c r="K107" s="108">
        <v>42450</v>
      </c>
      <c r="L107" s="103">
        <f ca="1">IFERROR(IF(AND(Y107&lt;&gt;"Concluído",Y107&lt;&gt;"Cancelado"),TODAY()-K107+1,Z107-K107),"")</f>
        <v>73</v>
      </c>
      <c r="M107" s="108">
        <v>42459</v>
      </c>
      <c r="N107" s="108" t="s">
        <v>273</v>
      </c>
      <c r="O107" s="108" t="s">
        <v>2306</v>
      </c>
      <c r="P107" s="108" t="s">
        <v>2306</v>
      </c>
      <c r="Q107" s="103" t="s">
        <v>2306</v>
      </c>
      <c r="R107" s="44"/>
      <c r="S107" s="155" t="s">
        <v>3854</v>
      </c>
      <c r="T107" s="109" t="str">
        <f t="shared" si="1"/>
        <v xml:space="preserve">                                      
31/05: Mesmo Status
24/05: Mesmo Status
17/05: Mesmo Status
11/05: Alinhar necessidade do projeto de acordo com o retorno do projeto CTXSPOBF-138261, pois é uma premissa para este projeto.
[03/05] Assunto escalado  no dia de hoje. Eng fez analise inicial sobre real necessidade de se migrar versão da NIce, como desnecessaria. Projeto passado para Debora.
[26/04] MESMO STATUS ANTERIOR.
[12/04] - Aguardando conclusão da avaliação tecnica no Projeto CTXSPOBF-138261
Em paralelo, foi realizado mapeamento de modelo de máquinas no site Antartica e Mck, e encaminhado para analise de Gestão de ativos , para avaliar se será necessário aquisição de licenças W8, para esse Upgrade. 
[04/04] - Aguardando analise técnica do projeto CTXSPOBF-138261 - Atualização da Versão do Nice compatível com Windows 8.1,para darmos prosseguimento com essa solicitação. 
Em paralelo, realizar consulta Gestão Ativos. (disponibilidade Licenças ). 
 30/03 - A iniciar</v>
      </c>
      <c r="U107" s="155"/>
      <c r="V107" s="103" t="s">
        <v>2859</v>
      </c>
      <c r="W107" s="108" t="s">
        <v>3084</v>
      </c>
      <c r="X107" s="103" t="s">
        <v>2306</v>
      </c>
      <c r="Y107" s="103" t="s">
        <v>243</v>
      </c>
      <c r="Z107" s="108"/>
      <c r="AA107" s="103"/>
      <c r="AD107" s="101" t="s">
        <v>273</v>
      </c>
    </row>
    <row r="108" spans="1:30" ht="409.5" x14ac:dyDescent="0.25">
      <c r="A108" s="101" t="s">
        <v>3126</v>
      </c>
      <c r="B108" s="103" t="s">
        <v>3127</v>
      </c>
      <c r="C108" s="103" t="s">
        <v>3128</v>
      </c>
      <c r="D108" s="103" t="s">
        <v>2288</v>
      </c>
      <c r="E108" s="103" t="s">
        <v>1430</v>
      </c>
      <c r="F108" s="103" t="s">
        <v>3337</v>
      </c>
      <c r="G108" s="103" t="s">
        <v>3345</v>
      </c>
      <c r="H108" s="111" t="s">
        <v>246</v>
      </c>
      <c r="I108" s="103" t="s">
        <v>2875</v>
      </c>
      <c r="J108" s="103" t="s">
        <v>97</v>
      </c>
      <c r="K108" s="108">
        <v>42431</v>
      </c>
      <c r="L108" s="103">
        <f ca="1">IFERROR(IF(AND(Y108&lt;&gt;"Concluído",Y108&lt;&gt;"Cancelado"),TODAY()-K108+1,Z108-K108),"")</f>
        <v>92</v>
      </c>
      <c r="M108" s="108">
        <v>42459</v>
      </c>
      <c r="N108" s="108" t="s">
        <v>273</v>
      </c>
      <c r="O108" s="108" t="s">
        <v>2306</v>
      </c>
      <c r="P108" s="108" t="s">
        <v>2306</v>
      </c>
      <c r="Q108" s="108" t="s">
        <v>2306</v>
      </c>
      <c r="R108" s="145"/>
      <c r="S108" s="109" t="s">
        <v>3840</v>
      </c>
      <c r="T108" s="109" t="str">
        <f t="shared" si="1"/>
        <v xml:space="preserve">                                      
Edison Nei Siqueira added a comment - 31/Mai/16 17:54
Agendada para amanhã a reunião de batimento da especificação funcional junto a Accenture e equipe de projetos operações.
Edison Nei Siqueira added a comment - 18/Mai/16 11:48
cliente OI solicitou o replanejamento da entrada dessa demanda, pois eles precisam internamente discutir a EF com a Accenture, nova data solicitada para implantação é para a segunda quinzena de Julho.
Edison Nei Siqueira added a comment - 10/Mai/16 18:54
Cronograma em elaboração, aguardando retorno do cliente OI com relação aos questionamentos feitos na EF pelo time de aplicações, também estamos aguardando o de acordo para movimentar os links de voz do aspect para o APC.
Edison Nei Siqueira added a comment - 03/Mai/16 18:11
Demanda inserida na fila de CSE para levantamento de OG. Estamos aguardando a planilha de cadastro de operação na plataforma tGuidance para evoluir junto a equipe de aplicações.
Edison Nei Siqueira added a comment - 26/Abr/16 19:36
Estamos aguardando o retorno da área de projetos com a informação de qual campanha no Aspect é utilizada pela operação, com essa informação será possível verificar se os links utilizados são compartilhados ou não.
Edison Nei Siqueira added a comment - 12/Abr/16 18:00
Demanda na fila de engenharia com previsão de conclusão de analise para o dia 20/04.
Edison Nei Siqueira added a comment - 05/Abr/16 17:21
Demanda inserida no pipe de engenharia e aplicações, previsão de retorno com o recurso que vai realizar a analise para o dia 06/04.
30/03 - A iniciar</v>
      </c>
      <c r="Y108" s="109" t="s">
        <v>1515</v>
      </c>
      <c r="AD108" s="101" t="s">
        <v>273</v>
      </c>
    </row>
    <row r="109" spans="1:30" ht="409.5" x14ac:dyDescent="0.25">
      <c r="A109" s="101" t="s">
        <v>1775</v>
      </c>
      <c r="B109" s="103" t="s">
        <v>3158</v>
      </c>
      <c r="C109" s="103" t="s">
        <v>3038</v>
      </c>
      <c r="D109" s="109" t="s">
        <v>2288</v>
      </c>
      <c r="E109" s="103" t="s">
        <v>1430</v>
      </c>
      <c r="F109" s="103" t="s">
        <v>3337</v>
      </c>
      <c r="G109" s="103" t="s">
        <v>3345</v>
      </c>
      <c r="H109" s="111" t="s">
        <v>245</v>
      </c>
      <c r="I109" s="103" t="s">
        <v>3131</v>
      </c>
      <c r="J109" s="103" t="s">
        <v>97</v>
      </c>
      <c r="K109" s="108">
        <v>42317</v>
      </c>
      <c r="L109" s="103">
        <f ca="1">IFERROR(IF(AND(Y109&lt;&gt;"Concluído",Y109&lt;&gt;"Cancelado"),TODAY()-K109+1,Z109-K109),"")</f>
        <v>206</v>
      </c>
      <c r="M109" s="108">
        <v>42459</v>
      </c>
      <c r="N109" s="108" t="s">
        <v>3358</v>
      </c>
      <c r="O109" s="108" t="s">
        <v>2306</v>
      </c>
      <c r="P109" s="108" t="s">
        <v>2306</v>
      </c>
      <c r="Q109" s="108" t="s">
        <v>2306</v>
      </c>
      <c r="R109" s="145"/>
      <c r="S109" s="109" t="s">
        <v>3777</v>
      </c>
      <c r="T109" s="109" t="str">
        <f t="shared" si="1"/>
        <v xml:space="preserve">                                      
31/05 - Conforme interação com a TQS, pacote está sendo finalizado para testes. Estamos em pendência  de algumas regras operacionais. Aguardando retorno da operação.
24/05 - Como ficou acordado como Demanda, previsão de retorno/desenvolvimento da TQS dia 27/05.
17/05 - Solicitante confirmando a suposta alteração de escopo para reenvio a TQS.
10/05 - Aguardando retorno da TQS perante análise da EF.
03/05 - Aguardando EF atualizada  para seguimento da Demanda.
25/04 - Mesmo status, aguardando retorno da operação com a definição de escopo.
19/04 - Conforme alinhado em conferência, a TQS vai considerar esta demanda como chamado, assim não é preciso fazer proposta comercial.
Solicitado a operação, o documento atualizado com o escopo da demanda.
12/04 - Delegado a Engenharia Telecom - Antonio, prazo amanhã 13/04
04/04 - Em análise
30/03 - A iniciar</v>
      </c>
      <c r="V109" s="109" t="s">
        <v>3441</v>
      </c>
      <c r="W109" s="110" t="s">
        <v>3442</v>
      </c>
      <c r="X109" s="110">
        <v>42528</v>
      </c>
      <c r="Y109" s="109" t="s">
        <v>1515</v>
      </c>
      <c r="AA109" s="109">
        <v>81</v>
      </c>
      <c r="AD109" s="101" t="s">
        <v>273</v>
      </c>
    </row>
    <row r="110" spans="1:30" ht="409.5" x14ac:dyDescent="0.25">
      <c r="A110" s="101" t="s">
        <v>3137</v>
      </c>
      <c r="B110" s="103" t="s">
        <v>3138</v>
      </c>
      <c r="C110" s="103" t="s">
        <v>3023</v>
      </c>
      <c r="D110" s="103" t="s">
        <v>2288</v>
      </c>
      <c r="E110" s="103" t="s">
        <v>161</v>
      </c>
      <c r="F110" s="103" t="s">
        <v>3336</v>
      </c>
      <c r="G110" s="103" t="s">
        <v>3342</v>
      </c>
      <c r="H110" s="111" t="s">
        <v>177</v>
      </c>
      <c r="I110" s="103" t="s">
        <v>2766</v>
      </c>
      <c r="J110" s="103" t="s">
        <v>2358</v>
      </c>
      <c r="K110" s="108">
        <v>42447</v>
      </c>
      <c r="L110" s="103">
        <f ca="1">IFERROR(IF(AND(Y110&lt;&gt;"Concluído",Y110&lt;&gt;"Cancelado"),TODAY()-K110+1,Z110-K110),"")</f>
        <v>76</v>
      </c>
      <c r="M110" s="108">
        <v>42459</v>
      </c>
      <c r="N110" s="108" t="s">
        <v>2306</v>
      </c>
      <c r="O110" s="108" t="s">
        <v>2306</v>
      </c>
      <c r="P110" s="108" t="s">
        <v>2306</v>
      </c>
      <c r="Q110" s="108" t="s">
        <v>2306</v>
      </c>
      <c r="R110" s="145"/>
      <c r="S110" s="109" t="s">
        <v>3507</v>
      </c>
      <c r="T110" s="109" t="str">
        <f t="shared" si="1"/>
        <v xml:space="preserve">                                      
19/05 - Na fila
11/05 - Na fila
04/05 - Na fila
30/03 - A iniciar</v>
      </c>
      <c r="V110" s="109" t="s">
        <v>2859</v>
      </c>
      <c r="W110" s="110" t="s">
        <v>177</v>
      </c>
      <c r="X110" s="110"/>
      <c r="Y110" s="109" t="s">
        <v>107</v>
      </c>
      <c r="AD110" s="101" t="s">
        <v>273</v>
      </c>
    </row>
    <row r="111" spans="1:30" ht="409.5" x14ac:dyDescent="0.25">
      <c r="A111" s="101" t="s">
        <v>3140</v>
      </c>
      <c r="B111" s="103" t="s">
        <v>3200</v>
      </c>
      <c r="C111" s="6" t="s">
        <v>3040</v>
      </c>
      <c r="D111" s="78" t="s">
        <v>2288</v>
      </c>
      <c r="E111" s="103" t="s">
        <v>1430</v>
      </c>
      <c r="F111" s="103" t="s">
        <v>3337</v>
      </c>
      <c r="G111" s="103" t="s">
        <v>3345</v>
      </c>
      <c r="H111" s="111" t="s">
        <v>245</v>
      </c>
      <c r="I111" s="103" t="s">
        <v>3357</v>
      </c>
      <c r="J111" s="103" t="s">
        <v>97</v>
      </c>
      <c r="K111" s="108">
        <v>42457</v>
      </c>
      <c r="L111" s="103">
        <v>23</v>
      </c>
      <c r="M111" s="108">
        <v>42461</v>
      </c>
      <c r="N111" s="108" t="s">
        <v>2350</v>
      </c>
      <c r="O111" s="108" t="s">
        <v>2282</v>
      </c>
      <c r="P111" s="108">
        <v>42527</v>
      </c>
      <c r="Q111" s="103" t="s">
        <v>3358</v>
      </c>
      <c r="R111" s="44"/>
      <c r="S111" s="109" t="s">
        <v>3778</v>
      </c>
      <c r="T111" s="109" t="str">
        <f t="shared" si="1"/>
        <v xml:space="preserve">                                      
31/05 - Somente o Item RF004, que está em homologação pela operação.
24/05 - Somente o Item RF004, entrará em Produção dia 24/05.
17/05 - Envio de homologação para o solicitante no dia 16/05, aguardando retorno da operação.
10/05 - Desenvolvimento ocorrendo. Probabilidade de Início de Homologação no período de 16 à 18/05. 
03/05 - Em Desenvolvimento de Aplicações TI.
Anthonny, irá atualizar a EF com o novo escopo, totalizando 4 itens. 
 O último item “novo” envolve a outra área de TI , sendo Aplicações TI (Viviane Rodriguez). Iremos realizar uma conferência após recebimento da EF atualizada,  para verificar viabilidade de Desenvolvimento. Lembrando que não tem dependência com o desenvolvimento anterior.
Em paralelo, precisamos de um apoio com a Oi para a criação deste NAT (Motivo: Nosso servidor acessar o STC ), não impactando no cronograma deste projeto.
O servidor atual fica em Santo Amaro, estamos realizando um upgrade de infra  e colocando servidores novos no Data Center em São Paulo.
25/04 - O prazo de Aplicações para  o Desenvolvimento são 25 dias úteis a partir desta liberação de acesso ao FTP. 
Esta liberação já está com o CSE através do chamado RECSA-362778.
19/04 - Aberto chamado para a liberação do FTP da Oi para seguimento do Desenv de TI. 
12/04 - Demanda já priorizada e sendo analisada a EF. 
05/04: Projeto alocado na fila dos executores em 01/04.
01/04 - A iniciar</v>
      </c>
      <c r="V111" s="103" t="s">
        <v>3433</v>
      </c>
      <c r="W111" s="108" t="s">
        <v>3199</v>
      </c>
      <c r="X111" s="110">
        <v>42524</v>
      </c>
      <c r="Y111" s="103" t="s">
        <v>1515</v>
      </c>
      <c r="Z111" s="108"/>
      <c r="AA111" s="103">
        <v>100</v>
      </c>
      <c r="AB111" s="103"/>
      <c r="AC111" s="103"/>
      <c r="AD111" s="101" t="s">
        <v>273</v>
      </c>
    </row>
    <row r="112" spans="1:30" ht="409.5" x14ac:dyDescent="0.25">
      <c r="A112" s="101" t="s">
        <v>3141</v>
      </c>
      <c r="B112" s="7" t="s">
        <v>3142</v>
      </c>
      <c r="D112" s="103" t="s">
        <v>2288</v>
      </c>
      <c r="E112" s="103" t="s">
        <v>1430</v>
      </c>
      <c r="F112" s="103" t="s">
        <v>3337</v>
      </c>
      <c r="G112" s="103" t="s">
        <v>3345</v>
      </c>
      <c r="H112" s="111" t="s">
        <v>280</v>
      </c>
      <c r="I112" s="103" t="s">
        <v>2824</v>
      </c>
      <c r="J112" s="103" t="s">
        <v>97</v>
      </c>
      <c r="K112" s="108">
        <v>42440</v>
      </c>
      <c r="L112" s="103">
        <f ca="1">IFERROR(IF(AND(Y112&lt;&gt;"Concluído",Y112&lt;&gt;"Cancelado"),TODAY()-K112+1,Z112-K112),"")</f>
        <v>83</v>
      </c>
      <c r="M112" s="108">
        <v>42461</v>
      </c>
      <c r="N112" s="108" t="s">
        <v>273</v>
      </c>
      <c r="O112" s="108" t="s">
        <v>2306</v>
      </c>
      <c r="P112" s="108" t="s">
        <v>2306</v>
      </c>
      <c r="Q112" s="108" t="s">
        <v>2306</v>
      </c>
      <c r="R112" s="44"/>
      <c r="S112" s="103" t="s">
        <v>3862</v>
      </c>
      <c r="T112" s="109" t="str">
        <f t="shared" si="1"/>
        <v xml:space="preserve">                                      
31/05: Foi aberto chamado para Segurança da Informação homologar a ferramenta.
24/05: Em avaliaçã a EF do projeto.
17/05: Mesmo Status
10/05: Aguarda requisitos funcionais/básicos da ferramenta
03/05: Após a realização da call foram levantadas algumas dúvidas e aguardamos o preenchimento da EF e os requisitos técnicos da ferramenta para seguirmos com o projeto. Solicitação enviada ontem, 02/05.
26/04: Ferramenta é gerenciada pelo fornecedor Oi. Call agendada com ENG para esta tratativa.
19/04: Aguardando retorno sobre o questinamento da ferramenta SENDMAKER. 
12/04 - A iniciar
04/04 - A iniciar</v>
      </c>
      <c r="U112" s="103"/>
      <c r="V112" s="103" t="s">
        <v>2758</v>
      </c>
      <c r="W112" s="103" t="s">
        <v>2824</v>
      </c>
      <c r="X112" s="133" t="s">
        <v>2306</v>
      </c>
      <c r="Y112" s="103" t="s">
        <v>243</v>
      </c>
      <c r="Z112" s="108"/>
      <c r="AA112" s="103"/>
      <c r="AB112" s="103"/>
      <c r="AC112" s="103"/>
      <c r="AD112" s="101" t="s">
        <v>273</v>
      </c>
    </row>
    <row r="113" spans="1:30" ht="409.5" x14ac:dyDescent="0.25">
      <c r="A113" s="101" t="s">
        <v>3143</v>
      </c>
      <c r="B113" s="103" t="s">
        <v>3144</v>
      </c>
      <c r="C113" s="103" t="s">
        <v>3023</v>
      </c>
      <c r="D113" s="103" t="s">
        <v>2288</v>
      </c>
      <c r="E113" s="103" t="s">
        <v>174</v>
      </c>
      <c r="F113" s="103" t="s">
        <v>3338</v>
      </c>
      <c r="G113" s="103" t="s">
        <v>3349</v>
      </c>
      <c r="H113" s="111" t="s">
        <v>2451</v>
      </c>
      <c r="I113" s="103" t="s">
        <v>3080</v>
      </c>
      <c r="J113" s="103" t="s">
        <v>2358</v>
      </c>
      <c r="K113" s="108">
        <v>42458</v>
      </c>
      <c r="L113" s="103">
        <f ca="1">IFERROR(IF(AND(Y113&lt;&gt;"Concluído",Y113&lt;&gt;"Cancelado"),TODAY()-K113+1,Z113-K113),"")</f>
        <v>65</v>
      </c>
      <c r="M113" s="108">
        <v>42461</v>
      </c>
      <c r="N113" s="108" t="s">
        <v>273</v>
      </c>
      <c r="O113" s="108" t="s">
        <v>2306</v>
      </c>
      <c r="P113" s="108" t="s">
        <v>2306</v>
      </c>
      <c r="Q113" s="108" t="s">
        <v>2306</v>
      </c>
      <c r="R113" s="145"/>
      <c r="S113" s="109" t="s">
        <v>3681</v>
      </c>
      <c r="T113" s="109" t="str">
        <f t="shared" si="1"/>
        <v xml:space="preserve">                                      
31/ 05 - Mesmo Status
24/05 - Mesmo status
17/05 - Mesmo status
10/05 - Mesmo status.
03/05 - Mesmo status.
26/04 - Realizada reunião com o cliente. Alinhados alguns pontos e enviadas informações para início de desenvolvimento por parte da MS.
Aguardando discussão VW para alinhamento do "modus operandi" com relação ao chat. 
12/04 - VW solicita reunião para 20/04. Buscando recursos.
05/04 - Agendado kickoff para 06/04.
01/04 - A iniciar</v>
      </c>
      <c r="V113" s="109" t="s">
        <v>454</v>
      </c>
      <c r="W113" s="110" t="s">
        <v>348</v>
      </c>
      <c r="X113" s="109" t="s">
        <v>348</v>
      </c>
      <c r="Y113" s="109" t="s">
        <v>107</v>
      </c>
      <c r="AD113" s="101" t="s">
        <v>273</v>
      </c>
    </row>
    <row r="114" spans="1:30" ht="409.5" x14ac:dyDescent="0.25">
      <c r="A114" s="101" t="s">
        <v>3149</v>
      </c>
      <c r="B114" s="103" t="s">
        <v>3150</v>
      </c>
      <c r="C114" s="103" t="s">
        <v>3022</v>
      </c>
      <c r="D114" s="103" t="s">
        <v>2288</v>
      </c>
      <c r="E114" s="103" t="s">
        <v>174</v>
      </c>
      <c r="F114" s="103" t="s">
        <v>3338</v>
      </c>
      <c r="G114" s="103" t="s">
        <v>3349</v>
      </c>
      <c r="H114" s="111" t="s">
        <v>1411</v>
      </c>
      <c r="I114" s="103" t="s">
        <v>2394</v>
      </c>
      <c r="J114" s="103" t="s">
        <v>2256</v>
      </c>
      <c r="K114" s="108">
        <v>42444</v>
      </c>
      <c r="L114" s="103">
        <f ca="1">IFERROR(IF(AND(Y114&lt;&gt;"Concluído",Y114&lt;&gt;"Cancelado"),TODAY()-K114+1,Z114-K114),"")</f>
        <v>79</v>
      </c>
      <c r="M114" s="108">
        <v>42444</v>
      </c>
      <c r="N114" s="108" t="s">
        <v>273</v>
      </c>
      <c r="O114" s="108" t="s">
        <v>2306</v>
      </c>
      <c r="P114" s="108" t="s">
        <v>2306</v>
      </c>
      <c r="Q114" s="108" t="s">
        <v>2306</v>
      </c>
      <c r="R114" s="44"/>
      <c r="S114" s="109" t="s">
        <v>3661</v>
      </c>
      <c r="T114" s="109" t="str">
        <f t="shared" si="1"/>
        <v xml:space="preserve">                                      
31/05 - Novo cronograma enviada. Aguardando aceite do cliente
19/05 - Proposta enviada. Aguardando aceite do solicitante
11/05 - Mesmo status
27/04 - Mesmo status
20/04 - Mesmo status
12/04 - Mesmo status
06/04 - Mesmo status
01/04 - Proposta enviada. Aguardando aceite do solicitante</v>
      </c>
      <c r="V114" s="109" t="s">
        <v>2758</v>
      </c>
      <c r="W114" s="110" t="s">
        <v>174</v>
      </c>
      <c r="X114" s="109" t="s">
        <v>348</v>
      </c>
      <c r="Y114" s="109" t="s">
        <v>1515</v>
      </c>
      <c r="AD114" s="101" t="s">
        <v>273</v>
      </c>
    </row>
    <row r="115" spans="1:30" ht="409.5" x14ac:dyDescent="0.25">
      <c r="A115" s="101" t="s">
        <v>3173</v>
      </c>
      <c r="B115" s="103" t="s">
        <v>3174</v>
      </c>
      <c r="C115" s="103" t="s">
        <v>3022</v>
      </c>
      <c r="D115" s="103" t="s">
        <v>2288</v>
      </c>
      <c r="E115" s="103" t="s">
        <v>174</v>
      </c>
      <c r="F115" s="103" t="s">
        <v>3338</v>
      </c>
      <c r="G115" s="103" t="s">
        <v>3349</v>
      </c>
      <c r="H115" s="111" t="s">
        <v>1411</v>
      </c>
      <c r="I115" s="103" t="s">
        <v>2394</v>
      </c>
      <c r="J115" s="103" t="s">
        <v>2256</v>
      </c>
      <c r="K115" s="108">
        <v>42466</v>
      </c>
      <c r="L115" s="103">
        <f ca="1">IFERROR(IF(AND(Y115&lt;&gt;"Concluído",Y115&lt;&gt;"Cancelado"),TODAY()-K115+1,Z115-K115),"")</f>
        <v>57</v>
      </c>
      <c r="M115" s="108">
        <v>42466</v>
      </c>
      <c r="N115" s="108" t="s">
        <v>2306</v>
      </c>
      <c r="O115" s="108" t="s">
        <v>2306</v>
      </c>
      <c r="P115" s="108" t="s">
        <v>2306</v>
      </c>
      <c r="Q115" s="103" t="s">
        <v>2306</v>
      </c>
      <c r="R115" s="44"/>
      <c r="S115" s="109" t="s">
        <v>3334</v>
      </c>
      <c r="T115" s="109" t="str">
        <f t="shared" si="1"/>
        <v xml:space="preserve">                                      
29/04 - Proposta comercial enviada. Aguardando aprovação do cliente.
27/04 - Mesmo status
20/04 - Mesmo status
06/04 - Aguardando proposta comercial</v>
      </c>
      <c r="V115" s="109" t="s">
        <v>2758</v>
      </c>
      <c r="W115" s="110" t="s">
        <v>2394</v>
      </c>
      <c r="X115" s="109" t="s">
        <v>348</v>
      </c>
      <c r="Y115" s="109" t="s">
        <v>1515</v>
      </c>
      <c r="AD115" s="101" t="s">
        <v>273</v>
      </c>
    </row>
    <row r="116" spans="1:30" ht="409.5" x14ac:dyDescent="0.25">
      <c r="A116" s="101" t="s">
        <v>3180</v>
      </c>
      <c r="B116" s="7" t="s">
        <v>3183</v>
      </c>
      <c r="D116" s="103" t="s">
        <v>118</v>
      </c>
      <c r="E116" s="103" t="s">
        <v>1430</v>
      </c>
      <c r="F116" s="103" t="s">
        <v>3337</v>
      </c>
      <c r="G116" s="103" t="s">
        <v>3345</v>
      </c>
      <c r="H116" s="111" t="s">
        <v>280</v>
      </c>
      <c r="I116" s="103" t="s">
        <v>2773</v>
      </c>
      <c r="J116" s="103" t="s">
        <v>97</v>
      </c>
      <c r="K116" s="108">
        <v>42466</v>
      </c>
      <c r="L116" s="103">
        <f ca="1">IFERROR(IF(AND(Y116&lt;&gt;"Concluído",Y116&lt;&gt;"Cancelado"),TODAY()-K116+1,Z116-K116),"")</f>
        <v>57</v>
      </c>
      <c r="M116" s="108">
        <v>42468</v>
      </c>
      <c r="N116" s="108" t="s">
        <v>273</v>
      </c>
      <c r="O116" s="108" t="s">
        <v>2306</v>
      </c>
      <c r="P116" s="108" t="s">
        <v>2306</v>
      </c>
      <c r="Q116" s="108" t="s">
        <v>2306</v>
      </c>
      <c r="R116" s="44"/>
      <c r="S116" s="103" t="s">
        <v>3863</v>
      </c>
      <c r="T116" s="109" t="str">
        <f t="shared" si="1"/>
        <v xml:space="preserve">                                      
31/05: Mesmo Status
24/05: Está em andamento o levantamento de custo junto a TQS.
17/05: Aguardando aprovação da diretoria para seguir com TQS.
10/05: Está pendente o OK da Diretora Ana Coelho para seguir com a compra das licenças do TLV, além disso as súvidas geradas por aplicações foram esclarecidas hoje, 10/05. Aguarda uma definição da diretoria para seguir com o TLV ou seguir com o tGuidance.
03/05: Está pendente o OK da Diretora Ana Coelho para seguir com a compra das licenças do TLV.
26/04: Retorno da confirmação no número de PA´s recebido em 25/04. Em verificação dos próximos passos para iniciar a compra.
19/04: Para implantar o TLV nesses dois projetos, será necessário iniciar o processo de solicitação de compra junto ao fornecedor, portanto solicitado ao Rodrigo a confirmação do número de PA´s por operação.
08/04 - A iniciar</v>
      </c>
      <c r="U116" s="103"/>
      <c r="V116" s="103" t="s">
        <v>2859</v>
      </c>
      <c r="W116" s="108" t="s">
        <v>3084</v>
      </c>
      <c r="X116" s="103" t="s">
        <v>2306</v>
      </c>
      <c r="Y116" s="103" t="s">
        <v>243</v>
      </c>
      <c r="Z116" s="108"/>
      <c r="AA116" s="101">
        <v>233</v>
      </c>
      <c r="AB116" s="103"/>
      <c r="AC116" s="103"/>
      <c r="AD116" s="101" t="s">
        <v>2350</v>
      </c>
    </row>
    <row r="117" spans="1:30" ht="409.5" x14ac:dyDescent="0.25">
      <c r="A117" s="101" t="s">
        <v>3181</v>
      </c>
      <c r="B117" s="7" t="s">
        <v>3184</v>
      </c>
      <c r="D117" s="103" t="s">
        <v>118</v>
      </c>
      <c r="E117" s="103" t="s">
        <v>1430</v>
      </c>
      <c r="F117" s="103" t="s">
        <v>3337</v>
      </c>
      <c r="G117" s="103" t="s">
        <v>3345</v>
      </c>
      <c r="H117" s="111" t="s">
        <v>280</v>
      </c>
      <c r="I117" s="103" t="s">
        <v>2773</v>
      </c>
      <c r="J117" s="103" t="s">
        <v>97</v>
      </c>
      <c r="K117" s="108">
        <v>42466</v>
      </c>
      <c r="L117" s="103">
        <f ca="1">IFERROR(IF(AND(Y117&lt;&gt;"Concluído",Y117&lt;&gt;"Cancelado"),TODAY()-K117+1,Z117-K117),"")</f>
        <v>57</v>
      </c>
      <c r="M117" s="108">
        <v>42468</v>
      </c>
      <c r="N117" s="108" t="s">
        <v>273</v>
      </c>
      <c r="O117" s="108" t="s">
        <v>2306</v>
      </c>
      <c r="P117" s="108" t="s">
        <v>2306</v>
      </c>
      <c r="Q117" s="108" t="s">
        <v>2306</v>
      </c>
      <c r="R117" s="44"/>
      <c r="S117" s="103" t="s">
        <v>3863</v>
      </c>
      <c r="T117" s="109" t="str">
        <f t="shared" si="1"/>
        <v xml:space="preserve">                                      
31/05: Mesmo Status
24/05: Está em andamento o levantamento de custo junto a TQS.
17/05: Aguardando aprovação da diretoria para seguir com TQS.
10/05: Está pendente o OK da Diretora Ana Coelho para seguir com a compra das licenças do TLV, além disso as súvidas geradas por aplicações foram esclarecidas hoje, 10/05. Aguarda uma definição da diretoria para seguir com o TLV ou seguir com o tGuidance.
03/05: Está pendente o OK da Diretora Ana Coelho para seguir com a compra das licenças do TLV.
26/04: Retorno da confirmação no número de PA´s recebido em 25/04. Em verificação dos próximos passos para iniciar a compra.
19/04: Para implantar o TLV nesses dois projetos, será necessário iniciar o processo de solicitação de compra junto ao fornecedor, portanto solicitado ao Rodrigo a confirmação do número de PA´s por operação.
08/04 - A iniciar</v>
      </c>
      <c r="U117" s="103"/>
      <c r="V117" s="103" t="s">
        <v>2859</v>
      </c>
      <c r="W117" s="108" t="s">
        <v>3084</v>
      </c>
      <c r="X117" s="103" t="s">
        <v>2306</v>
      </c>
      <c r="Y117" s="103" t="s">
        <v>243</v>
      </c>
      <c r="Z117" s="108"/>
      <c r="AA117" s="101">
        <v>80</v>
      </c>
      <c r="AB117" s="103"/>
      <c r="AC117" s="103"/>
      <c r="AD117" s="101" t="s">
        <v>2350</v>
      </c>
    </row>
    <row r="118" spans="1:30" ht="409.5" x14ac:dyDescent="0.25">
      <c r="A118" s="101" t="s">
        <v>3187</v>
      </c>
      <c r="B118" s="103" t="s">
        <v>3493</v>
      </c>
      <c r="C118" s="103" t="s">
        <v>3038</v>
      </c>
      <c r="D118" s="109" t="s">
        <v>2288</v>
      </c>
      <c r="E118" s="103" t="s">
        <v>1430</v>
      </c>
      <c r="F118" s="103" t="s">
        <v>3337</v>
      </c>
      <c r="G118" s="103" t="s">
        <v>3345</v>
      </c>
      <c r="H118" s="111" t="s">
        <v>245</v>
      </c>
      <c r="I118" s="103" t="s">
        <v>3029</v>
      </c>
      <c r="J118" s="103" t="s">
        <v>97</v>
      </c>
      <c r="K118" s="108">
        <v>42466</v>
      </c>
      <c r="L118" s="103">
        <f ca="1">IFERROR(IF(AND(Y118&lt;&gt;"Concluído",Y118&lt;&gt;"Cancelado"),TODAY()-K118+1,Z118-K118),"")</f>
        <v>57</v>
      </c>
      <c r="M118" s="108">
        <v>42468</v>
      </c>
      <c r="N118" s="108" t="s">
        <v>273</v>
      </c>
      <c r="O118" s="108" t="s">
        <v>2306</v>
      </c>
      <c r="P118" s="108" t="s">
        <v>2306</v>
      </c>
      <c r="Q118" s="108" t="s">
        <v>2306</v>
      </c>
      <c r="R118" s="44"/>
      <c r="S118" s="109" t="s">
        <v>3779</v>
      </c>
      <c r="T118" s="109" t="str">
        <f t="shared" si="1"/>
        <v xml:space="preserve">                                      
31/05 - Insumos on site. Equipe de Implantações / Engenharia e CSE atuando.
24/05 - Dentre os insumos, estamos apenas dependendo do (SW).
Conforme interação com Implantações Site foi verificado que temos uma previsão de chegada de 9 SW´s no Site Niterói, que acaba atendendo. (Demanda do Leo Marques).
Chegando o SW, teremos atuações abaixo com a estimativa em horas.
CSE Redes (Config de SW) – 2 horas
CSE Telecom (Alteração de ramais para Voip)  – 1 hora
Implantações Site (Instalação das pas e config da aplicação)– 48 Horas
17/05 - Headset - on site
SW - Site Niterói está recebendo 9 sw que acabam atendendo esta demanda, aguardando retorno.
Aparelhos Voip - Sendo verificado Transporte com Controle de Ativos.
10/05 - Verificando insumos (SW , Headset, Aparelhos Voip)
03/05 - Mesmo Status
25/04 - Prazo Engenharia:
Redes ( Carlos Herdeiro)  = Início  Seg 25/04/16 /  Término Ter 03/05/16
Telecom (Antônio Júnior) =  Início  Seg 25/04/16 /  Término Ter 03/05/16
19/04 - Aguardando retorno do CSE 
12/04 - Enviado para Engenharia TI - E-mail de Inclusão de 15/04.
Verificação de licenças Nice e Aquisição de SWIT POE 48 portas
08/04 - A iniciar</v>
      </c>
      <c r="V118" s="109" t="s">
        <v>3780</v>
      </c>
      <c r="W118" s="110" t="s">
        <v>3781</v>
      </c>
      <c r="X118" s="110">
        <v>42528</v>
      </c>
      <c r="Y118" s="109" t="s">
        <v>2886</v>
      </c>
      <c r="AA118" s="109">
        <v>24</v>
      </c>
      <c r="AD118" s="101" t="s">
        <v>273</v>
      </c>
    </row>
    <row r="119" spans="1:30" ht="409.5" x14ac:dyDescent="0.25">
      <c r="A119" s="101" t="s">
        <v>3188</v>
      </c>
      <c r="B119" s="109" t="s">
        <v>3202</v>
      </c>
      <c r="C119" s="103" t="s">
        <v>3038</v>
      </c>
      <c r="D119" s="109" t="s">
        <v>2288</v>
      </c>
      <c r="E119" s="103" t="s">
        <v>1430</v>
      </c>
      <c r="F119" s="103" t="s">
        <v>3337</v>
      </c>
      <c r="G119" s="103" t="s">
        <v>3345</v>
      </c>
      <c r="H119" s="111" t="s">
        <v>245</v>
      </c>
      <c r="I119" s="103" t="s">
        <v>3029</v>
      </c>
      <c r="J119" s="103" t="s">
        <v>97</v>
      </c>
      <c r="K119" s="108">
        <v>42466</v>
      </c>
      <c r="L119" s="103">
        <f ca="1">IFERROR(IF(AND(Y119&lt;&gt;"Concluído",Y119&lt;&gt;"Cancelado"),TODAY()-K119+1,Z119-K119),"")</f>
        <v>57</v>
      </c>
      <c r="M119" s="108">
        <v>42468</v>
      </c>
      <c r="N119" s="108" t="s">
        <v>3358</v>
      </c>
      <c r="O119" s="108">
        <v>42503</v>
      </c>
      <c r="P119" s="108" t="s">
        <v>2306</v>
      </c>
      <c r="Q119" s="108" t="s">
        <v>2306</v>
      </c>
      <c r="R119" s="44"/>
      <c r="S119" s="109" t="s">
        <v>3782</v>
      </c>
      <c r="T119" s="109" t="str">
        <f t="shared" si="1"/>
        <v xml:space="preserve">                                      
31/05 - Aguardando retorno de Pre- Venda
24/05 - Engenharia enviou e-mail hoje para o Thiago Souza para acionamento ao Fornecedor Aspect e Nice. Solicitando uma proposta para fazer a integração junto ao NICE Contax 2.0 e ao Aspect 6.7
Segue a quantidade de PAs:
Aspect Ceara versão 6.7 : 150 
Nice Contax 2.0 Niterói : 612
17/05 -  Aguardando algumas informações da operação para Engenharia Telecom dar seguimento a interação com o fornecedor Nice.
Prazo de Engenharia Telecom (Antonio Junior) = 03/05 à 03/06/2016
10/05 - Aguardando algumas informações da operação para Engenharia Telecom dar seguimento a interação com o fornecedor Nice.
Prazo de Engenharia Telecom (Antonio Junior) = 03/05 à 03/06/2016
03/05 - A demanda foi analisada por CSE e Engenharia e atualmente no parque da Contax não temos licenças de gravação de tela tanto para o Aspect quanto para o Nice. Para que isto seja feito é necessário o envolvimento de Fornecedores para que eles façam uma análise de nosso ambiente e façam uma proposta de instalação.
Está sendo avaliado este escopo de acionamento.
25/04 - Demanda foi encaminhada para Engenharia Villa(Telecom/Gravadores) no dia 20/04. Retorno dos mesmos será 27/04.
19/04 - Demanda foi encaminhada a Aplicações TI, porém a Cris Sasaki  informou que não condiz com o escopo. 
Foi redirecionado a Equipe de Felipe Villa e Silvio Vial.
12/04 - Enviado para Aplicações TI  -  E-mail de Inclusão de 15/04.
Verificação de um sistema capaz de gravar chamadas de voz e telas de atendimento e se possível tenha integração com Tlv By Contax. 
-----------------------------------------------------------------
Operações: CRV 
Site: NIterói 
Rede: Contax-br 
DAC:Niterói 
08/04 - A iniciar</v>
      </c>
      <c r="V119" s="109" t="s">
        <v>3443</v>
      </c>
      <c r="W119" s="110" t="s">
        <v>3444</v>
      </c>
      <c r="X119" s="110">
        <v>42528</v>
      </c>
      <c r="Y119" s="109" t="s">
        <v>2886</v>
      </c>
      <c r="AA119" s="109">
        <v>444</v>
      </c>
      <c r="AD119" s="101" t="s">
        <v>273</v>
      </c>
    </row>
    <row r="120" spans="1:30" ht="409.5" x14ac:dyDescent="0.25">
      <c r="A120" s="101" t="s">
        <v>3190</v>
      </c>
      <c r="B120" s="7" t="s">
        <v>3189</v>
      </c>
      <c r="D120" s="103" t="s">
        <v>2288</v>
      </c>
      <c r="E120" s="103" t="s">
        <v>1430</v>
      </c>
      <c r="F120" s="103" t="s">
        <v>3337</v>
      </c>
      <c r="G120" s="103" t="s">
        <v>3345</v>
      </c>
      <c r="H120" s="111" t="s">
        <v>280</v>
      </c>
      <c r="I120" s="103" t="s">
        <v>3191</v>
      </c>
      <c r="J120" s="103" t="s">
        <v>97</v>
      </c>
      <c r="K120" s="108">
        <v>42466</v>
      </c>
      <c r="L120" s="103">
        <f ca="1">IFERROR(IF(AND(Y120&lt;&gt;"Concluído",Y120&lt;&gt;"Cancelado"),TODAY()-K120+1,Z120-K120),"")</f>
        <v>57</v>
      </c>
      <c r="M120" s="108">
        <v>42468</v>
      </c>
      <c r="N120" s="108" t="s">
        <v>273</v>
      </c>
      <c r="O120" s="108" t="s">
        <v>2306</v>
      </c>
      <c r="P120" s="108" t="s">
        <v>2306</v>
      </c>
      <c r="Q120" s="108" t="s">
        <v>2306</v>
      </c>
      <c r="R120" s="44"/>
      <c r="S120" s="103" t="s">
        <v>3866</v>
      </c>
      <c r="T120" s="109" t="str">
        <f t="shared" si="1"/>
        <v xml:space="preserve">                                      
31/05: Mesmo Status
24/05: Em levantamento qual a base de dados que a Oi poderá utilizar. 
17/05: EF está incompleta. Foi realizado um call e sugerida uma POC, portant está em análise a estratégia de atuação do projeto.
10/05: EF recebida em 06/05 e esta em análise para verificar se atende as necessidades dos executores. EF enviada para ENG em 09/05.
03/05: Após a realização da call foram levantadas algumas dúvidas e aguardamos o preenchimento da EF e os requisitos técnicos da ferramenta para seguirmos com o projeto. Solicitação enviada ontem, 02/05.
26/04: Mesmo status
19/04: O projeto não contem EF e o solicitante exigiu uma call com a área de ENG para esclarecimento de dúvidas. 
08/04 - A iniciar</v>
      </c>
      <c r="U120" s="103"/>
      <c r="V120" s="103" t="s">
        <v>2859</v>
      </c>
      <c r="W120" s="108" t="s">
        <v>3084</v>
      </c>
      <c r="X120" s="103" t="s">
        <v>2306</v>
      </c>
      <c r="Y120" s="103" t="s">
        <v>243</v>
      </c>
      <c r="Z120" s="108"/>
      <c r="AA120" s="103"/>
      <c r="AB120" s="103"/>
      <c r="AC120" s="103"/>
      <c r="AD120" s="101" t="s">
        <v>273</v>
      </c>
    </row>
    <row r="121" spans="1:30" ht="409.5" x14ac:dyDescent="0.25">
      <c r="A121" s="101" t="s">
        <v>3193</v>
      </c>
      <c r="B121" s="103" t="s">
        <v>3194</v>
      </c>
      <c r="C121" s="103" t="s">
        <v>3052</v>
      </c>
      <c r="D121" s="103" t="s">
        <v>2288</v>
      </c>
      <c r="E121" s="103" t="s">
        <v>1430</v>
      </c>
      <c r="F121" s="103" t="s">
        <v>3337</v>
      </c>
      <c r="G121" s="103" t="s">
        <v>3345</v>
      </c>
      <c r="H121" s="111" t="s">
        <v>2451</v>
      </c>
      <c r="I121" s="103" t="s">
        <v>2824</v>
      </c>
      <c r="J121" s="103" t="s">
        <v>2256</v>
      </c>
      <c r="K121" s="108">
        <v>42471</v>
      </c>
      <c r="L121" s="103">
        <f ca="1">IFERROR(IF(AND(Y121&lt;&gt;"Concluído",Y121&lt;&gt;"Cancelado"),TODAY()-K121+1,Z121-K121),"")</f>
        <v>52</v>
      </c>
      <c r="M121" s="108">
        <v>42471</v>
      </c>
      <c r="N121" s="108" t="s">
        <v>273</v>
      </c>
      <c r="O121" s="108" t="s">
        <v>2306</v>
      </c>
      <c r="P121" s="108" t="s">
        <v>2306</v>
      </c>
      <c r="Q121" s="108" t="s">
        <v>2306</v>
      </c>
      <c r="R121" s="44"/>
      <c r="S121" s="109" t="s">
        <v>3682</v>
      </c>
      <c r="T121" s="109" t="str">
        <f t="shared" si="1"/>
        <v xml:space="preserve">                                      
31/ 05 - Mesmo Status
24/05 - Pedido enviado ao fornecedor no dia 19/05. Previsão de entrega do ambiente para URAS: 16/06.
17/05 - Mesmo status.
10/05 - Mesmo status.
03/05 - Confirmada a disponibilidade de ICR. Em andamento aquisição de memória.
26/04 - Em estudo disponibilidade de ICR e Infra.
19/04 - Avaliação de ambiente ICR em andamento.
11/04 - A iniciar</v>
      </c>
      <c r="Y121" s="109" t="s">
        <v>107</v>
      </c>
      <c r="AD121" s="101" t="s">
        <v>273</v>
      </c>
    </row>
    <row r="122" spans="1:30" ht="409.5" x14ac:dyDescent="0.25">
      <c r="A122" s="101" t="s">
        <v>3195</v>
      </c>
      <c r="B122" s="103" t="s">
        <v>3196</v>
      </c>
      <c r="C122" s="103" t="s">
        <v>3022</v>
      </c>
      <c r="D122" s="103" t="s">
        <v>2288</v>
      </c>
      <c r="E122" s="103" t="s">
        <v>174</v>
      </c>
      <c r="F122" s="103" t="s">
        <v>3338</v>
      </c>
      <c r="G122" s="103" t="s">
        <v>3349</v>
      </c>
      <c r="H122" s="111" t="s">
        <v>1411</v>
      </c>
      <c r="I122" s="103" t="s">
        <v>2394</v>
      </c>
      <c r="J122" s="103" t="s">
        <v>2256</v>
      </c>
      <c r="K122" s="108">
        <v>42466</v>
      </c>
      <c r="L122" s="103">
        <f ca="1">IFERROR(IF(AND(Y122&lt;&gt;"Concluído",Y122&lt;&gt;"Cancelado"),TODAY()-K122+1,Z122-K122),"")</f>
        <v>57</v>
      </c>
      <c r="M122" s="108">
        <v>42468</v>
      </c>
      <c r="N122" s="108" t="s">
        <v>273</v>
      </c>
      <c r="O122" s="108" t="s">
        <v>2306</v>
      </c>
      <c r="P122" s="108" t="s">
        <v>2306</v>
      </c>
      <c r="Q122" s="103" t="s">
        <v>2306</v>
      </c>
      <c r="R122" s="145"/>
      <c r="S122" s="109" t="s">
        <v>3662</v>
      </c>
      <c r="T122" s="109" t="str">
        <f t="shared" si="1"/>
        <v xml:space="preserve">                                      
31/05 - Projeto será realizado após a implantação do projeto Fraseologias Autocompara
11/05 - Mesmo status
04/05 - Proposta aguardando suprimentos gerar o pedido
27/04 - Mesmo status
20/04 - Aguardando aprovação da proposta pelo solicitante
01/04 - Solicitada proposta ao fornecedor. Aguardando envio</v>
      </c>
      <c r="V122" s="109" t="s">
        <v>2758</v>
      </c>
      <c r="W122" s="110" t="s">
        <v>2394</v>
      </c>
      <c r="X122" s="131" t="s">
        <v>348</v>
      </c>
      <c r="Y122" s="109" t="s">
        <v>3157</v>
      </c>
      <c r="AD122" s="101" t="s">
        <v>273</v>
      </c>
    </row>
    <row r="123" spans="1:30" ht="409.5" x14ac:dyDescent="0.25">
      <c r="A123" s="101" t="s">
        <v>1051</v>
      </c>
      <c r="B123" s="7" t="s">
        <v>3231</v>
      </c>
      <c r="D123" s="103" t="s">
        <v>2288</v>
      </c>
      <c r="E123" s="103" t="s">
        <v>174</v>
      </c>
      <c r="F123" s="103" t="s">
        <v>3338</v>
      </c>
      <c r="G123" s="103" t="s">
        <v>3349</v>
      </c>
      <c r="H123" s="111" t="s">
        <v>280</v>
      </c>
      <c r="I123" s="103" t="s">
        <v>2872</v>
      </c>
      <c r="J123" s="103" t="s">
        <v>2256</v>
      </c>
      <c r="K123" s="108">
        <v>42226</v>
      </c>
      <c r="L123" s="103">
        <f ca="1">IFERROR(IF(AND(Y123&lt;&gt;"Concluído",Y123&lt;&gt;"Cancelado"),TODAY()-K123+1,Z123-K123),"")</f>
        <v>297</v>
      </c>
      <c r="M123" s="108">
        <v>42474</v>
      </c>
      <c r="N123" s="108" t="s">
        <v>273</v>
      </c>
      <c r="O123" s="108" t="s">
        <v>2306</v>
      </c>
      <c r="P123" s="108" t="s">
        <v>2306</v>
      </c>
      <c r="Q123" s="108" t="s">
        <v>2306</v>
      </c>
      <c r="R123" s="44"/>
      <c r="S123" s="103" t="s">
        <v>3855</v>
      </c>
      <c r="T123" s="109" t="str">
        <f t="shared" si="1"/>
        <v xml:space="preserve">                                      
31/05: A contax é responsável pelo custo. Projeto será alocada na fila de CSE na sexta-feira.
24/05: Solução paliativa R$1.400,00, está em levantamento quem é o responsável por esse custo (Contax ou CLiente).
17/05: Mesmo Status
10/05: Mesmo Status
03/05: ENG enviou desenho e o esforço para implantar o projeto. Estamos aguardando o levantamento dos custos para repassar ao cliente.
26/04: Aguarda retorno da operação quanto a dúvida sobre a quantidade de PA´s.
19/04: Alocado na fila dos executores hoje.
14/04 - A iniciar</v>
      </c>
      <c r="U123" s="103"/>
      <c r="V123" s="103" t="s">
        <v>2859</v>
      </c>
      <c r="W123" s="103" t="s">
        <v>3084</v>
      </c>
      <c r="X123" s="103" t="s">
        <v>2306</v>
      </c>
      <c r="Y123" s="103" t="s">
        <v>243</v>
      </c>
      <c r="Z123" s="108"/>
      <c r="AA123" s="103"/>
      <c r="AB123" s="103"/>
      <c r="AC123" s="103"/>
      <c r="AD123" s="101" t="s">
        <v>273</v>
      </c>
    </row>
    <row r="124" spans="1:30" ht="409.5" x14ac:dyDescent="0.25">
      <c r="A124" s="101" t="s">
        <v>3234</v>
      </c>
      <c r="B124" s="7" t="s">
        <v>3235</v>
      </c>
      <c r="C124" s="103" t="s">
        <v>3086</v>
      </c>
      <c r="D124" s="103" t="s">
        <v>118</v>
      </c>
      <c r="E124" s="103" t="s">
        <v>159</v>
      </c>
      <c r="F124" s="103" t="s">
        <v>3339</v>
      </c>
      <c r="G124" s="103" t="s">
        <v>3373</v>
      </c>
      <c r="H124" s="111" t="s">
        <v>280</v>
      </c>
      <c r="I124" s="103" t="s">
        <v>2773</v>
      </c>
      <c r="J124" s="103" t="s">
        <v>97</v>
      </c>
      <c r="K124" s="108">
        <v>42473</v>
      </c>
      <c r="L124" s="103">
        <f ca="1">IFERROR(IF(AND(Y124&lt;&gt;"Concluído",Y124&lt;&gt;"Cancelado"),TODAY()-K124+1,Z124-K124),"")</f>
        <v>50</v>
      </c>
      <c r="M124" s="108">
        <v>42474</v>
      </c>
      <c r="N124" s="108" t="s">
        <v>2350</v>
      </c>
      <c r="O124" s="108">
        <v>42501</v>
      </c>
      <c r="P124" s="108">
        <v>42535</v>
      </c>
      <c r="Q124" s="108" t="s">
        <v>273</v>
      </c>
      <c r="R124" s="113"/>
      <c r="S124" s="103" t="s">
        <v>3851</v>
      </c>
      <c r="T124" s="109" t="str">
        <f t="shared" si="1"/>
        <v xml:space="preserve">                                      
31/05: Recebido o ok para seguir com o rollout hoje 31/05 do projeto CTXPOARB-104174 que é premissa para este. Cronograma será replanejado.
24/05: Cronograma precisará ser revisto, pois o projeto anterior (CTXPOARB-104174) que é premissa para este está atrasado.
17/05: Cronograma entregue, a virada está planejada para ocorrer de 13 à 14/06 com 20 PA´s por dia.
10/05: Aguardando um alinhamento com Juliano Molina para definir o cronograma de rollout.
03/05: Alinharei as atividades de execução em relação ao G4 com Juliano para veririficar se é possível incluir esta virada em conjunto com o projeto CTXPOARB-104174.
26/04: Em estimativa de OG.
19/04: Alocado na fila dos executores hoje.
14/04 - A iniciar</v>
      </c>
      <c r="U124" s="103"/>
      <c r="V124" s="103" t="s">
        <v>2859</v>
      </c>
      <c r="W124" s="108" t="s">
        <v>3084</v>
      </c>
      <c r="X124" s="133" t="s">
        <v>2306</v>
      </c>
      <c r="Y124" s="103" t="s">
        <v>243</v>
      </c>
      <c r="Z124" s="108"/>
      <c r="AA124" s="101">
        <v>40</v>
      </c>
      <c r="AB124" s="103"/>
      <c r="AC124" s="103"/>
      <c r="AD124" s="101" t="s">
        <v>2350</v>
      </c>
    </row>
    <row r="125" spans="1:30" ht="409.5" x14ac:dyDescent="0.25">
      <c r="A125" s="101" t="s">
        <v>3232</v>
      </c>
      <c r="B125" s="103" t="s">
        <v>3233</v>
      </c>
      <c r="C125" s="103" t="s">
        <v>3085</v>
      </c>
      <c r="D125" s="103" t="s">
        <v>118</v>
      </c>
      <c r="E125" s="103" t="s">
        <v>106</v>
      </c>
      <c r="F125" s="103" t="s">
        <v>3336</v>
      </c>
      <c r="G125" s="103" t="s">
        <v>3342</v>
      </c>
      <c r="H125" s="111" t="s">
        <v>2407</v>
      </c>
      <c r="I125" s="103" t="s">
        <v>2576</v>
      </c>
      <c r="J125" s="103" t="s">
        <v>97</v>
      </c>
      <c r="K125" s="108">
        <v>42468</v>
      </c>
      <c r="L125" s="103">
        <f ca="1">IFERROR(IF(AND(Y125&lt;&gt;"Concluído",Y125&lt;&gt;"Cancelado"),TODAY()-K125+1,Z125-K125),"")</f>
        <v>55</v>
      </c>
      <c r="M125" s="108">
        <v>42474</v>
      </c>
      <c r="N125" s="108" t="s">
        <v>2350</v>
      </c>
      <c r="O125" s="108">
        <v>42513</v>
      </c>
      <c r="P125" s="108">
        <v>42513</v>
      </c>
      <c r="Q125" s="108" t="s">
        <v>2350</v>
      </c>
      <c r="R125" s="44"/>
      <c r="S125" s="109" t="s">
        <v>3647</v>
      </c>
      <c r="T125" s="109" t="str">
        <f t="shared" si="1"/>
        <v xml:space="preserve">                                      
[30/05] - Em desenvolvimento
[24/05] - Entregue cronograma para negócio
[16/05] - Documento de TI entregue. Alinhar com CSE data da entrega da Infra.
[10/05] - Negocios encaminhou documento com os prints de tela da ferramenta. Realizado reunião de kickoff com a equipe de Ti. Aguardando documento de engenharia 11/5
[03/05] - Solicitado documento com o detalhamento da solicitação. Prazo TDB
[26/4] - Aguardando envio da OG. Prazo 27/4.
[19/04] - Projeto encaminhado para a fila da equipe de aplicações. Aguardando retorno da OG. Prazo 20/4.14/04 - A iniciar</v>
      </c>
      <c r="V125" s="109" t="s">
        <v>2755</v>
      </c>
      <c r="W125" s="110" t="s">
        <v>3612</v>
      </c>
      <c r="X125" s="131">
        <v>42531</v>
      </c>
      <c r="Y125" s="109" t="s">
        <v>243</v>
      </c>
      <c r="AD125" s="101" t="s">
        <v>2350</v>
      </c>
    </row>
    <row r="126" spans="1:30" ht="409.5" x14ac:dyDescent="0.25">
      <c r="A126" s="101" t="s">
        <v>3298</v>
      </c>
      <c r="B126" s="7" t="s">
        <v>3299</v>
      </c>
      <c r="C126" s="103" t="s">
        <v>3049</v>
      </c>
      <c r="D126" s="103" t="s">
        <v>119</v>
      </c>
      <c r="E126" s="103" t="s">
        <v>159</v>
      </c>
      <c r="F126" s="103" t="s">
        <v>3339</v>
      </c>
      <c r="G126" s="103" t="s">
        <v>3373</v>
      </c>
      <c r="H126" s="111" t="s">
        <v>280</v>
      </c>
      <c r="I126" s="103" t="s">
        <v>2375</v>
      </c>
      <c r="J126" s="103" t="s">
        <v>3346</v>
      </c>
      <c r="K126" s="108">
        <v>42480</v>
      </c>
      <c r="L126" s="103">
        <f ca="1">IFERROR(IF(AND(Y126&lt;&gt;"Concluído",Y126&lt;&gt;"Cancelado"),TODAY()-K126+1,Z126-K126),"")</f>
        <v>43</v>
      </c>
      <c r="M126" s="108">
        <v>42480</v>
      </c>
      <c r="N126" s="108" t="s">
        <v>273</v>
      </c>
      <c r="O126" s="108">
        <v>42510</v>
      </c>
      <c r="P126" s="108" t="s">
        <v>2306</v>
      </c>
      <c r="Q126" s="108" t="s">
        <v>2306</v>
      </c>
      <c r="R126" s="44"/>
      <c r="S126" s="103" t="s">
        <v>3867</v>
      </c>
      <c r="T126" s="109" t="str">
        <f t="shared" si="1"/>
        <v xml:space="preserve">                                      
31/05: Mesmo Status
24/05: Em definição o layout do projeto. 
17/05: Recebemos a confirmação para utilizar os equipamentos da desmobilização Vivo a partir de 01/06. Amanhã, 18/05 esta agendada uma reunião com a equipe de TI para alinhar as atividades.
10/05: ENG informou que podemos seguir com esse projeto. Esta pendente a análise dos insumos físicos, se poderemos utilizar as máquinas da desmobilização da Vivo, decisão que depende de negócio. 
03/05: Aguardando o retorno de ENG para verificar a se a infra de Santo Amaro suporta esta migração. Área de negócio informou que tem inclusive 2 aparelhos para deficiente auditivo para serem configurados no site. 
26/04: Projeto em hold, aguardando documentação EF e layout para alocar o projeto na fila dos executores.
20/04 - A iniciar</v>
      </c>
      <c r="U126" s="103"/>
      <c r="V126" s="103" t="s">
        <v>3616</v>
      </c>
      <c r="W126" s="108" t="s">
        <v>2365</v>
      </c>
      <c r="X126" s="133">
        <v>42509</v>
      </c>
      <c r="Y126" s="103" t="s">
        <v>243</v>
      </c>
      <c r="Z126" s="108"/>
      <c r="AA126" s="101">
        <v>114</v>
      </c>
      <c r="AB126" s="103"/>
      <c r="AC126" s="103"/>
      <c r="AD126" s="101" t="s">
        <v>2350</v>
      </c>
    </row>
    <row r="127" spans="1:30" ht="409.5" x14ac:dyDescent="0.25">
      <c r="A127" s="101" t="s">
        <v>3327</v>
      </c>
      <c r="B127" s="103" t="s">
        <v>3328</v>
      </c>
      <c r="C127" s="103" t="s">
        <v>3052</v>
      </c>
      <c r="D127" s="103" t="s">
        <v>2288</v>
      </c>
      <c r="E127" s="103" t="s">
        <v>1430</v>
      </c>
      <c r="F127" s="103" t="s">
        <v>3337</v>
      </c>
      <c r="G127" s="103" t="s">
        <v>3345</v>
      </c>
      <c r="H127" s="111" t="s">
        <v>2451</v>
      </c>
      <c r="I127" s="103" t="s">
        <v>2824</v>
      </c>
      <c r="J127" s="103" t="s">
        <v>2256</v>
      </c>
      <c r="K127" s="108">
        <v>42487</v>
      </c>
      <c r="L127" s="103">
        <f ca="1">IFERROR(IF(AND(Y127&lt;&gt;"Concluído",Y127&lt;&gt;"Cancelado"),TODAY()-K127+1,Z127-K127),"")</f>
        <v>36</v>
      </c>
      <c r="M127" s="108">
        <v>42487</v>
      </c>
      <c r="N127" s="108" t="s">
        <v>273</v>
      </c>
      <c r="O127" s="108">
        <v>42503</v>
      </c>
      <c r="P127" s="108" t="s">
        <v>2306</v>
      </c>
      <c r="Q127" s="103" t="s">
        <v>2350</v>
      </c>
      <c r="R127" s="145"/>
      <c r="S127" s="109" t="s">
        <v>3683</v>
      </c>
      <c r="T127" s="109" t="str">
        <f t="shared" si="1"/>
        <v xml:space="preserve">                                      
31/ 05 - Mesmo Status
24/05 - Mesmo status.
17/05 - Mesmo status.
10/05 - Data prevista de execução: 26/05.
03/05 - Na fila de CSE para execução. Aguardando andamento do Projeto Ura OI Total.
27/04 - A iniciar</v>
      </c>
      <c r="V127" s="109" t="s">
        <v>2755</v>
      </c>
      <c r="W127" s="110" t="s">
        <v>2888</v>
      </c>
      <c r="X127" s="109" t="s">
        <v>348</v>
      </c>
      <c r="Y127" s="109" t="s">
        <v>107</v>
      </c>
      <c r="AD127" s="101" t="s">
        <v>273</v>
      </c>
    </row>
    <row r="128" spans="1:30" ht="409.5" x14ac:dyDescent="0.25">
      <c r="A128" s="101" t="s">
        <v>3329</v>
      </c>
      <c r="B128" s="103" t="s">
        <v>3330</v>
      </c>
      <c r="C128" s="103" t="s">
        <v>3038</v>
      </c>
      <c r="D128" s="109" t="s">
        <v>2288</v>
      </c>
      <c r="E128" s="103" t="s">
        <v>1430</v>
      </c>
      <c r="F128" s="103" t="s">
        <v>3337</v>
      </c>
      <c r="G128" s="103" t="s">
        <v>3345</v>
      </c>
      <c r="H128" s="111" t="s">
        <v>244</v>
      </c>
      <c r="I128" s="103" t="s">
        <v>2824</v>
      </c>
      <c r="J128" s="103" t="s">
        <v>97</v>
      </c>
      <c r="K128" s="108">
        <v>42474</v>
      </c>
      <c r="L128" s="103">
        <f ca="1">IFERROR(IF(AND(Y128&lt;&gt;"Concluído",Y128&lt;&gt;"Cancelado"),TODAY()-K128+1,Z128-K128),"")</f>
        <v>49</v>
      </c>
      <c r="M128" s="108">
        <v>42488</v>
      </c>
      <c r="N128" s="108" t="s">
        <v>3358</v>
      </c>
      <c r="O128" s="108" t="s">
        <v>2306</v>
      </c>
      <c r="P128" s="108" t="s">
        <v>2306</v>
      </c>
      <c r="Q128" s="103" t="s">
        <v>3502</v>
      </c>
      <c r="R128" s="168"/>
      <c r="S128" s="109" t="s">
        <v>3845</v>
      </c>
      <c r="T128" s="109" t="str">
        <f t="shared" si="1"/>
        <v xml:space="preserve">                                      
31/05-Proposta recebida pela TQS. Duvida sobre aquisição de licenças ou não. Aguardanndo fechamento de contrato com a TQS.
24/05 - Em orçamento pela TQS, apos tempo do tGuidence não atender. Problemas com pagamnento do fornecedor colocam em risco o andamento imediato do projeto.
17/05 - Em OG. Sendo avaliado inserir o tGuidance dentro do escopo solicitado.
10/05 - Enviado a área de Aplicações TI.
03/05 - Call com o solicitante, porém foi cancelada a pedido do mesmo. Remarcando kick off.
28/04 - A iniciar</v>
      </c>
      <c r="V128" s="109" t="s">
        <v>3445</v>
      </c>
      <c r="W128" s="110" t="s">
        <v>3446</v>
      </c>
      <c r="X128" s="110">
        <v>42514</v>
      </c>
      <c r="Y128" s="109" t="s">
        <v>2886</v>
      </c>
      <c r="AA128" s="109">
        <v>102</v>
      </c>
      <c r="AD128" s="101" t="s">
        <v>273</v>
      </c>
    </row>
    <row r="129" spans="1:30" ht="409.5" x14ac:dyDescent="0.25">
      <c r="A129" s="101" t="s">
        <v>3331</v>
      </c>
      <c r="B129" s="103" t="s">
        <v>3332</v>
      </c>
      <c r="C129" s="103" t="s">
        <v>3025</v>
      </c>
      <c r="D129" s="103" t="s">
        <v>2288</v>
      </c>
      <c r="E129" s="103" t="s">
        <v>1430</v>
      </c>
      <c r="F129" s="103" t="s">
        <v>3337</v>
      </c>
      <c r="G129" s="103" t="s">
        <v>3345</v>
      </c>
      <c r="H129" s="111" t="s">
        <v>2407</v>
      </c>
      <c r="I129" s="103" t="s">
        <v>684</v>
      </c>
      <c r="J129" s="103" t="s">
        <v>97</v>
      </c>
      <c r="K129" s="108">
        <v>42473</v>
      </c>
      <c r="L129" s="103">
        <f ca="1">IFERROR(IF(AND(Y129&lt;&gt;"Concluído",Y129&lt;&gt;"Cancelado"),TODAY()-K129+1,Z129-K129),"")</f>
        <v>50</v>
      </c>
      <c r="M129" s="108">
        <v>42488</v>
      </c>
      <c r="N129" s="108" t="s">
        <v>2350</v>
      </c>
      <c r="O129" s="108">
        <v>42506</v>
      </c>
      <c r="P129" s="129">
        <v>42494</v>
      </c>
      <c r="Q129" s="103" t="s">
        <v>2350</v>
      </c>
      <c r="R129" s="50"/>
      <c r="S129" s="109" t="s">
        <v>3648</v>
      </c>
      <c r="T129" s="109" t="str">
        <f t="shared" si="1"/>
        <v xml:space="preserve">                                      
[30/05] - Realizado questionamento sobre o campo Plano para operação no dia 24/05 e até o momento não tivemos retorno.
[24/05] - Em desenvolvimento
[16/05] - Entregue cronograma dia 16/5
[10/05] Pendente envio da OG. Prazo Após alinhamento de priorização.
28/04 - A iniciar</v>
      </c>
      <c r="V129" s="109" t="s">
        <v>3649</v>
      </c>
      <c r="W129" s="110" t="s">
        <v>3650</v>
      </c>
      <c r="X129" s="131" t="s">
        <v>2306</v>
      </c>
      <c r="Y129" s="109" t="s">
        <v>243</v>
      </c>
      <c r="Z129" s="110">
        <v>42622</v>
      </c>
      <c r="AD129" s="101" t="s">
        <v>273</v>
      </c>
    </row>
    <row r="130" spans="1:30" ht="409.5" x14ac:dyDescent="0.25">
      <c r="A130" s="101" t="s">
        <v>3343</v>
      </c>
      <c r="B130" s="103" t="s">
        <v>3344</v>
      </c>
      <c r="C130" s="103" t="s">
        <v>3038</v>
      </c>
      <c r="D130" s="109" t="s">
        <v>2288</v>
      </c>
      <c r="E130" s="103" t="s">
        <v>1430</v>
      </c>
      <c r="F130" s="103" t="s">
        <v>3337</v>
      </c>
      <c r="G130" s="103" t="s">
        <v>3345</v>
      </c>
      <c r="H130" s="111" t="s">
        <v>245</v>
      </c>
      <c r="I130" s="103" t="s">
        <v>3131</v>
      </c>
      <c r="J130" s="103" t="s">
        <v>97</v>
      </c>
      <c r="K130" s="108">
        <v>42425</v>
      </c>
      <c r="L130" s="103">
        <f ca="1">IFERROR(IF(AND(Y130&lt;&gt;"Concluído",Y130&lt;&gt;"Cancelado"),TODAY()-K130+1,Z130-K130),"")</f>
        <v>98</v>
      </c>
      <c r="M130" s="108">
        <v>42489</v>
      </c>
      <c r="N130" s="108" t="s">
        <v>3358</v>
      </c>
      <c r="O130" s="108" t="s">
        <v>2306</v>
      </c>
      <c r="P130" s="108" t="s">
        <v>2306</v>
      </c>
      <c r="Q130" s="108" t="s">
        <v>2306</v>
      </c>
      <c r="R130" s="145"/>
      <c r="S130" s="109" t="s">
        <v>3783</v>
      </c>
      <c r="T130" s="109" t="str">
        <f t="shared" si="1"/>
        <v xml:space="preserve">                                      
31/05 - Mesmo Status
24/05 - Mesmo status, aguardando retorno de Pre- Venda
17/05 - Reenviado ao Thiago Souza a análise de Engenharia para acionamento ao Fornecedor ITIN.
10/05 - A ferramenta chama-se plataforma de voz ITIN, do fornecedor ITIN.  Hoje a Contax não paga mais a manutenção desse fornecedor, por isso fica inviável a utilização dela no projeto. 
Prazo Engenharia Telecom  (Antonio Junior) = 10/05 à 27/05/2016
03/05 - A iniciar
29/04 - A iniciar</v>
      </c>
      <c r="V130" s="109" t="s">
        <v>3603</v>
      </c>
      <c r="W130" s="110" t="s">
        <v>3494</v>
      </c>
      <c r="X130" s="110">
        <v>42528</v>
      </c>
      <c r="Y130" s="109" t="s">
        <v>2886</v>
      </c>
      <c r="AA130" s="109">
        <v>82</v>
      </c>
      <c r="AD130" s="101" t="s">
        <v>273</v>
      </c>
    </row>
    <row r="131" spans="1:30" ht="409.5" x14ac:dyDescent="0.25">
      <c r="A131" s="101" t="s">
        <v>3870</v>
      </c>
      <c r="B131" s="103" t="s">
        <v>3447</v>
      </c>
      <c r="C131" s="109" t="s">
        <v>3046</v>
      </c>
      <c r="D131" s="109" t="s">
        <v>2288</v>
      </c>
      <c r="E131" s="103" t="s">
        <v>1430</v>
      </c>
      <c r="F131" s="103" t="s">
        <v>3337</v>
      </c>
      <c r="G131" s="103" t="s">
        <v>3345</v>
      </c>
      <c r="H131" s="111" t="s">
        <v>245</v>
      </c>
      <c r="I131" s="103" t="s">
        <v>3360</v>
      </c>
      <c r="J131" s="103" t="s">
        <v>97</v>
      </c>
      <c r="K131" s="108">
        <v>42411</v>
      </c>
      <c r="L131" s="103">
        <f ca="1">IFERROR(IF(AND(Y131&lt;&gt;"Concluído",Y131&lt;&gt;"Cancelado"),TODAY()-K131+1,Z131-K131),"")</f>
        <v>112</v>
      </c>
      <c r="M131" s="108">
        <v>42499</v>
      </c>
      <c r="N131" s="108" t="s">
        <v>3358</v>
      </c>
      <c r="O131" s="108" t="s">
        <v>2306</v>
      </c>
      <c r="P131" s="108" t="s">
        <v>2306</v>
      </c>
      <c r="Q131" s="108" t="s">
        <v>2306</v>
      </c>
      <c r="R131" s="145"/>
      <c r="S131" s="109" t="s">
        <v>3784</v>
      </c>
      <c r="T131" s="109" t="str">
        <f t="shared" si="1"/>
        <v xml:space="preserve">                                      
31/05 - Conforme retorno de Aplicações TI , a Demanda ainda está em levantamento de requisitos e não temos prazos.
24/05 - Retorno de EF validada pelo cliente OI hoje. Sendo analisado por Aplicações TI.
17/05 - Conforme conferência nesta Quinta 12/05, fizemos o entendimento da EF e aguardamos o retorno da operação/cliente atualizando a mesma e anexando ao chamado,  para darmos seguimento com a Estimativa de Desenvolvimento de Aplicações TI / TCollect.
10/05 - Em OG
03/05 - A iniciar
29/04 - A iniciar</v>
      </c>
      <c r="V131" s="109" t="s">
        <v>3433</v>
      </c>
      <c r="W131" s="110" t="s">
        <v>2763</v>
      </c>
      <c r="X131" s="110">
        <v>42528</v>
      </c>
      <c r="Y131" s="109" t="s">
        <v>1515</v>
      </c>
      <c r="AA131" s="109">
        <v>104</v>
      </c>
    </row>
    <row r="132" spans="1:30" ht="409.5" x14ac:dyDescent="0.25">
      <c r="A132" s="101" t="s">
        <v>3383</v>
      </c>
      <c r="B132" s="103" t="s">
        <v>3384</v>
      </c>
      <c r="C132" s="103" t="s">
        <v>3022</v>
      </c>
      <c r="D132" s="103" t="s">
        <v>119</v>
      </c>
      <c r="E132" s="103" t="s">
        <v>161</v>
      </c>
      <c r="F132" s="103" t="s">
        <v>3385</v>
      </c>
      <c r="G132" s="103" t="s">
        <v>3351</v>
      </c>
      <c r="H132" s="111" t="s">
        <v>2248</v>
      </c>
      <c r="I132" s="103" t="s">
        <v>2365</v>
      </c>
      <c r="J132" s="103" t="s">
        <v>3346</v>
      </c>
      <c r="K132" s="108">
        <v>42494</v>
      </c>
      <c r="L132" s="103">
        <f ca="1">IFERROR(IF(AND(Y132&lt;&gt;"Concluído",Y132&lt;&gt;"Cancelado"),TODAY()-K132+1,Z132-K132),"")</f>
        <v>29</v>
      </c>
      <c r="M132" s="108">
        <v>42494</v>
      </c>
      <c r="N132" s="108" t="s">
        <v>2350</v>
      </c>
      <c r="O132" s="108">
        <v>42494</v>
      </c>
      <c r="P132" s="108">
        <v>42537</v>
      </c>
      <c r="Q132" s="108" t="s">
        <v>2389</v>
      </c>
      <c r="R132" s="149"/>
      <c r="S132" s="136" t="s">
        <v>3593</v>
      </c>
      <c r="T132" s="109" t="str">
        <f t="shared" ref="T132:T195" si="2">CONCATENATE(U132,"                                      
",S132)</f>
        <v xml:space="preserve">                                      
23/5 - Implantação postergada para 16/6. Cliente e Contax ainda não celebraram contrato.
Instalador "VCC" pendente envio pela MAPIDEA.
Skype pendente equipe Negócios / Seg. Informação.
EF tGuidance! ainda não enviada, por enquanto, fora do escopo e não é premissa para implantação.
12/5 - Pendente EF tGuidance!
10/5 - Questões sobre conectividade e outras enviadas para área de Negócios. Aguardando retorno para fechar cenário com Engenharia TI
05/05 - A iniciar</v>
      </c>
      <c r="U132" s="136"/>
      <c r="V132" s="109" t="s">
        <v>2851</v>
      </c>
      <c r="W132" s="110" t="s">
        <v>2315</v>
      </c>
      <c r="X132" s="131">
        <v>42521</v>
      </c>
      <c r="Y132" s="109" t="s">
        <v>2848</v>
      </c>
      <c r="Z132" s="110">
        <v>42521</v>
      </c>
      <c r="AA132" s="109">
        <v>26</v>
      </c>
    </row>
    <row r="133" spans="1:30" ht="409.5" x14ac:dyDescent="0.25">
      <c r="A133" s="101" t="s">
        <v>3386</v>
      </c>
      <c r="B133" s="103" t="s">
        <v>3398</v>
      </c>
      <c r="C133" s="109" t="s">
        <v>3409</v>
      </c>
      <c r="D133" s="103" t="s">
        <v>2288</v>
      </c>
      <c r="E133" s="103" t="s">
        <v>159</v>
      </c>
      <c r="F133" s="103" t="s">
        <v>3339</v>
      </c>
      <c r="G133" s="103" t="s">
        <v>3373</v>
      </c>
      <c r="H133" s="111" t="s">
        <v>2407</v>
      </c>
      <c r="I133" s="103" t="s">
        <v>2606</v>
      </c>
      <c r="J133" s="103" t="s">
        <v>2358</v>
      </c>
      <c r="K133" s="108">
        <v>42494</v>
      </c>
      <c r="L133" s="103">
        <f ca="1">IFERROR(IF(AND(Y133&lt;&gt;"Concluído",Y133&lt;&gt;"Cancelado"),TODAY()-K133+1,Z133-K133),"")</f>
        <v>29</v>
      </c>
      <c r="M133" s="108">
        <v>42496</v>
      </c>
      <c r="N133" s="108" t="s">
        <v>273</v>
      </c>
      <c r="O133" s="108" t="s">
        <v>2282</v>
      </c>
      <c r="P133" s="108">
        <v>42507</v>
      </c>
      <c r="Q133" s="108" t="s">
        <v>2389</v>
      </c>
      <c r="R133" s="149"/>
      <c r="S133" s="151" t="s">
        <v>3651</v>
      </c>
      <c r="T133" s="109" t="str">
        <f t="shared" si="2"/>
        <v xml:space="preserve">                                      
[30/05] - Equipe de engenharia concluiu o desnho da solução e estamos aguardando as datas da equipe de CSE para criarmos o cronograma.
[24/05] - Realizado kickoff com as áreas de TI. Aguardando priorização da equipe de engenharia
[16/05] - Agendado kickoff com as áreas de TI
[10/05] - Encaminhado projeto para a equipe de CSE
06/05 - A iniciar</v>
      </c>
      <c r="U133" s="151"/>
      <c r="V133" s="109" t="s">
        <v>2826</v>
      </c>
      <c r="W133" s="110" t="s">
        <v>2784</v>
      </c>
      <c r="X133" s="110">
        <v>42520</v>
      </c>
      <c r="Y133" s="109" t="s">
        <v>1515</v>
      </c>
    </row>
    <row r="134" spans="1:30" ht="409.5" x14ac:dyDescent="0.25">
      <c r="A134" s="101" t="s">
        <v>3387</v>
      </c>
      <c r="B134" s="103" t="s">
        <v>3399</v>
      </c>
      <c r="C134" s="103" t="s">
        <v>3410</v>
      </c>
      <c r="D134" s="103" t="s">
        <v>2288</v>
      </c>
      <c r="E134" s="103" t="s">
        <v>159</v>
      </c>
      <c r="F134" s="103" t="s">
        <v>3339</v>
      </c>
      <c r="G134" s="103" t="s">
        <v>3373</v>
      </c>
      <c r="H134" s="111" t="s">
        <v>2130</v>
      </c>
      <c r="I134" s="103" t="s">
        <v>2606</v>
      </c>
      <c r="J134" s="103" t="s">
        <v>2358</v>
      </c>
      <c r="K134" s="108">
        <v>42494</v>
      </c>
      <c r="L134" s="103">
        <f ca="1">IFERROR(IF(AND(Y134&lt;&gt;"Concluído",Y134&lt;&gt;"Cancelado"),TODAY()-K134+1,Z134-K134),"")</f>
        <v>29</v>
      </c>
      <c r="M134" s="108">
        <v>42496</v>
      </c>
      <c r="N134" s="108" t="s">
        <v>2306</v>
      </c>
      <c r="O134" s="108" t="s">
        <v>2306</v>
      </c>
      <c r="P134" s="108" t="s">
        <v>2306</v>
      </c>
      <c r="Q134" s="108" t="s">
        <v>2306</v>
      </c>
      <c r="R134" s="44"/>
      <c r="S134" s="136" t="s">
        <v>3833</v>
      </c>
      <c r="T134" s="109" t="str">
        <f t="shared" si="2"/>
        <v xml:space="preserve">                                      
[31/05] -  Fase de avaliação topologia apresentada pela LATAM. Avaliando prazo estimado de retorno, com equipe  Engenharia TI.
Não esquece de atualizar a sua versão, para proxima semana. Colocar esse no meu nome. 
[24/05] - Fase de Analise da proposta de Arquitetura apresentada pelo Cliente TAM.
Equipe de Engenharia avaliando viabilidade Tecnica de implantar Infra no site Augusta. . Previsão retorno:  xxxxxx
[10/05]: Alinhamento do projeto realizado hoje com a Cleonice. Próximos passos, aguardar retorno dos executores quanto a esse projeto.</v>
      </c>
      <c r="U134" s="136"/>
      <c r="V134" s="103" t="s">
        <v>2859</v>
      </c>
      <c r="W134" s="108" t="s">
        <v>2306</v>
      </c>
      <c r="X134" s="133" t="s">
        <v>2306</v>
      </c>
      <c r="Y134" s="109" t="s">
        <v>243</v>
      </c>
      <c r="Z134" s="108"/>
      <c r="AA134" s="101" t="s">
        <v>3464</v>
      </c>
    </row>
    <row r="135" spans="1:30" ht="409.5" x14ac:dyDescent="0.25">
      <c r="A135" s="101" t="s">
        <v>3388</v>
      </c>
      <c r="B135" s="103" t="s">
        <v>3400</v>
      </c>
      <c r="C135" s="103" t="s">
        <v>3411</v>
      </c>
      <c r="D135" s="103" t="s">
        <v>2288</v>
      </c>
      <c r="E135" s="103" t="s">
        <v>159</v>
      </c>
      <c r="F135" s="103" t="s">
        <v>3339</v>
      </c>
      <c r="G135" s="103" t="s">
        <v>3373</v>
      </c>
      <c r="H135" s="111" t="s">
        <v>3418</v>
      </c>
      <c r="I135" s="103" t="s">
        <v>2606</v>
      </c>
      <c r="J135" s="103" t="s">
        <v>2358</v>
      </c>
      <c r="K135" s="108">
        <v>42494</v>
      </c>
      <c r="L135" s="103">
        <f ca="1">IFERROR(IF(AND(Y135&lt;&gt;"Concluído",Y135&lt;&gt;"Cancelado"),TODAY()-K135+1,Z135-K135),"")</f>
        <v>29</v>
      </c>
      <c r="M135" s="108">
        <v>42496</v>
      </c>
      <c r="N135" s="108" t="s">
        <v>2306</v>
      </c>
      <c r="O135" s="108" t="s">
        <v>2306</v>
      </c>
      <c r="P135" s="108" t="s">
        <v>2306</v>
      </c>
      <c r="Q135" s="108" t="s">
        <v>2306</v>
      </c>
      <c r="R135" s="149"/>
      <c r="S135" s="151" t="s">
        <v>3477</v>
      </c>
      <c r="T135" s="109" t="str">
        <f t="shared" si="2"/>
        <v xml:space="preserve">                                      
11/05 - Aguardando o DA do contrato de comodato pelo jurídico
06/05 - A iniciar</v>
      </c>
      <c r="U135" s="151"/>
      <c r="V135" s="109" t="s">
        <v>2758</v>
      </c>
      <c r="W135" s="110" t="s">
        <v>2606</v>
      </c>
      <c r="X135" s="109" t="s">
        <v>2306</v>
      </c>
      <c r="Y135" s="109" t="s">
        <v>1515</v>
      </c>
    </row>
    <row r="136" spans="1:30" ht="409.5" x14ac:dyDescent="0.25">
      <c r="A136" s="101" t="s">
        <v>3390</v>
      </c>
      <c r="B136" s="103" t="s">
        <v>3402</v>
      </c>
      <c r="C136" s="103" t="s">
        <v>3413</v>
      </c>
      <c r="D136" s="103" t="s">
        <v>2288</v>
      </c>
      <c r="E136" s="103" t="s">
        <v>1430</v>
      </c>
      <c r="F136" s="103" t="s">
        <v>3337</v>
      </c>
      <c r="G136" s="103" t="s">
        <v>3345</v>
      </c>
      <c r="H136" s="111" t="s">
        <v>246</v>
      </c>
      <c r="I136" s="103" t="s">
        <v>3345</v>
      </c>
      <c r="J136" s="103" t="s">
        <v>3346</v>
      </c>
      <c r="K136" s="108">
        <v>42480</v>
      </c>
      <c r="L136" s="103">
        <f ca="1">IFERROR(IF(AND(Y136&lt;&gt;"Concluído",Y136&lt;&gt;"Cancelado"),TODAY()-K136+1,Z136-K136),"")</f>
        <v>43</v>
      </c>
      <c r="M136" s="108">
        <v>42496</v>
      </c>
      <c r="N136" s="108" t="s">
        <v>2306</v>
      </c>
      <c r="O136" s="108" t="s">
        <v>2306</v>
      </c>
      <c r="P136" s="108" t="s">
        <v>2306</v>
      </c>
      <c r="Q136" s="108" t="s">
        <v>2306</v>
      </c>
      <c r="R136" s="145"/>
      <c r="S136" s="136" t="s">
        <v>3841</v>
      </c>
      <c r="T136" s="109" t="str">
        <f t="shared" si="2"/>
        <v xml:space="preserve">                                      
Edison Nei Siqueira added a comment - 31/Mai/16 17:59
Agendada a reunião de trabalho junto ao cliente Oi, fornecedor Condera e equipe de aplicações Contax para analise detalhamento de ET. 
Data 01/06 - 10:30 as 11:30
Edison Nei Siqueira added a comment - 18/Mai/16 11:52
Realizada reunião junto ao fornecedor, estamos aguardando retorno das informações solicitadas por engenharia para que seja concluído o levantamento de requisitos internos, precisamos também que a EF seja revisada e adequada ao escopo do projeto, pois a mesma encontra-se com um nível de detalhe superficial levando em consideração as colocações feitas na reunião de kick off. 
Ficam pendentes algumas informações para iniciarmos a análise por parte de plataforma. 
Webserver 
 - Memória, Processadores, Disco 
Escalabilidade/HA 
 - Possibilidade de utilizar Docker 
 - Possibilidade de utilizar balanceamento de carga 
 - Possibilidade de utilizar Cache 
Banco 
 - Memória, Processadores, Disco, IOPS 
 - Estimativa de crescimento06/05 - A iniciar</v>
      </c>
      <c r="U136" s="136"/>
      <c r="Y136" s="109" t="s">
        <v>107</v>
      </c>
    </row>
    <row r="137" spans="1:30" ht="409.5" x14ac:dyDescent="0.25">
      <c r="A137" s="101" t="s">
        <v>3391</v>
      </c>
      <c r="B137" s="103" t="s">
        <v>3403</v>
      </c>
      <c r="D137" s="103" t="s">
        <v>2288</v>
      </c>
      <c r="E137" s="103" t="s">
        <v>1430</v>
      </c>
      <c r="F137" s="103" t="s">
        <v>3337</v>
      </c>
      <c r="G137" s="103" t="s">
        <v>3345</v>
      </c>
      <c r="H137" s="111" t="s">
        <v>280</v>
      </c>
      <c r="I137" s="103" t="s">
        <v>3345</v>
      </c>
      <c r="J137" s="103" t="s">
        <v>97</v>
      </c>
      <c r="K137" s="108">
        <v>42418</v>
      </c>
      <c r="L137" s="103">
        <f ca="1">IFERROR(IF(AND(Y137&lt;&gt;"Concluído",Y137&lt;&gt;"Cancelado"),TODAY()-K137+1,Z137-K137),"")</f>
        <v>105</v>
      </c>
      <c r="M137" s="108">
        <v>42496</v>
      </c>
      <c r="N137" s="108" t="s">
        <v>2306</v>
      </c>
      <c r="O137" s="108" t="s">
        <v>2306</v>
      </c>
      <c r="P137" s="108" t="s">
        <v>2306</v>
      </c>
      <c r="Q137" s="108" t="s">
        <v>2306</v>
      </c>
      <c r="R137" s="44"/>
      <c r="S137" s="43" t="s">
        <v>3864</v>
      </c>
      <c r="T137" s="109" t="str">
        <f t="shared" si="2"/>
        <v xml:space="preserve">                                      
31/05: Mesmo Status
24/05: Está em andamento o levantamento de custo junto a TQS.
17/05: kick-off agendado para amanhã, 18/05. 
05 - A iniciar</v>
      </c>
      <c r="U137" s="43"/>
      <c r="V137" s="103" t="s">
        <v>2859</v>
      </c>
      <c r="W137" s="108" t="s">
        <v>3084</v>
      </c>
      <c r="X137" s="103" t="s">
        <v>2306</v>
      </c>
      <c r="Y137" s="103" t="s">
        <v>243</v>
      </c>
      <c r="Z137" s="108"/>
      <c r="AA137" s="101">
        <v>17</v>
      </c>
      <c r="AB137" s="103"/>
      <c r="AC137" s="103"/>
    </row>
    <row r="138" spans="1:30" ht="409.5" x14ac:dyDescent="0.25">
      <c r="A138" s="101" t="s">
        <v>3392</v>
      </c>
      <c r="B138" s="103" t="s">
        <v>3404</v>
      </c>
      <c r="C138" s="103" t="s">
        <v>3414</v>
      </c>
      <c r="D138" s="103" t="s">
        <v>119</v>
      </c>
      <c r="E138" s="103" t="s">
        <v>1430</v>
      </c>
      <c r="F138" s="103" t="s">
        <v>3337</v>
      </c>
      <c r="G138" s="103" t="s">
        <v>3345</v>
      </c>
      <c r="H138" s="111" t="s">
        <v>2248</v>
      </c>
      <c r="I138" s="103" t="s">
        <v>3345</v>
      </c>
      <c r="J138" s="103" t="s">
        <v>3346</v>
      </c>
      <c r="K138" s="108">
        <v>42474</v>
      </c>
      <c r="L138" s="103">
        <f ca="1">IFERROR(IF(AND(Y138&lt;&gt;"Concluído",Y138&lt;&gt;"Cancelado"),TODAY()-K138+1,Z138-K138),"")</f>
        <v>49</v>
      </c>
      <c r="M138" s="108">
        <v>42496</v>
      </c>
      <c r="N138" s="108" t="s">
        <v>2306</v>
      </c>
      <c r="O138" s="108" t="s">
        <v>2306</v>
      </c>
      <c r="P138" s="108" t="s">
        <v>2306</v>
      </c>
      <c r="Q138" s="108" t="s">
        <v>2306</v>
      </c>
      <c r="R138" s="50"/>
      <c r="S138" s="151" t="s">
        <v>3594</v>
      </c>
      <c r="T138" s="109" t="str">
        <f t="shared" si="2"/>
        <v xml:space="preserve">                                      
23/5 - Escopo direcionado para análise Engenharia e Efs para aplicação
12/5 - EFs em confecção.
Direcionar escopo para filas das áreas TI para análise
Pendente definição Site Destino
10/5 - Início entendimento escopo com Operações
06/05 - A iniciar</v>
      </c>
      <c r="U138" s="151"/>
      <c r="V138" s="109" t="s">
        <v>3595</v>
      </c>
      <c r="W138" s="110" t="s">
        <v>3596</v>
      </c>
      <c r="X138" s="131">
        <v>42515</v>
      </c>
      <c r="Y138" s="109" t="s">
        <v>1515</v>
      </c>
      <c r="Z138" s="110">
        <v>42515</v>
      </c>
      <c r="AA138" s="109">
        <v>254</v>
      </c>
    </row>
    <row r="139" spans="1:30" ht="409.5" x14ac:dyDescent="0.25">
      <c r="A139" s="101" t="s">
        <v>3393</v>
      </c>
      <c r="B139" s="103" t="s">
        <v>3405</v>
      </c>
      <c r="C139" s="103" t="s">
        <v>3412</v>
      </c>
      <c r="D139" s="103" t="s">
        <v>2288</v>
      </c>
      <c r="E139" s="103" t="s">
        <v>1430</v>
      </c>
      <c r="F139" s="103" t="s">
        <v>3337</v>
      </c>
      <c r="G139" s="103" t="s">
        <v>3345</v>
      </c>
      <c r="H139" s="111" t="s">
        <v>246</v>
      </c>
      <c r="I139" s="103" t="s">
        <v>3345</v>
      </c>
      <c r="J139" s="103" t="s">
        <v>97</v>
      </c>
      <c r="K139" s="108">
        <v>42478</v>
      </c>
      <c r="L139" s="103">
        <f ca="1">IFERROR(IF(AND(Y139&lt;&gt;"Concluído",Y139&lt;&gt;"Cancelado"),TODAY()-K139+1,Z139-K139),"")</f>
        <v>45</v>
      </c>
      <c r="M139" s="108">
        <v>42496</v>
      </c>
      <c r="N139" s="108" t="s">
        <v>2306</v>
      </c>
      <c r="O139" s="108" t="s">
        <v>2306</v>
      </c>
      <c r="P139" s="108" t="s">
        <v>2306</v>
      </c>
      <c r="Q139" s="108" t="s">
        <v>2306</v>
      </c>
      <c r="R139" s="145"/>
      <c r="S139" s="136" t="s">
        <v>3513</v>
      </c>
      <c r="T139" s="109" t="str">
        <f t="shared" si="2"/>
        <v xml:space="preserve">                                      
Edison Nei Siqueira added a comment - 18/Mai/16 12:21
Demanda inserida na fila da equipe de aplicações para estimativa de OG.</v>
      </c>
      <c r="U139" s="136"/>
      <c r="Y139" s="109" t="s">
        <v>107</v>
      </c>
    </row>
    <row r="140" spans="1:30" ht="409.5" x14ac:dyDescent="0.25">
      <c r="A140" s="101" t="s">
        <v>3394</v>
      </c>
      <c r="B140" s="109" t="s">
        <v>3498</v>
      </c>
      <c r="C140" s="103" t="s">
        <v>3499</v>
      </c>
      <c r="D140" s="109" t="s">
        <v>2288</v>
      </c>
      <c r="E140" s="103" t="s">
        <v>1430</v>
      </c>
      <c r="F140" s="103" t="s">
        <v>3337</v>
      </c>
      <c r="G140" s="103" t="s">
        <v>3345</v>
      </c>
      <c r="H140" s="111" t="s">
        <v>245</v>
      </c>
      <c r="I140" s="103" t="s">
        <v>3785</v>
      </c>
      <c r="J140" s="103" t="s">
        <v>97</v>
      </c>
      <c r="K140" s="108">
        <v>42478</v>
      </c>
      <c r="L140" s="103">
        <f ca="1">IFERROR(IF(AND(Y140&lt;&gt;"Concluído",Y140&lt;&gt;"Cancelado"),TODAY()-K140+1,Z140-K140),"")</f>
        <v>45</v>
      </c>
      <c r="M140" s="108">
        <v>42496</v>
      </c>
      <c r="N140" s="108" t="s">
        <v>2306</v>
      </c>
      <c r="O140" s="108" t="s">
        <v>2306</v>
      </c>
      <c r="P140" s="108" t="s">
        <v>2306</v>
      </c>
      <c r="Q140" s="108" t="s">
        <v>2306</v>
      </c>
      <c r="R140" s="145"/>
      <c r="S140" s="151" t="s">
        <v>3786</v>
      </c>
      <c r="T140" s="109" t="str">
        <f t="shared" si="2"/>
        <v xml:space="preserve">                                      
31/05 - Mesmo status.
24/05 - Desenvolvimento são 15 dias úteis e uma semana para homologação. Para informar o planejamento de datas precisamos que a consolidação do cronograma e entrega da demanda 5245 = CTXFORBM-356388 pois essa demanda é precedente. 
17/05 - Em OG
13/05 - Demanda foi designada ao analista de Controle de Demandas TI.
06/05 - A iniciar</v>
      </c>
      <c r="U140" s="151"/>
      <c r="V140" s="109" t="s">
        <v>3500</v>
      </c>
      <c r="W140" s="110" t="s">
        <v>3501</v>
      </c>
      <c r="X140" s="110">
        <v>42528</v>
      </c>
      <c r="Y140" s="109" t="s">
        <v>1515</v>
      </c>
      <c r="AA140" s="109">
        <v>50</v>
      </c>
    </row>
    <row r="141" spans="1:30" ht="409.5" x14ac:dyDescent="0.25">
      <c r="A141" s="101" t="s">
        <v>3395</v>
      </c>
      <c r="B141" s="103" t="s">
        <v>3406</v>
      </c>
      <c r="C141" s="103" t="s">
        <v>3412</v>
      </c>
      <c r="D141" s="103" t="s">
        <v>2288</v>
      </c>
      <c r="E141" s="103" t="s">
        <v>1430</v>
      </c>
      <c r="F141" s="103" t="s">
        <v>3337</v>
      </c>
      <c r="G141" s="103" t="s">
        <v>3345</v>
      </c>
      <c r="H141" s="111" t="s">
        <v>2451</v>
      </c>
      <c r="I141" s="103" t="s">
        <v>3345</v>
      </c>
      <c r="J141" s="103" t="s">
        <v>97</v>
      </c>
      <c r="K141" s="108">
        <v>42412</v>
      </c>
      <c r="L141" s="103">
        <f ca="1">IFERROR(IF(AND(Y141&lt;&gt;"Concluído",Y141&lt;&gt;"Cancelado"),TODAY()-K141+1,Z141-K141),"")</f>
        <v>111</v>
      </c>
      <c r="M141" s="108">
        <v>42496</v>
      </c>
      <c r="N141" s="108" t="s">
        <v>2306</v>
      </c>
      <c r="O141" s="108" t="s">
        <v>2306</v>
      </c>
      <c r="P141" s="108" t="s">
        <v>2306</v>
      </c>
      <c r="Q141" s="108" t="s">
        <v>2306</v>
      </c>
      <c r="R141" s="145"/>
      <c r="S141" s="151" t="s">
        <v>3684</v>
      </c>
      <c r="T141" s="109" t="str">
        <f t="shared" si="2"/>
        <v xml:space="preserve">                                      
31/ 05 - Em fase de levantamento das informações para a criação da operação no tGuidance. Previsão 03/06. 
24/05 - Mesmo status.
17/05 - Em avaliação áreas técnicas.
06/05 - A iniciar</v>
      </c>
      <c r="U141" s="151"/>
      <c r="Y141" s="109" t="s">
        <v>107</v>
      </c>
    </row>
    <row r="142" spans="1:30" ht="409.5" x14ac:dyDescent="0.25">
      <c r="A142" s="101" t="s">
        <v>3396</v>
      </c>
      <c r="B142" s="103" t="s">
        <v>3407</v>
      </c>
      <c r="C142" s="103" t="s">
        <v>3415</v>
      </c>
      <c r="D142" s="103" t="s">
        <v>2288</v>
      </c>
      <c r="E142" s="103" t="s">
        <v>1430</v>
      </c>
      <c r="F142" s="103" t="s">
        <v>3337</v>
      </c>
      <c r="G142" s="103" t="s">
        <v>3345</v>
      </c>
      <c r="H142" s="111" t="s">
        <v>2451</v>
      </c>
      <c r="I142" s="103" t="s">
        <v>3345</v>
      </c>
      <c r="J142" s="103" t="s">
        <v>97</v>
      </c>
      <c r="K142" s="108">
        <v>42479</v>
      </c>
      <c r="L142" s="103">
        <f ca="1">IFERROR(IF(AND(Y142&lt;&gt;"Concluído",Y142&lt;&gt;"Cancelado"),TODAY()-K142+1,Z142-K142),"")</f>
        <v>44</v>
      </c>
      <c r="M142" s="108">
        <v>42496</v>
      </c>
      <c r="N142" s="108" t="s">
        <v>2306</v>
      </c>
      <c r="O142" s="108" t="s">
        <v>2306</v>
      </c>
      <c r="P142" s="108" t="s">
        <v>2306</v>
      </c>
      <c r="Q142" s="108" t="s">
        <v>2306</v>
      </c>
      <c r="R142" s="145"/>
      <c r="S142" s="151" t="s">
        <v>3685</v>
      </c>
      <c r="T142" s="109" t="str">
        <f t="shared" si="2"/>
        <v xml:space="preserve">                                      
31/ 05 - Aguradando aprovação da Diretoria para abertura de demanda na controladoria para a aquisição de licenças do Evalyze.
24/05 - Mesmo status.
17/05 - Em avaliação áreas técnicas.
06/05 - A iniciar</v>
      </c>
      <c r="U142" s="151"/>
      <c r="Y142" s="109" t="s">
        <v>107</v>
      </c>
    </row>
    <row r="143" spans="1:30" ht="409.5" x14ac:dyDescent="0.25">
      <c r="A143" s="101" t="s">
        <v>3397</v>
      </c>
      <c r="B143" s="103" t="s">
        <v>3408</v>
      </c>
      <c r="D143" s="103" t="s">
        <v>2288</v>
      </c>
      <c r="E143" s="103" t="s">
        <v>174</v>
      </c>
      <c r="F143" s="103" t="s">
        <v>3338</v>
      </c>
      <c r="G143" s="103" t="s">
        <v>3349</v>
      </c>
      <c r="H143" s="111" t="s">
        <v>2451</v>
      </c>
      <c r="I143" s="103" t="s">
        <v>2872</v>
      </c>
      <c r="J143" s="103" t="s">
        <v>97</v>
      </c>
      <c r="K143" s="108">
        <v>42492</v>
      </c>
      <c r="L143" s="103">
        <f ca="1">IFERROR(IF(AND(Y143&lt;&gt;"Concluído",Y143&lt;&gt;"Cancelado"),TODAY()-K143+1,Z143-K143),"")</f>
        <v>31</v>
      </c>
      <c r="M143" s="108">
        <v>42496</v>
      </c>
      <c r="N143" s="108" t="s">
        <v>2306</v>
      </c>
      <c r="O143" s="108" t="s">
        <v>2306</v>
      </c>
      <c r="P143" s="108" t="s">
        <v>2306</v>
      </c>
      <c r="Q143" s="108" t="s">
        <v>2306</v>
      </c>
      <c r="R143" s="145"/>
      <c r="S143" s="151" t="s">
        <v>3686</v>
      </c>
      <c r="T143" s="109" t="str">
        <f t="shared" si="2"/>
        <v xml:space="preserve">                                      
31/ 05 - Solução criada. Aguardando informações aplicações para agendar testes. Previsão da chegada das informações 01/06.
24/05 - Em avaliação áreas técnicas.
17/05 - Em avaliação áreas técnicas.
06/05 - A iniciar</v>
      </c>
      <c r="U143" s="151"/>
      <c r="Y143" s="109" t="s">
        <v>107</v>
      </c>
    </row>
    <row r="144" spans="1:30" ht="409.5" x14ac:dyDescent="0.25">
      <c r="A144" s="101" t="s">
        <v>3416</v>
      </c>
      <c r="B144" s="103" t="s">
        <v>3417</v>
      </c>
      <c r="D144" s="103" t="s">
        <v>2288</v>
      </c>
      <c r="E144" s="103" t="s">
        <v>1430</v>
      </c>
      <c r="F144" s="103" t="s">
        <v>3337</v>
      </c>
      <c r="G144" s="103" t="s">
        <v>3345</v>
      </c>
      <c r="H144" s="111" t="s">
        <v>280</v>
      </c>
      <c r="I144" s="103" t="s">
        <v>3345</v>
      </c>
      <c r="J144" s="103" t="s">
        <v>97</v>
      </c>
      <c r="K144" s="108">
        <v>42418</v>
      </c>
      <c r="L144" s="103">
        <f ca="1">IFERROR(IF(AND(Y144&lt;&gt;"Concluído",Y144&lt;&gt;"Cancelado"),TODAY()-K144+1,Z144-K144),"")</f>
        <v>105</v>
      </c>
      <c r="M144" s="108">
        <v>42496</v>
      </c>
      <c r="N144" s="108" t="s">
        <v>2306</v>
      </c>
      <c r="O144" s="108" t="s">
        <v>2306</v>
      </c>
      <c r="P144" s="108" t="s">
        <v>2306</v>
      </c>
      <c r="Q144" s="108" t="s">
        <v>2306</v>
      </c>
      <c r="R144" s="44"/>
      <c r="S144" s="43" t="s">
        <v>3865</v>
      </c>
      <c r="T144" s="109" t="str">
        <f t="shared" si="2"/>
        <v xml:space="preserve">                                      
31/05: Mesmo Status
24/05: Está em andamento o levantamento de custo junto a TQS.
17/05: kick-off agendado para amanhã, 18/05. 
06/05 - A iniciar</v>
      </c>
      <c r="U144" s="43"/>
      <c r="V144" s="103" t="s">
        <v>2859</v>
      </c>
      <c r="W144" s="108" t="s">
        <v>3084</v>
      </c>
      <c r="X144" s="103" t="s">
        <v>2306</v>
      </c>
      <c r="Y144" s="103" t="s">
        <v>243</v>
      </c>
      <c r="Z144" s="108"/>
      <c r="AA144" s="101">
        <v>7</v>
      </c>
    </row>
    <row r="145" spans="1:30" ht="409.5" x14ac:dyDescent="0.25">
      <c r="A145" s="101" t="s">
        <v>3422</v>
      </c>
      <c r="B145" s="103" t="s">
        <v>3423</v>
      </c>
      <c r="C145" s="103" t="s">
        <v>3022</v>
      </c>
      <c r="D145" s="103" t="s">
        <v>2288</v>
      </c>
      <c r="E145" s="103" t="s">
        <v>174</v>
      </c>
      <c r="F145" s="103" t="s">
        <v>3338</v>
      </c>
      <c r="G145" s="103" t="s">
        <v>3349</v>
      </c>
      <c r="H145" s="111" t="s">
        <v>2451</v>
      </c>
      <c r="I145" s="103" t="s">
        <v>2872</v>
      </c>
      <c r="J145" s="103" t="s">
        <v>97</v>
      </c>
      <c r="K145" s="108">
        <v>42478</v>
      </c>
      <c r="L145" s="103">
        <f ca="1">IFERROR(IF(AND(Y145&lt;&gt;"Concluído",Y145&lt;&gt;"Cancelado"),TODAY()-K145+1,Z145-K145),"")</f>
        <v>45</v>
      </c>
      <c r="M145" s="108">
        <v>42500</v>
      </c>
      <c r="N145" s="108" t="s">
        <v>2306</v>
      </c>
      <c r="O145" s="108" t="s">
        <v>2306</v>
      </c>
      <c r="P145" s="108" t="s">
        <v>2306</v>
      </c>
      <c r="Q145" s="108" t="s">
        <v>2306</v>
      </c>
      <c r="R145" s="145"/>
      <c r="S145" s="151" t="s">
        <v>3687</v>
      </c>
      <c r="T145" s="109" t="str">
        <f t="shared" si="2"/>
        <v xml:space="preserve">                                      
31/ 05 - Mesmo Status
24/05 - Mesmo status.
17/05 - EF em confeccção.
06/05 - A iniciar</v>
      </c>
      <c r="U145" s="151"/>
      <c r="Y145" s="109" t="s">
        <v>107</v>
      </c>
    </row>
    <row r="146" spans="1:30" ht="409.5" x14ac:dyDescent="0.25">
      <c r="A146" s="101" t="s">
        <v>2581</v>
      </c>
      <c r="B146" s="99" t="s">
        <v>3470</v>
      </c>
      <c r="C146" s="103" t="s">
        <v>3469</v>
      </c>
      <c r="D146" s="103" t="s">
        <v>119</v>
      </c>
      <c r="E146" s="103" t="s">
        <v>161</v>
      </c>
      <c r="F146" s="103" t="s">
        <v>3336</v>
      </c>
      <c r="G146" s="103" t="s">
        <v>3468</v>
      </c>
      <c r="H146" s="111" t="s">
        <v>280</v>
      </c>
      <c r="I146" s="103" t="s">
        <v>2375</v>
      </c>
      <c r="J146" s="103" t="s">
        <v>3346</v>
      </c>
      <c r="K146" s="108">
        <v>42473</v>
      </c>
      <c r="L146" s="103">
        <f ca="1">IFERROR(IF(AND(Y146&lt;&gt;"Concluído",Y146&lt;&gt;"Cancelado"),TODAY()-K146+1,Z146-K146),"")</f>
        <v>50</v>
      </c>
      <c r="M146" s="108">
        <v>42487</v>
      </c>
      <c r="N146" s="108" t="s">
        <v>273</v>
      </c>
      <c r="O146" s="108" t="s">
        <v>2306</v>
      </c>
      <c r="P146" s="108" t="s">
        <v>2306</v>
      </c>
      <c r="Q146" s="108" t="s">
        <v>2306</v>
      </c>
      <c r="R146" s="44"/>
      <c r="S146" s="103" t="s">
        <v>3868</v>
      </c>
      <c r="T146" s="109" t="str">
        <f t="shared" si="2"/>
        <v xml:space="preserve">                                      
31/05: Não temos as 5 máquinas que foram solictadas. Aguardando cliente transportar as 10 máquinas do escopo inicial.
24/05: Em avaliação a solicitação de ampliação de mais 5 PA´s, total 15.
17/05: Mesmo Status.
10/05: Aguarda uma solução para o transporte dos equipamentos. </v>
      </c>
      <c r="U146" s="103"/>
      <c r="V146" s="103" t="s">
        <v>2859</v>
      </c>
      <c r="W146" s="108" t="s">
        <v>3084</v>
      </c>
      <c r="X146" s="103" t="s">
        <v>2306</v>
      </c>
      <c r="Y146" s="103" t="s">
        <v>243</v>
      </c>
      <c r="Z146" s="108"/>
      <c r="AA146" s="101">
        <v>15</v>
      </c>
      <c r="AB146" s="103"/>
      <c r="AC146" s="103"/>
    </row>
    <row r="147" spans="1:30" ht="409.5" x14ac:dyDescent="0.25">
      <c r="A147" s="101" t="s">
        <v>3467</v>
      </c>
      <c r="B147" s="99" t="s">
        <v>3466</v>
      </c>
      <c r="C147" s="103" t="s">
        <v>3465</v>
      </c>
      <c r="D147" s="103" t="s">
        <v>119</v>
      </c>
      <c r="E147" s="103" t="s">
        <v>1430</v>
      </c>
      <c r="F147" s="103" t="s">
        <v>3337</v>
      </c>
      <c r="G147" s="103" t="s">
        <v>3345</v>
      </c>
      <c r="H147" s="111" t="s">
        <v>280</v>
      </c>
      <c r="I147" s="103" t="s">
        <v>2375</v>
      </c>
      <c r="J147" s="103" t="s">
        <v>3346</v>
      </c>
      <c r="K147" s="108">
        <v>42487</v>
      </c>
      <c r="L147" s="103">
        <f ca="1">IFERROR(IF(AND(Y147&lt;&gt;"Concluído",Y147&lt;&gt;"Cancelado"),TODAY()-K147+1,Z147-K147),"")</f>
        <v>36</v>
      </c>
      <c r="M147" s="108">
        <v>42488</v>
      </c>
      <c r="N147" s="108" t="s">
        <v>273</v>
      </c>
      <c r="O147" s="108" t="s">
        <v>2306</v>
      </c>
      <c r="P147" s="108" t="s">
        <v>2306</v>
      </c>
      <c r="Q147" s="103" t="s">
        <v>2306</v>
      </c>
      <c r="R147" s="44"/>
      <c r="S147" s="103" t="s">
        <v>3869</v>
      </c>
      <c r="T147" s="109" t="str">
        <f t="shared" si="2"/>
        <v xml:space="preserve">                                      
31/05: Aguardando a lista de ramais até 03/06 para configurar a senha de telecom em 06/06. 
24/05: Em avaliação a antecipação de entrega do projeto.
17/05: Recebemos a confirmação para utilizar os equipamentos da desmobilização Vivo a partir de 01/06. Amanhã, 18/05 esta agendada uma reunião com a equipe de TI para alinhar as atividades.
10/05: Aguarda confirmação de insumos físicos</v>
      </c>
      <c r="U147" s="103"/>
      <c r="V147" s="103" t="s">
        <v>3616</v>
      </c>
      <c r="W147" s="108" t="s">
        <v>2315</v>
      </c>
      <c r="X147" s="133">
        <v>42524</v>
      </c>
      <c r="Y147" s="103" t="s">
        <v>243</v>
      </c>
      <c r="Z147" s="108"/>
      <c r="AA147" s="101">
        <v>75</v>
      </c>
      <c r="AB147" s="103"/>
      <c r="AC147" s="103"/>
    </row>
    <row r="148" spans="1:30" ht="409.5" x14ac:dyDescent="0.25">
      <c r="A148" s="101" t="s">
        <v>1882</v>
      </c>
      <c r="B148" s="103" t="s">
        <v>2484</v>
      </c>
      <c r="C148" s="103" t="s">
        <v>3054</v>
      </c>
      <c r="D148" s="103" t="s">
        <v>2288</v>
      </c>
      <c r="E148" s="103" t="s">
        <v>1430</v>
      </c>
      <c r="F148" s="103" t="s">
        <v>3337</v>
      </c>
      <c r="G148" s="103" t="s">
        <v>3345</v>
      </c>
      <c r="H148" s="111" t="s">
        <v>2451</v>
      </c>
      <c r="I148" s="103" t="s">
        <v>2949</v>
      </c>
      <c r="J148" s="103" t="s">
        <v>97</v>
      </c>
      <c r="K148" s="108">
        <v>42320</v>
      </c>
      <c r="L148" s="11">
        <f ca="1">IFERROR(IF(AND(Y148&lt;&gt;"Concluído",Y148&lt;&gt;"Cancelado"),TODAY()-K148+1,Z148-K148),"")</f>
        <v>203</v>
      </c>
      <c r="M148" s="108">
        <v>42383</v>
      </c>
      <c r="N148" s="108" t="s">
        <v>273</v>
      </c>
      <c r="O148" s="108" t="s">
        <v>2306</v>
      </c>
      <c r="P148" s="108" t="s">
        <v>2306</v>
      </c>
      <c r="Q148" s="103" t="s">
        <v>2306</v>
      </c>
      <c r="R148" s="44"/>
      <c r="S148" s="109" t="s">
        <v>3688</v>
      </c>
      <c r="T148" s="109" t="str">
        <f t="shared" si="2"/>
        <v xml:space="preserve">                                      
31/ 05 - Mesmo Status
24/05 - Mesmo Status.
17/05 - Mesmo Status.
10/05 - Reaberto. Aguardando accenture.
03/05 - Concluído.
19/04 - Mesmo status.
08/03 - Mesmo status
01/02 - Piloto em andamento com atuação da accenture para resolver problemas de integração. 
22/02 - Operação tem espectativa de fechar Piloto até 26/02
11/02 - Piloto em andamento.
01/02/2016 - Houve problemas em formatos de campos esperados na integração. Testes a serem realizados hoje e início do Piloto agendado para amanhã, 02/03/2016.
26/01/2016 - Realizando configurações para realização do Piloto.</v>
      </c>
      <c r="V148" s="109" t="s">
        <v>2781</v>
      </c>
      <c r="W148" s="110" t="s">
        <v>2821</v>
      </c>
      <c r="X148" s="109" t="s">
        <v>2819</v>
      </c>
      <c r="Y148" s="109" t="s">
        <v>243</v>
      </c>
      <c r="AA148" s="109">
        <v>100</v>
      </c>
      <c r="AB148" s="108" t="s">
        <v>273</v>
      </c>
      <c r="AC148" s="108" t="s">
        <v>2282</v>
      </c>
      <c r="AD148" s="101" t="s">
        <v>273</v>
      </c>
    </row>
    <row r="149" spans="1:30" ht="409.5" x14ac:dyDescent="0.25">
      <c r="A149" s="101" t="s">
        <v>3484</v>
      </c>
      <c r="B149" s="103" t="s">
        <v>3485</v>
      </c>
      <c r="D149" s="103" t="s">
        <v>2288</v>
      </c>
      <c r="E149" s="103" t="s">
        <v>161</v>
      </c>
      <c r="F149" s="103" t="s">
        <v>3385</v>
      </c>
      <c r="G149" s="103" t="s">
        <v>3351</v>
      </c>
      <c r="H149" s="111" t="s">
        <v>177</v>
      </c>
      <c r="I149" s="103" t="s">
        <v>3351</v>
      </c>
      <c r="J149" s="103" t="s">
        <v>2358</v>
      </c>
      <c r="K149" s="108">
        <v>42501</v>
      </c>
      <c r="L149" s="11">
        <f ca="1">IFERROR(IF(AND(Y149&lt;&gt;"Concluído",Y149&lt;&gt;"Cancelado"),TODAY()-K149+1,Z149-K149),"")</f>
        <v>22</v>
      </c>
      <c r="M149" s="108">
        <v>42502</v>
      </c>
      <c r="N149" s="108" t="s">
        <v>273</v>
      </c>
      <c r="O149" s="108" t="s">
        <v>2306</v>
      </c>
      <c r="P149" s="108" t="s">
        <v>2306</v>
      </c>
      <c r="Q149" s="103" t="s">
        <v>2306</v>
      </c>
      <c r="R149" s="145"/>
      <c r="S149" s="151" t="s">
        <v>3508</v>
      </c>
      <c r="T149" s="109" t="str">
        <f t="shared" si="2"/>
        <v xml:space="preserve">                                      
17/05 - Aguardando retorno da Engenharia
10/05 - A iniciar</v>
      </c>
      <c r="U149" s="151"/>
      <c r="Y149" s="109" t="s">
        <v>107</v>
      </c>
    </row>
    <row r="150" spans="1:30" ht="409.5" x14ac:dyDescent="0.25">
      <c r="A150" s="101" t="s">
        <v>3487</v>
      </c>
      <c r="B150" s="103" t="s">
        <v>3488</v>
      </c>
      <c r="C150" s="103" t="s">
        <v>3489</v>
      </c>
      <c r="D150" s="103" t="s">
        <v>119</v>
      </c>
      <c r="E150" s="103" t="s">
        <v>106</v>
      </c>
      <c r="F150" s="103" t="s">
        <v>3336</v>
      </c>
      <c r="G150" s="103" t="s">
        <v>3342</v>
      </c>
      <c r="H150" s="111" t="s">
        <v>3418</v>
      </c>
      <c r="I150" s="103" t="s">
        <v>2365</v>
      </c>
      <c r="J150" s="103" t="s">
        <v>3346</v>
      </c>
      <c r="K150" s="108">
        <v>42501</v>
      </c>
      <c r="L150" s="11">
        <f ca="1">IFERROR(IF(AND(Y150&lt;&gt;"Concluído",Y150&lt;&gt;"Cancelado"),TODAY()-K150+1,Z150-K150),"")</f>
        <v>22</v>
      </c>
      <c r="M150" s="108">
        <v>42506</v>
      </c>
      <c r="N150" s="108" t="s">
        <v>2306</v>
      </c>
      <c r="O150" s="108" t="s">
        <v>2306</v>
      </c>
      <c r="P150" s="108" t="s">
        <v>2306</v>
      </c>
      <c r="Q150" s="103" t="s">
        <v>2306</v>
      </c>
      <c r="R150" s="145"/>
      <c r="S150" s="151" t="s">
        <v>3829</v>
      </c>
      <c r="T150" s="109" t="str">
        <f t="shared" si="2"/>
        <v xml:space="preserve">                                      
31/05 - Escopo alterado - Cenário proposto 08 PA´s "mais do mesmo" para entrega em 16/06                                                        16/05 - A iniciar</v>
      </c>
      <c r="U150" s="151"/>
      <c r="Y150" s="109" t="s">
        <v>107</v>
      </c>
      <c r="AA150" s="109">
        <v>7</v>
      </c>
    </row>
    <row r="151" spans="1:30" ht="409.5" x14ac:dyDescent="0.25">
      <c r="A151" s="101" t="s">
        <v>3540</v>
      </c>
      <c r="B151" s="103" t="s">
        <v>3541</v>
      </c>
      <c r="D151" s="103" t="s">
        <v>119</v>
      </c>
      <c r="H151" s="111" t="s">
        <v>3418</v>
      </c>
      <c r="J151" s="103" t="s">
        <v>3346</v>
      </c>
      <c r="K151" s="108">
        <v>42510</v>
      </c>
      <c r="L151" s="11">
        <f ca="1">IFERROR(IF(AND(Y151&lt;&gt;"Concluído",Y151&lt;&gt;"Cancelado"),TODAY()-K151+1,Z151-K151),"")</f>
        <v>13</v>
      </c>
      <c r="M151" s="108">
        <v>42510</v>
      </c>
      <c r="N151" s="108" t="s">
        <v>2306</v>
      </c>
      <c r="O151" s="108" t="s">
        <v>2306</v>
      </c>
      <c r="P151" s="108" t="s">
        <v>2306</v>
      </c>
      <c r="Q151" s="108" t="s">
        <v>2306</v>
      </c>
      <c r="R151" s="145"/>
      <c r="S151" s="109" t="s">
        <v>3830</v>
      </c>
      <c r="T151" s="109" t="str">
        <f t="shared" si="2"/>
        <v xml:space="preserve">                                      
31/05 - Em Homologação pela Operação</v>
      </c>
      <c r="Y151" s="109" t="s">
        <v>107</v>
      </c>
    </row>
    <row r="152" spans="1:30" ht="409.5" x14ac:dyDescent="0.25">
      <c r="A152" s="101" t="s">
        <v>3544</v>
      </c>
      <c r="B152" s="103" t="s">
        <v>3545</v>
      </c>
      <c r="D152" s="103" t="s">
        <v>2288</v>
      </c>
      <c r="E152" s="103" t="s">
        <v>159</v>
      </c>
      <c r="H152" s="111" t="s">
        <v>1411</v>
      </c>
      <c r="K152" s="108">
        <v>42510</v>
      </c>
      <c r="L152" s="11">
        <f ca="1">IFERROR(IF(AND(Y152&lt;&gt;"Concluído",Y152&lt;&gt;"Cancelado"),TODAY()-K152+1,Z152-K152),"")</f>
        <v>13</v>
      </c>
      <c r="M152" s="108">
        <v>42510</v>
      </c>
      <c r="N152" s="108" t="s">
        <v>2306</v>
      </c>
      <c r="O152" s="108" t="s">
        <v>2306</v>
      </c>
      <c r="P152" s="108" t="s">
        <v>2306</v>
      </c>
      <c r="Q152" s="108" t="s">
        <v>2306</v>
      </c>
      <c r="R152" s="145"/>
      <c r="S152" s="109" t="s">
        <v>3664</v>
      </c>
      <c r="T152" s="109" t="str">
        <f t="shared" si="2"/>
        <v xml:space="preserve">                                      
31/05 - Aguardando análise técnica
20/05 - A iniciar</v>
      </c>
      <c r="V152" s="109" t="s">
        <v>2758</v>
      </c>
      <c r="W152" s="110" t="s">
        <v>562</v>
      </c>
      <c r="X152" s="131">
        <v>42524</v>
      </c>
      <c r="Y152" s="109" t="s">
        <v>3157</v>
      </c>
    </row>
    <row r="153" spans="1:30" ht="409.5" x14ac:dyDescent="0.25">
      <c r="A153" s="101" t="s">
        <v>3547</v>
      </c>
      <c r="B153" s="103" t="s">
        <v>3553</v>
      </c>
      <c r="C153" s="103" t="s">
        <v>3558</v>
      </c>
      <c r="D153" s="103" t="s">
        <v>119</v>
      </c>
      <c r="E153" s="103" t="s">
        <v>1430</v>
      </c>
      <c r="H153" s="111" t="s">
        <v>3418</v>
      </c>
      <c r="I153" s="103" t="s">
        <v>2388</v>
      </c>
      <c r="J153" s="103" t="s">
        <v>3346</v>
      </c>
      <c r="K153" s="108">
        <v>42509</v>
      </c>
      <c r="L153" s="11">
        <f ca="1">IFERROR(IF(AND(Y153&lt;&gt;"Concluído",Y153&lt;&gt;"Cancelado"),TODAY()-K153+1,Z153-K153),"")</f>
        <v>14</v>
      </c>
      <c r="M153" s="108">
        <v>42510</v>
      </c>
      <c r="N153" s="108" t="s">
        <v>2306</v>
      </c>
      <c r="O153" s="108" t="s">
        <v>2306</v>
      </c>
      <c r="P153" s="108">
        <v>42522</v>
      </c>
      <c r="Q153" s="103" t="s">
        <v>2389</v>
      </c>
      <c r="R153" s="145"/>
      <c r="S153" s="109" t="s">
        <v>3831</v>
      </c>
      <c r="T153" s="109" t="str">
        <f t="shared" si="2"/>
        <v xml:space="preserve">                                      
22/05 - Em andamento                                                                                                                    20/05 - A iniciar</v>
      </c>
      <c r="Y153" s="109" t="s">
        <v>107</v>
      </c>
      <c r="AA153" s="109">
        <v>3</v>
      </c>
    </row>
    <row r="154" spans="1:30" ht="409.5" x14ac:dyDescent="0.25">
      <c r="A154" s="101" t="s">
        <v>3549</v>
      </c>
      <c r="B154" s="103" t="s">
        <v>3555</v>
      </c>
      <c r="C154" s="103" t="s">
        <v>3559</v>
      </c>
      <c r="D154" s="103" t="s">
        <v>119</v>
      </c>
      <c r="E154" s="103" t="s">
        <v>1430</v>
      </c>
      <c r="H154" s="111" t="s">
        <v>3418</v>
      </c>
      <c r="I154" s="103" t="s">
        <v>2388</v>
      </c>
      <c r="J154" s="103" t="s">
        <v>3346</v>
      </c>
      <c r="K154" s="108">
        <v>42509</v>
      </c>
      <c r="L154" s="11">
        <f ca="1">IFERROR(IF(AND(Y154&lt;&gt;"Concluído",Y154&lt;&gt;"Cancelado"),TODAY()-K154+1,Z154-K154),"")</f>
        <v>14</v>
      </c>
      <c r="M154" s="108">
        <v>42510</v>
      </c>
      <c r="N154" s="108" t="s">
        <v>2306</v>
      </c>
      <c r="O154" s="108" t="s">
        <v>2306</v>
      </c>
      <c r="P154" s="108">
        <v>42522</v>
      </c>
      <c r="Q154" s="103" t="s">
        <v>2389</v>
      </c>
      <c r="R154" s="145"/>
      <c r="S154" s="109" t="s">
        <v>3832</v>
      </c>
      <c r="T154" s="109" t="str">
        <f t="shared" si="2"/>
        <v xml:space="preserve">                                      
22/05 - Faltou LayOut - Demanda possívelmente será Cancelada pelo solicitante                                                                                                                                                  20/05 - A iniciar</v>
      </c>
      <c r="Y154" s="109" t="s">
        <v>107</v>
      </c>
      <c r="AA154" s="109">
        <v>4</v>
      </c>
    </row>
    <row r="155" spans="1:30" ht="409.5" x14ac:dyDescent="0.25">
      <c r="A155" s="101" t="s">
        <v>3551</v>
      </c>
      <c r="B155" s="103" t="s">
        <v>3557</v>
      </c>
      <c r="C155" s="103" t="s">
        <v>3561</v>
      </c>
      <c r="D155" s="103" t="s">
        <v>119</v>
      </c>
      <c r="E155" s="103" t="s">
        <v>1430</v>
      </c>
      <c r="H155" s="111" t="s">
        <v>3418</v>
      </c>
      <c r="I155" s="103" t="s">
        <v>2388</v>
      </c>
      <c r="J155" s="103" t="s">
        <v>3346</v>
      </c>
      <c r="K155" s="108">
        <v>42509</v>
      </c>
      <c r="L155" s="11">
        <f ca="1">IFERROR(IF(AND(Y155&lt;&gt;"Concluído",Y155&lt;&gt;"Cancelado"),TODAY()-K155+1,Z155-K155),"")</f>
        <v>14</v>
      </c>
      <c r="M155" s="108">
        <v>42510</v>
      </c>
      <c r="N155" s="108" t="s">
        <v>2306</v>
      </c>
      <c r="O155" s="108" t="s">
        <v>2306</v>
      </c>
      <c r="P155" s="108">
        <v>42522</v>
      </c>
      <c r="Q155" s="103" t="s">
        <v>2389</v>
      </c>
      <c r="R155" s="145"/>
      <c r="S155" s="109" t="s">
        <v>3831</v>
      </c>
      <c r="T155" s="109" t="str">
        <f t="shared" si="2"/>
        <v xml:space="preserve">                                      
22/05 - Em andamento                                                                                                                    20/05 - A iniciar</v>
      </c>
      <c r="Y155" s="109" t="s">
        <v>107</v>
      </c>
      <c r="AA155" s="109">
        <v>8</v>
      </c>
    </row>
    <row r="156" spans="1:30" ht="409.5" x14ac:dyDescent="0.25">
      <c r="A156" s="101" t="s">
        <v>3564</v>
      </c>
      <c r="B156" s="103" t="s">
        <v>3565</v>
      </c>
      <c r="C156" s="103" t="s">
        <v>3022</v>
      </c>
      <c r="D156" s="103" t="s">
        <v>2288</v>
      </c>
      <c r="E156" s="103" t="s">
        <v>174</v>
      </c>
      <c r="F156" s="103" t="s">
        <v>3338</v>
      </c>
      <c r="G156" s="103" t="s">
        <v>3566</v>
      </c>
      <c r="H156" s="111" t="s">
        <v>1411</v>
      </c>
      <c r="I156" s="103" t="s">
        <v>2394</v>
      </c>
      <c r="J156" s="103" t="s">
        <v>2256</v>
      </c>
      <c r="K156" s="108">
        <v>42509</v>
      </c>
      <c r="L156" s="11">
        <f ca="1">IFERROR(IF(AND(Y156&lt;&gt;"Concluído",Y156&lt;&gt;"Cancelado"),TODAY()-K156+1,Z156-K156),"")</f>
        <v>14</v>
      </c>
      <c r="M156" s="108">
        <v>42510</v>
      </c>
      <c r="N156" s="108" t="s">
        <v>2306</v>
      </c>
      <c r="O156" s="108" t="s">
        <v>2306</v>
      </c>
      <c r="P156" s="108" t="s">
        <v>2306</v>
      </c>
      <c r="Q156" s="103" t="s">
        <v>2306</v>
      </c>
      <c r="R156" s="145"/>
      <c r="S156" s="109" t="s">
        <v>3567</v>
      </c>
      <c r="T156" s="109" t="str">
        <f t="shared" si="2"/>
        <v xml:space="preserve">                                      
20/05 - Aguardando aprovação de proposta pelo solicitante</v>
      </c>
      <c r="V156" s="109" t="s">
        <v>2758</v>
      </c>
      <c r="W156" s="110" t="s">
        <v>2394</v>
      </c>
      <c r="X156" s="109" t="s">
        <v>2306</v>
      </c>
      <c r="Y156" s="109" t="s">
        <v>1515</v>
      </c>
    </row>
    <row r="157" spans="1:30" ht="409.5" x14ac:dyDescent="0.25">
      <c r="A157" s="101" t="s">
        <v>3570</v>
      </c>
      <c r="B157" s="103" t="s">
        <v>3571</v>
      </c>
      <c r="C157" s="103" t="s">
        <v>3049</v>
      </c>
      <c r="D157" s="103" t="s">
        <v>2288</v>
      </c>
      <c r="E157" s="103" t="s">
        <v>1430</v>
      </c>
      <c r="F157" s="103" t="s">
        <v>3337</v>
      </c>
      <c r="G157" s="103" t="s">
        <v>3345</v>
      </c>
      <c r="H157" s="111" t="s">
        <v>246</v>
      </c>
      <c r="I157" s="103" t="s">
        <v>3353</v>
      </c>
      <c r="J157" s="103" t="s">
        <v>97</v>
      </c>
      <c r="K157" s="108">
        <v>42493</v>
      </c>
      <c r="L157" s="11">
        <f ca="1">IFERROR(IF(AND(Y157&lt;&gt;"Concluído",Y157&lt;&gt;"Cancelado"),TODAY()-K157+1,Z157-K157),"")</f>
        <v>30</v>
      </c>
      <c r="M157" s="108">
        <v>42510</v>
      </c>
      <c r="N157" s="108" t="s">
        <v>2306</v>
      </c>
      <c r="O157" s="108" t="s">
        <v>2306</v>
      </c>
      <c r="P157" s="108" t="s">
        <v>2306</v>
      </c>
      <c r="Q157" s="103" t="s">
        <v>2306</v>
      </c>
      <c r="R157" s="145"/>
      <c r="S157" s="109" t="s">
        <v>3562</v>
      </c>
      <c r="T157" s="109" t="str">
        <f t="shared" si="2"/>
        <v xml:space="preserve">                                      
20/05 - A iniciar</v>
      </c>
      <c r="Y157" s="109" t="s">
        <v>107</v>
      </c>
    </row>
    <row r="158" spans="1:30" ht="409.5" x14ac:dyDescent="0.25">
      <c r="A158" s="101" t="s">
        <v>3572</v>
      </c>
      <c r="B158" s="103" t="s">
        <v>3604</v>
      </c>
      <c r="C158" s="103" t="s">
        <v>3038</v>
      </c>
      <c r="D158" s="103" t="s">
        <v>2288</v>
      </c>
      <c r="E158" s="103" t="s">
        <v>1430</v>
      </c>
      <c r="F158" s="103" t="s">
        <v>3337</v>
      </c>
      <c r="G158" s="103" t="s">
        <v>3345</v>
      </c>
      <c r="H158" s="111" t="s">
        <v>245</v>
      </c>
      <c r="I158" s="103" t="s">
        <v>3131</v>
      </c>
      <c r="J158" s="103" t="s">
        <v>97</v>
      </c>
      <c r="K158" s="108">
        <v>42425</v>
      </c>
      <c r="L158" s="11">
        <f ca="1">IFERROR(IF(AND(Y158&lt;&gt;"Concluído",Y158&lt;&gt;"Cancelado"),TODAY()-K158+1,Z158-K158),"")</f>
        <v>98</v>
      </c>
      <c r="M158" s="108">
        <v>42510</v>
      </c>
      <c r="N158" s="108" t="s">
        <v>2306</v>
      </c>
      <c r="O158" s="108" t="s">
        <v>2306</v>
      </c>
      <c r="P158" s="108" t="s">
        <v>2306</v>
      </c>
      <c r="Q158" s="103" t="s">
        <v>2306</v>
      </c>
      <c r="R158" s="145"/>
      <c r="S158" s="109" t="s">
        <v>3787</v>
      </c>
      <c r="T158" s="109" t="str">
        <f t="shared" si="2"/>
        <v xml:space="preserve">                                      
31/05 - Mesmo Status, aguardando retorno da TQS.
24/05 -  Nova demanda para TQS . Conforme e-mail de Milene do dia 19/05 que o  Julio está consolidando todas as demandas da TQS e entrando em contato com o fornecedor para solicitar as propostas e seguir com o processo de compras. Aguardando retorno do mesmo.
20/05 - A iniciar</v>
      </c>
      <c r="V158" s="109" t="s">
        <v>3605</v>
      </c>
      <c r="W158" s="110" t="s">
        <v>2451</v>
      </c>
      <c r="X158" s="110">
        <v>42528</v>
      </c>
      <c r="Y158" s="109" t="s">
        <v>1515</v>
      </c>
      <c r="AA158" s="109">
        <v>69</v>
      </c>
    </row>
    <row r="159" spans="1:30" ht="409.5" x14ac:dyDescent="0.25">
      <c r="A159" s="101" t="s">
        <v>3573</v>
      </c>
      <c r="B159" s="103" t="s">
        <v>3574</v>
      </c>
      <c r="C159" s="103" t="s">
        <v>3038</v>
      </c>
      <c r="D159" s="103" t="s">
        <v>2288</v>
      </c>
      <c r="E159" s="103" t="s">
        <v>1430</v>
      </c>
      <c r="F159" s="103" t="s">
        <v>3337</v>
      </c>
      <c r="G159" s="103" t="s">
        <v>3345</v>
      </c>
      <c r="H159" s="111" t="s">
        <v>245</v>
      </c>
      <c r="I159" s="103" t="s">
        <v>2824</v>
      </c>
      <c r="J159" s="103" t="s">
        <v>97</v>
      </c>
      <c r="K159" s="108">
        <v>42506</v>
      </c>
      <c r="L159" s="11">
        <f ca="1">IFERROR(IF(AND(Y159&lt;&gt;"Concluído",Y159&lt;&gt;"Cancelado"),TODAY()-K159+1,Z159-K159),"")</f>
        <v>17</v>
      </c>
      <c r="M159" s="108">
        <v>42510</v>
      </c>
      <c r="N159" s="108" t="s">
        <v>2306</v>
      </c>
      <c r="O159" s="108" t="s">
        <v>2306</v>
      </c>
      <c r="P159" s="108" t="s">
        <v>2306</v>
      </c>
      <c r="Q159" s="103" t="s">
        <v>2306</v>
      </c>
      <c r="R159" s="145"/>
      <c r="S159" s="109" t="s">
        <v>3788</v>
      </c>
      <c r="T159" s="109" t="str">
        <f t="shared" si="2"/>
        <v xml:space="preserve">                                      
31/05 - Em contato com a TQS hoje, fomos informados que provavelmente a solução atual já atenda, estão verificando e mandarão um e-mail com a informação, até amanhã.
24/05 - Nova demanda para TQS . Conforme e-mail de Milene do dia 19/05 que o PMO-TI  Julio está consolidando todas as demandas da TQS e entrando em contato com o fornecedor para solicitar as propostas e seguir com o processo de compras. Aguardando retorno do mesmo.
20/05 - A iniciar</v>
      </c>
      <c r="V159" s="109" t="s">
        <v>3605</v>
      </c>
      <c r="W159" s="110" t="s">
        <v>2451</v>
      </c>
      <c r="X159" s="110">
        <v>42524</v>
      </c>
      <c r="Y159" s="109" t="s">
        <v>1515</v>
      </c>
      <c r="AA159" s="109">
        <v>9</v>
      </c>
    </row>
    <row r="160" spans="1:30" ht="409.5" x14ac:dyDescent="0.25">
      <c r="A160" s="101" t="s">
        <v>3575</v>
      </c>
      <c r="B160" s="103" t="s">
        <v>3576</v>
      </c>
      <c r="C160" s="103" t="s">
        <v>3025</v>
      </c>
      <c r="D160" s="103" t="s">
        <v>2288</v>
      </c>
      <c r="E160" s="103" t="s">
        <v>1430</v>
      </c>
      <c r="F160" s="103" t="s">
        <v>3337</v>
      </c>
      <c r="G160" s="103" t="s">
        <v>3345</v>
      </c>
      <c r="H160" s="111" t="s">
        <v>246</v>
      </c>
      <c r="I160" s="103" t="s">
        <v>684</v>
      </c>
      <c r="J160" s="103" t="s">
        <v>97</v>
      </c>
      <c r="K160" s="108">
        <v>42510</v>
      </c>
      <c r="L160" s="11">
        <f ca="1">IFERROR(IF(AND(Y160&lt;&gt;"Concluído",Y160&lt;&gt;"Cancelado"),TODAY()-K160+1,Z160-K160),"")</f>
        <v>13</v>
      </c>
      <c r="M160" s="108">
        <v>42510</v>
      </c>
      <c r="N160" s="108" t="s">
        <v>2306</v>
      </c>
      <c r="O160" s="108" t="s">
        <v>2306</v>
      </c>
      <c r="P160" s="108" t="s">
        <v>2306</v>
      </c>
      <c r="Q160" s="103" t="s">
        <v>2306</v>
      </c>
      <c r="R160" s="145"/>
      <c r="S160" s="109" t="s">
        <v>3562</v>
      </c>
      <c r="T160" s="109" t="str">
        <f t="shared" si="2"/>
        <v xml:space="preserve">                                      
20/05 - A iniciar</v>
      </c>
      <c r="Y160" s="109" t="s">
        <v>107</v>
      </c>
    </row>
    <row r="161" spans="1:30" ht="409.5" x14ac:dyDescent="0.25">
      <c r="A161" s="101" t="s">
        <v>3598</v>
      </c>
      <c r="B161" s="103" t="s">
        <v>3599</v>
      </c>
      <c r="C161" s="103" t="s">
        <v>3597</v>
      </c>
      <c r="D161" s="103" t="s">
        <v>2288</v>
      </c>
      <c r="E161" s="103" t="s">
        <v>1430</v>
      </c>
      <c r="F161" s="103" t="s">
        <v>3337</v>
      </c>
      <c r="G161" s="103" t="s">
        <v>3357</v>
      </c>
      <c r="H161" s="111" t="s">
        <v>244</v>
      </c>
      <c r="I161" s="103" t="s">
        <v>3382</v>
      </c>
      <c r="J161" s="103" t="s">
        <v>97</v>
      </c>
      <c r="K161" s="108">
        <v>42426</v>
      </c>
      <c r="L161" s="103">
        <f ca="1">IFERROR(IF(AND(Y161&lt;&gt;"Concluído",Y161&lt;&gt;"Cancelado"),TODAY()-K161+1,Z161-K161),"")</f>
        <v>97</v>
      </c>
      <c r="M161" s="108">
        <v>42459</v>
      </c>
      <c r="N161" s="108" t="s">
        <v>273</v>
      </c>
      <c r="O161" s="108" t="s">
        <v>2306</v>
      </c>
      <c r="P161" s="108" t="s">
        <v>2306</v>
      </c>
      <c r="Q161" s="103" t="s">
        <v>3502</v>
      </c>
      <c r="R161" s="44"/>
      <c r="S161" s="114" t="s">
        <v>3846</v>
      </c>
      <c r="T161" s="109" t="str">
        <f t="shared" si="2"/>
        <v xml:space="preserve">                                      
31/05- faltando validar informaçãoes que serão passadas(Cliente/SI e Oi). SI pediu para analisar contrato.
24/05 
Parte de Controle de Ativos agora tratada neste novo chamado. 
Passado:
17/05 
a- Pendente acionar Eng para desenho de Controle de Ativos. 
b-Parte do RTSocket já foi entregue em Desenho de Telecom.
10/05 - Acionar Eng para desenho de Controle de Ativos. Parte do RTSocket está em Desenho de Telecom.
03/05- Em fase de entendimento com solcitante. Muitos pontos em aberto, com necessidade de colocar em estudo com Engenharia. Preciso fechar escopo antes.
26/04 - Alinhamento feito comn FAbiana C arla de que projeto estaria entregue. Acionada a Avaya para dar posicionamento.
12/04: Projeto está na fase de entendimento entre  Lustosa e Marcel/Fabio, pois as infomações solicitadas na EF já são disponobilizadas para a Oi através do RTI.
05/04: Projeto alocado na fila dos executores em 01/04.
30/03 - A iniciar</v>
      </c>
      <c r="U161" s="114"/>
      <c r="V161" s="103" t="s">
        <v>2826</v>
      </c>
      <c r="W161" s="103" t="s">
        <v>3503</v>
      </c>
      <c r="X161" s="133">
        <v>42515</v>
      </c>
      <c r="Y161" s="103" t="s">
        <v>3844</v>
      </c>
      <c r="Z161" s="108">
        <v>42515</v>
      </c>
      <c r="AA161" s="103"/>
      <c r="AB161" s="103"/>
      <c r="AC161" s="103"/>
      <c r="AD161" s="103"/>
    </row>
    <row r="162" spans="1:30" ht="409.5" x14ac:dyDescent="0.25">
      <c r="A162" s="101" t="s">
        <v>3608</v>
      </c>
      <c r="B162" s="103" t="s">
        <v>3609</v>
      </c>
      <c r="C162" s="103" t="s">
        <v>3025</v>
      </c>
      <c r="D162" s="103" t="s">
        <v>119</v>
      </c>
      <c r="E162" s="103" t="s">
        <v>161</v>
      </c>
      <c r="F162" s="103" t="s">
        <v>3385</v>
      </c>
      <c r="G162" s="103" t="s">
        <v>3351</v>
      </c>
      <c r="H162" s="111" t="s">
        <v>177</v>
      </c>
      <c r="I162" s="103" t="s">
        <v>2388</v>
      </c>
      <c r="J162" s="103" t="s">
        <v>3346</v>
      </c>
      <c r="K162" s="108">
        <v>42506</v>
      </c>
      <c r="L162" s="103">
        <v>89</v>
      </c>
      <c r="M162" s="108">
        <v>42514</v>
      </c>
      <c r="N162" s="108" t="s">
        <v>273</v>
      </c>
      <c r="O162" s="108" t="s">
        <v>2306</v>
      </c>
      <c r="P162" s="108" t="s">
        <v>2306</v>
      </c>
      <c r="Q162" s="108" t="s">
        <v>2306</v>
      </c>
      <c r="R162" s="44"/>
      <c r="S162" s="109" t="s">
        <v>3812</v>
      </c>
      <c r="T162" s="109" t="str">
        <f t="shared" si="2"/>
        <v xml:space="preserve">                                      
31/05 - Solicitado Analise da equipe de Engenharia, previsão de retorno ate dia 08/06. solicitado analise do time de SD, previsão de retorno dia 06/06.
24/05 - A iniciar</v>
      </c>
      <c r="V162" s="109" t="s">
        <v>3813</v>
      </c>
      <c r="W162" s="110" t="s">
        <v>3814</v>
      </c>
      <c r="X162" s="109" t="s">
        <v>3815</v>
      </c>
      <c r="Y162" s="109" t="s">
        <v>243</v>
      </c>
    </row>
    <row r="163" spans="1:30" ht="409.5" x14ac:dyDescent="0.25">
      <c r="A163" s="101" t="s">
        <v>3610</v>
      </c>
      <c r="B163" s="103" t="s">
        <v>3611</v>
      </c>
      <c r="C163" s="103" t="s">
        <v>3025</v>
      </c>
      <c r="D163" s="103" t="s">
        <v>119</v>
      </c>
      <c r="E163" s="103" t="s">
        <v>106</v>
      </c>
      <c r="F163" s="103" t="s">
        <v>3336</v>
      </c>
      <c r="G163" s="103" t="s">
        <v>3342</v>
      </c>
      <c r="H163" s="111" t="s">
        <v>177</v>
      </c>
      <c r="I163" s="103" t="s">
        <v>2388</v>
      </c>
      <c r="J163" s="103" t="s">
        <v>3346</v>
      </c>
      <c r="K163" s="108">
        <v>42506</v>
      </c>
      <c r="L163" s="103">
        <v>89</v>
      </c>
      <c r="M163" s="108">
        <v>42514</v>
      </c>
      <c r="N163" s="108" t="s">
        <v>273</v>
      </c>
      <c r="O163" s="108" t="s">
        <v>2306</v>
      </c>
      <c r="P163" s="108" t="s">
        <v>2306</v>
      </c>
      <c r="Q163" s="108" t="s">
        <v>2306</v>
      </c>
      <c r="R163" s="44"/>
      <c r="S163" s="109" t="s">
        <v>3812</v>
      </c>
      <c r="T163" s="109" t="str">
        <f t="shared" si="2"/>
        <v xml:space="preserve">                                      
31/05 - Solicitado Analise da equipe de Engenharia, previsão de retorno ate dia 08/06. solicitado analise do time de SD, previsão de retorno dia 06/06.
24/05 - A iniciar</v>
      </c>
      <c r="V163" s="109" t="s">
        <v>3813</v>
      </c>
      <c r="W163" s="110" t="s">
        <v>3814</v>
      </c>
      <c r="X163" s="109" t="s">
        <v>3815</v>
      </c>
      <c r="Y163" s="109" t="s">
        <v>243</v>
      </c>
    </row>
    <row r="164" spans="1:30" ht="409.5" x14ac:dyDescent="0.25">
      <c r="A164" s="101" t="s">
        <v>3694</v>
      </c>
      <c r="B164" s="103" t="s">
        <v>3723</v>
      </c>
      <c r="C164" s="103" t="s">
        <v>3025</v>
      </c>
      <c r="D164" s="103" t="s">
        <v>119</v>
      </c>
      <c r="E164" s="103" t="s">
        <v>1430</v>
      </c>
      <c r="F164" s="103" t="s">
        <v>3337</v>
      </c>
      <c r="G164" s="103" t="s">
        <v>3345</v>
      </c>
      <c r="H164" s="111" t="s">
        <v>3762</v>
      </c>
      <c r="I164" s="103" t="s">
        <v>2388</v>
      </c>
      <c r="J164" s="103" t="s">
        <v>3346</v>
      </c>
      <c r="K164" s="108">
        <v>42491</v>
      </c>
      <c r="L164" s="11">
        <f ca="1">IFERROR(IF(AND(Y164&lt;&gt;"Concluído",Y164&lt;&gt;"Cancelado"),TODAY()-K164+1,Z164-K164),"")</f>
        <v>32</v>
      </c>
      <c r="M164" s="108">
        <v>42509</v>
      </c>
      <c r="N164" s="108" t="s">
        <v>2350</v>
      </c>
      <c r="O164" s="108" t="s">
        <v>2282</v>
      </c>
      <c r="P164" s="108">
        <v>42521</v>
      </c>
      <c r="Q164" s="103" t="s">
        <v>2350</v>
      </c>
      <c r="R164" s="44"/>
      <c r="S164" s="109" t="s">
        <v>3763</v>
      </c>
      <c r="T164" s="109" t="str">
        <f t="shared" si="2"/>
        <v xml:space="preserve">                                      
31/05 - Finalizando.</v>
      </c>
      <c r="V164" s="109" t="s">
        <v>2849</v>
      </c>
      <c r="W164" s="110" t="s">
        <v>2785</v>
      </c>
      <c r="X164" s="131">
        <v>42521</v>
      </c>
      <c r="Y164" s="109" t="s">
        <v>243</v>
      </c>
    </row>
    <row r="165" spans="1:30" ht="409.5" x14ac:dyDescent="0.25">
      <c r="A165" s="101" t="s">
        <v>3694</v>
      </c>
      <c r="B165" s="103" t="s">
        <v>3724</v>
      </c>
      <c r="C165" s="103" t="s">
        <v>3025</v>
      </c>
      <c r="D165" s="103" t="s">
        <v>119</v>
      </c>
      <c r="E165" s="103" t="s">
        <v>1430</v>
      </c>
      <c r="F165" s="103" t="s">
        <v>3337</v>
      </c>
      <c r="G165" s="103" t="s">
        <v>3345</v>
      </c>
      <c r="H165" s="111" t="s">
        <v>3762</v>
      </c>
      <c r="I165" s="103" t="s">
        <v>2388</v>
      </c>
      <c r="J165" s="103" t="s">
        <v>3346</v>
      </c>
      <c r="K165" s="108">
        <v>42491</v>
      </c>
      <c r="L165" s="11">
        <f ca="1">IFERROR(IF(AND(Y165&lt;&gt;"Concluído",Y165&lt;&gt;"Cancelado"),TODAY()-K165+1,Z165-K165),"")</f>
        <v>32</v>
      </c>
      <c r="M165" s="108">
        <v>42509</v>
      </c>
      <c r="N165" s="108" t="s">
        <v>2350</v>
      </c>
      <c r="O165" s="108" t="s">
        <v>2282</v>
      </c>
      <c r="P165" s="108">
        <v>42521</v>
      </c>
      <c r="Q165" s="103" t="s">
        <v>2350</v>
      </c>
      <c r="R165" s="44"/>
      <c r="S165" s="109" t="s">
        <v>3763</v>
      </c>
      <c r="T165" s="109" t="str">
        <f t="shared" si="2"/>
        <v xml:space="preserve">                                      
31/05 - Finalizando.</v>
      </c>
      <c r="V165" s="109" t="s">
        <v>2849</v>
      </c>
      <c r="W165" s="110" t="s">
        <v>2785</v>
      </c>
      <c r="X165" s="131">
        <v>42521</v>
      </c>
      <c r="Y165" s="109" t="s">
        <v>243</v>
      </c>
    </row>
    <row r="166" spans="1:30" ht="409.5" x14ac:dyDescent="0.25">
      <c r="A166" s="101" t="s">
        <v>3694</v>
      </c>
      <c r="B166" s="103" t="s">
        <v>3725</v>
      </c>
      <c r="C166" s="103" t="s">
        <v>3025</v>
      </c>
      <c r="D166" s="103" t="s">
        <v>119</v>
      </c>
      <c r="E166" s="103" t="s">
        <v>1430</v>
      </c>
      <c r="F166" s="103" t="s">
        <v>3337</v>
      </c>
      <c r="G166" s="103" t="s">
        <v>3345</v>
      </c>
      <c r="H166" s="111" t="s">
        <v>3762</v>
      </c>
      <c r="I166" s="103" t="s">
        <v>2388</v>
      </c>
      <c r="J166" s="103" t="s">
        <v>3346</v>
      </c>
      <c r="K166" s="108">
        <v>42491</v>
      </c>
      <c r="L166" s="11">
        <f ca="1">IFERROR(IF(AND(Y166&lt;&gt;"Concluído",Y166&lt;&gt;"Cancelado"),TODAY()-K166+1,Z166-K166),"")</f>
        <v>32</v>
      </c>
      <c r="M166" s="108">
        <v>42509</v>
      </c>
      <c r="N166" s="108" t="s">
        <v>2350</v>
      </c>
      <c r="O166" s="108" t="s">
        <v>2282</v>
      </c>
      <c r="P166" s="108">
        <v>42521</v>
      </c>
      <c r="Q166" s="103" t="s">
        <v>2350</v>
      </c>
      <c r="R166" s="44"/>
      <c r="S166" s="109" t="s">
        <v>3763</v>
      </c>
      <c r="T166" s="109" t="str">
        <f t="shared" si="2"/>
        <v xml:space="preserve">                                      
31/05 - Finalizando.</v>
      </c>
      <c r="V166" s="109" t="s">
        <v>2849</v>
      </c>
      <c r="W166" s="110" t="s">
        <v>2785</v>
      </c>
      <c r="X166" s="131">
        <v>42521</v>
      </c>
      <c r="Y166" s="109" t="s">
        <v>243</v>
      </c>
    </row>
    <row r="167" spans="1:30" ht="409.5" x14ac:dyDescent="0.25">
      <c r="A167" s="101" t="s">
        <v>3689</v>
      </c>
      <c r="B167" s="103" t="s">
        <v>3726</v>
      </c>
      <c r="C167" s="103" t="s">
        <v>3025</v>
      </c>
      <c r="D167" s="103" t="s">
        <v>119</v>
      </c>
      <c r="E167" s="103" t="s">
        <v>1430</v>
      </c>
      <c r="F167" s="103" t="s">
        <v>3337</v>
      </c>
      <c r="G167" s="103" t="s">
        <v>3345</v>
      </c>
      <c r="H167" s="111" t="s">
        <v>3762</v>
      </c>
      <c r="I167" s="103" t="s">
        <v>2388</v>
      </c>
      <c r="J167" s="103" t="s">
        <v>3346</v>
      </c>
      <c r="K167" s="108">
        <v>42491</v>
      </c>
      <c r="L167" s="11">
        <f ca="1">IFERROR(IF(AND(Y167&lt;&gt;"Concluído",Y167&lt;&gt;"Cancelado"),TODAY()-K167+1,Z167-K167),"")</f>
        <v>32</v>
      </c>
      <c r="M167" s="108">
        <v>42509</v>
      </c>
      <c r="N167" s="108" t="s">
        <v>2350</v>
      </c>
      <c r="O167" s="108" t="s">
        <v>2282</v>
      </c>
      <c r="P167" s="108">
        <v>42521</v>
      </c>
      <c r="Q167" s="103" t="s">
        <v>2350</v>
      </c>
      <c r="R167" s="44"/>
      <c r="S167" s="109" t="s">
        <v>3763</v>
      </c>
      <c r="T167" s="109" t="str">
        <f t="shared" si="2"/>
        <v xml:space="preserve">                                      
31/05 - Finalizando.</v>
      </c>
      <c r="V167" s="109" t="s">
        <v>2849</v>
      </c>
      <c r="W167" s="110" t="s">
        <v>2785</v>
      </c>
      <c r="X167" s="131">
        <v>42521</v>
      </c>
      <c r="Y167" s="109" t="s">
        <v>243</v>
      </c>
    </row>
    <row r="168" spans="1:30" ht="409.5" x14ac:dyDescent="0.25">
      <c r="A168" s="101" t="s">
        <v>3690</v>
      </c>
      <c r="B168" s="103" t="s">
        <v>3727</v>
      </c>
      <c r="C168" s="103" t="s">
        <v>3025</v>
      </c>
      <c r="D168" s="103" t="s">
        <v>119</v>
      </c>
      <c r="E168" s="103" t="s">
        <v>1430</v>
      </c>
      <c r="F168" s="103" t="s">
        <v>3337</v>
      </c>
      <c r="G168" s="103" t="s">
        <v>3345</v>
      </c>
      <c r="H168" s="111" t="s">
        <v>3762</v>
      </c>
      <c r="I168" s="103" t="s">
        <v>2388</v>
      </c>
      <c r="J168" s="103" t="s">
        <v>3346</v>
      </c>
      <c r="K168" s="108">
        <v>42491</v>
      </c>
      <c r="L168" s="11">
        <f ca="1">IFERROR(IF(AND(Y168&lt;&gt;"Concluído",Y168&lt;&gt;"Cancelado"),TODAY()-K168+1,Z168-K168),"")</f>
        <v>32</v>
      </c>
      <c r="M168" s="108">
        <v>42509</v>
      </c>
      <c r="N168" s="108" t="s">
        <v>2350</v>
      </c>
      <c r="O168" s="108" t="s">
        <v>2282</v>
      </c>
      <c r="P168" s="108">
        <v>42521</v>
      </c>
      <c r="Q168" s="103" t="s">
        <v>2350</v>
      </c>
      <c r="R168" s="44"/>
      <c r="S168" s="109" t="s">
        <v>3763</v>
      </c>
      <c r="T168" s="109" t="str">
        <f t="shared" si="2"/>
        <v xml:space="preserve">                                      
31/05 - Finalizando.</v>
      </c>
      <c r="V168" s="109" t="s">
        <v>2849</v>
      </c>
      <c r="W168" s="110" t="s">
        <v>2785</v>
      </c>
      <c r="X168" s="131">
        <v>42521</v>
      </c>
      <c r="Y168" s="109" t="s">
        <v>243</v>
      </c>
    </row>
    <row r="169" spans="1:30" ht="409.5" x14ac:dyDescent="0.25">
      <c r="A169" s="101" t="s">
        <v>3691</v>
      </c>
      <c r="B169" s="103" t="s">
        <v>3728</v>
      </c>
      <c r="C169" s="103" t="s">
        <v>3025</v>
      </c>
      <c r="D169" s="103" t="s">
        <v>119</v>
      </c>
      <c r="E169" s="103" t="s">
        <v>1430</v>
      </c>
      <c r="F169" s="103" t="s">
        <v>3337</v>
      </c>
      <c r="G169" s="103" t="s">
        <v>3345</v>
      </c>
      <c r="H169" s="111" t="s">
        <v>3762</v>
      </c>
      <c r="I169" s="103" t="s">
        <v>2388</v>
      </c>
      <c r="J169" s="103" t="s">
        <v>3346</v>
      </c>
      <c r="K169" s="108">
        <v>42491</v>
      </c>
      <c r="L169" s="11">
        <f ca="1">IFERROR(IF(AND(Y169&lt;&gt;"Concluído",Y169&lt;&gt;"Cancelado"),TODAY()-K169+1,Z169-K169),"")</f>
        <v>32</v>
      </c>
      <c r="M169" s="108">
        <v>42509</v>
      </c>
      <c r="N169" s="108" t="s">
        <v>2350</v>
      </c>
      <c r="O169" s="108" t="s">
        <v>2282</v>
      </c>
      <c r="P169" s="108">
        <v>42521</v>
      </c>
      <c r="Q169" s="103" t="s">
        <v>2350</v>
      </c>
      <c r="R169" s="44"/>
      <c r="S169" s="109" t="s">
        <v>3763</v>
      </c>
      <c r="T169" s="109" t="str">
        <f t="shared" si="2"/>
        <v xml:space="preserve">                                      
31/05 - Finalizando.</v>
      </c>
      <c r="V169" s="109" t="s">
        <v>2849</v>
      </c>
      <c r="W169" s="110" t="s">
        <v>2785</v>
      </c>
      <c r="X169" s="131">
        <v>42521</v>
      </c>
      <c r="Y169" s="109" t="s">
        <v>243</v>
      </c>
    </row>
    <row r="170" spans="1:30" ht="409.5" x14ac:dyDescent="0.25">
      <c r="A170" s="101" t="s">
        <v>3691</v>
      </c>
      <c r="B170" s="103" t="s">
        <v>3728</v>
      </c>
      <c r="C170" s="103" t="s">
        <v>3025</v>
      </c>
      <c r="D170" s="103" t="s">
        <v>119</v>
      </c>
      <c r="E170" s="103" t="s">
        <v>1430</v>
      </c>
      <c r="F170" s="103" t="s">
        <v>3337</v>
      </c>
      <c r="G170" s="103" t="s">
        <v>3345</v>
      </c>
      <c r="H170" s="111" t="s">
        <v>3762</v>
      </c>
      <c r="I170" s="103" t="s">
        <v>2388</v>
      </c>
      <c r="J170" s="103" t="s">
        <v>3346</v>
      </c>
      <c r="K170" s="108">
        <v>42491</v>
      </c>
      <c r="L170" s="11">
        <f ca="1">IFERROR(IF(AND(Y170&lt;&gt;"Concluído",Y170&lt;&gt;"Cancelado"),TODAY()-K170+1,Z170-K170),"")</f>
        <v>32</v>
      </c>
      <c r="M170" s="108">
        <v>42509</v>
      </c>
      <c r="N170" s="108" t="s">
        <v>2350</v>
      </c>
      <c r="O170" s="108" t="s">
        <v>2282</v>
      </c>
      <c r="P170" s="108">
        <v>42521</v>
      </c>
      <c r="Q170" s="103" t="s">
        <v>2350</v>
      </c>
      <c r="R170" s="44"/>
      <c r="S170" s="109" t="s">
        <v>3763</v>
      </c>
      <c r="T170" s="109" t="str">
        <f t="shared" si="2"/>
        <v xml:space="preserve">                                      
31/05 - Finalizando.</v>
      </c>
      <c r="V170" s="109" t="s">
        <v>2849</v>
      </c>
      <c r="W170" s="110" t="s">
        <v>2785</v>
      </c>
      <c r="X170" s="131">
        <v>42521</v>
      </c>
      <c r="Y170" s="109" t="s">
        <v>243</v>
      </c>
    </row>
    <row r="171" spans="1:30" ht="409.5" x14ac:dyDescent="0.25">
      <c r="A171" s="101" t="s">
        <v>3692</v>
      </c>
      <c r="B171" s="103" t="s">
        <v>3729</v>
      </c>
      <c r="C171" s="103" t="s">
        <v>3025</v>
      </c>
      <c r="D171" s="103" t="s">
        <v>119</v>
      </c>
      <c r="E171" s="103" t="s">
        <v>1430</v>
      </c>
      <c r="F171" s="103" t="s">
        <v>3337</v>
      </c>
      <c r="G171" s="103" t="s">
        <v>3345</v>
      </c>
      <c r="H171" s="111" t="s">
        <v>3762</v>
      </c>
      <c r="I171" s="103" t="s">
        <v>2388</v>
      </c>
      <c r="J171" s="103" t="s">
        <v>3346</v>
      </c>
      <c r="K171" s="108">
        <v>42491</v>
      </c>
      <c r="L171" s="11">
        <f ca="1">IFERROR(IF(AND(Y171&lt;&gt;"Concluído",Y171&lt;&gt;"Cancelado"),TODAY()-K171+1,Z171-K171),"")</f>
        <v>32</v>
      </c>
      <c r="M171" s="108">
        <v>42509</v>
      </c>
      <c r="N171" s="108" t="s">
        <v>2350</v>
      </c>
      <c r="O171" s="108" t="s">
        <v>2282</v>
      </c>
      <c r="P171" s="108">
        <v>42521</v>
      </c>
      <c r="Q171" s="103" t="s">
        <v>2350</v>
      </c>
      <c r="R171" s="44"/>
      <c r="S171" s="109" t="s">
        <v>3763</v>
      </c>
      <c r="T171" s="109" t="str">
        <f t="shared" si="2"/>
        <v xml:space="preserve">                                      
31/05 - Finalizando.</v>
      </c>
      <c r="V171" s="109" t="s">
        <v>2849</v>
      </c>
      <c r="W171" s="110" t="s">
        <v>2785</v>
      </c>
      <c r="X171" s="131">
        <v>42521</v>
      </c>
      <c r="Y171" s="109" t="s">
        <v>243</v>
      </c>
    </row>
    <row r="172" spans="1:30" ht="409.5" x14ac:dyDescent="0.25">
      <c r="A172" s="101" t="s">
        <v>3693</v>
      </c>
      <c r="B172" s="103" t="s">
        <v>3730</v>
      </c>
      <c r="C172" s="103" t="s">
        <v>3025</v>
      </c>
      <c r="D172" s="103" t="s">
        <v>119</v>
      </c>
      <c r="E172" s="103" t="s">
        <v>1430</v>
      </c>
      <c r="F172" s="103" t="s">
        <v>3337</v>
      </c>
      <c r="G172" s="103" t="s">
        <v>3345</v>
      </c>
      <c r="H172" s="111" t="s">
        <v>3762</v>
      </c>
      <c r="I172" s="103" t="s">
        <v>2388</v>
      </c>
      <c r="J172" s="103" t="s">
        <v>3346</v>
      </c>
      <c r="K172" s="108">
        <v>42491</v>
      </c>
      <c r="L172" s="11">
        <f ca="1">IFERROR(IF(AND(Y172&lt;&gt;"Concluído",Y172&lt;&gt;"Cancelado"),TODAY()-K172+1,Z172-K172),"")</f>
        <v>32</v>
      </c>
      <c r="M172" s="108">
        <v>42509</v>
      </c>
      <c r="N172" s="108" t="s">
        <v>2350</v>
      </c>
      <c r="O172" s="108" t="s">
        <v>2282</v>
      </c>
      <c r="P172" s="108">
        <v>42521</v>
      </c>
      <c r="Q172" s="103" t="s">
        <v>2350</v>
      </c>
      <c r="R172" s="44"/>
      <c r="S172" s="109" t="s">
        <v>3763</v>
      </c>
      <c r="T172" s="109" t="str">
        <f t="shared" si="2"/>
        <v xml:space="preserve">                                      
31/05 - Finalizando.</v>
      </c>
      <c r="V172" s="109" t="s">
        <v>2849</v>
      </c>
      <c r="W172" s="110" t="s">
        <v>2785</v>
      </c>
      <c r="X172" s="131">
        <v>42521</v>
      </c>
      <c r="Y172" s="109" t="s">
        <v>243</v>
      </c>
    </row>
    <row r="173" spans="1:30" ht="409.5" x14ac:dyDescent="0.25">
      <c r="A173" s="101" t="s">
        <v>3694</v>
      </c>
      <c r="B173" s="103" t="s">
        <v>3725</v>
      </c>
      <c r="C173" s="103" t="s">
        <v>3025</v>
      </c>
      <c r="D173" s="103" t="s">
        <v>119</v>
      </c>
      <c r="E173" s="103" t="s">
        <v>1430</v>
      </c>
      <c r="F173" s="103" t="s">
        <v>3337</v>
      </c>
      <c r="G173" s="103" t="s">
        <v>3345</v>
      </c>
      <c r="H173" s="111" t="s">
        <v>3762</v>
      </c>
      <c r="I173" s="103" t="s">
        <v>2388</v>
      </c>
      <c r="J173" s="103" t="s">
        <v>3346</v>
      </c>
      <c r="K173" s="108">
        <v>42491</v>
      </c>
      <c r="L173" s="11">
        <f ca="1">IFERROR(IF(AND(Y173&lt;&gt;"Concluído",Y173&lt;&gt;"Cancelado"),TODAY()-K173+1,Z173-K173),"")</f>
        <v>32</v>
      </c>
      <c r="M173" s="108">
        <v>42509</v>
      </c>
      <c r="N173" s="108" t="s">
        <v>2350</v>
      </c>
      <c r="O173" s="108" t="s">
        <v>2282</v>
      </c>
      <c r="P173" s="108">
        <v>42521</v>
      </c>
      <c r="Q173" s="103" t="s">
        <v>2350</v>
      </c>
      <c r="R173" s="44"/>
      <c r="S173" s="109" t="s">
        <v>3763</v>
      </c>
      <c r="T173" s="109" t="str">
        <f t="shared" si="2"/>
        <v xml:space="preserve">                                      
31/05 - Finalizando.</v>
      </c>
      <c r="V173" s="109" t="s">
        <v>2849</v>
      </c>
      <c r="W173" s="110" t="s">
        <v>2785</v>
      </c>
      <c r="X173" s="131">
        <v>42521</v>
      </c>
      <c r="Y173" s="109" t="s">
        <v>243</v>
      </c>
    </row>
    <row r="174" spans="1:30" ht="409.5" x14ac:dyDescent="0.25">
      <c r="A174" s="101" t="s">
        <v>3693</v>
      </c>
      <c r="B174" s="103" t="s">
        <v>3730</v>
      </c>
      <c r="C174" s="103" t="s">
        <v>3025</v>
      </c>
      <c r="D174" s="103" t="s">
        <v>119</v>
      </c>
      <c r="E174" s="103" t="s">
        <v>1430</v>
      </c>
      <c r="F174" s="103" t="s">
        <v>3337</v>
      </c>
      <c r="G174" s="103" t="s">
        <v>3345</v>
      </c>
      <c r="H174" s="111" t="s">
        <v>3762</v>
      </c>
      <c r="I174" s="103" t="s">
        <v>2388</v>
      </c>
      <c r="J174" s="103" t="s">
        <v>3346</v>
      </c>
      <c r="K174" s="108">
        <v>42491</v>
      </c>
      <c r="L174" s="11">
        <f ca="1">IFERROR(IF(AND(Y174&lt;&gt;"Concluído",Y174&lt;&gt;"Cancelado"),TODAY()-K174+1,Z174-K174),"")</f>
        <v>32</v>
      </c>
      <c r="M174" s="108">
        <v>42509</v>
      </c>
      <c r="N174" s="108" t="s">
        <v>2350</v>
      </c>
      <c r="O174" s="108" t="s">
        <v>2282</v>
      </c>
      <c r="P174" s="108">
        <v>42521</v>
      </c>
      <c r="Q174" s="103" t="s">
        <v>2350</v>
      </c>
      <c r="R174" s="44"/>
      <c r="S174" s="109" t="s">
        <v>3763</v>
      </c>
      <c r="T174" s="109" t="str">
        <f t="shared" si="2"/>
        <v xml:space="preserve">                                      
31/05 - Finalizando.</v>
      </c>
      <c r="V174" s="109" t="s">
        <v>2849</v>
      </c>
      <c r="W174" s="110" t="s">
        <v>2785</v>
      </c>
      <c r="X174" s="131">
        <v>42521</v>
      </c>
      <c r="Y174" s="109" t="s">
        <v>243</v>
      </c>
    </row>
    <row r="175" spans="1:30" ht="409.5" x14ac:dyDescent="0.25">
      <c r="A175" s="101" t="s">
        <v>3695</v>
      </c>
      <c r="B175" s="103" t="s">
        <v>3731</v>
      </c>
      <c r="C175" s="103" t="s">
        <v>3025</v>
      </c>
      <c r="D175" s="103" t="s">
        <v>119</v>
      </c>
      <c r="E175" s="103" t="s">
        <v>1430</v>
      </c>
      <c r="F175" s="103" t="s">
        <v>3337</v>
      </c>
      <c r="G175" s="103" t="s">
        <v>3345</v>
      </c>
      <c r="H175" s="111" t="s">
        <v>3762</v>
      </c>
      <c r="I175" s="103" t="s">
        <v>2388</v>
      </c>
      <c r="J175" s="103" t="s">
        <v>3346</v>
      </c>
      <c r="K175" s="108">
        <v>42491</v>
      </c>
      <c r="L175" s="11">
        <f ca="1">IFERROR(IF(AND(Y175&lt;&gt;"Concluído",Y175&lt;&gt;"Cancelado"),TODAY()-K175+1,Z175-K175),"")</f>
        <v>32</v>
      </c>
      <c r="M175" s="108">
        <v>42509</v>
      </c>
      <c r="N175" s="108" t="s">
        <v>2350</v>
      </c>
      <c r="O175" s="108" t="s">
        <v>2282</v>
      </c>
      <c r="P175" s="108">
        <v>42521</v>
      </c>
      <c r="Q175" s="103" t="s">
        <v>2350</v>
      </c>
      <c r="R175" s="44"/>
      <c r="S175" s="109" t="s">
        <v>3763</v>
      </c>
      <c r="T175" s="109" t="str">
        <f t="shared" si="2"/>
        <v xml:space="preserve">                                      
31/05 - Finalizando.</v>
      </c>
      <c r="V175" s="109" t="s">
        <v>2849</v>
      </c>
      <c r="W175" s="110" t="s">
        <v>2785</v>
      </c>
      <c r="X175" s="131">
        <v>42521</v>
      </c>
      <c r="Y175" s="109" t="s">
        <v>243</v>
      </c>
    </row>
    <row r="176" spans="1:30" ht="409.5" x14ac:dyDescent="0.25">
      <c r="A176" s="101" t="s">
        <v>3693</v>
      </c>
      <c r="B176" s="103" t="s">
        <v>3730</v>
      </c>
      <c r="C176" s="103" t="s">
        <v>3025</v>
      </c>
      <c r="D176" s="103" t="s">
        <v>119</v>
      </c>
      <c r="E176" s="103" t="s">
        <v>1430</v>
      </c>
      <c r="F176" s="103" t="s">
        <v>3337</v>
      </c>
      <c r="G176" s="103" t="s">
        <v>3345</v>
      </c>
      <c r="H176" s="111" t="s">
        <v>3762</v>
      </c>
      <c r="I176" s="103" t="s">
        <v>2388</v>
      </c>
      <c r="J176" s="103" t="s">
        <v>3346</v>
      </c>
      <c r="K176" s="108">
        <v>42491</v>
      </c>
      <c r="L176" s="11">
        <f ca="1">IFERROR(IF(AND(Y176&lt;&gt;"Concluído",Y176&lt;&gt;"Cancelado"),TODAY()-K176+1,Z176-K176),"")</f>
        <v>32</v>
      </c>
      <c r="M176" s="108">
        <v>42509</v>
      </c>
      <c r="N176" s="108" t="s">
        <v>2350</v>
      </c>
      <c r="O176" s="108" t="s">
        <v>2282</v>
      </c>
      <c r="P176" s="108">
        <v>42521</v>
      </c>
      <c r="Q176" s="103" t="s">
        <v>2350</v>
      </c>
      <c r="R176" s="44"/>
      <c r="S176" s="109" t="s">
        <v>3763</v>
      </c>
      <c r="T176" s="109" t="str">
        <f t="shared" si="2"/>
        <v xml:space="preserve">                                      
31/05 - Finalizando.</v>
      </c>
      <c r="V176" s="109" t="s">
        <v>2849</v>
      </c>
      <c r="W176" s="110" t="s">
        <v>2785</v>
      </c>
      <c r="X176" s="131">
        <v>42521</v>
      </c>
      <c r="Y176" s="109" t="s">
        <v>243</v>
      </c>
    </row>
    <row r="177" spans="1:25" ht="409.5" x14ac:dyDescent="0.25">
      <c r="A177" s="101" t="s">
        <v>3696</v>
      </c>
      <c r="B177" s="103" t="s">
        <v>3732</v>
      </c>
      <c r="C177" s="103" t="s">
        <v>3025</v>
      </c>
      <c r="D177" s="103" t="s">
        <v>119</v>
      </c>
      <c r="E177" s="103" t="s">
        <v>1430</v>
      </c>
      <c r="F177" s="103" t="s">
        <v>3337</v>
      </c>
      <c r="G177" s="103" t="s">
        <v>3345</v>
      </c>
      <c r="H177" s="111" t="s">
        <v>3762</v>
      </c>
      <c r="I177" s="103" t="s">
        <v>2388</v>
      </c>
      <c r="J177" s="103" t="s">
        <v>3346</v>
      </c>
      <c r="K177" s="108">
        <v>42491</v>
      </c>
      <c r="L177" s="11">
        <f ca="1">IFERROR(IF(AND(Y177&lt;&gt;"Concluído",Y177&lt;&gt;"Cancelado"),TODAY()-K177+1,Z177-K177),"")</f>
        <v>32</v>
      </c>
      <c r="M177" s="108">
        <v>42509</v>
      </c>
      <c r="N177" s="108" t="s">
        <v>2350</v>
      </c>
      <c r="O177" s="108" t="s">
        <v>2282</v>
      </c>
      <c r="P177" s="108">
        <v>42521</v>
      </c>
      <c r="Q177" s="103" t="s">
        <v>2350</v>
      </c>
      <c r="R177" s="44"/>
      <c r="S177" s="109" t="s">
        <v>3763</v>
      </c>
      <c r="T177" s="109" t="str">
        <f t="shared" si="2"/>
        <v xml:space="preserve">                                      
31/05 - Finalizando.</v>
      </c>
      <c r="V177" s="109" t="s">
        <v>2849</v>
      </c>
      <c r="W177" s="110" t="s">
        <v>2785</v>
      </c>
      <c r="X177" s="131">
        <v>42521</v>
      </c>
      <c r="Y177" s="109" t="s">
        <v>243</v>
      </c>
    </row>
    <row r="178" spans="1:25" ht="409.5" x14ac:dyDescent="0.25">
      <c r="A178" s="101" t="s">
        <v>3695</v>
      </c>
      <c r="B178" s="103" t="s">
        <v>3731</v>
      </c>
      <c r="C178" s="103" t="s">
        <v>3025</v>
      </c>
      <c r="D178" s="103" t="s">
        <v>119</v>
      </c>
      <c r="E178" s="103" t="s">
        <v>1430</v>
      </c>
      <c r="F178" s="103" t="s">
        <v>3337</v>
      </c>
      <c r="G178" s="103" t="s">
        <v>3345</v>
      </c>
      <c r="H178" s="111" t="s">
        <v>3762</v>
      </c>
      <c r="I178" s="103" t="s">
        <v>2388</v>
      </c>
      <c r="J178" s="103" t="s">
        <v>3346</v>
      </c>
      <c r="K178" s="108">
        <v>42491</v>
      </c>
      <c r="L178" s="11">
        <f ca="1">IFERROR(IF(AND(Y178&lt;&gt;"Concluído",Y178&lt;&gt;"Cancelado"),TODAY()-K178+1,Z178-K178),"")</f>
        <v>32</v>
      </c>
      <c r="M178" s="108">
        <v>42509</v>
      </c>
      <c r="N178" s="108" t="s">
        <v>2350</v>
      </c>
      <c r="O178" s="108" t="s">
        <v>2282</v>
      </c>
      <c r="P178" s="108">
        <v>42521</v>
      </c>
      <c r="Q178" s="103" t="s">
        <v>2350</v>
      </c>
      <c r="R178" s="44"/>
      <c r="S178" s="109" t="s">
        <v>3763</v>
      </c>
      <c r="T178" s="109" t="str">
        <f t="shared" si="2"/>
        <v xml:space="preserve">                                      
31/05 - Finalizando.</v>
      </c>
      <c r="V178" s="109" t="s">
        <v>2849</v>
      </c>
      <c r="W178" s="110" t="s">
        <v>2785</v>
      </c>
      <c r="X178" s="131">
        <v>42521</v>
      </c>
      <c r="Y178" s="109" t="s">
        <v>243</v>
      </c>
    </row>
    <row r="179" spans="1:25" ht="409.5" x14ac:dyDescent="0.25">
      <c r="A179" s="101" t="s">
        <v>3697</v>
      </c>
      <c r="B179" s="103" t="s">
        <v>3733</v>
      </c>
      <c r="C179" s="103" t="s">
        <v>3025</v>
      </c>
      <c r="D179" s="103" t="s">
        <v>119</v>
      </c>
      <c r="E179" s="103" t="s">
        <v>1430</v>
      </c>
      <c r="F179" s="103" t="s">
        <v>3337</v>
      </c>
      <c r="G179" s="103" t="s">
        <v>3345</v>
      </c>
      <c r="H179" s="111" t="s">
        <v>3762</v>
      </c>
      <c r="I179" s="103" t="s">
        <v>2388</v>
      </c>
      <c r="J179" s="103" t="s">
        <v>3346</v>
      </c>
      <c r="K179" s="108">
        <v>42491</v>
      </c>
      <c r="L179" s="11">
        <f ca="1">IFERROR(IF(AND(Y179&lt;&gt;"Concluído",Y179&lt;&gt;"Cancelado"),TODAY()-K179+1,Z179-K179),"")</f>
        <v>32</v>
      </c>
      <c r="M179" s="108">
        <v>42509</v>
      </c>
      <c r="N179" s="108" t="s">
        <v>2350</v>
      </c>
      <c r="O179" s="108" t="s">
        <v>2282</v>
      </c>
      <c r="P179" s="108">
        <v>42521</v>
      </c>
      <c r="Q179" s="103" t="s">
        <v>2350</v>
      </c>
      <c r="R179" s="44"/>
      <c r="S179" s="109" t="s">
        <v>3763</v>
      </c>
      <c r="T179" s="109" t="str">
        <f t="shared" si="2"/>
        <v xml:space="preserve">                                      
31/05 - Finalizando.</v>
      </c>
      <c r="V179" s="109" t="s">
        <v>2849</v>
      </c>
      <c r="W179" s="110" t="s">
        <v>2785</v>
      </c>
      <c r="X179" s="131">
        <v>42521</v>
      </c>
      <c r="Y179" s="109" t="s">
        <v>243</v>
      </c>
    </row>
    <row r="180" spans="1:25" ht="409.5" x14ac:dyDescent="0.25">
      <c r="A180" s="101" t="s">
        <v>3698</v>
      </c>
      <c r="B180" s="103" t="s">
        <v>3734</v>
      </c>
      <c r="C180" s="103" t="s">
        <v>3025</v>
      </c>
      <c r="D180" s="103" t="s">
        <v>119</v>
      </c>
      <c r="E180" s="103" t="s">
        <v>1430</v>
      </c>
      <c r="F180" s="103" t="s">
        <v>3337</v>
      </c>
      <c r="G180" s="103" t="s">
        <v>3345</v>
      </c>
      <c r="H180" s="111" t="s">
        <v>3762</v>
      </c>
      <c r="I180" s="103" t="s">
        <v>2388</v>
      </c>
      <c r="J180" s="103" t="s">
        <v>3346</v>
      </c>
      <c r="K180" s="108">
        <v>42491</v>
      </c>
      <c r="L180" s="11">
        <f ca="1">IFERROR(IF(AND(Y180&lt;&gt;"Concluído",Y180&lt;&gt;"Cancelado"),TODAY()-K180+1,Z180-K180),"")</f>
        <v>32</v>
      </c>
      <c r="M180" s="108">
        <v>42509</v>
      </c>
      <c r="N180" s="108" t="s">
        <v>2350</v>
      </c>
      <c r="O180" s="108" t="s">
        <v>2282</v>
      </c>
      <c r="P180" s="108">
        <v>42521</v>
      </c>
      <c r="Q180" s="103" t="s">
        <v>2350</v>
      </c>
      <c r="R180" s="44"/>
      <c r="S180" s="109" t="s">
        <v>3763</v>
      </c>
      <c r="T180" s="109" t="str">
        <f t="shared" si="2"/>
        <v xml:space="preserve">                                      
31/05 - Finalizando.</v>
      </c>
      <c r="V180" s="109" t="s">
        <v>2849</v>
      </c>
      <c r="W180" s="110" t="s">
        <v>2785</v>
      </c>
      <c r="X180" s="131">
        <v>42521</v>
      </c>
      <c r="Y180" s="109" t="s">
        <v>243</v>
      </c>
    </row>
    <row r="181" spans="1:25" ht="409.5" x14ac:dyDescent="0.25">
      <c r="A181" s="101" t="s">
        <v>3699</v>
      </c>
      <c r="B181" s="103" t="s">
        <v>3735</v>
      </c>
      <c r="C181" s="103" t="s">
        <v>3025</v>
      </c>
      <c r="D181" s="103" t="s">
        <v>119</v>
      </c>
      <c r="E181" s="103" t="s">
        <v>1430</v>
      </c>
      <c r="F181" s="103" t="s">
        <v>3337</v>
      </c>
      <c r="G181" s="103" t="s">
        <v>3345</v>
      </c>
      <c r="H181" s="111" t="s">
        <v>3762</v>
      </c>
      <c r="I181" s="103" t="s">
        <v>2388</v>
      </c>
      <c r="J181" s="103" t="s">
        <v>3346</v>
      </c>
      <c r="K181" s="108">
        <v>42491</v>
      </c>
      <c r="L181" s="11">
        <f ca="1">IFERROR(IF(AND(Y181&lt;&gt;"Concluído",Y181&lt;&gt;"Cancelado"),TODAY()-K181+1,Z181-K181),"")</f>
        <v>32</v>
      </c>
      <c r="M181" s="108">
        <v>42509</v>
      </c>
      <c r="N181" s="108" t="s">
        <v>2350</v>
      </c>
      <c r="O181" s="108" t="s">
        <v>2282</v>
      </c>
      <c r="P181" s="108">
        <v>42521</v>
      </c>
      <c r="Q181" s="103" t="s">
        <v>2350</v>
      </c>
      <c r="R181" s="44"/>
      <c r="S181" s="109" t="s">
        <v>3763</v>
      </c>
      <c r="T181" s="109" t="str">
        <f t="shared" si="2"/>
        <v xml:space="preserve">                                      
31/05 - Finalizando.</v>
      </c>
      <c r="V181" s="109" t="s">
        <v>2849</v>
      </c>
      <c r="W181" s="110" t="s">
        <v>2785</v>
      </c>
      <c r="X181" s="131">
        <v>42521</v>
      </c>
      <c r="Y181" s="109" t="s">
        <v>243</v>
      </c>
    </row>
    <row r="182" spans="1:25" ht="409.5" x14ac:dyDescent="0.25">
      <c r="A182" s="101" t="s">
        <v>3694</v>
      </c>
      <c r="B182" s="103" t="s">
        <v>3725</v>
      </c>
      <c r="C182" s="103" t="s">
        <v>3025</v>
      </c>
      <c r="D182" s="103" t="s">
        <v>119</v>
      </c>
      <c r="E182" s="103" t="s">
        <v>1430</v>
      </c>
      <c r="F182" s="103" t="s">
        <v>3337</v>
      </c>
      <c r="G182" s="103" t="s">
        <v>3345</v>
      </c>
      <c r="H182" s="111" t="s">
        <v>3762</v>
      </c>
      <c r="I182" s="103" t="s">
        <v>2388</v>
      </c>
      <c r="J182" s="103" t="s">
        <v>3346</v>
      </c>
      <c r="K182" s="108">
        <v>42491</v>
      </c>
      <c r="L182" s="11">
        <f ca="1">IFERROR(IF(AND(Y182&lt;&gt;"Concluído",Y182&lt;&gt;"Cancelado"),TODAY()-K182+1,Z182-K182),"")</f>
        <v>32</v>
      </c>
      <c r="M182" s="108">
        <v>42509</v>
      </c>
      <c r="N182" s="108" t="s">
        <v>2350</v>
      </c>
      <c r="O182" s="108" t="s">
        <v>2282</v>
      </c>
      <c r="P182" s="108">
        <v>42521</v>
      </c>
      <c r="Q182" s="103" t="s">
        <v>2350</v>
      </c>
      <c r="R182" s="44"/>
      <c r="S182" s="109" t="s">
        <v>3763</v>
      </c>
      <c r="T182" s="109" t="str">
        <f t="shared" si="2"/>
        <v xml:space="preserve">                                      
31/05 - Finalizando.</v>
      </c>
      <c r="V182" s="109" t="s">
        <v>2849</v>
      </c>
      <c r="W182" s="110" t="s">
        <v>2785</v>
      </c>
      <c r="X182" s="131">
        <v>42521</v>
      </c>
      <c r="Y182" s="109" t="s">
        <v>243</v>
      </c>
    </row>
    <row r="183" spans="1:25" ht="409.5" x14ac:dyDescent="0.25">
      <c r="A183" s="101" t="s">
        <v>3694</v>
      </c>
      <c r="B183" s="103" t="s">
        <v>3736</v>
      </c>
      <c r="C183" s="103" t="s">
        <v>3025</v>
      </c>
      <c r="D183" s="103" t="s">
        <v>119</v>
      </c>
      <c r="E183" s="103" t="s">
        <v>1430</v>
      </c>
      <c r="F183" s="103" t="s">
        <v>3337</v>
      </c>
      <c r="G183" s="103" t="s">
        <v>3345</v>
      </c>
      <c r="H183" s="111" t="s">
        <v>3762</v>
      </c>
      <c r="I183" s="103" t="s">
        <v>2388</v>
      </c>
      <c r="J183" s="103" t="s">
        <v>3346</v>
      </c>
      <c r="K183" s="108">
        <v>42491</v>
      </c>
      <c r="L183" s="11">
        <f ca="1">IFERROR(IF(AND(Y183&lt;&gt;"Concluído",Y183&lt;&gt;"Cancelado"),TODAY()-K183+1,Z183-K183),"")</f>
        <v>32</v>
      </c>
      <c r="M183" s="108">
        <v>42509</v>
      </c>
      <c r="N183" s="108" t="s">
        <v>2350</v>
      </c>
      <c r="O183" s="108" t="s">
        <v>2282</v>
      </c>
      <c r="P183" s="108">
        <v>42521</v>
      </c>
      <c r="Q183" s="103" t="s">
        <v>2350</v>
      </c>
      <c r="R183" s="44"/>
      <c r="S183" s="109" t="s">
        <v>3763</v>
      </c>
      <c r="T183" s="109" t="str">
        <f t="shared" si="2"/>
        <v xml:space="preserve">                                      
31/05 - Finalizando.</v>
      </c>
      <c r="V183" s="109" t="s">
        <v>2849</v>
      </c>
      <c r="W183" s="110" t="s">
        <v>2785</v>
      </c>
      <c r="X183" s="131">
        <v>42521</v>
      </c>
      <c r="Y183" s="109" t="s">
        <v>243</v>
      </c>
    </row>
    <row r="184" spans="1:25" ht="409.5" x14ac:dyDescent="0.25">
      <c r="A184" s="101" t="s">
        <v>3700</v>
      </c>
      <c r="B184" s="103" t="s">
        <v>3737</v>
      </c>
      <c r="C184" s="103" t="s">
        <v>3025</v>
      </c>
      <c r="D184" s="103" t="s">
        <v>119</v>
      </c>
      <c r="E184" s="103" t="s">
        <v>1430</v>
      </c>
      <c r="F184" s="103" t="s">
        <v>3337</v>
      </c>
      <c r="G184" s="103" t="s">
        <v>3345</v>
      </c>
      <c r="H184" s="111" t="s">
        <v>3762</v>
      </c>
      <c r="I184" s="103" t="s">
        <v>2388</v>
      </c>
      <c r="J184" s="103" t="s">
        <v>3346</v>
      </c>
      <c r="K184" s="108">
        <v>42491</v>
      </c>
      <c r="L184" s="11">
        <f ca="1">IFERROR(IF(AND(Y184&lt;&gt;"Concluído",Y184&lt;&gt;"Cancelado"),TODAY()-K184+1,Z184-K184),"")</f>
        <v>32</v>
      </c>
      <c r="M184" s="108">
        <v>42509</v>
      </c>
      <c r="N184" s="108" t="s">
        <v>2350</v>
      </c>
      <c r="O184" s="108" t="s">
        <v>2282</v>
      </c>
      <c r="P184" s="108">
        <v>42521</v>
      </c>
      <c r="Q184" s="103" t="s">
        <v>2350</v>
      </c>
      <c r="R184" s="44"/>
      <c r="S184" s="109" t="s">
        <v>3763</v>
      </c>
      <c r="T184" s="109" t="str">
        <f t="shared" si="2"/>
        <v xml:space="preserve">                                      
31/05 - Finalizando.</v>
      </c>
      <c r="V184" s="109" t="s">
        <v>2849</v>
      </c>
      <c r="W184" s="110" t="s">
        <v>2785</v>
      </c>
      <c r="X184" s="131">
        <v>42521</v>
      </c>
      <c r="Y184" s="109" t="s">
        <v>243</v>
      </c>
    </row>
    <row r="185" spans="1:25" ht="409.5" x14ac:dyDescent="0.25">
      <c r="A185" s="101" t="s">
        <v>3701</v>
      </c>
      <c r="B185" s="103" t="s">
        <v>3738</v>
      </c>
      <c r="C185" s="103" t="s">
        <v>3025</v>
      </c>
      <c r="D185" s="103" t="s">
        <v>119</v>
      </c>
      <c r="E185" s="103" t="s">
        <v>1430</v>
      </c>
      <c r="F185" s="103" t="s">
        <v>3337</v>
      </c>
      <c r="G185" s="103" t="s">
        <v>3345</v>
      </c>
      <c r="H185" s="111" t="s">
        <v>3762</v>
      </c>
      <c r="I185" s="103" t="s">
        <v>2388</v>
      </c>
      <c r="J185" s="103" t="s">
        <v>3346</v>
      </c>
      <c r="K185" s="108">
        <v>42491</v>
      </c>
      <c r="L185" s="11">
        <f ca="1">IFERROR(IF(AND(Y185&lt;&gt;"Concluído",Y185&lt;&gt;"Cancelado"),TODAY()-K185+1,Z185-K185),"")</f>
        <v>32</v>
      </c>
      <c r="M185" s="108">
        <v>42509</v>
      </c>
      <c r="N185" s="108" t="s">
        <v>2350</v>
      </c>
      <c r="O185" s="108" t="s">
        <v>2282</v>
      </c>
      <c r="P185" s="108">
        <v>42521</v>
      </c>
      <c r="Q185" s="103" t="s">
        <v>2350</v>
      </c>
      <c r="R185" s="44"/>
      <c r="S185" s="109" t="s">
        <v>3763</v>
      </c>
      <c r="T185" s="109" t="str">
        <f t="shared" si="2"/>
        <v xml:space="preserve">                                      
31/05 - Finalizando.</v>
      </c>
      <c r="V185" s="109" t="s">
        <v>2849</v>
      </c>
      <c r="W185" s="110" t="s">
        <v>2785</v>
      </c>
      <c r="X185" s="131">
        <v>42521</v>
      </c>
      <c r="Y185" s="109" t="s">
        <v>243</v>
      </c>
    </row>
    <row r="186" spans="1:25" ht="409.5" x14ac:dyDescent="0.25">
      <c r="A186" s="101" t="s">
        <v>3694</v>
      </c>
      <c r="B186" s="103" t="s">
        <v>3739</v>
      </c>
      <c r="C186" s="103" t="s">
        <v>3025</v>
      </c>
      <c r="D186" s="103" t="s">
        <v>119</v>
      </c>
      <c r="E186" s="103" t="s">
        <v>1430</v>
      </c>
      <c r="F186" s="103" t="s">
        <v>3337</v>
      </c>
      <c r="G186" s="103" t="s">
        <v>3345</v>
      </c>
      <c r="H186" s="111" t="s">
        <v>3762</v>
      </c>
      <c r="I186" s="103" t="s">
        <v>2388</v>
      </c>
      <c r="J186" s="103" t="s">
        <v>3346</v>
      </c>
      <c r="K186" s="108">
        <v>42491</v>
      </c>
      <c r="L186" s="11">
        <f ca="1">IFERROR(IF(AND(Y186&lt;&gt;"Concluído",Y186&lt;&gt;"Cancelado"),TODAY()-K186+1,Z186-K186),"")</f>
        <v>32</v>
      </c>
      <c r="M186" s="108">
        <v>42509</v>
      </c>
      <c r="N186" s="108" t="s">
        <v>2350</v>
      </c>
      <c r="O186" s="108" t="s">
        <v>2282</v>
      </c>
      <c r="P186" s="108">
        <v>42521</v>
      </c>
      <c r="Q186" s="103" t="s">
        <v>2350</v>
      </c>
      <c r="R186" s="44"/>
      <c r="S186" s="109" t="s">
        <v>3763</v>
      </c>
      <c r="T186" s="109" t="str">
        <f t="shared" si="2"/>
        <v xml:space="preserve">                                      
31/05 - Finalizando.</v>
      </c>
      <c r="V186" s="109" t="s">
        <v>2849</v>
      </c>
      <c r="W186" s="110" t="s">
        <v>2785</v>
      </c>
      <c r="X186" s="131">
        <v>42521</v>
      </c>
      <c r="Y186" s="109" t="s">
        <v>243</v>
      </c>
    </row>
    <row r="187" spans="1:25" ht="409.5" x14ac:dyDescent="0.25">
      <c r="A187" s="101" t="s">
        <v>3702</v>
      </c>
      <c r="B187" s="103" t="s">
        <v>3740</v>
      </c>
      <c r="C187" s="103" t="s">
        <v>3025</v>
      </c>
      <c r="D187" s="103" t="s">
        <v>119</v>
      </c>
      <c r="E187" s="103" t="s">
        <v>1430</v>
      </c>
      <c r="F187" s="103" t="s">
        <v>3337</v>
      </c>
      <c r="G187" s="103" t="s">
        <v>3345</v>
      </c>
      <c r="H187" s="111" t="s">
        <v>3762</v>
      </c>
      <c r="I187" s="103" t="s">
        <v>2388</v>
      </c>
      <c r="J187" s="103" t="s">
        <v>3346</v>
      </c>
      <c r="K187" s="108">
        <v>42491</v>
      </c>
      <c r="L187" s="11">
        <f ca="1">IFERROR(IF(AND(Y187&lt;&gt;"Concluído",Y187&lt;&gt;"Cancelado"),TODAY()-K187+1,Z187-K187),"")</f>
        <v>32</v>
      </c>
      <c r="M187" s="108">
        <v>42509</v>
      </c>
      <c r="N187" s="108" t="s">
        <v>2350</v>
      </c>
      <c r="O187" s="108" t="s">
        <v>2282</v>
      </c>
      <c r="P187" s="108">
        <v>42521</v>
      </c>
      <c r="Q187" s="103" t="s">
        <v>2350</v>
      </c>
      <c r="R187" s="44"/>
      <c r="S187" s="109" t="s">
        <v>3763</v>
      </c>
      <c r="T187" s="109" t="str">
        <f t="shared" si="2"/>
        <v xml:space="preserve">                                      
31/05 - Finalizando.</v>
      </c>
      <c r="V187" s="109" t="s">
        <v>2849</v>
      </c>
      <c r="W187" s="110" t="s">
        <v>2785</v>
      </c>
      <c r="X187" s="131">
        <v>42521</v>
      </c>
      <c r="Y187" s="109" t="s">
        <v>243</v>
      </c>
    </row>
    <row r="188" spans="1:25" ht="409.5" x14ac:dyDescent="0.25">
      <c r="A188" s="101" t="s">
        <v>3699</v>
      </c>
      <c r="B188" s="103" t="s">
        <v>3741</v>
      </c>
      <c r="C188" s="103" t="s">
        <v>3025</v>
      </c>
      <c r="D188" s="103" t="s">
        <v>119</v>
      </c>
      <c r="E188" s="103" t="s">
        <v>1430</v>
      </c>
      <c r="F188" s="103" t="s">
        <v>3337</v>
      </c>
      <c r="G188" s="103" t="s">
        <v>3345</v>
      </c>
      <c r="H188" s="111" t="s">
        <v>3762</v>
      </c>
      <c r="I188" s="103" t="s">
        <v>2388</v>
      </c>
      <c r="J188" s="103" t="s">
        <v>3346</v>
      </c>
      <c r="K188" s="108">
        <v>42491</v>
      </c>
      <c r="L188" s="11">
        <f ca="1">IFERROR(IF(AND(Y188&lt;&gt;"Concluído",Y188&lt;&gt;"Cancelado"),TODAY()-K188+1,Z188-K188),"")</f>
        <v>32</v>
      </c>
      <c r="M188" s="108">
        <v>42509</v>
      </c>
      <c r="N188" s="108" t="s">
        <v>2350</v>
      </c>
      <c r="O188" s="108" t="s">
        <v>2282</v>
      </c>
      <c r="P188" s="108">
        <v>42521</v>
      </c>
      <c r="Q188" s="103" t="s">
        <v>2350</v>
      </c>
      <c r="R188" s="44"/>
      <c r="S188" s="109" t="s">
        <v>3763</v>
      </c>
      <c r="T188" s="109" t="str">
        <f t="shared" si="2"/>
        <v xml:space="preserve">                                      
31/05 - Finalizando.</v>
      </c>
      <c r="V188" s="109" t="s">
        <v>2849</v>
      </c>
      <c r="W188" s="110" t="s">
        <v>2785</v>
      </c>
      <c r="X188" s="131">
        <v>42521</v>
      </c>
      <c r="Y188" s="109" t="s">
        <v>243</v>
      </c>
    </row>
    <row r="189" spans="1:25" ht="409.5" x14ac:dyDescent="0.25">
      <c r="A189" s="101" t="s">
        <v>3694</v>
      </c>
      <c r="B189" s="103" t="s">
        <v>3739</v>
      </c>
      <c r="C189" s="103" t="s">
        <v>3025</v>
      </c>
      <c r="D189" s="103" t="s">
        <v>119</v>
      </c>
      <c r="E189" s="103" t="s">
        <v>1430</v>
      </c>
      <c r="F189" s="103" t="s">
        <v>3337</v>
      </c>
      <c r="G189" s="103" t="s">
        <v>3345</v>
      </c>
      <c r="H189" s="111" t="s">
        <v>3762</v>
      </c>
      <c r="I189" s="103" t="s">
        <v>2388</v>
      </c>
      <c r="J189" s="103" t="s">
        <v>3346</v>
      </c>
      <c r="K189" s="108">
        <v>42491</v>
      </c>
      <c r="L189" s="11">
        <f ca="1">IFERROR(IF(AND(Y189&lt;&gt;"Concluído",Y189&lt;&gt;"Cancelado"),TODAY()-K189+1,Z189-K189),"")</f>
        <v>32</v>
      </c>
      <c r="M189" s="108">
        <v>42509</v>
      </c>
      <c r="N189" s="108" t="s">
        <v>2350</v>
      </c>
      <c r="O189" s="108" t="s">
        <v>2282</v>
      </c>
      <c r="P189" s="108">
        <v>42521</v>
      </c>
      <c r="Q189" s="103" t="s">
        <v>2350</v>
      </c>
      <c r="R189" s="44"/>
      <c r="S189" s="109" t="s">
        <v>3763</v>
      </c>
      <c r="T189" s="109" t="str">
        <f t="shared" si="2"/>
        <v xml:space="preserve">                                      
31/05 - Finalizando.</v>
      </c>
      <c r="V189" s="109" t="s">
        <v>2849</v>
      </c>
      <c r="W189" s="110" t="s">
        <v>2785</v>
      </c>
      <c r="X189" s="131">
        <v>42521</v>
      </c>
      <c r="Y189" s="109" t="s">
        <v>243</v>
      </c>
    </row>
    <row r="190" spans="1:25" ht="409.5" x14ac:dyDescent="0.25">
      <c r="A190" s="101" t="s">
        <v>3702</v>
      </c>
      <c r="B190" s="103" t="s">
        <v>3740</v>
      </c>
      <c r="C190" s="103" t="s">
        <v>3025</v>
      </c>
      <c r="D190" s="103" t="s">
        <v>119</v>
      </c>
      <c r="E190" s="103" t="s">
        <v>1430</v>
      </c>
      <c r="F190" s="103" t="s">
        <v>3337</v>
      </c>
      <c r="G190" s="103" t="s">
        <v>3345</v>
      </c>
      <c r="H190" s="111" t="s">
        <v>3762</v>
      </c>
      <c r="I190" s="103" t="s">
        <v>2388</v>
      </c>
      <c r="J190" s="103" t="s">
        <v>3346</v>
      </c>
      <c r="K190" s="108">
        <v>42491</v>
      </c>
      <c r="L190" s="11">
        <f ca="1">IFERROR(IF(AND(Y190&lt;&gt;"Concluído",Y190&lt;&gt;"Cancelado"),TODAY()-K190+1,Z190-K190),"")</f>
        <v>32</v>
      </c>
      <c r="M190" s="108">
        <v>42509</v>
      </c>
      <c r="N190" s="108" t="s">
        <v>2350</v>
      </c>
      <c r="O190" s="108" t="s">
        <v>2282</v>
      </c>
      <c r="P190" s="108">
        <v>42521</v>
      </c>
      <c r="Q190" s="103" t="s">
        <v>2350</v>
      </c>
      <c r="R190" s="44"/>
      <c r="S190" s="109" t="s">
        <v>3763</v>
      </c>
      <c r="T190" s="109" t="str">
        <f t="shared" si="2"/>
        <v xml:space="preserve">                                      
31/05 - Finalizando.</v>
      </c>
      <c r="V190" s="109" t="s">
        <v>2849</v>
      </c>
      <c r="W190" s="110" t="s">
        <v>2785</v>
      </c>
      <c r="X190" s="131">
        <v>42521</v>
      </c>
      <c r="Y190" s="109" t="s">
        <v>243</v>
      </c>
    </row>
    <row r="191" spans="1:25" ht="409.5" x14ac:dyDescent="0.25">
      <c r="A191" s="101" t="s">
        <v>3694</v>
      </c>
      <c r="B191" s="103" t="s">
        <v>3739</v>
      </c>
      <c r="C191" s="103" t="s">
        <v>3025</v>
      </c>
      <c r="D191" s="103" t="s">
        <v>119</v>
      </c>
      <c r="E191" s="103" t="s">
        <v>1430</v>
      </c>
      <c r="F191" s="103" t="s">
        <v>3337</v>
      </c>
      <c r="G191" s="103" t="s">
        <v>3345</v>
      </c>
      <c r="H191" s="111" t="s">
        <v>3762</v>
      </c>
      <c r="I191" s="103" t="s">
        <v>2388</v>
      </c>
      <c r="J191" s="103" t="s">
        <v>3346</v>
      </c>
      <c r="K191" s="108">
        <v>42491</v>
      </c>
      <c r="L191" s="11">
        <f ca="1">IFERROR(IF(AND(Y191&lt;&gt;"Concluído",Y191&lt;&gt;"Cancelado"),TODAY()-K191+1,Z191-K191),"")</f>
        <v>32</v>
      </c>
      <c r="M191" s="108">
        <v>42509</v>
      </c>
      <c r="N191" s="108" t="s">
        <v>2350</v>
      </c>
      <c r="O191" s="108" t="s">
        <v>2282</v>
      </c>
      <c r="P191" s="108">
        <v>42521</v>
      </c>
      <c r="Q191" s="103" t="s">
        <v>2350</v>
      </c>
      <c r="R191" s="44"/>
      <c r="S191" s="109" t="s">
        <v>3763</v>
      </c>
      <c r="T191" s="109" t="str">
        <f t="shared" si="2"/>
        <v xml:space="preserve">                                      
31/05 - Finalizando.</v>
      </c>
      <c r="V191" s="109" t="s">
        <v>2849</v>
      </c>
      <c r="W191" s="110" t="s">
        <v>2785</v>
      </c>
      <c r="X191" s="131">
        <v>42521</v>
      </c>
      <c r="Y191" s="109" t="s">
        <v>243</v>
      </c>
    </row>
    <row r="192" spans="1:25" ht="409.5" x14ac:dyDescent="0.25">
      <c r="A192" s="101" t="s">
        <v>3703</v>
      </c>
      <c r="B192" s="103" t="s">
        <v>3742</v>
      </c>
      <c r="C192" s="103" t="s">
        <v>3025</v>
      </c>
      <c r="D192" s="103" t="s">
        <v>119</v>
      </c>
      <c r="E192" s="103" t="s">
        <v>1430</v>
      </c>
      <c r="F192" s="103" t="s">
        <v>3337</v>
      </c>
      <c r="G192" s="103" t="s">
        <v>3345</v>
      </c>
      <c r="H192" s="111" t="s">
        <v>3762</v>
      </c>
      <c r="I192" s="103" t="s">
        <v>2388</v>
      </c>
      <c r="J192" s="103" t="s">
        <v>3346</v>
      </c>
      <c r="K192" s="108">
        <v>42491</v>
      </c>
      <c r="L192" s="11">
        <f ca="1">IFERROR(IF(AND(Y192&lt;&gt;"Concluído",Y192&lt;&gt;"Cancelado"),TODAY()-K192+1,Z192-K192),"")</f>
        <v>32</v>
      </c>
      <c r="M192" s="108">
        <v>42509</v>
      </c>
      <c r="N192" s="108" t="s">
        <v>2350</v>
      </c>
      <c r="O192" s="108" t="s">
        <v>2282</v>
      </c>
      <c r="P192" s="108">
        <v>42521</v>
      </c>
      <c r="Q192" s="103" t="s">
        <v>2350</v>
      </c>
      <c r="R192" s="44"/>
      <c r="S192" s="109" t="s">
        <v>3763</v>
      </c>
      <c r="T192" s="109" t="str">
        <f t="shared" si="2"/>
        <v xml:space="preserve">                                      
31/05 - Finalizando.</v>
      </c>
      <c r="V192" s="109" t="s">
        <v>2849</v>
      </c>
      <c r="W192" s="110" t="s">
        <v>2785</v>
      </c>
      <c r="X192" s="131">
        <v>42521</v>
      </c>
      <c r="Y192" s="109" t="s">
        <v>243</v>
      </c>
    </row>
    <row r="193" spans="1:25" ht="409.5" x14ac:dyDescent="0.25">
      <c r="A193" s="101" t="s">
        <v>3704</v>
      </c>
      <c r="B193" s="103" t="s">
        <v>3743</v>
      </c>
      <c r="C193" s="103" t="s">
        <v>3025</v>
      </c>
      <c r="D193" s="103" t="s">
        <v>119</v>
      </c>
      <c r="E193" s="103" t="s">
        <v>1430</v>
      </c>
      <c r="F193" s="103" t="s">
        <v>3337</v>
      </c>
      <c r="G193" s="103" t="s">
        <v>3345</v>
      </c>
      <c r="H193" s="111" t="s">
        <v>3762</v>
      </c>
      <c r="I193" s="103" t="s">
        <v>2388</v>
      </c>
      <c r="J193" s="103" t="s">
        <v>3346</v>
      </c>
      <c r="K193" s="108">
        <v>42491</v>
      </c>
      <c r="L193" s="11">
        <f ca="1">IFERROR(IF(AND(Y193&lt;&gt;"Concluído",Y193&lt;&gt;"Cancelado"),TODAY()-K193+1,Z193-K193),"")</f>
        <v>32</v>
      </c>
      <c r="M193" s="108">
        <v>42509</v>
      </c>
      <c r="N193" s="108" t="s">
        <v>2350</v>
      </c>
      <c r="O193" s="108" t="s">
        <v>2282</v>
      </c>
      <c r="P193" s="108">
        <v>42521</v>
      </c>
      <c r="Q193" s="103" t="s">
        <v>2350</v>
      </c>
      <c r="R193" s="44"/>
      <c r="S193" s="109" t="s">
        <v>3763</v>
      </c>
      <c r="T193" s="109" t="str">
        <f t="shared" si="2"/>
        <v xml:space="preserve">                                      
31/05 - Finalizando.</v>
      </c>
      <c r="V193" s="109" t="s">
        <v>2849</v>
      </c>
      <c r="W193" s="110" t="s">
        <v>2785</v>
      </c>
      <c r="X193" s="131">
        <v>42521</v>
      </c>
      <c r="Y193" s="109" t="s">
        <v>243</v>
      </c>
    </row>
    <row r="194" spans="1:25" ht="409.5" x14ac:dyDescent="0.25">
      <c r="A194" s="101" t="s">
        <v>3705</v>
      </c>
      <c r="B194" s="103" t="s">
        <v>3744</v>
      </c>
      <c r="C194" s="103" t="s">
        <v>3025</v>
      </c>
      <c r="D194" s="103" t="s">
        <v>119</v>
      </c>
      <c r="E194" s="103" t="s">
        <v>1430</v>
      </c>
      <c r="F194" s="103" t="s">
        <v>3337</v>
      </c>
      <c r="G194" s="103" t="s">
        <v>3345</v>
      </c>
      <c r="H194" s="111" t="s">
        <v>3762</v>
      </c>
      <c r="I194" s="103" t="s">
        <v>2388</v>
      </c>
      <c r="J194" s="103" t="s">
        <v>3346</v>
      </c>
      <c r="K194" s="108">
        <v>42491</v>
      </c>
      <c r="L194" s="11">
        <f ca="1">IFERROR(IF(AND(Y194&lt;&gt;"Concluído",Y194&lt;&gt;"Cancelado"),TODAY()-K194+1,Z194-K194),"")</f>
        <v>32</v>
      </c>
      <c r="M194" s="108">
        <v>42509</v>
      </c>
      <c r="N194" s="108" t="s">
        <v>2350</v>
      </c>
      <c r="O194" s="108" t="s">
        <v>2282</v>
      </c>
      <c r="P194" s="108">
        <v>42521</v>
      </c>
      <c r="Q194" s="103" t="s">
        <v>2350</v>
      </c>
      <c r="R194" s="44"/>
      <c r="S194" s="109" t="s">
        <v>3763</v>
      </c>
      <c r="T194" s="109" t="str">
        <f t="shared" si="2"/>
        <v xml:space="preserve">                                      
31/05 - Finalizando.</v>
      </c>
      <c r="V194" s="109" t="s">
        <v>2849</v>
      </c>
      <c r="W194" s="110" t="s">
        <v>2785</v>
      </c>
      <c r="X194" s="131">
        <v>42521</v>
      </c>
      <c r="Y194" s="109" t="s">
        <v>243</v>
      </c>
    </row>
    <row r="195" spans="1:25" ht="409.5" x14ac:dyDescent="0.25">
      <c r="A195" s="101" t="s">
        <v>3706</v>
      </c>
      <c r="B195" s="103" t="s">
        <v>3745</v>
      </c>
      <c r="C195" s="103" t="s">
        <v>3025</v>
      </c>
      <c r="D195" s="103" t="s">
        <v>119</v>
      </c>
      <c r="E195" s="103" t="s">
        <v>1430</v>
      </c>
      <c r="F195" s="103" t="s">
        <v>3337</v>
      </c>
      <c r="G195" s="103" t="s">
        <v>3345</v>
      </c>
      <c r="H195" s="111" t="s">
        <v>3762</v>
      </c>
      <c r="I195" s="103" t="s">
        <v>2388</v>
      </c>
      <c r="J195" s="103" t="s">
        <v>3346</v>
      </c>
      <c r="K195" s="108">
        <v>42491</v>
      </c>
      <c r="L195" s="11">
        <f ca="1">IFERROR(IF(AND(Y195&lt;&gt;"Concluído",Y195&lt;&gt;"Cancelado"),TODAY()-K195+1,Z195-K195),"")</f>
        <v>32</v>
      </c>
      <c r="M195" s="108">
        <v>42509</v>
      </c>
      <c r="N195" s="108" t="s">
        <v>2350</v>
      </c>
      <c r="O195" s="108" t="s">
        <v>2282</v>
      </c>
      <c r="P195" s="108">
        <v>42521</v>
      </c>
      <c r="Q195" s="103" t="s">
        <v>2350</v>
      </c>
      <c r="R195" s="44"/>
      <c r="S195" s="109" t="s">
        <v>3763</v>
      </c>
      <c r="T195" s="109" t="str">
        <f t="shared" si="2"/>
        <v xml:space="preserve">                                      
31/05 - Finalizando.</v>
      </c>
      <c r="V195" s="109" t="s">
        <v>2849</v>
      </c>
      <c r="W195" s="110" t="s">
        <v>2785</v>
      </c>
      <c r="X195" s="131">
        <v>42521</v>
      </c>
      <c r="Y195" s="109" t="s">
        <v>243</v>
      </c>
    </row>
    <row r="196" spans="1:25" ht="409.5" x14ac:dyDescent="0.25">
      <c r="A196" s="101" t="s">
        <v>3707</v>
      </c>
      <c r="B196" s="103" t="s">
        <v>3746</v>
      </c>
      <c r="C196" s="103" t="s">
        <v>3025</v>
      </c>
      <c r="D196" s="103" t="s">
        <v>119</v>
      </c>
      <c r="E196" s="103" t="s">
        <v>1430</v>
      </c>
      <c r="F196" s="103" t="s">
        <v>3337</v>
      </c>
      <c r="G196" s="103" t="s">
        <v>3345</v>
      </c>
      <c r="H196" s="111" t="s">
        <v>3762</v>
      </c>
      <c r="I196" s="103" t="s">
        <v>2388</v>
      </c>
      <c r="J196" s="103" t="s">
        <v>3346</v>
      </c>
      <c r="K196" s="108">
        <v>42491</v>
      </c>
      <c r="L196" s="11">
        <f ca="1">IFERROR(IF(AND(Y196&lt;&gt;"Concluído",Y196&lt;&gt;"Cancelado"),TODAY()-K196+1,Z196-K196),"")</f>
        <v>32</v>
      </c>
      <c r="M196" s="108">
        <v>42509</v>
      </c>
      <c r="N196" s="108" t="s">
        <v>2350</v>
      </c>
      <c r="O196" s="108" t="s">
        <v>2282</v>
      </c>
      <c r="P196" s="108">
        <v>42521</v>
      </c>
      <c r="Q196" s="103" t="s">
        <v>2350</v>
      </c>
      <c r="R196" s="44"/>
      <c r="S196" s="109" t="s">
        <v>3763</v>
      </c>
      <c r="T196" s="109" t="str">
        <f t="shared" ref="T196:T217" si="3">CONCATENATE(U196,"                                      
",S196)</f>
        <v xml:space="preserve">                                      
31/05 - Finalizando.</v>
      </c>
      <c r="V196" s="109" t="s">
        <v>2849</v>
      </c>
      <c r="W196" s="110" t="s">
        <v>2785</v>
      </c>
      <c r="X196" s="131">
        <v>42521</v>
      </c>
      <c r="Y196" s="109" t="s">
        <v>243</v>
      </c>
    </row>
    <row r="197" spans="1:25" ht="409.5" x14ac:dyDescent="0.25">
      <c r="A197" s="101" t="s">
        <v>3708</v>
      </c>
      <c r="B197" s="103" t="s">
        <v>3747</v>
      </c>
      <c r="C197" s="103" t="s">
        <v>3025</v>
      </c>
      <c r="D197" s="103" t="s">
        <v>119</v>
      </c>
      <c r="E197" s="103" t="s">
        <v>1430</v>
      </c>
      <c r="F197" s="103" t="s">
        <v>3337</v>
      </c>
      <c r="G197" s="103" t="s">
        <v>3345</v>
      </c>
      <c r="H197" s="111" t="s">
        <v>3762</v>
      </c>
      <c r="I197" s="103" t="s">
        <v>2388</v>
      </c>
      <c r="J197" s="103" t="s">
        <v>3346</v>
      </c>
      <c r="K197" s="108">
        <v>42491</v>
      </c>
      <c r="L197" s="11">
        <f ca="1">IFERROR(IF(AND(Y197&lt;&gt;"Concluído",Y197&lt;&gt;"Cancelado"),TODAY()-K197+1,Z197-K197),"")</f>
        <v>32</v>
      </c>
      <c r="M197" s="108">
        <v>42509</v>
      </c>
      <c r="N197" s="108" t="s">
        <v>2350</v>
      </c>
      <c r="O197" s="108" t="s">
        <v>2282</v>
      </c>
      <c r="P197" s="108">
        <v>42521</v>
      </c>
      <c r="Q197" s="103" t="s">
        <v>2350</v>
      </c>
      <c r="R197" s="44"/>
      <c r="S197" s="109" t="s">
        <v>3763</v>
      </c>
      <c r="T197" s="109" t="str">
        <f t="shared" si="3"/>
        <v xml:space="preserve">                                      
31/05 - Finalizando.</v>
      </c>
      <c r="V197" s="109" t="s">
        <v>2849</v>
      </c>
      <c r="W197" s="110" t="s">
        <v>2785</v>
      </c>
      <c r="X197" s="131">
        <v>42521</v>
      </c>
      <c r="Y197" s="109" t="s">
        <v>243</v>
      </c>
    </row>
    <row r="198" spans="1:25" ht="409.5" x14ac:dyDescent="0.25">
      <c r="A198" s="101" t="s">
        <v>3709</v>
      </c>
      <c r="B198" s="103" t="s">
        <v>3748</v>
      </c>
      <c r="C198" s="103" t="s">
        <v>3025</v>
      </c>
      <c r="D198" s="103" t="s">
        <v>119</v>
      </c>
      <c r="E198" s="103" t="s">
        <v>1430</v>
      </c>
      <c r="F198" s="103" t="s">
        <v>3337</v>
      </c>
      <c r="G198" s="103" t="s">
        <v>3345</v>
      </c>
      <c r="H198" s="111" t="s">
        <v>3762</v>
      </c>
      <c r="I198" s="103" t="s">
        <v>2388</v>
      </c>
      <c r="J198" s="103" t="s">
        <v>3346</v>
      </c>
      <c r="K198" s="108">
        <v>42491</v>
      </c>
      <c r="L198" s="11">
        <f ca="1">IFERROR(IF(AND(Y198&lt;&gt;"Concluído",Y198&lt;&gt;"Cancelado"),TODAY()-K198+1,Z198-K198),"")</f>
        <v>32</v>
      </c>
      <c r="M198" s="108">
        <v>42509</v>
      </c>
      <c r="N198" s="108" t="s">
        <v>2350</v>
      </c>
      <c r="O198" s="108" t="s">
        <v>2282</v>
      </c>
      <c r="P198" s="108">
        <v>42521</v>
      </c>
      <c r="Q198" s="103" t="s">
        <v>2350</v>
      </c>
      <c r="R198" s="44"/>
      <c r="S198" s="109" t="s">
        <v>3763</v>
      </c>
      <c r="T198" s="109" t="str">
        <f t="shared" si="3"/>
        <v xml:space="preserve">                                      
31/05 - Finalizando.</v>
      </c>
      <c r="V198" s="109" t="s">
        <v>2849</v>
      </c>
      <c r="W198" s="110" t="s">
        <v>2785</v>
      </c>
      <c r="X198" s="131">
        <v>42521</v>
      </c>
      <c r="Y198" s="109" t="s">
        <v>243</v>
      </c>
    </row>
    <row r="199" spans="1:25" ht="409.5" x14ac:dyDescent="0.25">
      <c r="A199" s="101" t="s">
        <v>3710</v>
      </c>
      <c r="B199" s="103" t="s">
        <v>3749</v>
      </c>
      <c r="C199" s="103" t="s">
        <v>3025</v>
      </c>
      <c r="D199" s="103" t="s">
        <v>119</v>
      </c>
      <c r="E199" s="103" t="s">
        <v>1430</v>
      </c>
      <c r="F199" s="103" t="s">
        <v>3337</v>
      </c>
      <c r="G199" s="103" t="s">
        <v>3345</v>
      </c>
      <c r="H199" s="111" t="s">
        <v>3762</v>
      </c>
      <c r="I199" s="103" t="s">
        <v>2388</v>
      </c>
      <c r="J199" s="103" t="s">
        <v>3346</v>
      </c>
      <c r="K199" s="108">
        <v>42491</v>
      </c>
      <c r="L199" s="11">
        <f ca="1">IFERROR(IF(AND(Y199&lt;&gt;"Concluído",Y199&lt;&gt;"Cancelado"),TODAY()-K199+1,Z199-K199),"")</f>
        <v>32</v>
      </c>
      <c r="M199" s="108">
        <v>42509</v>
      </c>
      <c r="N199" s="108" t="s">
        <v>2350</v>
      </c>
      <c r="O199" s="108" t="s">
        <v>2282</v>
      </c>
      <c r="P199" s="108">
        <v>42521</v>
      </c>
      <c r="Q199" s="103" t="s">
        <v>2350</v>
      </c>
      <c r="R199" s="44"/>
      <c r="S199" s="109" t="s">
        <v>3763</v>
      </c>
      <c r="T199" s="109" t="str">
        <f t="shared" si="3"/>
        <v xml:space="preserve">                                      
31/05 - Finalizando.</v>
      </c>
      <c r="V199" s="109" t="s">
        <v>2849</v>
      </c>
      <c r="W199" s="110" t="s">
        <v>2785</v>
      </c>
      <c r="X199" s="131">
        <v>42521</v>
      </c>
      <c r="Y199" s="109" t="s">
        <v>243</v>
      </c>
    </row>
    <row r="200" spans="1:25" ht="409.5" x14ac:dyDescent="0.25">
      <c r="A200" s="101" t="s">
        <v>3711</v>
      </c>
      <c r="B200" s="103" t="s">
        <v>3750</v>
      </c>
      <c r="C200" s="103" t="s">
        <v>3025</v>
      </c>
      <c r="D200" s="103" t="s">
        <v>119</v>
      </c>
      <c r="E200" s="103" t="s">
        <v>1430</v>
      </c>
      <c r="F200" s="103" t="s">
        <v>3337</v>
      </c>
      <c r="G200" s="103" t="s">
        <v>3345</v>
      </c>
      <c r="H200" s="111" t="s">
        <v>3762</v>
      </c>
      <c r="I200" s="103" t="s">
        <v>2388</v>
      </c>
      <c r="J200" s="103" t="s">
        <v>3346</v>
      </c>
      <c r="K200" s="108">
        <v>42491</v>
      </c>
      <c r="L200" s="11">
        <f ca="1">IFERROR(IF(AND(Y200&lt;&gt;"Concluído",Y200&lt;&gt;"Cancelado"),TODAY()-K200+1,Z200-K200),"")</f>
        <v>32</v>
      </c>
      <c r="M200" s="108">
        <v>42509</v>
      </c>
      <c r="N200" s="108" t="s">
        <v>2350</v>
      </c>
      <c r="O200" s="108" t="s">
        <v>2282</v>
      </c>
      <c r="P200" s="108">
        <v>42521</v>
      </c>
      <c r="Q200" s="103" t="s">
        <v>2350</v>
      </c>
      <c r="R200" s="44"/>
      <c r="S200" s="109" t="s">
        <v>3763</v>
      </c>
      <c r="T200" s="109" t="str">
        <f t="shared" si="3"/>
        <v xml:space="preserve">                                      
31/05 - Finalizando.</v>
      </c>
      <c r="V200" s="109" t="s">
        <v>2849</v>
      </c>
      <c r="W200" s="110" t="s">
        <v>2785</v>
      </c>
      <c r="X200" s="131">
        <v>42521</v>
      </c>
      <c r="Y200" s="109" t="s">
        <v>243</v>
      </c>
    </row>
    <row r="201" spans="1:25" ht="409.5" x14ac:dyDescent="0.25">
      <c r="A201" s="101" t="s">
        <v>3712</v>
      </c>
      <c r="B201" s="103" t="s">
        <v>3751</v>
      </c>
      <c r="C201" s="103" t="s">
        <v>3025</v>
      </c>
      <c r="D201" s="103" t="s">
        <v>119</v>
      </c>
      <c r="E201" s="103" t="s">
        <v>1430</v>
      </c>
      <c r="F201" s="103" t="s">
        <v>3337</v>
      </c>
      <c r="G201" s="103" t="s">
        <v>3345</v>
      </c>
      <c r="H201" s="111" t="s">
        <v>3762</v>
      </c>
      <c r="I201" s="103" t="s">
        <v>2388</v>
      </c>
      <c r="J201" s="103" t="s">
        <v>3346</v>
      </c>
      <c r="K201" s="108">
        <v>42491</v>
      </c>
      <c r="L201" s="11">
        <f ca="1">IFERROR(IF(AND(Y201&lt;&gt;"Concluído",Y201&lt;&gt;"Cancelado"),TODAY()-K201+1,Z201-K201),"")</f>
        <v>32</v>
      </c>
      <c r="M201" s="108">
        <v>42509</v>
      </c>
      <c r="N201" s="108" t="s">
        <v>2350</v>
      </c>
      <c r="O201" s="108" t="s">
        <v>2282</v>
      </c>
      <c r="P201" s="108">
        <v>42521</v>
      </c>
      <c r="Q201" s="103" t="s">
        <v>2350</v>
      </c>
      <c r="R201" s="44"/>
      <c r="S201" s="109" t="s">
        <v>3763</v>
      </c>
      <c r="T201" s="109" t="str">
        <f t="shared" si="3"/>
        <v xml:space="preserve">                                      
31/05 - Finalizando.</v>
      </c>
      <c r="V201" s="109" t="s">
        <v>2849</v>
      </c>
      <c r="W201" s="110" t="s">
        <v>2785</v>
      </c>
      <c r="X201" s="131">
        <v>42521</v>
      </c>
      <c r="Y201" s="109" t="s">
        <v>243</v>
      </c>
    </row>
    <row r="202" spans="1:25" ht="409.5" x14ac:dyDescent="0.25">
      <c r="A202" s="101" t="s">
        <v>3713</v>
      </c>
      <c r="B202" s="103" t="s">
        <v>3752</v>
      </c>
      <c r="C202" s="103" t="s">
        <v>3025</v>
      </c>
      <c r="D202" s="103" t="s">
        <v>119</v>
      </c>
      <c r="E202" s="103" t="s">
        <v>1430</v>
      </c>
      <c r="F202" s="103" t="s">
        <v>3337</v>
      </c>
      <c r="G202" s="103" t="s">
        <v>3345</v>
      </c>
      <c r="H202" s="111" t="s">
        <v>3762</v>
      </c>
      <c r="I202" s="103" t="s">
        <v>2388</v>
      </c>
      <c r="J202" s="103" t="s">
        <v>3346</v>
      </c>
      <c r="K202" s="108">
        <v>42491</v>
      </c>
      <c r="L202" s="11">
        <f ca="1">IFERROR(IF(AND(Y202&lt;&gt;"Concluído",Y202&lt;&gt;"Cancelado"),TODAY()-K202+1,Z202-K202),"")</f>
        <v>32</v>
      </c>
      <c r="M202" s="108">
        <v>42509</v>
      </c>
      <c r="N202" s="108" t="s">
        <v>2350</v>
      </c>
      <c r="O202" s="108" t="s">
        <v>2282</v>
      </c>
      <c r="P202" s="108">
        <v>42521</v>
      </c>
      <c r="Q202" s="103" t="s">
        <v>2350</v>
      </c>
      <c r="R202" s="44"/>
      <c r="S202" s="109" t="s">
        <v>3763</v>
      </c>
      <c r="T202" s="109" t="str">
        <f t="shared" si="3"/>
        <v xml:space="preserve">                                      
31/05 - Finalizando.</v>
      </c>
      <c r="V202" s="109" t="s">
        <v>2849</v>
      </c>
      <c r="W202" s="110" t="s">
        <v>2785</v>
      </c>
      <c r="X202" s="131">
        <v>42521</v>
      </c>
      <c r="Y202" s="109" t="s">
        <v>243</v>
      </c>
    </row>
    <row r="203" spans="1:25" ht="409.5" x14ac:dyDescent="0.25">
      <c r="A203" s="101" t="s">
        <v>3714</v>
      </c>
      <c r="B203" s="103" t="s">
        <v>3753</v>
      </c>
      <c r="C203" s="103" t="s">
        <v>3025</v>
      </c>
      <c r="D203" s="103" t="s">
        <v>119</v>
      </c>
      <c r="E203" s="103" t="s">
        <v>1430</v>
      </c>
      <c r="F203" s="103" t="s">
        <v>3337</v>
      </c>
      <c r="G203" s="103" t="s">
        <v>3345</v>
      </c>
      <c r="H203" s="111" t="s">
        <v>3762</v>
      </c>
      <c r="I203" s="103" t="s">
        <v>2388</v>
      </c>
      <c r="J203" s="103" t="s">
        <v>3346</v>
      </c>
      <c r="K203" s="108">
        <v>42491</v>
      </c>
      <c r="L203" s="11">
        <f ca="1">IFERROR(IF(AND(Y203&lt;&gt;"Concluído",Y203&lt;&gt;"Cancelado"),TODAY()-K203+1,Z203-K203),"")</f>
        <v>32</v>
      </c>
      <c r="M203" s="108">
        <v>42509</v>
      </c>
      <c r="N203" s="108" t="s">
        <v>2350</v>
      </c>
      <c r="O203" s="108" t="s">
        <v>2282</v>
      </c>
      <c r="P203" s="108">
        <v>42521</v>
      </c>
      <c r="Q203" s="103" t="s">
        <v>2350</v>
      </c>
      <c r="R203" s="44"/>
      <c r="S203" s="109" t="s">
        <v>3763</v>
      </c>
      <c r="T203" s="109" t="str">
        <f t="shared" si="3"/>
        <v xml:space="preserve">                                      
31/05 - Finalizando.</v>
      </c>
      <c r="V203" s="109" t="s">
        <v>2849</v>
      </c>
      <c r="W203" s="110" t="s">
        <v>2785</v>
      </c>
      <c r="X203" s="131">
        <v>42521</v>
      </c>
      <c r="Y203" s="109" t="s">
        <v>243</v>
      </c>
    </row>
    <row r="204" spans="1:25" ht="409.5" x14ac:dyDescent="0.25">
      <c r="A204" s="101" t="s">
        <v>3715</v>
      </c>
      <c r="B204" s="103" t="s">
        <v>3754</v>
      </c>
      <c r="C204" s="103" t="s">
        <v>3025</v>
      </c>
      <c r="D204" s="103" t="s">
        <v>119</v>
      </c>
      <c r="E204" s="103" t="s">
        <v>1430</v>
      </c>
      <c r="F204" s="103" t="s">
        <v>3337</v>
      </c>
      <c r="G204" s="103" t="s">
        <v>3345</v>
      </c>
      <c r="H204" s="111" t="s">
        <v>3762</v>
      </c>
      <c r="I204" s="103" t="s">
        <v>2388</v>
      </c>
      <c r="J204" s="103" t="s">
        <v>3346</v>
      </c>
      <c r="K204" s="108">
        <v>42491</v>
      </c>
      <c r="L204" s="11">
        <f ca="1">IFERROR(IF(AND(Y204&lt;&gt;"Concluído",Y204&lt;&gt;"Cancelado"),TODAY()-K204+1,Z204-K204),"")</f>
        <v>32</v>
      </c>
      <c r="M204" s="108">
        <v>42509</v>
      </c>
      <c r="N204" s="108" t="s">
        <v>2350</v>
      </c>
      <c r="O204" s="108" t="s">
        <v>2282</v>
      </c>
      <c r="P204" s="108">
        <v>42521</v>
      </c>
      <c r="Q204" s="103" t="s">
        <v>2350</v>
      </c>
      <c r="R204" s="44"/>
      <c r="S204" s="109" t="s">
        <v>3763</v>
      </c>
      <c r="T204" s="109" t="str">
        <f t="shared" si="3"/>
        <v xml:space="preserve">                                      
31/05 - Finalizando.</v>
      </c>
      <c r="V204" s="109" t="s">
        <v>2849</v>
      </c>
      <c r="W204" s="110" t="s">
        <v>2785</v>
      </c>
      <c r="X204" s="131">
        <v>42521</v>
      </c>
      <c r="Y204" s="109" t="s">
        <v>243</v>
      </c>
    </row>
    <row r="205" spans="1:25" ht="409.5" x14ac:dyDescent="0.25">
      <c r="A205" s="101" t="s">
        <v>3716</v>
      </c>
      <c r="B205" s="103" t="s">
        <v>3755</v>
      </c>
      <c r="C205" s="103" t="s">
        <v>3025</v>
      </c>
      <c r="D205" s="103" t="s">
        <v>119</v>
      </c>
      <c r="E205" s="103" t="s">
        <v>1430</v>
      </c>
      <c r="F205" s="103" t="s">
        <v>3337</v>
      </c>
      <c r="G205" s="103" t="s">
        <v>3345</v>
      </c>
      <c r="H205" s="111" t="s">
        <v>3762</v>
      </c>
      <c r="I205" s="103" t="s">
        <v>2388</v>
      </c>
      <c r="J205" s="103" t="s">
        <v>3346</v>
      </c>
      <c r="K205" s="108">
        <v>42491</v>
      </c>
      <c r="L205" s="11">
        <f ca="1">IFERROR(IF(AND(Y205&lt;&gt;"Concluído",Y205&lt;&gt;"Cancelado"),TODAY()-K205+1,Z205-K205),"")</f>
        <v>32</v>
      </c>
      <c r="M205" s="108">
        <v>42509</v>
      </c>
      <c r="N205" s="108" t="s">
        <v>2350</v>
      </c>
      <c r="O205" s="108" t="s">
        <v>2282</v>
      </c>
      <c r="P205" s="108">
        <v>42521</v>
      </c>
      <c r="Q205" s="103" t="s">
        <v>2350</v>
      </c>
      <c r="R205" s="44"/>
      <c r="S205" s="109" t="s">
        <v>3763</v>
      </c>
      <c r="T205" s="109" t="str">
        <f t="shared" si="3"/>
        <v xml:space="preserve">                                      
31/05 - Finalizando.</v>
      </c>
      <c r="V205" s="109" t="s">
        <v>2849</v>
      </c>
      <c r="W205" s="110" t="s">
        <v>2785</v>
      </c>
      <c r="X205" s="131">
        <v>42521</v>
      </c>
      <c r="Y205" s="109" t="s">
        <v>243</v>
      </c>
    </row>
    <row r="206" spans="1:25" ht="409.5" x14ac:dyDescent="0.25">
      <c r="A206" s="101" t="s">
        <v>3717</v>
      </c>
      <c r="B206" s="103" t="s">
        <v>3756</v>
      </c>
      <c r="C206" s="103" t="s">
        <v>3025</v>
      </c>
      <c r="D206" s="103" t="s">
        <v>119</v>
      </c>
      <c r="E206" s="103" t="s">
        <v>1430</v>
      </c>
      <c r="F206" s="103" t="s">
        <v>3337</v>
      </c>
      <c r="G206" s="103" t="s">
        <v>3345</v>
      </c>
      <c r="H206" s="111" t="s">
        <v>3762</v>
      </c>
      <c r="I206" s="103" t="s">
        <v>2388</v>
      </c>
      <c r="J206" s="103" t="s">
        <v>3346</v>
      </c>
      <c r="K206" s="108">
        <v>42491</v>
      </c>
      <c r="L206" s="11">
        <f ca="1">IFERROR(IF(AND(Y206&lt;&gt;"Concluído",Y206&lt;&gt;"Cancelado"),TODAY()-K206+1,Z206-K206),"")</f>
        <v>32</v>
      </c>
      <c r="M206" s="108">
        <v>42509</v>
      </c>
      <c r="N206" s="108" t="s">
        <v>2350</v>
      </c>
      <c r="O206" s="108" t="s">
        <v>2282</v>
      </c>
      <c r="P206" s="108">
        <v>42521</v>
      </c>
      <c r="Q206" s="103" t="s">
        <v>2350</v>
      </c>
      <c r="R206" s="44"/>
      <c r="S206" s="109" t="s">
        <v>3763</v>
      </c>
      <c r="T206" s="109" t="str">
        <f t="shared" si="3"/>
        <v xml:space="preserve">                                      
31/05 - Finalizando.</v>
      </c>
      <c r="V206" s="109" t="s">
        <v>2849</v>
      </c>
      <c r="W206" s="110" t="s">
        <v>2785</v>
      </c>
      <c r="X206" s="131">
        <v>42521</v>
      </c>
      <c r="Y206" s="109" t="s">
        <v>243</v>
      </c>
    </row>
    <row r="207" spans="1:25" ht="409.5" x14ac:dyDescent="0.25">
      <c r="A207" s="101" t="s">
        <v>3718</v>
      </c>
      <c r="B207" s="103" t="s">
        <v>3757</v>
      </c>
      <c r="C207" s="103" t="s">
        <v>3025</v>
      </c>
      <c r="D207" s="103" t="s">
        <v>119</v>
      </c>
      <c r="E207" s="103" t="s">
        <v>1430</v>
      </c>
      <c r="F207" s="103" t="s">
        <v>3337</v>
      </c>
      <c r="G207" s="103" t="s">
        <v>3345</v>
      </c>
      <c r="H207" s="111" t="s">
        <v>3762</v>
      </c>
      <c r="I207" s="103" t="s">
        <v>2388</v>
      </c>
      <c r="J207" s="103" t="s">
        <v>3346</v>
      </c>
      <c r="K207" s="108">
        <v>42491</v>
      </c>
      <c r="L207" s="11">
        <f ca="1">IFERROR(IF(AND(Y207&lt;&gt;"Concluído",Y207&lt;&gt;"Cancelado"),TODAY()-K207+1,Z207-K207),"")</f>
        <v>32</v>
      </c>
      <c r="M207" s="108">
        <v>42509</v>
      </c>
      <c r="N207" s="108" t="s">
        <v>2350</v>
      </c>
      <c r="O207" s="108" t="s">
        <v>2282</v>
      </c>
      <c r="P207" s="108">
        <v>42521</v>
      </c>
      <c r="Q207" s="103" t="s">
        <v>2350</v>
      </c>
      <c r="R207" s="44"/>
      <c r="S207" s="109" t="s">
        <v>3763</v>
      </c>
      <c r="T207" s="109" t="str">
        <f t="shared" si="3"/>
        <v xml:space="preserve">                                      
31/05 - Finalizando.</v>
      </c>
      <c r="V207" s="109" t="s">
        <v>2849</v>
      </c>
      <c r="W207" s="110" t="s">
        <v>2785</v>
      </c>
      <c r="X207" s="131">
        <v>42521</v>
      </c>
      <c r="Y207" s="109" t="s">
        <v>243</v>
      </c>
    </row>
    <row r="208" spans="1:25" ht="409.5" x14ac:dyDescent="0.25">
      <c r="A208" s="101" t="s">
        <v>3719</v>
      </c>
      <c r="B208" s="103" t="s">
        <v>3758</v>
      </c>
      <c r="C208" s="103" t="s">
        <v>3025</v>
      </c>
      <c r="D208" s="103" t="s">
        <v>119</v>
      </c>
      <c r="E208" s="103" t="s">
        <v>1430</v>
      </c>
      <c r="F208" s="103" t="s">
        <v>3337</v>
      </c>
      <c r="G208" s="103" t="s">
        <v>3345</v>
      </c>
      <c r="H208" s="111" t="s">
        <v>3762</v>
      </c>
      <c r="I208" s="103" t="s">
        <v>2388</v>
      </c>
      <c r="J208" s="103" t="s">
        <v>3346</v>
      </c>
      <c r="K208" s="108">
        <v>42491</v>
      </c>
      <c r="L208" s="11">
        <f ca="1">IFERROR(IF(AND(Y208&lt;&gt;"Concluído",Y208&lt;&gt;"Cancelado"),TODAY()-K208+1,Z208-K208),"")</f>
        <v>32</v>
      </c>
      <c r="M208" s="108">
        <v>42509</v>
      </c>
      <c r="N208" s="108" t="s">
        <v>2350</v>
      </c>
      <c r="O208" s="108" t="s">
        <v>2282</v>
      </c>
      <c r="P208" s="108">
        <v>42521</v>
      </c>
      <c r="Q208" s="103" t="s">
        <v>2350</v>
      </c>
      <c r="R208" s="44"/>
      <c r="S208" s="109" t="s">
        <v>3763</v>
      </c>
      <c r="T208" s="109" t="str">
        <f t="shared" si="3"/>
        <v xml:space="preserve">                                      
31/05 - Finalizando.</v>
      </c>
      <c r="V208" s="109" t="s">
        <v>2849</v>
      </c>
      <c r="W208" s="110" t="s">
        <v>2785</v>
      </c>
      <c r="X208" s="131">
        <v>42521</v>
      </c>
      <c r="Y208" s="109" t="s">
        <v>243</v>
      </c>
    </row>
    <row r="209" spans="1:30" ht="409.5" x14ac:dyDescent="0.25">
      <c r="A209" s="101" t="s">
        <v>3720</v>
      </c>
      <c r="B209" s="103" t="s">
        <v>3759</v>
      </c>
      <c r="C209" s="103" t="s">
        <v>3025</v>
      </c>
      <c r="D209" s="103" t="s">
        <v>119</v>
      </c>
      <c r="E209" s="103" t="s">
        <v>1430</v>
      </c>
      <c r="F209" s="103" t="s">
        <v>3337</v>
      </c>
      <c r="G209" s="103" t="s">
        <v>3345</v>
      </c>
      <c r="H209" s="111" t="s">
        <v>3762</v>
      </c>
      <c r="I209" s="103" t="s">
        <v>2388</v>
      </c>
      <c r="J209" s="103" t="s">
        <v>3346</v>
      </c>
      <c r="K209" s="108">
        <v>42491</v>
      </c>
      <c r="L209" s="11">
        <f ca="1">IFERROR(IF(AND(Y209&lt;&gt;"Concluído",Y209&lt;&gt;"Cancelado"),TODAY()-K209+1,Z209-K209),"")</f>
        <v>32</v>
      </c>
      <c r="M209" s="108">
        <v>42509</v>
      </c>
      <c r="N209" s="108" t="s">
        <v>2350</v>
      </c>
      <c r="O209" s="108" t="s">
        <v>2282</v>
      </c>
      <c r="P209" s="108">
        <v>42521</v>
      </c>
      <c r="Q209" s="103" t="s">
        <v>2350</v>
      </c>
      <c r="R209" s="44"/>
      <c r="S209" s="109" t="s">
        <v>3763</v>
      </c>
      <c r="T209" s="109" t="str">
        <f t="shared" si="3"/>
        <v xml:space="preserve">                                      
31/05 - Finalizando.</v>
      </c>
      <c r="V209" s="109" t="s">
        <v>2849</v>
      </c>
      <c r="W209" s="110" t="s">
        <v>2785</v>
      </c>
      <c r="X209" s="131">
        <v>42521</v>
      </c>
      <c r="Y209" s="109" t="s">
        <v>243</v>
      </c>
    </row>
    <row r="210" spans="1:30" ht="409.5" x14ac:dyDescent="0.25">
      <c r="A210" s="101" t="s">
        <v>3721</v>
      </c>
      <c r="B210" s="103" t="s">
        <v>3760</v>
      </c>
      <c r="C210" s="103" t="s">
        <v>3025</v>
      </c>
      <c r="D210" s="103" t="s">
        <v>119</v>
      </c>
      <c r="E210" s="103" t="s">
        <v>1430</v>
      </c>
      <c r="F210" s="103" t="s">
        <v>3337</v>
      </c>
      <c r="G210" s="103" t="s">
        <v>3345</v>
      </c>
      <c r="H210" s="111" t="s">
        <v>3762</v>
      </c>
      <c r="I210" s="103" t="s">
        <v>2388</v>
      </c>
      <c r="J210" s="103" t="s">
        <v>3346</v>
      </c>
      <c r="K210" s="108">
        <v>42491</v>
      </c>
      <c r="L210" s="11">
        <f ca="1">IFERROR(IF(AND(Y210&lt;&gt;"Concluído",Y210&lt;&gt;"Cancelado"),TODAY()-K210+1,Z210-K210),"")</f>
        <v>32</v>
      </c>
      <c r="M210" s="108">
        <v>42509</v>
      </c>
      <c r="N210" s="108" t="s">
        <v>2350</v>
      </c>
      <c r="O210" s="108" t="s">
        <v>2282</v>
      </c>
      <c r="P210" s="108">
        <v>42521</v>
      </c>
      <c r="Q210" s="103" t="s">
        <v>2350</v>
      </c>
      <c r="R210" s="44"/>
      <c r="S210" s="109" t="s">
        <v>3763</v>
      </c>
      <c r="T210" s="109" t="str">
        <f t="shared" si="3"/>
        <v xml:space="preserve">                                      
31/05 - Finalizando.</v>
      </c>
      <c r="V210" s="109" t="s">
        <v>2849</v>
      </c>
      <c r="W210" s="110" t="s">
        <v>2785</v>
      </c>
      <c r="X210" s="131">
        <v>42521</v>
      </c>
      <c r="Y210" s="109" t="s">
        <v>243</v>
      </c>
    </row>
    <row r="211" spans="1:30" ht="409.5" x14ac:dyDescent="0.25">
      <c r="A211" s="101" t="s">
        <v>3721</v>
      </c>
      <c r="B211" s="103" t="s">
        <v>3760</v>
      </c>
      <c r="C211" s="103" t="s">
        <v>3025</v>
      </c>
      <c r="D211" s="103" t="s">
        <v>119</v>
      </c>
      <c r="E211" s="103" t="s">
        <v>1430</v>
      </c>
      <c r="F211" s="103" t="s">
        <v>3337</v>
      </c>
      <c r="G211" s="103" t="s">
        <v>3345</v>
      </c>
      <c r="H211" s="111" t="s">
        <v>3762</v>
      </c>
      <c r="I211" s="103" t="s">
        <v>2388</v>
      </c>
      <c r="J211" s="103" t="s">
        <v>3346</v>
      </c>
      <c r="K211" s="108">
        <v>42491</v>
      </c>
      <c r="L211" s="11">
        <f ca="1">IFERROR(IF(AND(Y211&lt;&gt;"Concluído",Y211&lt;&gt;"Cancelado"),TODAY()-K211+1,Z211-K211),"")</f>
        <v>32</v>
      </c>
      <c r="M211" s="108">
        <v>42509</v>
      </c>
      <c r="N211" s="108" t="s">
        <v>2350</v>
      </c>
      <c r="O211" s="108" t="s">
        <v>2282</v>
      </c>
      <c r="P211" s="108">
        <v>42521</v>
      </c>
      <c r="Q211" s="103" t="s">
        <v>2350</v>
      </c>
      <c r="R211" s="44"/>
      <c r="S211" s="109" t="s">
        <v>3763</v>
      </c>
      <c r="T211" s="109" t="str">
        <f t="shared" si="3"/>
        <v xml:space="preserve">                                      
31/05 - Finalizando.</v>
      </c>
      <c r="V211" s="109" t="s">
        <v>2849</v>
      </c>
      <c r="W211" s="110" t="s">
        <v>2785</v>
      </c>
      <c r="X211" s="131">
        <v>42521</v>
      </c>
      <c r="Y211" s="109" t="s">
        <v>243</v>
      </c>
    </row>
    <row r="212" spans="1:30" ht="409.5" x14ac:dyDescent="0.25">
      <c r="A212" s="101" t="s">
        <v>3693</v>
      </c>
      <c r="B212" s="103" t="s">
        <v>3730</v>
      </c>
      <c r="C212" s="103" t="s">
        <v>3025</v>
      </c>
      <c r="D212" s="103" t="s">
        <v>119</v>
      </c>
      <c r="E212" s="103" t="s">
        <v>1430</v>
      </c>
      <c r="F212" s="103" t="s">
        <v>3337</v>
      </c>
      <c r="G212" s="103" t="s">
        <v>3345</v>
      </c>
      <c r="H212" s="111" t="s">
        <v>3762</v>
      </c>
      <c r="I212" s="103" t="s">
        <v>2388</v>
      </c>
      <c r="J212" s="103" t="s">
        <v>3346</v>
      </c>
      <c r="K212" s="108">
        <v>42491</v>
      </c>
      <c r="L212" s="11">
        <f ca="1">IFERROR(IF(AND(Y212&lt;&gt;"Concluído",Y212&lt;&gt;"Cancelado"),TODAY()-K212+1,Z212-K212),"")</f>
        <v>32</v>
      </c>
      <c r="M212" s="108">
        <v>42509</v>
      </c>
      <c r="N212" s="108" t="s">
        <v>2350</v>
      </c>
      <c r="O212" s="108" t="s">
        <v>2282</v>
      </c>
      <c r="P212" s="108">
        <v>42521</v>
      </c>
      <c r="Q212" s="103" t="s">
        <v>2350</v>
      </c>
      <c r="R212" s="44"/>
      <c r="S212" s="109" t="s">
        <v>3763</v>
      </c>
      <c r="T212" s="109" t="str">
        <f t="shared" si="3"/>
        <v xml:space="preserve">                                      
31/05 - Finalizando.</v>
      </c>
      <c r="V212" s="109" t="s">
        <v>2849</v>
      </c>
      <c r="W212" s="110" t="s">
        <v>2785</v>
      </c>
      <c r="X212" s="131">
        <v>42521</v>
      </c>
      <c r="Y212" s="109" t="s">
        <v>243</v>
      </c>
    </row>
    <row r="213" spans="1:30" ht="409.5" x14ac:dyDescent="0.25">
      <c r="A213" s="101" t="s">
        <v>3722</v>
      </c>
      <c r="B213" s="103" t="s">
        <v>3761</v>
      </c>
      <c r="C213" s="103" t="s">
        <v>3025</v>
      </c>
      <c r="D213" s="103" t="s">
        <v>119</v>
      </c>
      <c r="E213" s="103" t="s">
        <v>1430</v>
      </c>
      <c r="F213" s="103" t="s">
        <v>3337</v>
      </c>
      <c r="G213" s="103" t="s">
        <v>3345</v>
      </c>
      <c r="H213" s="111" t="s">
        <v>3762</v>
      </c>
      <c r="I213" s="103" t="s">
        <v>2388</v>
      </c>
      <c r="J213" s="103" t="s">
        <v>3346</v>
      </c>
      <c r="K213" s="108">
        <v>42491</v>
      </c>
      <c r="L213" s="11">
        <f ca="1">IFERROR(IF(AND(Y213&lt;&gt;"Concluído",Y213&lt;&gt;"Cancelado"),TODAY()-K213+1,Z213-K213),"")</f>
        <v>32</v>
      </c>
      <c r="M213" s="108">
        <v>42509</v>
      </c>
      <c r="N213" s="108" t="s">
        <v>2350</v>
      </c>
      <c r="O213" s="108" t="s">
        <v>2282</v>
      </c>
      <c r="P213" s="108">
        <v>42521</v>
      </c>
      <c r="Q213" s="103" t="s">
        <v>2350</v>
      </c>
      <c r="R213" s="44"/>
      <c r="S213" s="109" t="s">
        <v>3763</v>
      </c>
      <c r="T213" s="109" t="str">
        <f t="shared" si="3"/>
        <v xml:space="preserve">                                      
31/05 - Finalizando.</v>
      </c>
      <c r="V213" s="109" t="s">
        <v>2849</v>
      </c>
      <c r="W213" s="110" t="s">
        <v>2785</v>
      </c>
      <c r="X213" s="131">
        <v>42521</v>
      </c>
      <c r="Y213" s="109" t="s">
        <v>243</v>
      </c>
    </row>
    <row r="214" spans="1:30" ht="409.5" x14ac:dyDescent="0.25">
      <c r="A214" s="101" t="s">
        <v>3722</v>
      </c>
      <c r="B214" s="103" t="s">
        <v>3761</v>
      </c>
      <c r="C214" s="103" t="s">
        <v>3025</v>
      </c>
      <c r="D214" s="103" t="s">
        <v>119</v>
      </c>
      <c r="E214" s="103" t="s">
        <v>1430</v>
      </c>
      <c r="F214" s="103" t="s">
        <v>3337</v>
      </c>
      <c r="G214" s="103" t="s">
        <v>3345</v>
      </c>
      <c r="H214" s="111" t="s">
        <v>3762</v>
      </c>
      <c r="I214" s="103" t="s">
        <v>2388</v>
      </c>
      <c r="J214" s="103" t="s">
        <v>3346</v>
      </c>
      <c r="K214" s="108">
        <v>42491</v>
      </c>
      <c r="L214" s="11">
        <f ca="1">IFERROR(IF(AND(Y214&lt;&gt;"Concluído",Y214&lt;&gt;"Cancelado"),TODAY()-K214+1,Z214-K214),"")</f>
        <v>32</v>
      </c>
      <c r="M214" s="108">
        <v>42509</v>
      </c>
      <c r="N214" s="108" t="s">
        <v>2350</v>
      </c>
      <c r="O214" s="108" t="s">
        <v>2282</v>
      </c>
      <c r="P214" s="108">
        <v>42521</v>
      </c>
      <c r="Q214" s="103" t="s">
        <v>2350</v>
      </c>
      <c r="R214" s="44"/>
      <c r="S214" s="109" t="s">
        <v>3763</v>
      </c>
      <c r="T214" s="109" t="str">
        <f t="shared" si="3"/>
        <v xml:space="preserve">                                      
31/05 - Finalizando.</v>
      </c>
      <c r="V214" s="109" t="s">
        <v>2849</v>
      </c>
      <c r="W214" s="110" t="s">
        <v>2785</v>
      </c>
      <c r="X214" s="131">
        <v>42521</v>
      </c>
      <c r="Y214" s="109" t="s">
        <v>243</v>
      </c>
    </row>
    <row r="215" spans="1:30" ht="409.5" x14ac:dyDescent="0.25">
      <c r="A215" s="101" t="s">
        <v>3816</v>
      </c>
      <c r="B215" s="103" t="s">
        <v>3817</v>
      </c>
      <c r="C215" s="103" t="s">
        <v>3818</v>
      </c>
      <c r="D215" s="103" t="s">
        <v>119</v>
      </c>
      <c r="E215" s="103" t="s">
        <v>161</v>
      </c>
      <c r="F215" s="103" t="s">
        <v>3336</v>
      </c>
      <c r="G215" s="103" t="s">
        <v>3342</v>
      </c>
      <c r="H215" s="111" t="s">
        <v>177</v>
      </c>
      <c r="I215" s="103" t="s">
        <v>2375</v>
      </c>
      <c r="J215" s="103" t="s">
        <v>3346</v>
      </c>
      <c r="K215" s="108">
        <v>42501</v>
      </c>
      <c r="L215" s="103">
        <v>10</v>
      </c>
      <c r="M215" s="108">
        <v>42513</v>
      </c>
      <c r="N215" s="108" t="s">
        <v>273</v>
      </c>
      <c r="O215" s="108" t="s">
        <v>2306</v>
      </c>
      <c r="P215" s="108" t="s">
        <v>2306</v>
      </c>
      <c r="Q215" s="108" t="s">
        <v>2389</v>
      </c>
      <c r="R215" s="45"/>
      <c r="S215" s="109" t="s">
        <v>3819</v>
      </c>
      <c r="T215" s="109" t="str">
        <f t="shared" si="3"/>
        <v xml:space="preserve">                                      
31/05 - Devido ao cliente solicitar e precionar diretor o time do site, esse crescimento esta sendo executado pelo SD do Site Alegria, sem as devidas avaliações e fluxos pelas areas de TI;
30/05 - Recebimento da Demanda;</v>
      </c>
      <c r="V215" s="109" t="s">
        <v>2849</v>
      </c>
      <c r="W215" s="110" t="s">
        <v>3820</v>
      </c>
      <c r="X215" s="110">
        <v>42522</v>
      </c>
      <c r="Y215" s="109" t="s">
        <v>243</v>
      </c>
      <c r="AA215" s="109">
        <v>10</v>
      </c>
      <c r="AB215" s="103"/>
      <c r="AC215" s="103"/>
      <c r="AD215" s="103"/>
    </row>
    <row r="216" spans="1:30" ht="409.5" x14ac:dyDescent="0.25">
      <c r="A216" s="101" t="s">
        <v>3821</v>
      </c>
      <c r="B216" s="103" t="s">
        <v>3822</v>
      </c>
      <c r="C216" s="103" t="s">
        <v>3818</v>
      </c>
      <c r="D216" s="103" t="s">
        <v>119</v>
      </c>
      <c r="E216" s="103" t="s">
        <v>161</v>
      </c>
      <c r="F216" s="103" t="s">
        <v>3336</v>
      </c>
      <c r="G216" s="103" t="s">
        <v>3342</v>
      </c>
      <c r="H216" s="111" t="s">
        <v>177</v>
      </c>
      <c r="I216" s="103" t="s">
        <v>2375</v>
      </c>
      <c r="J216" s="103" t="s">
        <v>3346</v>
      </c>
      <c r="K216" s="108">
        <v>42507</v>
      </c>
      <c r="L216" s="103">
        <v>264</v>
      </c>
      <c r="M216" s="108">
        <v>42513</v>
      </c>
      <c r="N216" s="108" t="s">
        <v>273</v>
      </c>
      <c r="O216" s="108" t="s">
        <v>2306</v>
      </c>
      <c r="P216" s="108" t="s">
        <v>2306</v>
      </c>
      <c r="Q216" s="108" t="s">
        <v>2306</v>
      </c>
      <c r="R216" s="45"/>
      <c r="S216" s="109" t="s">
        <v>3823</v>
      </c>
      <c r="T216" s="109" t="str">
        <f t="shared" si="3"/>
        <v xml:space="preserve">                                      
31/05 - Aguardando definições de Layout, DE/PARA, </v>
      </c>
      <c r="V216" s="109" t="s">
        <v>3824</v>
      </c>
      <c r="W216" s="110" t="s">
        <v>2375</v>
      </c>
      <c r="X216" s="109" t="s">
        <v>348</v>
      </c>
      <c r="Y216" s="109" t="s">
        <v>107</v>
      </c>
      <c r="AB216" s="103"/>
      <c r="AC216" s="103"/>
      <c r="AD216" s="103"/>
    </row>
    <row r="217" spans="1:30" ht="409.5" x14ac:dyDescent="0.25">
      <c r="A217" s="101" t="s">
        <v>3825</v>
      </c>
      <c r="B217" s="103" t="s">
        <v>3826</v>
      </c>
      <c r="C217" s="103" t="s">
        <v>3818</v>
      </c>
      <c r="D217" s="103" t="s">
        <v>119</v>
      </c>
      <c r="E217" s="103" t="s">
        <v>159</v>
      </c>
      <c r="F217" s="103" t="s">
        <v>3339</v>
      </c>
      <c r="G217" s="103" t="s">
        <v>3373</v>
      </c>
      <c r="H217" s="111" t="s">
        <v>177</v>
      </c>
      <c r="I217" s="103" t="s">
        <v>2375</v>
      </c>
      <c r="J217" s="103" t="s">
        <v>3346</v>
      </c>
      <c r="K217" s="108">
        <v>42496</v>
      </c>
      <c r="L217" s="103">
        <v>117</v>
      </c>
      <c r="M217" s="108">
        <v>42513</v>
      </c>
      <c r="N217" s="108" t="s">
        <v>273</v>
      </c>
      <c r="O217" s="108" t="s">
        <v>2306</v>
      </c>
      <c r="P217" s="108" t="s">
        <v>2306</v>
      </c>
      <c r="Q217" s="108" t="s">
        <v>2306</v>
      </c>
      <c r="R217" s="45"/>
      <c r="S217" s="109" t="s">
        <v>3823</v>
      </c>
      <c r="T217" s="109" t="str">
        <f t="shared" si="3"/>
        <v xml:space="preserve">                                      
31/05 - Aguardando definições de Layout, DE/PARA, </v>
      </c>
      <c r="V217" s="109" t="s">
        <v>3824</v>
      </c>
      <c r="W217" s="110" t="s">
        <v>2375</v>
      </c>
      <c r="X217" s="109" t="s">
        <v>348</v>
      </c>
      <c r="Y217" s="109" t="s">
        <v>107</v>
      </c>
      <c r="AB217" s="103"/>
      <c r="AC217" s="103"/>
      <c r="AD217" s="103"/>
    </row>
  </sheetData>
  <autoFilter ref="A2:AD217"/>
  <dataConsolidate/>
  <mergeCells count="2">
    <mergeCell ref="V1:X1"/>
    <mergeCell ref="S1:U1"/>
  </mergeCells>
  <conditionalFormatting sqref="A83">
    <cfRule type="duplicateValues" dxfId="112" priority="6563"/>
  </conditionalFormatting>
  <conditionalFormatting sqref="A92">
    <cfRule type="duplicateValues" dxfId="111" priority="6564"/>
  </conditionalFormatting>
  <dataValidations count="4">
    <dataValidation type="list" allowBlank="1" showInputMessage="1" showErrorMessage="1" sqref="J44:J45 J84 J60 J122 J77 J164:J214 J150 J114:J115 J71 J50 J138 J135 J153:J156">
      <mc:AlternateContent xmlns:x12ac="http://schemas.microsoft.com/office/spreadsheetml/2011/1/ac" xmlns:mc="http://schemas.openxmlformats.org/markup-compatibility/2006">
        <mc:Choice Requires="x12ac">
          <x12ac:list>"Implantação de PA (crescimento, migração ou nova operação)", URA, Desenvolvimento, Infraestrutura,RTI,Upgrade de Tecnologia</x12ac:list>
        </mc:Choice>
        <mc:Fallback>
          <formula1>"Implantação de PA (crescimento, migração ou nova operação), URA, Desenvolvimento, Infraestrutura,RTI,Upgrade de Tecnologia"</formula1>
        </mc:Fallback>
      </mc:AlternateContent>
    </dataValidation>
    <dataValidation type="list" allowBlank="1" showInputMessage="1" showErrorMessage="1" sqref="J78:J83 J111:J113 J148 J46:J47 J51:J59 J61:J66 J116:J121 J68 J49 J161 J123:J131 J5:J43 J72:J76 J85:J109">
      <formula1>"Implantação de PA (crescimento, migração ou nova operação), URA, Desenvolvimento, Infraestrutura, RTI, Estruturantes, Upgrade de Tecnologia"</formula1>
    </dataValidation>
    <dataValidation type="list" allowBlank="1" showInputMessage="1" showErrorMessage="1" sqref="J48">
      <mc:AlternateContent xmlns:x12ac="http://schemas.microsoft.com/office/spreadsheetml/2011/1/ac" xmlns:mc="http://schemas.openxmlformats.org/markup-compatibility/2006">
        <mc:Choice Requires="x12ac">
          <x12ac:list>"Implantação de PA (crescimento, migração ou nova operação)", URA, Desenvolvimento, Infraestrutura, RTI, Estruturantes, Upgrade de Tecnologia</x12ac:list>
        </mc:Choice>
        <mc:Fallback>
          <formula1>"Implantação de PA (crescimento, migração ou nova operação), URA, Desenvolvimento, Infraestrutura, RTI, Estruturantes, Upgrade de Tecnologia"</formula1>
        </mc:Fallback>
      </mc:AlternateContent>
    </dataValidation>
    <dataValidation type="list" allowBlank="1" showInputMessage="1" showErrorMessage="1" sqref="J132 J162:J163 J136:J137 J157:J160 J3:J4 J67 J69:J70 J110 J139:J147 J151">
      <formula1>"Implantação de PA (crescimento, migração ou nova operação), URA, Desenvolvimento, Infraestrutura,RTI,Upgrade de Tecnologia"</formula1>
    </dataValidation>
  </dataValidations>
  <hyperlinks>
    <hyperlink ref="I89" r:id="rId1" display="http://tprocess-contax/secure/ViewProfile.jspa?name=191923"/>
    <hyperlink ref="B87" r:id="rId2" display="http://tprocess-contax/browse/CTXRECSA-457626"/>
  </hyperlinks>
  <pageMargins left="0.511811024" right="0.511811024" top="0.78740157499999996" bottom="0.78740157499999996" header="0.31496062000000002" footer="0.31496062000000002"/>
  <pageSetup orientation="portrait"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5"/>
  <dimension ref="A1:AG571"/>
  <sheetViews>
    <sheetView zoomScale="80" zoomScaleNormal="80" workbookViewId="0">
      <pane ySplit="2" topLeftCell="A551" activePane="bottomLeft" state="frozenSplit"/>
      <selection activeCell="A17" sqref="A17"/>
      <selection pane="bottomLeft" activeCell="A571" sqref="A571:XFD571"/>
    </sheetView>
  </sheetViews>
  <sheetFormatPr defaultRowHeight="15" x14ac:dyDescent="0.25"/>
  <cols>
    <col min="1" max="1" width="21.42578125" style="43" bestFit="1" customWidth="1"/>
    <col min="2" max="3" width="62.140625" style="43" customWidth="1"/>
    <col min="4" max="4" width="21.7109375" style="43" customWidth="1"/>
    <col min="5" max="8" width="24.7109375" style="43" customWidth="1"/>
    <col min="9" max="9" width="19.7109375" style="43" customWidth="1"/>
    <col min="10" max="10" width="19.7109375" style="43" bestFit="1" customWidth="1"/>
    <col min="11" max="11" width="39.7109375" style="43" customWidth="1"/>
    <col min="12" max="12" width="17.140625" style="80" bestFit="1" customWidth="1"/>
    <col min="13" max="14" width="17.140625" style="43" customWidth="1"/>
    <col min="15" max="15" width="28.7109375" style="43" bestFit="1" customWidth="1"/>
    <col min="16" max="16" width="28.7109375" style="43" customWidth="1"/>
    <col min="17" max="17" width="28.5703125" style="43" customWidth="1"/>
    <col min="18" max="21" width="37.140625" style="43" customWidth="1"/>
    <col min="22" max="22" width="31.42578125" style="43" bestFit="1" customWidth="1"/>
    <col min="23" max="23" width="20.7109375" style="43" bestFit="1" customWidth="1"/>
    <col min="24" max="24" width="23.7109375" style="48" bestFit="1" customWidth="1"/>
    <col min="25" max="25" width="14.42578125" style="48" customWidth="1"/>
    <col min="26" max="27" width="15.85546875" style="43" bestFit="1" customWidth="1"/>
    <col min="28" max="28" width="15.85546875" style="82" bestFit="1" customWidth="1"/>
    <col min="29" max="16384" width="9.140625" style="43"/>
  </cols>
  <sheetData>
    <row r="1" spans="1:28" ht="15.75" customHeight="1" x14ac:dyDescent="0.25">
      <c r="B1" s="163" t="s">
        <v>2581</v>
      </c>
      <c r="E1" s="48"/>
      <c r="F1" s="48"/>
      <c r="G1" s="48"/>
      <c r="H1" s="48"/>
      <c r="Y1" s="43"/>
      <c r="Z1" s="81"/>
    </row>
    <row r="2" spans="1:28" s="48" customFormat="1" x14ac:dyDescent="0.25">
      <c r="A2" s="156" t="s">
        <v>0</v>
      </c>
      <c r="B2" s="156" t="s">
        <v>180</v>
      </c>
      <c r="C2" s="156" t="s">
        <v>3021</v>
      </c>
      <c r="D2" s="156" t="s">
        <v>2278</v>
      </c>
      <c r="E2" s="156" t="s">
        <v>3323</v>
      </c>
      <c r="F2" s="156" t="s">
        <v>3324</v>
      </c>
      <c r="G2" s="156" t="s">
        <v>3325</v>
      </c>
      <c r="H2" s="157" t="s">
        <v>2533</v>
      </c>
      <c r="I2" s="156" t="s">
        <v>2279</v>
      </c>
      <c r="J2" s="156" t="s">
        <v>1</v>
      </c>
      <c r="K2" s="158" t="s">
        <v>247</v>
      </c>
      <c r="L2" s="156" t="s">
        <v>178</v>
      </c>
      <c r="M2" s="158" t="s">
        <v>346</v>
      </c>
      <c r="N2" s="158" t="s">
        <v>3347</v>
      </c>
      <c r="O2" s="158" t="s">
        <v>3348</v>
      </c>
      <c r="P2" s="158" t="s">
        <v>2280</v>
      </c>
      <c r="Q2" s="156" t="s">
        <v>3326</v>
      </c>
      <c r="R2" s="156" t="s">
        <v>296</v>
      </c>
      <c r="S2" s="156" t="s">
        <v>2283</v>
      </c>
      <c r="T2" s="159" t="s">
        <v>2740</v>
      </c>
      <c r="U2" s="159" t="s">
        <v>2741</v>
      </c>
      <c r="V2" s="159" t="s">
        <v>2742</v>
      </c>
      <c r="W2" s="156" t="s">
        <v>248</v>
      </c>
      <c r="X2" s="158" t="s">
        <v>249</v>
      </c>
      <c r="Y2" s="156" t="s">
        <v>2284</v>
      </c>
      <c r="Z2" s="156" t="s">
        <v>2285</v>
      </c>
      <c r="AA2" s="156" t="s">
        <v>1425</v>
      </c>
      <c r="AB2" s="156" t="s">
        <v>2688</v>
      </c>
    </row>
    <row r="3" spans="1:28" s="35" customFormat="1" ht="50.1" customHeight="1" x14ac:dyDescent="0.25">
      <c r="A3" s="5" t="s">
        <v>275</v>
      </c>
      <c r="B3" s="5" t="s">
        <v>366</v>
      </c>
      <c r="C3" s="5"/>
      <c r="D3" s="5" t="s">
        <v>119</v>
      </c>
      <c r="E3" s="42" t="s">
        <v>239</v>
      </c>
      <c r="F3" s="42"/>
      <c r="G3" s="42"/>
      <c r="H3" s="42"/>
      <c r="I3" s="84"/>
      <c r="J3" s="5"/>
      <c r="K3" s="5" t="s">
        <v>343</v>
      </c>
      <c r="L3" s="10">
        <v>42164</v>
      </c>
      <c r="M3" s="11">
        <f t="shared" ref="M3:M34" ca="1" si="0">IFERROR(IF(AND(W3&lt;&gt;"Concluído",W3&lt;&gt;"Cancelado"),TODAY()-L3+1,X3-L3),"")</f>
        <v>140</v>
      </c>
      <c r="N3" s="13">
        <v>42217</v>
      </c>
      <c r="O3" s="14">
        <v>42277</v>
      </c>
      <c r="P3" s="14"/>
      <c r="Q3" s="17"/>
      <c r="R3" s="5" t="s">
        <v>1499</v>
      </c>
      <c r="S3" s="5"/>
      <c r="T3" s="5"/>
      <c r="U3" s="5"/>
      <c r="W3" s="5" t="s">
        <v>156</v>
      </c>
      <c r="X3" s="14">
        <v>42304</v>
      </c>
      <c r="Y3" s="40">
        <v>99</v>
      </c>
      <c r="Z3" s="40"/>
      <c r="AA3" s="40"/>
      <c r="AB3" s="40"/>
    </row>
    <row r="4" spans="1:28" s="35" customFormat="1" ht="50.1" customHeight="1" x14ac:dyDescent="0.25">
      <c r="A4" s="5" t="s">
        <v>1447</v>
      </c>
      <c r="B4" s="43" t="s">
        <v>1450</v>
      </c>
      <c r="C4" s="43"/>
      <c r="D4" s="43" t="s">
        <v>118</v>
      </c>
      <c r="E4" s="42" t="s">
        <v>94</v>
      </c>
      <c r="F4" s="42"/>
      <c r="G4" s="42"/>
      <c r="H4" s="42"/>
      <c r="I4" s="84"/>
      <c r="J4" s="5"/>
      <c r="K4" s="5" t="s">
        <v>343</v>
      </c>
      <c r="L4" s="49">
        <v>42286</v>
      </c>
      <c r="M4" s="11">
        <f t="shared" ca="1" si="0"/>
        <v>28</v>
      </c>
      <c r="N4" s="85">
        <v>42298</v>
      </c>
      <c r="O4" s="14"/>
      <c r="P4" s="14"/>
      <c r="Q4" s="17"/>
      <c r="R4" s="43" t="s">
        <v>1692</v>
      </c>
      <c r="S4" s="43"/>
      <c r="T4" s="43"/>
      <c r="U4" s="43"/>
      <c r="W4" s="43" t="s">
        <v>156</v>
      </c>
      <c r="X4" s="86">
        <v>42314</v>
      </c>
      <c r="Y4" s="48">
        <v>14</v>
      </c>
      <c r="Z4" s="40"/>
      <c r="AA4" s="40"/>
      <c r="AB4" s="40"/>
    </row>
    <row r="5" spans="1:28" s="35" customFormat="1" ht="50.1" customHeight="1" x14ac:dyDescent="0.25">
      <c r="A5" s="5" t="s">
        <v>1446</v>
      </c>
      <c r="B5" s="43" t="s">
        <v>1408</v>
      </c>
      <c r="C5" s="43"/>
      <c r="D5" s="43" t="s">
        <v>118</v>
      </c>
      <c r="E5" s="42" t="s">
        <v>94</v>
      </c>
      <c r="F5" s="42"/>
      <c r="G5" s="42"/>
      <c r="H5" s="42"/>
      <c r="I5" s="84"/>
      <c r="J5" s="5"/>
      <c r="K5" s="5" t="s">
        <v>343</v>
      </c>
      <c r="L5" s="49">
        <v>42286</v>
      </c>
      <c r="M5" s="11">
        <f t="shared" ca="1" si="0"/>
        <v>28</v>
      </c>
      <c r="N5" s="85">
        <v>42298</v>
      </c>
      <c r="O5" s="14"/>
      <c r="P5" s="14"/>
      <c r="Q5" s="17"/>
      <c r="R5" s="43" t="s">
        <v>1692</v>
      </c>
      <c r="S5" s="43"/>
      <c r="T5" s="43"/>
      <c r="U5" s="43"/>
      <c r="W5" s="43" t="s">
        <v>156</v>
      </c>
      <c r="X5" s="86">
        <v>42314</v>
      </c>
      <c r="Y5" s="48">
        <v>15</v>
      </c>
      <c r="Z5" s="40"/>
      <c r="AA5" s="40"/>
      <c r="AB5" s="40"/>
    </row>
    <row r="6" spans="1:28" s="35" customFormat="1" ht="50.1" customHeight="1" x14ac:dyDescent="0.25">
      <c r="A6" s="5" t="s">
        <v>1448</v>
      </c>
      <c r="B6" s="43" t="s">
        <v>1451</v>
      </c>
      <c r="C6" s="43"/>
      <c r="D6" s="43" t="s">
        <v>118</v>
      </c>
      <c r="E6" s="42" t="s">
        <v>94</v>
      </c>
      <c r="F6" s="42"/>
      <c r="G6" s="42"/>
      <c r="H6" s="42"/>
      <c r="I6" s="84"/>
      <c r="J6" s="5"/>
      <c r="K6" s="5" t="s">
        <v>343</v>
      </c>
      <c r="L6" s="49">
        <v>42292</v>
      </c>
      <c r="M6" s="11">
        <f t="shared" ca="1" si="0"/>
        <v>20</v>
      </c>
      <c r="N6" s="85">
        <v>42298</v>
      </c>
      <c r="O6" s="14"/>
      <c r="P6" s="14"/>
      <c r="Q6" s="36"/>
      <c r="R6" s="43" t="s">
        <v>1693</v>
      </c>
      <c r="S6" s="43"/>
      <c r="T6" s="43"/>
      <c r="U6" s="43"/>
      <c r="W6" s="43" t="s">
        <v>188</v>
      </c>
      <c r="X6" s="86">
        <v>42312</v>
      </c>
      <c r="Y6" s="48">
        <v>15</v>
      </c>
      <c r="Z6" s="40"/>
      <c r="AA6" s="40"/>
      <c r="AB6" s="40"/>
    </row>
    <row r="7" spans="1:28" s="35" customFormat="1" ht="50.1" customHeight="1" x14ac:dyDescent="0.25">
      <c r="A7" s="5" t="s">
        <v>3514</v>
      </c>
      <c r="B7" s="43" t="s">
        <v>1475</v>
      </c>
      <c r="C7" s="43"/>
      <c r="D7" s="43" t="s">
        <v>119</v>
      </c>
      <c r="E7" s="42" t="s">
        <v>94</v>
      </c>
      <c r="F7" s="42"/>
      <c r="G7" s="42"/>
      <c r="H7" s="42"/>
      <c r="I7" s="84"/>
      <c r="J7" s="5" t="s">
        <v>2282</v>
      </c>
      <c r="K7" s="5" t="s">
        <v>343</v>
      </c>
      <c r="L7" s="87">
        <v>42297</v>
      </c>
      <c r="M7" s="11">
        <f t="shared" ca="1" si="0"/>
        <v>42</v>
      </c>
      <c r="N7" s="85">
        <v>42299</v>
      </c>
      <c r="O7" s="14"/>
      <c r="P7" s="14"/>
      <c r="Q7" s="17"/>
      <c r="R7" s="88" t="s">
        <v>2252</v>
      </c>
      <c r="S7" s="88"/>
      <c r="T7" s="88"/>
      <c r="U7" s="88"/>
      <c r="W7" s="43" t="s">
        <v>156</v>
      </c>
      <c r="X7" s="86">
        <v>42339</v>
      </c>
      <c r="Y7" s="48">
        <v>6</v>
      </c>
      <c r="Z7" s="40"/>
      <c r="AA7" s="40"/>
      <c r="AB7" s="40"/>
    </row>
    <row r="8" spans="1:28" s="35" customFormat="1" ht="39.950000000000003" customHeight="1" x14ac:dyDescent="0.25">
      <c r="A8" s="5" t="s">
        <v>3515</v>
      </c>
      <c r="B8" s="5" t="s">
        <v>1529</v>
      </c>
      <c r="C8" s="5"/>
      <c r="D8" s="5" t="s">
        <v>119</v>
      </c>
      <c r="E8" s="42" t="s">
        <v>94</v>
      </c>
      <c r="F8" s="42"/>
      <c r="G8" s="42"/>
      <c r="H8" s="42"/>
      <c r="I8" s="84"/>
      <c r="J8" s="5"/>
      <c r="K8" s="5" t="s">
        <v>343</v>
      </c>
      <c r="L8" s="49">
        <v>42312</v>
      </c>
      <c r="M8" s="11">
        <f t="shared" ca="1" si="0"/>
        <v>27</v>
      </c>
      <c r="N8" s="13">
        <v>42318</v>
      </c>
      <c r="O8" s="14"/>
      <c r="P8" s="14"/>
      <c r="Q8" s="17"/>
      <c r="R8" s="88" t="s">
        <v>2252</v>
      </c>
      <c r="S8" s="88"/>
      <c r="T8" s="88"/>
      <c r="U8" s="88"/>
      <c r="W8" s="43" t="s">
        <v>156</v>
      </c>
      <c r="X8" s="86">
        <v>42339</v>
      </c>
      <c r="Y8" s="40">
        <v>5</v>
      </c>
      <c r="Z8" s="40"/>
      <c r="AA8" s="40"/>
      <c r="AB8" s="40"/>
    </row>
    <row r="9" spans="1:28" s="35" customFormat="1" ht="135" customHeight="1" x14ac:dyDescent="0.25">
      <c r="A9" s="5" t="s">
        <v>3516</v>
      </c>
      <c r="B9" s="5" t="s">
        <v>1530</v>
      </c>
      <c r="C9" s="5"/>
      <c r="D9" s="5" t="s">
        <v>119</v>
      </c>
      <c r="E9" s="42" t="s">
        <v>94</v>
      </c>
      <c r="F9" s="42"/>
      <c r="G9" s="42"/>
      <c r="H9" s="42"/>
      <c r="I9" s="84"/>
      <c r="J9" s="5"/>
      <c r="K9" s="5" t="s">
        <v>343</v>
      </c>
      <c r="L9" s="49">
        <v>42312</v>
      </c>
      <c r="M9" s="11">
        <f t="shared" ca="1" si="0"/>
        <v>27</v>
      </c>
      <c r="N9" s="13">
        <v>42318</v>
      </c>
      <c r="O9" s="14"/>
      <c r="P9" s="14"/>
      <c r="Q9" s="17"/>
      <c r="R9" s="88" t="s">
        <v>2252</v>
      </c>
      <c r="S9" s="88"/>
      <c r="T9" s="88"/>
      <c r="U9" s="88"/>
      <c r="W9" s="43" t="s">
        <v>156</v>
      </c>
      <c r="X9" s="86">
        <v>42339</v>
      </c>
      <c r="Y9" s="40">
        <v>4</v>
      </c>
      <c r="Z9" s="40"/>
      <c r="AA9" s="40"/>
      <c r="AB9" s="40"/>
    </row>
    <row r="10" spans="1:28" s="35" customFormat="1" ht="50.1" customHeight="1" x14ac:dyDescent="0.25">
      <c r="A10" s="5" t="s">
        <v>3517</v>
      </c>
      <c r="B10" s="5" t="s">
        <v>1527</v>
      </c>
      <c r="C10" s="5"/>
      <c r="D10" s="5" t="s">
        <v>119</v>
      </c>
      <c r="E10" s="42" t="s">
        <v>94</v>
      </c>
      <c r="F10" s="42"/>
      <c r="G10" s="42"/>
      <c r="H10" s="42"/>
      <c r="I10" s="84"/>
      <c r="J10" s="5"/>
      <c r="K10" s="5" t="s">
        <v>343</v>
      </c>
      <c r="L10" s="49">
        <v>42312</v>
      </c>
      <c r="M10" s="11">
        <f t="shared" ca="1" si="0"/>
        <v>27</v>
      </c>
      <c r="N10" s="13">
        <v>42318</v>
      </c>
      <c r="O10" s="14"/>
      <c r="P10" s="14"/>
      <c r="Q10" s="17"/>
      <c r="R10" s="88" t="s">
        <v>2252</v>
      </c>
      <c r="S10" s="88"/>
      <c r="T10" s="88"/>
      <c r="U10" s="88"/>
      <c r="W10" s="43" t="s">
        <v>156</v>
      </c>
      <c r="X10" s="86">
        <v>42339</v>
      </c>
      <c r="Y10" s="40">
        <v>20</v>
      </c>
      <c r="Z10" s="40"/>
      <c r="AA10" s="40"/>
      <c r="AB10" s="40"/>
    </row>
    <row r="11" spans="1:28" s="35" customFormat="1" ht="50.1" customHeight="1" x14ac:dyDescent="0.25">
      <c r="A11" s="5" t="s">
        <v>3518</v>
      </c>
      <c r="B11" s="5" t="s">
        <v>1525</v>
      </c>
      <c r="C11" s="5"/>
      <c r="D11" s="5" t="s">
        <v>119</v>
      </c>
      <c r="E11" s="42" t="s">
        <v>94</v>
      </c>
      <c r="F11" s="42"/>
      <c r="G11" s="42"/>
      <c r="H11" s="42"/>
      <c r="I11" s="84"/>
      <c r="J11" s="5"/>
      <c r="K11" s="5" t="s">
        <v>343</v>
      </c>
      <c r="L11" s="49">
        <v>42312</v>
      </c>
      <c r="M11" s="11">
        <f t="shared" ca="1" si="0"/>
        <v>27</v>
      </c>
      <c r="N11" s="13">
        <v>42318</v>
      </c>
      <c r="O11" s="14"/>
      <c r="P11" s="14"/>
      <c r="Q11" s="17"/>
      <c r="R11" s="88" t="s">
        <v>2252</v>
      </c>
      <c r="S11" s="88"/>
      <c r="T11" s="88"/>
      <c r="U11" s="88"/>
      <c r="W11" s="43" t="s">
        <v>156</v>
      </c>
      <c r="X11" s="86">
        <v>42339</v>
      </c>
      <c r="Y11" s="40">
        <v>22</v>
      </c>
      <c r="Z11" s="40"/>
      <c r="AA11" s="40"/>
      <c r="AB11" s="40"/>
    </row>
    <row r="12" spans="1:28" s="35" customFormat="1" ht="50.1" customHeight="1" x14ac:dyDescent="0.25">
      <c r="A12" s="5" t="s">
        <v>3519</v>
      </c>
      <c r="B12" s="5" t="s">
        <v>1526</v>
      </c>
      <c r="C12" s="5"/>
      <c r="D12" s="5" t="s">
        <v>119</v>
      </c>
      <c r="E12" s="42" t="s">
        <v>94</v>
      </c>
      <c r="F12" s="42"/>
      <c r="G12" s="42"/>
      <c r="H12" s="42"/>
      <c r="I12" s="84"/>
      <c r="J12" s="5"/>
      <c r="K12" s="5" t="s">
        <v>343</v>
      </c>
      <c r="L12" s="49">
        <v>42312</v>
      </c>
      <c r="M12" s="11">
        <f t="shared" ca="1" si="0"/>
        <v>27</v>
      </c>
      <c r="N12" s="13">
        <v>42318</v>
      </c>
      <c r="O12" s="14"/>
      <c r="P12" s="14"/>
      <c r="Q12" s="17"/>
      <c r="R12" s="88" t="s">
        <v>2252</v>
      </c>
      <c r="S12" s="88"/>
      <c r="T12" s="88"/>
      <c r="U12" s="88"/>
      <c r="W12" s="43" t="s">
        <v>156</v>
      </c>
      <c r="X12" s="86">
        <v>42339</v>
      </c>
      <c r="Y12" s="40">
        <v>21</v>
      </c>
      <c r="Z12" s="40"/>
      <c r="AA12" s="40"/>
      <c r="AB12" s="40"/>
    </row>
    <row r="13" spans="1:28" s="35" customFormat="1" ht="50.1" customHeight="1" x14ac:dyDescent="0.25">
      <c r="A13" s="5" t="s">
        <v>3520</v>
      </c>
      <c r="B13" s="5" t="s">
        <v>1528</v>
      </c>
      <c r="C13" s="5"/>
      <c r="D13" s="5" t="s">
        <v>119</v>
      </c>
      <c r="E13" s="42" t="s">
        <v>94</v>
      </c>
      <c r="F13" s="42"/>
      <c r="G13" s="42"/>
      <c r="H13" s="42"/>
      <c r="I13" s="84"/>
      <c r="J13" s="5"/>
      <c r="K13" s="5" t="s">
        <v>343</v>
      </c>
      <c r="L13" s="49">
        <v>42312</v>
      </c>
      <c r="M13" s="11">
        <f t="shared" ca="1" si="0"/>
        <v>27</v>
      </c>
      <c r="N13" s="13">
        <v>42318</v>
      </c>
      <c r="O13" s="14"/>
      <c r="P13" s="14"/>
      <c r="Q13" s="17"/>
      <c r="R13" s="88" t="s">
        <v>2252</v>
      </c>
      <c r="S13" s="88"/>
      <c r="T13" s="88"/>
      <c r="U13" s="88"/>
      <c r="W13" s="43" t="s">
        <v>156</v>
      </c>
      <c r="X13" s="86">
        <v>42339</v>
      </c>
      <c r="Y13" s="40">
        <v>15</v>
      </c>
      <c r="Z13" s="40"/>
      <c r="AA13" s="40"/>
      <c r="AB13" s="40"/>
    </row>
    <row r="14" spans="1:28" s="35" customFormat="1" ht="50.1" customHeight="1" x14ac:dyDescent="0.25">
      <c r="A14" s="5" t="s">
        <v>3521</v>
      </c>
      <c r="B14" s="5" t="s">
        <v>1524</v>
      </c>
      <c r="C14" s="5"/>
      <c r="D14" s="5" t="s">
        <v>119</v>
      </c>
      <c r="E14" s="42" t="s">
        <v>94</v>
      </c>
      <c r="F14" s="42"/>
      <c r="G14" s="42"/>
      <c r="H14" s="42"/>
      <c r="I14" s="84"/>
      <c r="J14" s="5"/>
      <c r="K14" s="5" t="s">
        <v>343</v>
      </c>
      <c r="L14" s="49">
        <v>42317</v>
      </c>
      <c r="M14" s="11">
        <f t="shared" ca="1" si="0"/>
        <v>22</v>
      </c>
      <c r="N14" s="13">
        <v>42318</v>
      </c>
      <c r="O14" s="14"/>
      <c r="P14" s="14"/>
      <c r="Q14" s="17"/>
      <c r="R14" s="88" t="s">
        <v>2252</v>
      </c>
      <c r="S14" s="88"/>
      <c r="T14" s="88"/>
      <c r="U14" s="88"/>
      <c r="W14" s="43" t="s">
        <v>156</v>
      </c>
      <c r="X14" s="86">
        <v>42339</v>
      </c>
      <c r="Y14" s="40">
        <v>23</v>
      </c>
      <c r="Z14" s="40"/>
      <c r="AA14" s="40"/>
      <c r="AB14" s="40"/>
    </row>
    <row r="15" spans="1:28" s="35" customFormat="1" ht="50.1" customHeight="1" x14ac:dyDescent="0.25">
      <c r="A15" s="5" t="s">
        <v>1675</v>
      </c>
      <c r="B15" s="43" t="s">
        <v>1676</v>
      </c>
      <c r="C15" s="43"/>
      <c r="D15" s="5" t="s">
        <v>119</v>
      </c>
      <c r="E15" s="42" t="s">
        <v>94</v>
      </c>
      <c r="F15" s="42"/>
      <c r="G15" s="42"/>
      <c r="H15" s="42"/>
      <c r="I15" s="84"/>
      <c r="J15" s="5" t="s">
        <v>2282</v>
      </c>
      <c r="K15" s="5" t="s">
        <v>343</v>
      </c>
      <c r="L15" s="87">
        <v>42319</v>
      </c>
      <c r="M15" s="11">
        <f t="shared" ca="1" si="0"/>
        <v>20</v>
      </c>
      <c r="N15" s="13">
        <v>42325</v>
      </c>
      <c r="O15" s="14"/>
      <c r="P15" s="89"/>
      <c r="Q15" s="17"/>
      <c r="R15" s="88" t="s">
        <v>2252</v>
      </c>
      <c r="S15" s="88"/>
      <c r="T15" s="88"/>
      <c r="U15" s="88"/>
      <c r="W15" s="43" t="s">
        <v>156</v>
      </c>
      <c r="X15" s="86">
        <v>42339</v>
      </c>
      <c r="Y15" s="48">
        <v>26</v>
      </c>
      <c r="Z15" s="40"/>
      <c r="AA15" s="40"/>
      <c r="AB15" s="40"/>
    </row>
    <row r="16" spans="1:28" s="35" customFormat="1" ht="30" customHeight="1" x14ac:dyDescent="0.25">
      <c r="A16" s="5" t="s">
        <v>1673</v>
      </c>
      <c r="B16" s="43" t="s">
        <v>1674</v>
      </c>
      <c r="C16" s="43"/>
      <c r="D16" s="5" t="s">
        <v>119</v>
      </c>
      <c r="E16" s="42" t="s">
        <v>94</v>
      </c>
      <c r="F16" s="42"/>
      <c r="G16" s="42"/>
      <c r="H16" s="42"/>
      <c r="I16" s="84"/>
      <c r="J16" s="5" t="s">
        <v>2282</v>
      </c>
      <c r="K16" s="5" t="s">
        <v>343</v>
      </c>
      <c r="L16" s="87">
        <v>42319</v>
      </c>
      <c r="M16" s="11">
        <f t="shared" ca="1" si="0"/>
        <v>20</v>
      </c>
      <c r="N16" s="13">
        <v>42325</v>
      </c>
      <c r="O16" s="14"/>
      <c r="P16" s="14"/>
      <c r="Q16" s="17"/>
      <c r="R16" s="88" t="s">
        <v>2252</v>
      </c>
      <c r="S16" s="88"/>
      <c r="T16" s="88"/>
      <c r="U16" s="88"/>
      <c r="W16" s="43" t="s">
        <v>156</v>
      </c>
      <c r="X16" s="86">
        <v>42339</v>
      </c>
      <c r="Y16" s="48">
        <v>8</v>
      </c>
      <c r="Z16" s="40"/>
      <c r="AA16" s="40"/>
      <c r="AB16" s="40"/>
    </row>
    <row r="17" spans="1:28" s="35" customFormat="1" ht="50.1" customHeight="1" x14ac:dyDescent="0.25">
      <c r="A17" s="5" t="s">
        <v>1677</v>
      </c>
      <c r="B17" s="43" t="s">
        <v>1678</v>
      </c>
      <c r="C17" s="43"/>
      <c r="D17" s="5" t="s">
        <v>119</v>
      </c>
      <c r="E17" s="42" t="s">
        <v>94</v>
      </c>
      <c r="F17" s="42"/>
      <c r="G17" s="42"/>
      <c r="H17" s="42"/>
      <c r="I17" s="84"/>
      <c r="J17" s="5" t="s">
        <v>2282</v>
      </c>
      <c r="K17" s="5" t="s">
        <v>343</v>
      </c>
      <c r="L17" s="87">
        <v>42319</v>
      </c>
      <c r="M17" s="11">
        <f t="shared" ca="1" si="0"/>
        <v>20</v>
      </c>
      <c r="N17" s="13">
        <v>42325</v>
      </c>
      <c r="O17" s="14"/>
      <c r="P17" s="14"/>
      <c r="Q17" s="17"/>
      <c r="R17" s="88" t="s">
        <v>2252</v>
      </c>
      <c r="S17" s="88"/>
      <c r="T17" s="88"/>
      <c r="U17" s="88"/>
      <c r="W17" s="43" t="s">
        <v>156</v>
      </c>
      <c r="X17" s="86">
        <v>42339</v>
      </c>
      <c r="Y17" s="48">
        <v>20</v>
      </c>
      <c r="Z17" s="40"/>
      <c r="AA17" s="40"/>
      <c r="AB17" s="40"/>
    </row>
    <row r="18" spans="1:28" s="35" customFormat="1" ht="50.1" customHeight="1" x14ac:dyDescent="0.25">
      <c r="A18" s="5" t="s">
        <v>1679</v>
      </c>
      <c r="B18" s="43" t="s">
        <v>1680</v>
      </c>
      <c r="C18" s="43"/>
      <c r="D18" s="5" t="s">
        <v>119</v>
      </c>
      <c r="E18" s="42" t="s">
        <v>94</v>
      </c>
      <c r="F18" s="42"/>
      <c r="G18" s="42"/>
      <c r="H18" s="42"/>
      <c r="I18" s="84"/>
      <c r="J18" s="5" t="s">
        <v>2282</v>
      </c>
      <c r="K18" s="5" t="s">
        <v>343</v>
      </c>
      <c r="L18" s="87">
        <v>42319</v>
      </c>
      <c r="M18" s="11">
        <f t="shared" ca="1" si="0"/>
        <v>20</v>
      </c>
      <c r="N18" s="13">
        <v>42325</v>
      </c>
      <c r="O18" s="14"/>
      <c r="P18" s="14"/>
      <c r="Q18" s="17"/>
      <c r="R18" s="88" t="s">
        <v>2252</v>
      </c>
      <c r="S18" s="88"/>
      <c r="T18" s="88"/>
      <c r="U18" s="88"/>
      <c r="W18" s="43" t="s">
        <v>156</v>
      </c>
      <c r="X18" s="86">
        <v>42339</v>
      </c>
      <c r="Y18" s="48">
        <v>13</v>
      </c>
      <c r="Z18" s="40"/>
      <c r="AA18" s="40"/>
      <c r="AB18" s="40"/>
    </row>
    <row r="19" spans="1:28" s="35" customFormat="1" ht="50.1" customHeight="1" x14ac:dyDescent="0.25">
      <c r="A19" s="5" t="s">
        <v>1681</v>
      </c>
      <c r="B19" s="43" t="s">
        <v>1682</v>
      </c>
      <c r="C19" s="43"/>
      <c r="D19" s="5" t="s">
        <v>119</v>
      </c>
      <c r="E19" s="42" t="s">
        <v>94</v>
      </c>
      <c r="F19" s="42"/>
      <c r="G19" s="42"/>
      <c r="H19" s="42"/>
      <c r="I19" s="84"/>
      <c r="J19" s="5"/>
      <c r="K19" s="5" t="s">
        <v>343</v>
      </c>
      <c r="L19" s="49">
        <v>42319</v>
      </c>
      <c r="M19" s="11">
        <f t="shared" ca="1" si="0"/>
        <v>20</v>
      </c>
      <c r="N19" s="13">
        <v>42325</v>
      </c>
      <c r="O19" s="14"/>
      <c r="P19" s="14"/>
      <c r="Q19" s="17"/>
      <c r="R19" s="88" t="s">
        <v>2252</v>
      </c>
      <c r="S19" s="88"/>
      <c r="T19" s="88"/>
      <c r="U19" s="88"/>
      <c r="W19" s="43" t="s">
        <v>156</v>
      </c>
      <c r="X19" s="86">
        <v>42339</v>
      </c>
      <c r="Y19" s="48">
        <v>62</v>
      </c>
      <c r="Z19" s="40"/>
      <c r="AA19" s="40"/>
      <c r="AB19" s="40"/>
    </row>
    <row r="20" spans="1:28" s="35" customFormat="1" ht="50.1" customHeight="1" x14ac:dyDescent="0.25">
      <c r="A20" s="5" t="s">
        <v>1683</v>
      </c>
      <c r="B20" s="43" t="s">
        <v>1684</v>
      </c>
      <c r="C20" s="43"/>
      <c r="D20" s="5" t="s">
        <v>119</v>
      </c>
      <c r="E20" s="42" t="s">
        <v>94</v>
      </c>
      <c r="F20" s="42"/>
      <c r="G20" s="42"/>
      <c r="H20" s="42"/>
      <c r="I20" s="84"/>
      <c r="J20" s="5"/>
      <c r="K20" s="5" t="s">
        <v>343</v>
      </c>
      <c r="L20" s="49">
        <v>42319</v>
      </c>
      <c r="M20" s="11">
        <f t="shared" ca="1" si="0"/>
        <v>20</v>
      </c>
      <c r="N20" s="13">
        <v>42325</v>
      </c>
      <c r="O20" s="14"/>
      <c r="P20" s="14"/>
      <c r="Q20" s="17"/>
      <c r="R20" s="88" t="s">
        <v>2252</v>
      </c>
      <c r="S20" s="88"/>
      <c r="T20" s="88"/>
      <c r="U20" s="88"/>
      <c r="W20" s="43" t="s">
        <v>156</v>
      </c>
      <c r="X20" s="86">
        <v>42339</v>
      </c>
      <c r="Y20" s="48">
        <v>41</v>
      </c>
      <c r="Z20" s="40"/>
      <c r="AA20" s="40"/>
      <c r="AB20" s="40"/>
    </row>
    <row r="21" spans="1:28" s="35" customFormat="1" ht="50.1" customHeight="1" x14ac:dyDescent="0.25">
      <c r="A21" s="5" t="s">
        <v>1685</v>
      </c>
      <c r="B21" s="43" t="s">
        <v>1686</v>
      </c>
      <c r="C21" s="43"/>
      <c r="D21" s="5" t="s">
        <v>119</v>
      </c>
      <c r="E21" s="42" t="s">
        <v>94</v>
      </c>
      <c r="F21" s="42"/>
      <c r="G21" s="42"/>
      <c r="H21" s="42"/>
      <c r="I21" s="84"/>
      <c r="J21" s="5"/>
      <c r="K21" s="5" t="s">
        <v>343</v>
      </c>
      <c r="L21" s="49">
        <v>42319</v>
      </c>
      <c r="M21" s="11">
        <f t="shared" ca="1" si="0"/>
        <v>20</v>
      </c>
      <c r="N21" s="13">
        <v>42325</v>
      </c>
      <c r="O21" s="14"/>
      <c r="P21" s="14"/>
      <c r="Q21" s="17"/>
      <c r="R21" s="88" t="s">
        <v>2252</v>
      </c>
      <c r="S21" s="88"/>
      <c r="T21" s="88"/>
      <c r="U21" s="88"/>
      <c r="W21" s="43" t="s">
        <v>156</v>
      </c>
      <c r="X21" s="86">
        <v>42339</v>
      </c>
      <c r="Y21" s="48">
        <v>7</v>
      </c>
      <c r="Z21" s="40"/>
      <c r="AA21" s="40"/>
      <c r="AB21" s="40"/>
    </row>
    <row r="22" spans="1:28" s="35" customFormat="1" ht="50.1" customHeight="1" x14ac:dyDescent="0.25">
      <c r="A22" s="5" t="s">
        <v>56</v>
      </c>
      <c r="B22" s="5" t="s">
        <v>367</v>
      </c>
      <c r="C22" s="5"/>
      <c r="D22" s="5" t="s">
        <v>119</v>
      </c>
      <c r="E22" s="42" t="s">
        <v>153</v>
      </c>
      <c r="F22" s="42"/>
      <c r="G22" s="42"/>
      <c r="H22" s="42"/>
      <c r="I22" s="84"/>
      <c r="J22" s="5"/>
      <c r="K22" s="5" t="s">
        <v>343</v>
      </c>
      <c r="L22" s="10">
        <v>42151</v>
      </c>
      <c r="M22" s="11">
        <f t="shared" ca="1" si="0"/>
        <v>114</v>
      </c>
      <c r="N22" s="13">
        <v>42217</v>
      </c>
      <c r="O22" s="14"/>
      <c r="P22" s="14"/>
      <c r="Q22" s="17"/>
      <c r="R22" s="5"/>
      <c r="S22" s="5"/>
      <c r="T22" s="5"/>
      <c r="U22" s="5"/>
      <c r="W22" s="5" t="s">
        <v>156</v>
      </c>
      <c r="X22" s="14">
        <v>42265</v>
      </c>
      <c r="Y22" s="40">
        <v>20</v>
      </c>
      <c r="Z22" s="40"/>
      <c r="AA22" s="40"/>
      <c r="AB22" s="40"/>
    </row>
    <row r="23" spans="1:28" s="35" customFormat="1" ht="50.1" customHeight="1" x14ac:dyDescent="0.25">
      <c r="A23" s="5" t="s">
        <v>55</v>
      </c>
      <c r="B23" s="5" t="s">
        <v>368</v>
      </c>
      <c r="C23" s="5"/>
      <c r="D23" s="5" t="s">
        <v>119</v>
      </c>
      <c r="E23" s="42" t="s">
        <v>153</v>
      </c>
      <c r="F23" s="42"/>
      <c r="G23" s="42"/>
      <c r="H23" s="42"/>
      <c r="I23" s="84"/>
      <c r="J23" s="5"/>
      <c r="K23" s="5" t="s">
        <v>343</v>
      </c>
      <c r="L23" s="10">
        <v>42151</v>
      </c>
      <c r="M23" s="11">
        <f t="shared" ca="1" si="0"/>
        <v>146</v>
      </c>
      <c r="N23" s="13">
        <v>42217</v>
      </c>
      <c r="O23" s="14"/>
      <c r="P23" s="14"/>
      <c r="Q23" s="17"/>
      <c r="R23" s="5" t="s">
        <v>1437</v>
      </c>
      <c r="S23" s="5"/>
      <c r="T23" s="5"/>
      <c r="U23" s="5"/>
      <c r="W23" s="5" t="s">
        <v>156</v>
      </c>
      <c r="X23" s="14">
        <v>42297</v>
      </c>
      <c r="Y23" s="40">
        <v>20</v>
      </c>
      <c r="Z23" s="40"/>
      <c r="AA23" s="40"/>
      <c r="AB23" s="40"/>
    </row>
    <row r="24" spans="1:28" s="35" customFormat="1" ht="39.950000000000003" customHeight="1" x14ac:dyDescent="0.25">
      <c r="A24" s="5" t="s">
        <v>53</v>
      </c>
      <c r="B24" s="5" t="s">
        <v>369</v>
      </c>
      <c r="C24" s="5"/>
      <c r="D24" s="5" t="s">
        <v>119</v>
      </c>
      <c r="E24" s="42" t="s">
        <v>153</v>
      </c>
      <c r="F24" s="42"/>
      <c r="G24" s="42"/>
      <c r="H24" s="42"/>
      <c r="I24" s="84"/>
      <c r="J24" s="5"/>
      <c r="K24" s="5" t="s">
        <v>343</v>
      </c>
      <c r="L24" s="10">
        <v>42170</v>
      </c>
      <c r="M24" s="11">
        <f t="shared" ca="1" si="0"/>
        <v>127</v>
      </c>
      <c r="N24" s="13">
        <v>42217</v>
      </c>
      <c r="O24" s="14"/>
      <c r="P24" s="14"/>
      <c r="Q24" s="17"/>
      <c r="R24" s="5" t="s">
        <v>1437</v>
      </c>
      <c r="S24" s="5"/>
      <c r="T24" s="5"/>
      <c r="U24" s="5"/>
      <c r="W24" s="5" t="s">
        <v>156</v>
      </c>
      <c r="X24" s="14">
        <v>42297</v>
      </c>
      <c r="Y24" s="40">
        <v>10</v>
      </c>
      <c r="Z24" s="40"/>
      <c r="AA24" s="40"/>
      <c r="AB24" s="40"/>
    </row>
    <row r="25" spans="1:28" s="35" customFormat="1" ht="50.1" customHeight="1" x14ac:dyDescent="0.25">
      <c r="A25" s="5" t="s">
        <v>274</v>
      </c>
      <c r="B25" s="5" t="s">
        <v>370</v>
      </c>
      <c r="C25" s="5"/>
      <c r="D25" s="5" t="s">
        <v>118</v>
      </c>
      <c r="E25" s="5" t="s">
        <v>160</v>
      </c>
      <c r="F25" s="5"/>
      <c r="G25" s="5"/>
      <c r="H25" s="5"/>
      <c r="I25" s="84"/>
      <c r="J25" s="5"/>
      <c r="K25" s="5" t="s">
        <v>98</v>
      </c>
      <c r="L25" s="90">
        <v>42143</v>
      </c>
      <c r="M25" s="11">
        <f t="shared" ca="1" si="0"/>
        <v>92</v>
      </c>
      <c r="N25" s="13">
        <v>42217</v>
      </c>
      <c r="O25" s="14">
        <v>42265</v>
      </c>
      <c r="P25" s="14"/>
      <c r="Q25" s="17"/>
      <c r="R25" s="5"/>
      <c r="S25" s="5"/>
      <c r="T25" s="5"/>
      <c r="U25" s="5"/>
      <c r="W25" s="5" t="s">
        <v>156</v>
      </c>
      <c r="X25" s="14">
        <v>42235</v>
      </c>
      <c r="Y25" s="40">
        <v>596</v>
      </c>
      <c r="Z25" s="40"/>
      <c r="AA25" s="40"/>
      <c r="AB25" s="40"/>
    </row>
    <row r="26" spans="1:28" s="35" customFormat="1" ht="39.950000000000003" customHeight="1" x14ac:dyDescent="0.25">
      <c r="A26" s="5" t="s">
        <v>1520</v>
      </c>
      <c r="B26" s="43" t="s">
        <v>1521</v>
      </c>
      <c r="C26" s="43"/>
      <c r="D26" s="43" t="s">
        <v>119</v>
      </c>
      <c r="E26" s="43" t="s">
        <v>239</v>
      </c>
      <c r="F26" s="43"/>
      <c r="G26" s="43"/>
      <c r="H26" s="43"/>
      <c r="I26" s="84"/>
      <c r="J26" s="5"/>
      <c r="K26" s="5" t="s">
        <v>343</v>
      </c>
      <c r="L26" s="49">
        <v>42307</v>
      </c>
      <c r="M26" s="11">
        <f t="shared" ca="1" si="0"/>
        <v>32</v>
      </c>
      <c r="N26" s="85">
        <v>42312</v>
      </c>
      <c r="O26" s="14"/>
      <c r="P26" s="14"/>
      <c r="Q26" s="17"/>
      <c r="R26" s="88" t="s">
        <v>2252</v>
      </c>
      <c r="S26" s="88"/>
      <c r="T26" s="88"/>
      <c r="U26" s="88"/>
      <c r="W26" s="43" t="s">
        <v>156</v>
      </c>
      <c r="X26" s="86">
        <v>42339</v>
      </c>
      <c r="Y26" s="48">
        <v>60</v>
      </c>
      <c r="Z26" s="40"/>
      <c r="AA26" s="40"/>
      <c r="AB26" s="40"/>
    </row>
    <row r="27" spans="1:28" s="35" customFormat="1" ht="39.950000000000003" customHeight="1" x14ac:dyDescent="0.25">
      <c r="A27" s="5" t="s">
        <v>432</v>
      </c>
      <c r="B27" s="43" t="s">
        <v>433</v>
      </c>
      <c r="C27" s="43"/>
      <c r="D27" s="43" t="s">
        <v>2288</v>
      </c>
      <c r="E27" s="43" t="s">
        <v>160</v>
      </c>
      <c r="F27" s="43"/>
      <c r="G27" s="43"/>
      <c r="H27" s="43"/>
      <c r="I27" s="84"/>
      <c r="J27" s="5"/>
      <c r="K27" s="43"/>
      <c r="L27" s="39">
        <v>42271</v>
      </c>
      <c r="M27" s="11">
        <f t="shared" ca="1" si="0"/>
        <v>416</v>
      </c>
      <c r="N27" s="13">
        <v>42278</v>
      </c>
      <c r="O27" s="14">
        <v>42286</v>
      </c>
      <c r="P27" s="14"/>
      <c r="Q27" s="17"/>
      <c r="R27" s="43" t="s">
        <v>2326</v>
      </c>
      <c r="S27" s="43"/>
      <c r="T27" s="43"/>
      <c r="U27" s="43"/>
      <c r="W27" s="43" t="s">
        <v>156</v>
      </c>
      <c r="X27" s="14">
        <v>42687</v>
      </c>
      <c r="Y27" s="48">
        <v>47</v>
      </c>
      <c r="Z27" s="40"/>
      <c r="AA27" s="40"/>
      <c r="AB27" s="40"/>
    </row>
    <row r="28" spans="1:28" s="35" customFormat="1" ht="50.1" customHeight="1" x14ac:dyDescent="0.25">
      <c r="A28" s="5" t="s">
        <v>1361</v>
      </c>
      <c r="B28" s="43" t="s">
        <v>1460</v>
      </c>
      <c r="C28" s="43"/>
      <c r="D28" s="43" t="s">
        <v>2290</v>
      </c>
      <c r="E28" s="43" t="s">
        <v>158</v>
      </c>
      <c r="F28" s="43"/>
      <c r="G28" s="43"/>
      <c r="H28" s="43"/>
      <c r="I28" s="84"/>
      <c r="J28" s="5" t="s">
        <v>2282</v>
      </c>
      <c r="K28" s="5" t="s">
        <v>101</v>
      </c>
      <c r="L28" s="87">
        <v>42278</v>
      </c>
      <c r="M28" s="11">
        <f t="shared" ca="1" si="0"/>
        <v>0</v>
      </c>
      <c r="N28" s="85">
        <v>42299</v>
      </c>
      <c r="O28" s="14"/>
      <c r="P28" s="14"/>
      <c r="Q28" s="17"/>
      <c r="R28" s="43"/>
      <c r="S28" s="43"/>
      <c r="T28" s="43"/>
      <c r="U28" s="43"/>
      <c r="W28" s="43" t="s">
        <v>156</v>
      </c>
      <c r="X28" s="14">
        <v>42278</v>
      </c>
      <c r="Y28" s="48"/>
      <c r="Z28" s="40"/>
      <c r="AA28" s="40"/>
      <c r="AB28" s="40"/>
    </row>
    <row r="29" spans="1:28" s="35" customFormat="1" ht="39.950000000000003" customHeight="1" x14ac:dyDescent="0.25">
      <c r="A29" s="5" t="s">
        <v>841</v>
      </c>
      <c r="B29" s="43" t="s">
        <v>1470</v>
      </c>
      <c r="C29" s="43"/>
      <c r="D29" s="43" t="s">
        <v>2290</v>
      </c>
      <c r="E29" s="43" t="s">
        <v>158</v>
      </c>
      <c r="F29" s="43"/>
      <c r="G29" s="43"/>
      <c r="H29" s="43"/>
      <c r="I29" s="84" t="s">
        <v>1411</v>
      </c>
      <c r="J29" s="5" t="s">
        <v>2282</v>
      </c>
      <c r="K29" s="5" t="s">
        <v>101</v>
      </c>
      <c r="L29" s="49" t="s">
        <v>1424</v>
      </c>
      <c r="M29" s="11" t="str">
        <f t="shared" ca="1" si="0"/>
        <v/>
      </c>
      <c r="N29" s="85">
        <v>42299</v>
      </c>
      <c r="O29" s="14">
        <v>42314</v>
      </c>
      <c r="P29" s="14"/>
      <c r="Q29" s="17"/>
      <c r="R29" s="43" t="s">
        <v>2327</v>
      </c>
      <c r="S29" s="43"/>
      <c r="T29" s="43"/>
      <c r="U29" s="43"/>
      <c r="W29" s="43" t="s">
        <v>156</v>
      </c>
      <c r="X29" s="14">
        <v>42687</v>
      </c>
      <c r="Y29" s="48"/>
      <c r="Z29" s="40"/>
      <c r="AA29" s="40"/>
      <c r="AB29" s="40"/>
    </row>
    <row r="30" spans="1:28" s="35" customFormat="1" ht="50.1" customHeight="1" x14ac:dyDescent="0.25">
      <c r="A30" s="5" t="s">
        <v>1455</v>
      </c>
      <c r="B30" s="43" t="s">
        <v>1456</v>
      </c>
      <c r="C30" s="43"/>
      <c r="D30" s="43" t="s">
        <v>2290</v>
      </c>
      <c r="E30" s="43" t="s">
        <v>158</v>
      </c>
      <c r="F30" s="43"/>
      <c r="G30" s="43"/>
      <c r="H30" s="43"/>
      <c r="I30" s="84"/>
      <c r="J30" s="5" t="s">
        <v>2282</v>
      </c>
      <c r="K30" s="5" t="s">
        <v>101</v>
      </c>
      <c r="L30" s="87">
        <v>42244</v>
      </c>
      <c r="M30" s="11">
        <f t="shared" ca="1" si="0"/>
        <v>3</v>
      </c>
      <c r="N30" s="85">
        <v>42299</v>
      </c>
      <c r="O30" s="14"/>
      <c r="P30" s="14"/>
      <c r="Q30" s="17"/>
      <c r="R30" s="43"/>
      <c r="S30" s="43"/>
      <c r="T30" s="43"/>
      <c r="U30" s="43"/>
      <c r="W30" s="43" t="s">
        <v>188</v>
      </c>
      <c r="X30" s="14">
        <v>42247</v>
      </c>
      <c r="Y30" s="48"/>
      <c r="Z30" s="40"/>
      <c r="AA30" s="40"/>
      <c r="AB30" s="40"/>
    </row>
    <row r="31" spans="1:28" s="35" customFormat="1" ht="50.1" customHeight="1" x14ac:dyDescent="0.25">
      <c r="A31" s="5" t="s">
        <v>1466</v>
      </c>
      <c r="B31" s="43" t="s">
        <v>1465</v>
      </c>
      <c r="C31" s="43"/>
      <c r="D31" s="43" t="s">
        <v>2290</v>
      </c>
      <c r="E31" s="43" t="s">
        <v>158</v>
      </c>
      <c r="F31" s="43"/>
      <c r="G31" s="43"/>
      <c r="H31" s="43" t="s">
        <v>2345</v>
      </c>
      <c r="I31" s="84" t="s">
        <v>2130</v>
      </c>
      <c r="J31" s="5" t="s">
        <v>2282</v>
      </c>
      <c r="K31" s="5" t="s">
        <v>101</v>
      </c>
      <c r="L31" s="87">
        <v>42297</v>
      </c>
      <c r="M31" s="11">
        <f t="shared" ca="1" si="0"/>
        <v>56</v>
      </c>
      <c r="N31" s="85">
        <v>42299</v>
      </c>
      <c r="O31" s="14">
        <v>42314</v>
      </c>
      <c r="P31" s="14"/>
      <c r="Q31" s="17"/>
      <c r="R31" s="43" t="s">
        <v>1467</v>
      </c>
      <c r="S31" s="43"/>
      <c r="T31" s="43"/>
      <c r="U31" s="43"/>
      <c r="W31" s="43" t="s">
        <v>156</v>
      </c>
      <c r="X31" s="14">
        <v>42353</v>
      </c>
      <c r="Y31" s="48"/>
      <c r="Z31" s="40"/>
      <c r="AA31" s="40"/>
      <c r="AB31" s="40"/>
    </row>
    <row r="32" spans="1:28" s="35" customFormat="1" ht="39.950000000000003" customHeight="1" x14ac:dyDescent="0.25">
      <c r="A32" s="5" t="s">
        <v>11</v>
      </c>
      <c r="B32" s="5" t="s">
        <v>404</v>
      </c>
      <c r="C32" s="5"/>
      <c r="D32" s="43" t="s">
        <v>2288</v>
      </c>
      <c r="E32" s="42" t="s">
        <v>174</v>
      </c>
      <c r="F32" s="42"/>
      <c r="G32" s="42"/>
      <c r="H32" s="42"/>
      <c r="I32" s="84"/>
      <c r="J32" s="5"/>
      <c r="K32" s="5" t="s">
        <v>343</v>
      </c>
      <c r="L32" s="49">
        <v>42114.7</v>
      </c>
      <c r="M32" s="11">
        <f t="shared" ca="1" si="0"/>
        <v>212.30000000000291</v>
      </c>
      <c r="N32" s="13">
        <v>42217</v>
      </c>
      <c r="O32" s="14"/>
      <c r="P32" s="14"/>
      <c r="Q32" s="17"/>
      <c r="R32" s="5" t="s">
        <v>1715</v>
      </c>
      <c r="S32" s="5"/>
      <c r="T32" s="5"/>
      <c r="U32" s="5"/>
      <c r="W32" s="5" t="s">
        <v>156</v>
      </c>
      <c r="X32" s="14">
        <v>42327</v>
      </c>
      <c r="Y32" s="40"/>
      <c r="Z32" s="40"/>
      <c r="AA32" s="40"/>
      <c r="AB32" s="40"/>
    </row>
    <row r="33" spans="1:28" s="35" customFormat="1" ht="39.950000000000003" customHeight="1" x14ac:dyDescent="0.25">
      <c r="A33" s="5" t="s">
        <v>1248</v>
      </c>
      <c r="B33" s="43" t="s">
        <v>1461</v>
      </c>
      <c r="C33" s="43"/>
      <c r="D33" s="43" t="s">
        <v>2290</v>
      </c>
      <c r="E33" s="43" t="s">
        <v>158</v>
      </c>
      <c r="F33" s="43"/>
      <c r="G33" s="43"/>
      <c r="H33" s="43"/>
      <c r="I33" s="84"/>
      <c r="J33" s="5" t="s">
        <v>2282</v>
      </c>
      <c r="K33" s="5" t="s">
        <v>101</v>
      </c>
      <c r="L33" s="87">
        <v>42264</v>
      </c>
      <c r="M33" s="11">
        <f t="shared" ca="1" si="0"/>
        <v>1</v>
      </c>
      <c r="N33" s="85">
        <v>42299</v>
      </c>
      <c r="O33" s="14"/>
      <c r="P33" s="14"/>
      <c r="Q33" s="17"/>
      <c r="R33" s="43"/>
      <c r="S33" s="43"/>
      <c r="T33" s="43"/>
      <c r="U33" s="43"/>
      <c r="W33" s="43" t="s">
        <v>156</v>
      </c>
      <c r="X33" s="14">
        <v>42265</v>
      </c>
      <c r="Y33" s="48"/>
      <c r="Z33" s="40"/>
      <c r="AA33" s="40"/>
      <c r="AB33" s="40"/>
    </row>
    <row r="34" spans="1:28" s="35" customFormat="1" ht="39.950000000000003" customHeight="1" x14ac:dyDescent="0.25">
      <c r="A34" s="5" t="s">
        <v>1457</v>
      </c>
      <c r="B34" s="43" t="s">
        <v>1473</v>
      </c>
      <c r="C34" s="43"/>
      <c r="D34" s="43" t="s">
        <v>2290</v>
      </c>
      <c r="E34" s="43" t="s">
        <v>158</v>
      </c>
      <c r="F34" s="43"/>
      <c r="G34" s="43"/>
      <c r="H34" s="43" t="s">
        <v>2345</v>
      </c>
      <c r="I34" s="84" t="s">
        <v>2130</v>
      </c>
      <c r="J34" s="5" t="s">
        <v>2282</v>
      </c>
      <c r="K34" s="5" t="s">
        <v>101</v>
      </c>
      <c r="L34" s="49" t="s">
        <v>1424</v>
      </c>
      <c r="M34" s="11" t="str">
        <f t="shared" ca="1" si="0"/>
        <v/>
      </c>
      <c r="N34" s="85">
        <v>42299</v>
      </c>
      <c r="O34" s="14">
        <v>42314</v>
      </c>
      <c r="P34" s="14"/>
      <c r="Q34" s="17"/>
      <c r="R34" s="43" t="s">
        <v>1474</v>
      </c>
      <c r="S34" s="43"/>
      <c r="T34" s="43"/>
      <c r="U34" s="43"/>
      <c r="W34" s="40" t="s">
        <v>156</v>
      </c>
      <c r="X34" s="14">
        <v>42353</v>
      </c>
      <c r="Y34" s="48"/>
      <c r="Z34" s="40"/>
      <c r="AA34" s="40"/>
      <c r="AB34" s="40"/>
    </row>
    <row r="35" spans="1:28" s="35" customFormat="1" ht="50.1" customHeight="1" x14ac:dyDescent="0.25">
      <c r="A35" s="5" t="s">
        <v>1457</v>
      </c>
      <c r="B35" s="43" t="s">
        <v>1458</v>
      </c>
      <c r="C35" s="43"/>
      <c r="D35" s="43" t="s">
        <v>2290</v>
      </c>
      <c r="E35" s="43" t="s">
        <v>158</v>
      </c>
      <c r="F35" s="43"/>
      <c r="G35" s="43"/>
      <c r="H35" s="43"/>
      <c r="I35" s="84"/>
      <c r="J35" s="5" t="s">
        <v>2282</v>
      </c>
      <c r="K35" s="5" t="s">
        <v>101</v>
      </c>
      <c r="L35" s="49" t="s">
        <v>1424</v>
      </c>
      <c r="M35" s="11" t="str">
        <f t="shared" ref="M35:M66" ca="1" si="1">IFERROR(IF(AND(W35&lt;&gt;"Concluído",W35&lt;&gt;"Cancelado"),TODAY()-L35+1,X35-L35),"")</f>
        <v/>
      </c>
      <c r="N35" s="85">
        <v>42299</v>
      </c>
      <c r="O35" s="14">
        <v>42314</v>
      </c>
      <c r="P35" s="14"/>
      <c r="Q35" s="17"/>
      <c r="R35" s="43"/>
      <c r="S35" s="43"/>
      <c r="T35" s="43"/>
      <c r="U35" s="43"/>
      <c r="W35" s="43" t="s">
        <v>156</v>
      </c>
      <c r="X35" s="14">
        <v>42286</v>
      </c>
      <c r="Y35" s="48"/>
      <c r="Z35" s="40"/>
      <c r="AA35" s="40"/>
      <c r="AB35" s="40"/>
    </row>
    <row r="36" spans="1:28" s="35" customFormat="1" ht="39.950000000000003" customHeight="1" x14ac:dyDescent="0.25">
      <c r="A36" s="5" t="s">
        <v>1457</v>
      </c>
      <c r="B36" s="43" t="s">
        <v>1459</v>
      </c>
      <c r="C36" s="43"/>
      <c r="D36" s="43" t="s">
        <v>2290</v>
      </c>
      <c r="E36" s="43" t="s">
        <v>158</v>
      </c>
      <c r="F36" s="43"/>
      <c r="G36" s="43"/>
      <c r="H36" s="43"/>
      <c r="I36" s="84"/>
      <c r="J36" s="5" t="s">
        <v>2282</v>
      </c>
      <c r="K36" s="5" t="s">
        <v>101</v>
      </c>
      <c r="L36" s="49" t="s">
        <v>1424</v>
      </c>
      <c r="M36" s="11" t="str">
        <f t="shared" ca="1" si="1"/>
        <v/>
      </c>
      <c r="N36" s="85">
        <v>42299</v>
      </c>
      <c r="O36" s="14">
        <v>42314</v>
      </c>
      <c r="P36" s="14"/>
      <c r="Q36" s="17"/>
      <c r="R36" s="43"/>
      <c r="S36" s="43"/>
      <c r="T36" s="43"/>
      <c r="U36" s="43"/>
      <c r="W36" s="43" t="s">
        <v>156</v>
      </c>
      <c r="X36" s="14">
        <v>42286</v>
      </c>
      <c r="Y36" s="48"/>
      <c r="Z36" s="40"/>
      <c r="AA36" s="40"/>
      <c r="AB36" s="40"/>
    </row>
    <row r="37" spans="1:28" s="35" customFormat="1" ht="50.1" customHeight="1" x14ac:dyDescent="0.25">
      <c r="A37" s="5" t="s">
        <v>1457</v>
      </c>
      <c r="B37" s="43" t="s">
        <v>1462</v>
      </c>
      <c r="C37" s="43"/>
      <c r="D37" s="43" t="s">
        <v>2290</v>
      </c>
      <c r="E37" s="43" t="s">
        <v>158</v>
      </c>
      <c r="F37" s="43"/>
      <c r="G37" s="43"/>
      <c r="H37" s="43"/>
      <c r="I37" s="84"/>
      <c r="J37" s="5" t="s">
        <v>2282</v>
      </c>
      <c r="K37" s="5" t="s">
        <v>101</v>
      </c>
      <c r="L37" s="49" t="s">
        <v>1424</v>
      </c>
      <c r="M37" s="11" t="str">
        <f t="shared" ca="1" si="1"/>
        <v/>
      </c>
      <c r="N37" s="85">
        <v>42299</v>
      </c>
      <c r="O37" s="14">
        <v>42314</v>
      </c>
      <c r="P37" s="14"/>
      <c r="Q37" s="17"/>
      <c r="R37" s="43"/>
      <c r="S37" s="43"/>
      <c r="T37" s="43"/>
      <c r="U37" s="43"/>
      <c r="W37" s="43" t="s">
        <v>156</v>
      </c>
      <c r="X37" s="14">
        <v>42299</v>
      </c>
      <c r="Y37" s="48"/>
      <c r="Z37" s="40"/>
      <c r="AA37" s="40"/>
      <c r="AB37" s="40"/>
    </row>
    <row r="38" spans="1:28" s="35" customFormat="1" ht="39.950000000000003" customHeight="1" x14ac:dyDescent="0.25">
      <c r="A38" s="5" t="s">
        <v>1457</v>
      </c>
      <c r="B38" s="43" t="s">
        <v>1463</v>
      </c>
      <c r="C38" s="43"/>
      <c r="D38" s="43" t="s">
        <v>2290</v>
      </c>
      <c r="E38" s="43" t="s">
        <v>158</v>
      </c>
      <c r="F38" s="43"/>
      <c r="G38" s="43"/>
      <c r="H38" s="43"/>
      <c r="I38" s="84"/>
      <c r="J38" s="5" t="s">
        <v>2282</v>
      </c>
      <c r="K38" s="5" t="s">
        <v>101</v>
      </c>
      <c r="L38" s="49" t="s">
        <v>1424</v>
      </c>
      <c r="M38" s="11" t="str">
        <f t="shared" ca="1" si="1"/>
        <v/>
      </c>
      <c r="N38" s="85">
        <v>42299</v>
      </c>
      <c r="O38" s="14">
        <v>42314</v>
      </c>
      <c r="P38" s="14"/>
      <c r="Q38" s="17"/>
      <c r="R38" s="43"/>
      <c r="S38" s="43"/>
      <c r="T38" s="43"/>
      <c r="U38" s="43"/>
      <c r="W38" s="43" t="s">
        <v>156</v>
      </c>
      <c r="X38" s="14">
        <v>42299</v>
      </c>
      <c r="Y38" s="48"/>
      <c r="Z38" s="40"/>
      <c r="AA38" s="40"/>
      <c r="AB38" s="40"/>
    </row>
    <row r="39" spans="1:28" s="35" customFormat="1" ht="50.1" customHeight="1" x14ac:dyDescent="0.25">
      <c r="A39" s="5" t="s">
        <v>1457</v>
      </c>
      <c r="B39" s="43" t="s">
        <v>1464</v>
      </c>
      <c r="C39" s="43"/>
      <c r="D39" s="43" t="s">
        <v>2290</v>
      </c>
      <c r="E39" s="43" t="s">
        <v>158</v>
      </c>
      <c r="F39" s="43"/>
      <c r="G39" s="43"/>
      <c r="H39" s="43"/>
      <c r="I39" s="84"/>
      <c r="J39" s="5" t="s">
        <v>2282</v>
      </c>
      <c r="K39" s="5" t="s">
        <v>101</v>
      </c>
      <c r="L39" s="49" t="s">
        <v>1424</v>
      </c>
      <c r="M39" s="11" t="str">
        <f t="shared" ca="1" si="1"/>
        <v/>
      </c>
      <c r="N39" s="85">
        <v>42299</v>
      </c>
      <c r="O39" s="14">
        <v>42314</v>
      </c>
      <c r="P39" s="14"/>
      <c r="Q39" s="17"/>
      <c r="R39" s="43"/>
      <c r="S39" s="43"/>
      <c r="T39" s="43"/>
      <c r="U39" s="43"/>
      <c r="W39" s="43" t="s">
        <v>156</v>
      </c>
      <c r="X39" s="14">
        <v>42299</v>
      </c>
      <c r="Y39" s="48"/>
      <c r="Z39" s="40"/>
      <c r="AA39" s="40"/>
      <c r="AB39" s="40"/>
    </row>
    <row r="40" spans="1:28" s="35" customFormat="1" x14ac:dyDescent="0.25">
      <c r="A40" s="5" t="s">
        <v>230</v>
      </c>
      <c r="B40" s="5" t="s">
        <v>229</v>
      </c>
      <c r="C40" s="5"/>
      <c r="D40" s="5" t="s">
        <v>118</v>
      </c>
      <c r="E40" s="42" t="s">
        <v>155</v>
      </c>
      <c r="F40" s="42"/>
      <c r="G40" s="42"/>
      <c r="H40" s="42"/>
      <c r="I40" s="84"/>
      <c r="J40" s="5"/>
      <c r="K40" s="5" t="s">
        <v>97</v>
      </c>
      <c r="L40" s="10" t="s">
        <v>348</v>
      </c>
      <c r="M40" s="11" t="str">
        <f t="shared" ca="1" si="1"/>
        <v/>
      </c>
      <c r="N40" s="13">
        <v>42217</v>
      </c>
      <c r="O40" s="14" t="s">
        <v>189</v>
      </c>
      <c r="P40" s="14"/>
      <c r="Q40" s="17"/>
      <c r="R40" s="5"/>
      <c r="S40" s="5"/>
      <c r="T40" s="5"/>
      <c r="U40" s="5"/>
      <c r="W40" s="5" t="s">
        <v>156</v>
      </c>
      <c r="X40" s="14">
        <v>42248</v>
      </c>
      <c r="Y40" s="40"/>
      <c r="Z40" s="40"/>
      <c r="AA40" s="40"/>
      <c r="AB40" s="40"/>
    </row>
    <row r="41" spans="1:28" ht="60" customHeight="1" x14ac:dyDescent="0.25">
      <c r="A41" s="5" t="s">
        <v>83</v>
      </c>
      <c r="B41" s="5" t="s">
        <v>372</v>
      </c>
      <c r="C41" s="5"/>
      <c r="D41" s="5" t="s">
        <v>154</v>
      </c>
      <c r="E41" s="42" t="s">
        <v>108</v>
      </c>
      <c r="F41" s="42"/>
      <c r="G41" s="42"/>
      <c r="H41" s="42"/>
      <c r="I41" s="84"/>
      <c r="J41" s="5"/>
      <c r="K41" s="5" t="s">
        <v>343</v>
      </c>
      <c r="L41" s="10">
        <v>42164.503472222219</v>
      </c>
      <c r="M41" s="11">
        <f t="shared" ca="1" si="1"/>
        <v>142.49652777778101</v>
      </c>
      <c r="N41" s="13">
        <v>42217</v>
      </c>
      <c r="O41" s="14" t="s">
        <v>348</v>
      </c>
      <c r="P41" s="14"/>
      <c r="Q41" s="36"/>
      <c r="R41" s="5" t="s">
        <v>1502</v>
      </c>
      <c r="S41" s="5"/>
      <c r="T41" s="5"/>
      <c r="U41" s="5"/>
      <c r="W41" s="5" t="s">
        <v>156</v>
      </c>
      <c r="X41" s="14">
        <v>42307</v>
      </c>
      <c r="Y41" s="40">
        <v>100</v>
      </c>
      <c r="Z41" s="40"/>
      <c r="AA41" s="40"/>
      <c r="AB41" s="40"/>
    </row>
    <row r="42" spans="1:28" s="35" customFormat="1" x14ac:dyDescent="0.25">
      <c r="A42" s="5" t="s">
        <v>81</v>
      </c>
      <c r="B42" s="5" t="s">
        <v>373</v>
      </c>
      <c r="C42" s="5"/>
      <c r="D42" s="5" t="s">
        <v>154</v>
      </c>
      <c r="E42" s="5" t="s">
        <v>155</v>
      </c>
      <c r="F42" s="5"/>
      <c r="G42" s="5"/>
      <c r="H42" s="5"/>
      <c r="I42" s="84"/>
      <c r="J42" s="5"/>
      <c r="K42" s="5" t="s">
        <v>100</v>
      </c>
      <c r="L42" s="10">
        <v>42151.779861111114</v>
      </c>
      <c r="M42" s="11">
        <f t="shared" ca="1" si="1"/>
        <v>124.22013888888614</v>
      </c>
      <c r="N42" s="13">
        <v>42217</v>
      </c>
      <c r="O42" s="14">
        <v>42277</v>
      </c>
      <c r="P42" s="14"/>
      <c r="Q42" s="17"/>
      <c r="R42" s="5" t="s">
        <v>436</v>
      </c>
      <c r="S42" s="5"/>
      <c r="T42" s="5"/>
      <c r="U42" s="5"/>
      <c r="W42" s="5" t="s">
        <v>156</v>
      </c>
      <c r="X42" s="14">
        <v>42276</v>
      </c>
      <c r="Y42" s="40">
        <v>562</v>
      </c>
      <c r="Z42" s="40"/>
      <c r="AA42" s="40"/>
      <c r="AB42" s="40"/>
    </row>
    <row r="43" spans="1:28" s="35" customFormat="1" ht="50.1" customHeight="1" x14ac:dyDescent="0.25">
      <c r="A43" s="5" t="s">
        <v>80</v>
      </c>
      <c r="B43" s="5" t="s">
        <v>374</v>
      </c>
      <c r="C43" s="5"/>
      <c r="D43" s="5" t="s">
        <v>154</v>
      </c>
      <c r="E43" s="5" t="s">
        <v>108</v>
      </c>
      <c r="F43" s="5"/>
      <c r="G43" s="5"/>
      <c r="H43" s="5"/>
      <c r="I43" s="84"/>
      <c r="J43" s="5"/>
      <c r="K43" s="5" t="s">
        <v>100</v>
      </c>
      <c r="L43" s="10">
        <v>42192.800000000003</v>
      </c>
      <c r="M43" s="11">
        <f t="shared" ca="1" si="1"/>
        <v>97.19999999999709</v>
      </c>
      <c r="N43" s="13">
        <v>42217</v>
      </c>
      <c r="O43" s="14">
        <v>42338</v>
      </c>
      <c r="P43" s="14"/>
      <c r="Q43" s="36"/>
      <c r="R43" s="5" t="s">
        <v>456</v>
      </c>
      <c r="S43" s="5"/>
      <c r="T43" s="5"/>
      <c r="U43" s="5"/>
      <c r="W43" s="5" t="s">
        <v>156</v>
      </c>
      <c r="X43" s="14">
        <v>42290</v>
      </c>
      <c r="Y43" s="40">
        <v>570</v>
      </c>
      <c r="Z43" s="40"/>
      <c r="AA43" s="40"/>
      <c r="AB43" s="40"/>
    </row>
    <row r="44" spans="1:28" s="35" customFormat="1" ht="300" customHeight="1" x14ac:dyDescent="0.25">
      <c r="A44" s="5" t="s">
        <v>455</v>
      </c>
      <c r="B44" s="5" t="s">
        <v>238</v>
      </c>
      <c r="C44" s="5"/>
      <c r="D44" s="5" t="s">
        <v>119</v>
      </c>
      <c r="E44" s="42" t="s">
        <v>94</v>
      </c>
      <c r="F44" s="42"/>
      <c r="G44" s="42"/>
      <c r="H44" s="42"/>
      <c r="I44" s="84"/>
      <c r="J44" s="5"/>
      <c r="K44" s="5" t="s">
        <v>343</v>
      </c>
      <c r="L44" s="10">
        <v>42263</v>
      </c>
      <c r="M44" s="11">
        <f t="shared" ca="1" si="1"/>
        <v>30</v>
      </c>
      <c r="N44" s="13">
        <v>42272</v>
      </c>
      <c r="O44" s="14">
        <v>42278</v>
      </c>
      <c r="P44" s="14"/>
      <c r="Q44" s="17"/>
      <c r="R44" s="5" t="s">
        <v>1418</v>
      </c>
      <c r="S44" s="5"/>
      <c r="T44" s="5"/>
      <c r="U44" s="5"/>
      <c r="W44" s="5" t="s">
        <v>156</v>
      </c>
      <c r="X44" s="14">
        <v>42293</v>
      </c>
      <c r="Y44" s="40">
        <v>342</v>
      </c>
      <c r="Z44" s="40"/>
      <c r="AA44" s="40"/>
      <c r="AB44" s="40"/>
    </row>
    <row r="45" spans="1:28" s="35" customFormat="1" ht="105" customHeight="1" x14ac:dyDescent="0.25">
      <c r="A45" s="5" t="s">
        <v>70</v>
      </c>
      <c r="B45" s="5" t="s">
        <v>375</v>
      </c>
      <c r="C45" s="5"/>
      <c r="D45" s="5" t="s">
        <v>118</v>
      </c>
      <c r="E45" s="42" t="s">
        <v>155</v>
      </c>
      <c r="F45" s="42"/>
      <c r="G45" s="42"/>
      <c r="H45" s="42"/>
      <c r="I45" s="84"/>
      <c r="J45" s="5"/>
      <c r="K45" s="5" t="s">
        <v>98</v>
      </c>
      <c r="L45" s="10">
        <v>42138.886111111111</v>
      </c>
      <c r="M45" s="11">
        <f t="shared" ca="1" si="1"/>
        <v>137.11388888888905</v>
      </c>
      <c r="N45" s="13">
        <v>42217</v>
      </c>
      <c r="O45" s="14">
        <v>42277</v>
      </c>
      <c r="P45" s="14"/>
      <c r="Q45" s="17"/>
      <c r="R45" s="5" t="s">
        <v>437</v>
      </c>
      <c r="S45" s="5"/>
      <c r="T45" s="5"/>
      <c r="U45" s="5"/>
      <c r="W45" s="5" t="s">
        <v>156</v>
      </c>
      <c r="X45" s="14">
        <v>42276</v>
      </c>
      <c r="Y45" s="40">
        <v>4</v>
      </c>
      <c r="Z45" s="40"/>
      <c r="AA45" s="40"/>
      <c r="AB45" s="40"/>
    </row>
    <row r="46" spans="1:28" s="35" customFormat="1" ht="60" customHeight="1" x14ac:dyDescent="0.25">
      <c r="A46" s="5" t="s">
        <v>260</v>
      </c>
      <c r="B46" s="5" t="s">
        <v>377</v>
      </c>
      <c r="C46" s="5"/>
      <c r="D46" s="5" t="s">
        <v>118</v>
      </c>
      <c r="E46" s="42" t="s">
        <v>155</v>
      </c>
      <c r="F46" s="42"/>
      <c r="G46" s="42"/>
      <c r="H46" s="42"/>
      <c r="I46" s="84"/>
      <c r="J46" s="5"/>
      <c r="K46" s="5" t="s">
        <v>343</v>
      </c>
      <c r="L46" s="10">
        <v>42262.48541666667</v>
      </c>
      <c r="M46" s="11">
        <f t="shared" ca="1" si="1"/>
        <v>34.514583333329938</v>
      </c>
      <c r="N46" s="13">
        <v>42217</v>
      </c>
      <c r="O46" s="14">
        <v>42252</v>
      </c>
      <c r="P46" s="14"/>
      <c r="Q46" s="36"/>
      <c r="R46" s="5" t="s">
        <v>1439</v>
      </c>
      <c r="S46" s="5"/>
      <c r="T46" s="5"/>
      <c r="U46" s="5"/>
      <c r="W46" s="5" t="s">
        <v>156</v>
      </c>
      <c r="X46" s="14">
        <v>42297</v>
      </c>
      <c r="Y46" s="40">
        <v>318</v>
      </c>
      <c r="Z46" s="40"/>
      <c r="AA46" s="40"/>
      <c r="AB46" s="40"/>
    </row>
    <row r="47" spans="1:28" s="35" customFormat="1" ht="120" customHeight="1" x14ac:dyDescent="0.25">
      <c r="A47" s="5" t="s">
        <v>262</v>
      </c>
      <c r="B47" s="5" t="s">
        <v>378</v>
      </c>
      <c r="C47" s="5"/>
      <c r="D47" s="5" t="s">
        <v>118</v>
      </c>
      <c r="E47" s="42" t="s">
        <v>155</v>
      </c>
      <c r="F47" s="42"/>
      <c r="G47" s="42"/>
      <c r="H47" s="42"/>
      <c r="I47" s="84"/>
      <c r="J47" s="5"/>
      <c r="K47" s="5" t="s">
        <v>343</v>
      </c>
      <c r="L47" s="10">
        <v>42151.530555555553</v>
      </c>
      <c r="M47" s="11">
        <f t="shared" ca="1" si="1"/>
        <v>145.46944444444671</v>
      </c>
      <c r="N47" s="13">
        <v>42217</v>
      </c>
      <c r="O47" s="14">
        <v>42252</v>
      </c>
      <c r="P47" s="14"/>
      <c r="Q47" s="36"/>
      <c r="R47" s="5" t="s">
        <v>1440</v>
      </c>
      <c r="S47" s="5"/>
      <c r="T47" s="5"/>
      <c r="U47" s="5"/>
      <c r="W47" s="5" t="s">
        <v>156</v>
      </c>
      <c r="X47" s="14">
        <v>42297</v>
      </c>
      <c r="Y47" s="40">
        <v>158</v>
      </c>
      <c r="Z47" s="40"/>
      <c r="AA47" s="40"/>
      <c r="AB47" s="40"/>
    </row>
    <row r="48" spans="1:28" s="5" customFormat="1" ht="90" customHeight="1" x14ac:dyDescent="0.25">
      <c r="A48" s="5" t="s">
        <v>3522</v>
      </c>
      <c r="B48" s="43" t="s">
        <v>1508</v>
      </c>
      <c r="C48" s="43"/>
      <c r="D48" s="43" t="s">
        <v>119</v>
      </c>
      <c r="E48" s="43" t="s">
        <v>155</v>
      </c>
      <c r="F48" s="43"/>
      <c r="G48" s="43"/>
      <c r="H48" s="43"/>
      <c r="I48" s="84"/>
      <c r="K48" s="43" t="s">
        <v>96</v>
      </c>
      <c r="L48" s="49">
        <v>42275.777083333334</v>
      </c>
      <c r="M48" s="11">
        <f t="shared" ca="1" si="1"/>
        <v>57.222916666665697</v>
      </c>
      <c r="N48" s="85">
        <v>42311</v>
      </c>
      <c r="O48" s="14">
        <v>42314</v>
      </c>
      <c r="P48" s="14"/>
      <c r="Q48" s="17"/>
      <c r="R48" s="43" t="s">
        <v>2213</v>
      </c>
      <c r="S48" s="43"/>
      <c r="T48" s="43"/>
      <c r="U48" s="43"/>
      <c r="W48" s="43" t="s">
        <v>156</v>
      </c>
      <c r="X48" s="85">
        <v>42333</v>
      </c>
      <c r="Y48" s="48">
        <v>199</v>
      </c>
      <c r="Z48" s="40"/>
      <c r="AA48" s="40"/>
      <c r="AB48" s="40"/>
    </row>
    <row r="49" spans="1:28" s="5" customFormat="1" ht="216" customHeight="1" x14ac:dyDescent="0.25">
      <c r="A49" s="5" t="s">
        <v>1915</v>
      </c>
      <c r="B49" s="5" t="s">
        <v>2020</v>
      </c>
      <c r="D49" s="43" t="s">
        <v>154</v>
      </c>
      <c r="E49" s="43" t="s">
        <v>108</v>
      </c>
      <c r="F49" s="43"/>
      <c r="G49" s="43"/>
      <c r="H49" s="43" t="s">
        <v>154</v>
      </c>
      <c r="I49" s="36" t="s">
        <v>177</v>
      </c>
      <c r="K49" s="43" t="s">
        <v>100</v>
      </c>
      <c r="L49" s="87">
        <v>42312</v>
      </c>
      <c r="M49" s="11">
        <f t="shared" ca="1" si="1"/>
        <v>40</v>
      </c>
      <c r="N49" s="85">
        <v>42314</v>
      </c>
      <c r="O49" s="14">
        <v>42352</v>
      </c>
      <c r="P49" s="14" t="s">
        <v>2350</v>
      </c>
      <c r="Q49" s="17"/>
      <c r="R49" s="43" t="s">
        <v>2349</v>
      </c>
      <c r="S49" s="43"/>
      <c r="T49" s="43"/>
      <c r="U49" s="43"/>
      <c r="W49" s="5" t="s">
        <v>156</v>
      </c>
      <c r="X49" s="14">
        <v>42352</v>
      </c>
      <c r="Y49" s="48"/>
      <c r="Z49" s="40"/>
      <c r="AA49" s="40"/>
      <c r="AB49" s="40"/>
    </row>
    <row r="50" spans="1:28" s="5" customFormat="1" ht="105" customHeight="1" x14ac:dyDescent="0.25">
      <c r="A50" s="5" t="s">
        <v>1914</v>
      </c>
      <c r="B50" s="5" t="s">
        <v>2019</v>
      </c>
      <c r="D50" s="43" t="s">
        <v>154</v>
      </c>
      <c r="E50" s="43" t="s">
        <v>108</v>
      </c>
      <c r="F50" s="43"/>
      <c r="G50" s="43"/>
      <c r="H50" s="43" t="s">
        <v>154</v>
      </c>
      <c r="I50" s="36" t="s">
        <v>177</v>
      </c>
      <c r="K50" s="43" t="s">
        <v>100</v>
      </c>
      <c r="L50" s="87">
        <v>42312</v>
      </c>
      <c r="M50" s="11">
        <f t="shared" ca="1" si="1"/>
        <v>40</v>
      </c>
      <c r="N50" s="85">
        <v>42314</v>
      </c>
      <c r="O50" s="14">
        <v>42352</v>
      </c>
      <c r="P50" s="14" t="s">
        <v>2350</v>
      </c>
      <c r="Q50" s="17"/>
      <c r="R50" s="43" t="s">
        <v>2349</v>
      </c>
      <c r="S50" s="43"/>
      <c r="T50" s="43"/>
      <c r="U50" s="43"/>
      <c r="W50" s="5" t="s">
        <v>156</v>
      </c>
      <c r="X50" s="14">
        <v>42352</v>
      </c>
      <c r="Y50" s="48"/>
      <c r="Z50" s="40"/>
      <c r="AA50" s="40"/>
      <c r="AB50" s="40"/>
    </row>
    <row r="51" spans="1:28" s="5" customFormat="1" ht="90" customHeight="1" x14ac:dyDescent="0.25">
      <c r="A51" s="5" t="s">
        <v>1913</v>
      </c>
      <c r="B51" s="5" t="s">
        <v>2018</v>
      </c>
      <c r="D51" s="43" t="s">
        <v>154</v>
      </c>
      <c r="E51" s="43" t="s">
        <v>108</v>
      </c>
      <c r="F51" s="43"/>
      <c r="G51" s="43"/>
      <c r="H51" s="43" t="s">
        <v>154</v>
      </c>
      <c r="I51" s="36" t="s">
        <v>177</v>
      </c>
      <c r="K51" s="43" t="s">
        <v>100</v>
      </c>
      <c r="L51" s="87">
        <v>42312</v>
      </c>
      <c r="M51" s="11">
        <f t="shared" ca="1" si="1"/>
        <v>40</v>
      </c>
      <c r="N51" s="85">
        <v>42314</v>
      </c>
      <c r="O51" s="14">
        <v>42352</v>
      </c>
      <c r="P51" s="14" t="s">
        <v>2350</v>
      </c>
      <c r="Q51" s="17"/>
      <c r="R51" s="43" t="s">
        <v>2349</v>
      </c>
      <c r="S51" s="43"/>
      <c r="T51" s="43"/>
      <c r="U51" s="43"/>
      <c r="W51" s="5" t="s">
        <v>156</v>
      </c>
      <c r="X51" s="14">
        <v>42352</v>
      </c>
      <c r="Y51" s="48"/>
      <c r="Z51" s="40"/>
      <c r="AA51" s="40"/>
      <c r="AB51" s="40"/>
    </row>
    <row r="52" spans="1:28" s="5" customFormat="1" ht="225" customHeight="1" x14ac:dyDescent="0.25">
      <c r="A52" s="5" t="s">
        <v>1912</v>
      </c>
      <c r="B52" s="5" t="s">
        <v>2017</v>
      </c>
      <c r="D52" s="43" t="s">
        <v>154</v>
      </c>
      <c r="E52" s="43" t="s">
        <v>108</v>
      </c>
      <c r="F52" s="43"/>
      <c r="G52" s="43"/>
      <c r="H52" s="43" t="s">
        <v>154</v>
      </c>
      <c r="I52" s="36" t="s">
        <v>177</v>
      </c>
      <c r="K52" s="43" t="s">
        <v>100</v>
      </c>
      <c r="L52" s="87">
        <v>42312</v>
      </c>
      <c r="M52" s="11">
        <f t="shared" ca="1" si="1"/>
        <v>40</v>
      </c>
      <c r="N52" s="85">
        <v>42314</v>
      </c>
      <c r="O52" s="14">
        <v>42352</v>
      </c>
      <c r="P52" s="14" t="s">
        <v>2350</v>
      </c>
      <c r="Q52" s="17"/>
      <c r="R52" s="43" t="s">
        <v>2349</v>
      </c>
      <c r="S52" s="43"/>
      <c r="T52" s="43"/>
      <c r="U52" s="43"/>
      <c r="W52" s="5" t="s">
        <v>156</v>
      </c>
      <c r="X52" s="14">
        <v>42352</v>
      </c>
      <c r="Y52" s="48"/>
      <c r="Z52" s="40"/>
      <c r="AA52" s="40"/>
      <c r="AB52" s="40"/>
    </row>
    <row r="53" spans="1:28" s="5" customFormat="1" ht="180" customHeight="1" x14ac:dyDescent="0.25">
      <c r="A53" s="5" t="s">
        <v>1911</v>
      </c>
      <c r="B53" s="5" t="s">
        <v>2016</v>
      </c>
      <c r="D53" s="43" t="s">
        <v>154</v>
      </c>
      <c r="E53" s="43" t="s">
        <v>108</v>
      </c>
      <c r="F53" s="43"/>
      <c r="G53" s="43"/>
      <c r="H53" s="43" t="s">
        <v>154</v>
      </c>
      <c r="I53" s="36" t="s">
        <v>177</v>
      </c>
      <c r="K53" s="43" t="s">
        <v>100</v>
      </c>
      <c r="L53" s="87">
        <v>42312</v>
      </c>
      <c r="M53" s="11">
        <f t="shared" ca="1" si="1"/>
        <v>40</v>
      </c>
      <c r="N53" s="85">
        <v>42314</v>
      </c>
      <c r="O53" s="14">
        <v>42352</v>
      </c>
      <c r="P53" s="14" t="s">
        <v>2350</v>
      </c>
      <c r="Q53" s="17"/>
      <c r="R53" s="43" t="s">
        <v>2349</v>
      </c>
      <c r="S53" s="43"/>
      <c r="T53" s="43"/>
      <c r="U53" s="43"/>
      <c r="W53" s="5" t="s">
        <v>156</v>
      </c>
      <c r="X53" s="14">
        <v>42352</v>
      </c>
      <c r="Y53" s="48"/>
      <c r="Z53" s="40"/>
      <c r="AA53" s="40"/>
      <c r="AB53" s="40"/>
    </row>
    <row r="54" spans="1:28" s="5" customFormat="1" ht="50.1" customHeight="1" x14ac:dyDescent="0.25">
      <c r="A54" s="5" t="s">
        <v>1910</v>
      </c>
      <c r="B54" s="5" t="s">
        <v>2015</v>
      </c>
      <c r="D54" s="43" t="s">
        <v>154</v>
      </c>
      <c r="E54" s="43" t="s">
        <v>108</v>
      </c>
      <c r="F54" s="43"/>
      <c r="G54" s="43"/>
      <c r="H54" s="43" t="s">
        <v>154</v>
      </c>
      <c r="I54" s="36" t="s">
        <v>177</v>
      </c>
      <c r="K54" s="43" t="s">
        <v>100</v>
      </c>
      <c r="L54" s="87">
        <v>42312</v>
      </c>
      <c r="M54" s="11">
        <f t="shared" ca="1" si="1"/>
        <v>40</v>
      </c>
      <c r="N54" s="85">
        <v>42314</v>
      </c>
      <c r="O54" s="14"/>
      <c r="P54" s="14"/>
      <c r="Q54" s="17"/>
      <c r="R54" s="43" t="s">
        <v>2349</v>
      </c>
      <c r="S54" s="43"/>
      <c r="T54" s="43"/>
      <c r="U54" s="43"/>
      <c r="W54" s="43" t="s">
        <v>156</v>
      </c>
      <c r="X54" s="14">
        <v>42352</v>
      </c>
      <c r="Y54" s="48"/>
      <c r="Z54" s="40"/>
      <c r="AA54" s="40"/>
      <c r="AB54" s="40"/>
    </row>
    <row r="55" spans="1:28" s="5" customFormat="1" ht="39.950000000000003" customHeight="1" x14ac:dyDescent="0.25">
      <c r="A55" s="5" t="s">
        <v>1909</v>
      </c>
      <c r="B55" s="5" t="s">
        <v>2014</v>
      </c>
      <c r="D55" s="43" t="s">
        <v>154</v>
      </c>
      <c r="E55" s="43" t="s">
        <v>108</v>
      </c>
      <c r="F55" s="43"/>
      <c r="G55" s="43"/>
      <c r="H55" s="43" t="s">
        <v>154</v>
      </c>
      <c r="I55" s="36" t="s">
        <v>177</v>
      </c>
      <c r="K55" s="43" t="s">
        <v>100</v>
      </c>
      <c r="L55" s="87">
        <v>42312</v>
      </c>
      <c r="M55" s="11">
        <f t="shared" ca="1" si="1"/>
        <v>40</v>
      </c>
      <c r="N55" s="85">
        <v>42314</v>
      </c>
      <c r="O55" s="14"/>
      <c r="P55" s="14"/>
      <c r="Q55" s="17"/>
      <c r="R55" s="43" t="s">
        <v>2349</v>
      </c>
      <c r="S55" s="43"/>
      <c r="T55" s="43"/>
      <c r="U55" s="43"/>
      <c r="W55" s="43" t="s">
        <v>156</v>
      </c>
      <c r="X55" s="14">
        <v>42352</v>
      </c>
      <c r="Y55" s="48"/>
      <c r="Z55" s="40"/>
      <c r="AA55" s="40"/>
      <c r="AB55" s="40"/>
    </row>
    <row r="56" spans="1:28" s="5" customFormat="1" ht="50.1" customHeight="1" x14ac:dyDescent="0.25">
      <c r="A56" s="5" t="s">
        <v>47</v>
      </c>
      <c r="B56" s="5" t="s">
        <v>295</v>
      </c>
      <c r="D56" s="5" t="s">
        <v>154</v>
      </c>
      <c r="E56" s="42" t="s">
        <v>108</v>
      </c>
      <c r="F56" s="42"/>
      <c r="G56" s="42"/>
      <c r="H56" s="42"/>
      <c r="I56" s="84"/>
      <c r="K56" s="5" t="s">
        <v>100</v>
      </c>
      <c r="L56" s="10">
        <v>42153.762499999997</v>
      </c>
      <c r="M56" s="11">
        <f t="shared" ca="1" si="1"/>
        <v>125.23750000000291</v>
      </c>
      <c r="N56" s="13">
        <v>42217</v>
      </c>
      <c r="O56" s="14">
        <v>42277</v>
      </c>
      <c r="P56" s="14"/>
      <c r="Q56" s="17"/>
      <c r="R56" s="5" t="s">
        <v>498</v>
      </c>
      <c r="W56" s="5" t="s">
        <v>156</v>
      </c>
      <c r="X56" s="14">
        <v>42279</v>
      </c>
      <c r="Y56" s="40"/>
      <c r="Z56" s="40"/>
      <c r="AA56" s="40"/>
      <c r="AB56" s="40"/>
    </row>
    <row r="57" spans="1:28" s="5" customFormat="1" ht="50.1" customHeight="1" x14ac:dyDescent="0.25">
      <c r="A57" s="5" t="s">
        <v>1509</v>
      </c>
      <c r="B57" s="43" t="s">
        <v>1510</v>
      </c>
      <c r="C57" s="43"/>
      <c r="D57" s="43" t="s">
        <v>119</v>
      </c>
      <c r="E57" s="43" t="s">
        <v>155</v>
      </c>
      <c r="F57" s="43"/>
      <c r="G57" s="43"/>
      <c r="H57" s="43"/>
      <c r="I57" s="84"/>
      <c r="K57" s="43" t="s">
        <v>96</v>
      </c>
      <c r="L57" s="49">
        <v>42275.543055555558</v>
      </c>
      <c r="M57" s="11">
        <f t="shared" ca="1" si="1"/>
        <v>38.456944444442343</v>
      </c>
      <c r="N57" s="85">
        <v>42311</v>
      </c>
      <c r="O57" s="14">
        <v>42314</v>
      </c>
      <c r="P57" s="14"/>
      <c r="Q57" s="17"/>
      <c r="R57" s="43" t="s">
        <v>1532</v>
      </c>
      <c r="S57" s="43"/>
      <c r="T57" s="43"/>
      <c r="U57" s="43"/>
      <c r="W57" s="43" t="s">
        <v>156</v>
      </c>
      <c r="X57" s="86">
        <v>42314</v>
      </c>
      <c r="Y57" s="48">
        <v>304</v>
      </c>
      <c r="Z57" s="40"/>
      <c r="AA57" s="40"/>
      <c r="AB57" s="40"/>
    </row>
    <row r="58" spans="1:28" s="5" customFormat="1" ht="50.1" customHeight="1" x14ac:dyDescent="0.25">
      <c r="A58" s="5" t="s">
        <v>135</v>
      </c>
      <c r="B58" s="5" t="s">
        <v>388</v>
      </c>
      <c r="D58" s="5" t="s">
        <v>119</v>
      </c>
      <c r="E58" s="42" t="s">
        <v>161</v>
      </c>
      <c r="F58" s="42"/>
      <c r="G58" s="42"/>
      <c r="H58" s="42"/>
      <c r="I58" s="84"/>
      <c r="K58" s="5" t="s">
        <v>343</v>
      </c>
      <c r="L58" s="10">
        <v>42234.773611111108</v>
      </c>
      <c r="M58" s="11">
        <f t="shared" ca="1" si="1"/>
        <v>69.226388888891961</v>
      </c>
      <c r="N58" s="13">
        <v>42217</v>
      </c>
      <c r="O58" s="14">
        <v>42265</v>
      </c>
      <c r="P58" s="14"/>
      <c r="Q58" s="50"/>
      <c r="R58" s="5" t="s">
        <v>1503</v>
      </c>
      <c r="W58" s="5" t="s">
        <v>156</v>
      </c>
      <c r="X58" s="14">
        <v>42304</v>
      </c>
      <c r="Y58" s="40">
        <v>170</v>
      </c>
      <c r="Z58" s="40"/>
      <c r="AA58" s="40"/>
      <c r="AB58" s="40"/>
    </row>
    <row r="59" spans="1:28" s="5" customFormat="1" ht="50.1" customHeight="1" x14ac:dyDescent="0.25">
      <c r="A59" s="5" t="s">
        <v>23</v>
      </c>
      <c r="B59" s="5" t="s">
        <v>379</v>
      </c>
      <c r="D59" s="5" t="s">
        <v>118</v>
      </c>
      <c r="E59" s="42" t="s">
        <v>155</v>
      </c>
      <c r="F59" s="42"/>
      <c r="G59" s="42"/>
      <c r="H59" s="42"/>
      <c r="I59" s="84"/>
      <c r="K59" s="5" t="s">
        <v>2320</v>
      </c>
      <c r="L59" s="10">
        <v>42200.482638888891</v>
      </c>
      <c r="M59" s="11">
        <f t="shared" ca="1" si="1"/>
        <v>70.517361111109494</v>
      </c>
      <c r="N59" s="13">
        <v>42217</v>
      </c>
      <c r="O59" s="14">
        <v>42277</v>
      </c>
      <c r="P59" s="14"/>
      <c r="Q59" s="17"/>
      <c r="R59" s="5" t="s">
        <v>438</v>
      </c>
      <c r="W59" s="5" t="s">
        <v>188</v>
      </c>
      <c r="X59" s="14">
        <v>42271</v>
      </c>
      <c r="Y59" s="40">
        <v>0</v>
      </c>
      <c r="Z59" s="40"/>
      <c r="AA59" s="40"/>
      <c r="AB59" s="40"/>
    </row>
    <row r="60" spans="1:28" s="5" customFormat="1" x14ac:dyDescent="0.25">
      <c r="A60" s="5" t="s">
        <v>21</v>
      </c>
      <c r="B60" s="5" t="s">
        <v>376</v>
      </c>
      <c r="D60" s="5" t="s">
        <v>118</v>
      </c>
      <c r="E60" s="42" t="s">
        <v>155</v>
      </c>
      <c r="F60" s="42"/>
      <c r="G60" s="42"/>
      <c r="H60" s="42"/>
      <c r="I60" s="84"/>
      <c r="K60" s="5" t="s">
        <v>2320</v>
      </c>
      <c r="L60" s="10">
        <v>42151.63958333333</v>
      </c>
      <c r="M60" s="11">
        <f t="shared" ca="1" si="1"/>
        <v>85.360416666670062</v>
      </c>
      <c r="N60" s="13">
        <v>42217</v>
      </c>
      <c r="O60" s="14">
        <v>42235</v>
      </c>
      <c r="P60" s="14"/>
      <c r="Q60" s="17"/>
      <c r="R60" s="5" t="s">
        <v>270</v>
      </c>
      <c r="W60" s="5" t="s">
        <v>156</v>
      </c>
      <c r="X60" s="14">
        <v>42237</v>
      </c>
      <c r="Y60" s="40"/>
      <c r="Z60" s="40"/>
      <c r="AA60" s="40"/>
      <c r="AB60" s="40"/>
    </row>
    <row r="61" spans="1:28" s="5" customFormat="1" ht="50.1" customHeight="1" x14ac:dyDescent="0.25">
      <c r="A61" s="5" t="s">
        <v>16</v>
      </c>
      <c r="B61" s="5" t="s">
        <v>380</v>
      </c>
      <c r="D61" s="43" t="s">
        <v>2288</v>
      </c>
      <c r="E61" s="42" t="s">
        <v>108</v>
      </c>
      <c r="F61" s="42"/>
      <c r="G61" s="42"/>
      <c r="H61" s="42"/>
      <c r="I61" s="84"/>
      <c r="K61" s="5" t="s">
        <v>98</v>
      </c>
      <c r="L61" s="10">
        <v>42202.736805555556</v>
      </c>
      <c r="M61" s="11">
        <f t="shared" ca="1" si="1"/>
        <v>48.263194444443798</v>
      </c>
      <c r="N61" s="13">
        <v>42217</v>
      </c>
      <c r="O61" s="14">
        <v>42338</v>
      </c>
      <c r="P61" s="14"/>
      <c r="Q61" s="17"/>
      <c r="R61" s="5" t="s">
        <v>439</v>
      </c>
      <c r="W61" s="5" t="s">
        <v>188</v>
      </c>
      <c r="X61" s="14">
        <v>42251</v>
      </c>
      <c r="Y61" s="40"/>
      <c r="Z61" s="40"/>
      <c r="AA61" s="40"/>
      <c r="AB61" s="40"/>
    </row>
    <row r="62" spans="1:28" s="5" customFormat="1" ht="39.950000000000003" customHeight="1" x14ac:dyDescent="0.25">
      <c r="A62" s="5" t="s">
        <v>116</v>
      </c>
      <c r="B62" s="5" t="s">
        <v>121</v>
      </c>
      <c r="D62" s="5" t="s">
        <v>154</v>
      </c>
      <c r="E62" s="42" t="s">
        <v>108</v>
      </c>
      <c r="F62" s="42"/>
      <c r="G62" s="42"/>
      <c r="H62" s="42"/>
      <c r="I62" s="84"/>
      <c r="K62" s="5" t="s">
        <v>100</v>
      </c>
      <c r="L62" s="10">
        <v>42202.747916666667</v>
      </c>
      <c r="M62" s="11">
        <f t="shared" ca="1" si="1"/>
        <v>48.252083333332848</v>
      </c>
      <c r="N62" s="13">
        <v>42217</v>
      </c>
      <c r="O62" s="14">
        <v>42277</v>
      </c>
      <c r="P62" s="14"/>
      <c r="Q62" s="17"/>
      <c r="R62" s="5" t="s">
        <v>440</v>
      </c>
      <c r="W62" s="5" t="s">
        <v>156</v>
      </c>
      <c r="X62" s="14">
        <v>42251</v>
      </c>
      <c r="Y62" s="40">
        <v>400</v>
      </c>
      <c r="Z62" s="40"/>
      <c r="AA62" s="40"/>
      <c r="AB62" s="40"/>
    </row>
    <row r="63" spans="1:28" s="5" customFormat="1" ht="120" customHeight="1" x14ac:dyDescent="0.25">
      <c r="A63" s="5" t="s">
        <v>120</v>
      </c>
      <c r="B63" s="5" t="s">
        <v>122</v>
      </c>
      <c r="D63" s="5" t="s">
        <v>154</v>
      </c>
      <c r="E63" s="42" t="s">
        <v>108</v>
      </c>
      <c r="F63" s="42"/>
      <c r="G63" s="42"/>
      <c r="H63" s="42"/>
      <c r="I63" s="84"/>
      <c r="K63" s="5" t="s">
        <v>100</v>
      </c>
      <c r="L63" s="10">
        <v>42234.652777777781</v>
      </c>
      <c r="M63" s="11">
        <f t="shared" ca="1" si="1"/>
        <v>51.347222222218988</v>
      </c>
      <c r="N63" s="13">
        <v>42217</v>
      </c>
      <c r="O63" s="14">
        <v>42277</v>
      </c>
      <c r="P63" s="14"/>
      <c r="Q63" s="17"/>
      <c r="R63" s="5" t="s">
        <v>492</v>
      </c>
      <c r="W63" s="5" t="s">
        <v>156</v>
      </c>
      <c r="X63" s="14">
        <v>42286</v>
      </c>
      <c r="Y63" s="40">
        <v>400</v>
      </c>
      <c r="Z63" s="40"/>
      <c r="AA63" s="40"/>
      <c r="AB63" s="40"/>
    </row>
    <row r="64" spans="1:28" s="5" customFormat="1" ht="50.1" customHeight="1" x14ac:dyDescent="0.25">
      <c r="A64" s="5" t="s">
        <v>134</v>
      </c>
      <c r="B64" s="5" t="s">
        <v>381</v>
      </c>
      <c r="D64" s="5" t="s">
        <v>154</v>
      </c>
      <c r="E64" s="42" t="s">
        <v>108</v>
      </c>
      <c r="F64" s="42"/>
      <c r="G64" s="42"/>
      <c r="H64" s="42"/>
      <c r="I64" s="84"/>
      <c r="K64" s="5" t="s">
        <v>100</v>
      </c>
      <c r="L64" s="10">
        <v>42235.625</v>
      </c>
      <c r="M64" s="11">
        <f t="shared" ca="1" si="1"/>
        <v>50.375</v>
      </c>
      <c r="N64" s="13">
        <v>42217</v>
      </c>
      <c r="O64" s="14">
        <v>42277</v>
      </c>
      <c r="P64" s="14"/>
      <c r="Q64" s="36"/>
      <c r="R64" s="5" t="s">
        <v>493</v>
      </c>
      <c r="W64" s="5" t="s">
        <v>156</v>
      </c>
      <c r="X64" s="14">
        <v>42286</v>
      </c>
      <c r="Y64" s="40">
        <v>400</v>
      </c>
      <c r="Z64" s="40"/>
      <c r="AA64" s="40"/>
      <c r="AB64" s="40"/>
    </row>
    <row r="65" spans="1:28" s="5" customFormat="1" ht="39.950000000000003" customHeight="1" x14ac:dyDescent="0.25">
      <c r="A65" s="5" t="s">
        <v>259</v>
      </c>
      <c r="B65" s="5" t="s">
        <v>1426</v>
      </c>
      <c r="D65" s="5" t="s">
        <v>154</v>
      </c>
      <c r="E65" s="42" t="s">
        <v>108</v>
      </c>
      <c r="F65" s="42"/>
      <c r="G65" s="42"/>
      <c r="H65" s="42"/>
      <c r="I65" s="84"/>
      <c r="K65" s="5" t="s">
        <v>100</v>
      </c>
      <c r="L65" s="10">
        <v>42235.631944444445</v>
      </c>
      <c r="M65" s="11">
        <f t="shared" ca="1" si="1"/>
        <v>51.368055555554747</v>
      </c>
      <c r="N65" s="13">
        <v>42217</v>
      </c>
      <c r="O65" s="14">
        <v>42287</v>
      </c>
      <c r="P65" s="14"/>
      <c r="Q65" s="36"/>
      <c r="R65" s="5" t="s">
        <v>494</v>
      </c>
      <c r="W65" s="5" t="s">
        <v>156</v>
      </c>
      <c r="X65" s="14">
        <v>42287</v>
      </c>
      <c r="Y65" s="40">
        <v>40</v>
      </c>
      <c r="Z65" s="40"/>
      <c r="AA65" s="40"/>
      <c r="AB65" s="40"/>
    </row>
    <row r="66" spans="1:28" s="5" customFormat="1" ht="50.1" customHeight="1" x14ac:dyDescent="0.25">
      <c r="A66" s="5" t="s">
        <v>9</v>
      </c>
      <c r="B66" s="5" t="s">
        <v>385</v>
      </c>
      <c r="D66" s="5" t="s">
        <v>118</v>
      </c>
      <c r="E66" s="42" t="s">
        <v>155</v>
      </c>
      <c r="F66" s="42"/>
      <c r="G66" s="42"/>
      <c r="H66" s="42"/>
      <c r="I66" s="84"/>
      <c r="K66" s="5" t="s">
        <v>343</v>
      </c>
      <c r="L66" s="10">
        <v>42158.493750000001</v>
      </c>
      <c r="M66" s="11">
        <f t="shared" ca="1" si="1"/>
        <v>127.50624999999854</v>
      </c>
      <c r="N66" s="13">
        <v>42217</v>
      </c>
      <c r="O66" s="14">
        <v>42286</v>
      </c>
      <c r="P66" s="14"/>
      <c r="Q66" s="17"/>
      <c r="R66" s="5" t="s">
        <v>496</v>
      </c>
      <c r="W66" s="5" t="s">
        <v>156</v>
      </c>
      <c r="X66" s="14">
        <v>42286</v>
      </c>
      <c r="Y66" s="40">
        <v>93</v>
      </c>
      <c r="Z66" s="40"/>
      <c r="AA66" s="40"/>
      <c r="AB66" s="40"/>
    </row>
    <row r="67" spans="1:28" s="5" customFormat="1" ht="39.950000000000003" customHeight="1" x14ac:dyDescent="0.25">
      <c r="A67" s="5" t="s">
        <v>1516</v>
      </c>
      <c r="B67" s="43" t="s">
        <v>1517</v>
      </c>
      <c r="C67" s="43"/>
      <c r="D67" s="43" t="s">
        <v>118</v>
      </c>
      <c r="E67" s="43" t="s">
        <v>161</v>
      </c>
      <c r="F67" s="43"/>
      <c r="G67" s="43"/>
      <c r="H67" s="43"/>
      <c r="I67" s="84"/>
      <c r="K67" s="43" t="s">
        <v>97</v>
      </c>
      <c r="L67" s="49">
        <v>42171</v>
      </c>
      <c r="M67" s="11">
        <f t="shared" ref="M67:M98" ca="1" si="2">IFERROR(IF(AND(W67&lt;&gt;"Concluído",W67&lt;&gt;"Cancelado"),TODAY()-L67+1,X67-L67),"")</f>
        <v>129</v>
      </c>
      <c r="N67" s="85">
        <v>42312</v>
      </c>
      <c r="O67" s="14"/>
      <c r="P67" s="14"/>
      <c r="Q67" s="17"/>
      <c r="R67" s="43" t="s">
        <v>1518</v>
      </c>
      <c r="S67" s="43"/>
      <c r="T67" s="43"/>
      <c r="U67" s="43"/>
      <c r="W67" s="43" t="s">
        <v>156</v>
      </c>
      <c r="X67" s="86">
        <v>42300</v>
      </c>
      <c r="Y67" s="48"/>
      <c r="Z67" s="40"/>
      <c r="AA67" s="40"/>
      <c r="AB67" s="40"/>
    </row>
    <row r="68" spans="1:28" s="5" customFormat="1" ht="39.950000000000003" customHeight="1" x14ac:dyDescent="0.25">
      <c r="A68" s="5" t="s">
        <v>461</v>
      </c>
      <c r="B68" s="5" t="s">
        <v>462</v>
      </c>
      <c r="D68" s="5" t="s">
        <v>119</v>
      </c>
      <c r="E68" s="5" t="s">
        <v>155</v>
      </c>
      <c r="I68" s="84"/>
      <c r="K68" s="5" t="s">
        <v>343</v>
      </c>
      <c r="L68" s="49">
        <v>42200.362500000003</v>
      </c>
      <c r="M68" s="11">
        <f t="shared" ca="1" si="2"/>
        <v>131.63749999999709</v>
      </c>
      <c r="N68" s="85">
        <v>42283</v>
      </c>
      <c r="O68" s="14">
        <v>42309</v>
      </c>
      <c r="P68" s="14"/>
      <c r="Q68" s="17"/>
      <c r="R68" s="43" t="s">
        <v>2211</v>
      </c>
      <c r="S68" s="43"/>
      <c r="T68" s="43"/>
      <c r="U68" s="43"/>
      <c r="W68" s="43" t="s">
        <v>156</v>
      </c>
      <c r="X68" s="14">
        <v>42332</v>
      </c>
      <c r="Y68" s="48">
        <v>60</v>
      </c>
      <c r="Z68" s="40"/>
      <c r="AA68" s="40"/>
      <c r="AB68" s="40"/>
    </row>
    <row r="69" spans="1:28" s="5" customFormat="1" ht="50.1" customHeight="1" x14ac:dyDescent="0.25">
      <c r="A69" s="5" t="s">
        <v>5</v>
      </c>
      <c r="B69" s="5" t="s">
        <v>386</v>
      </c>
      <c r="D69" s="5" t="s">
        <v>119</v>
      </c>
      <c r="E69" s="42" t="s">
        <v>155</v>
      </c>
      <c r="F69" s="42"/>
      <c r="G69" s="42"/>
      <c r="H69" s="42"/>
      <c r="I69" s="84"/>
      <c r="K69" s="5" t="s">
        <v>343</v>
      </c>
      <c r="L69" s="10">
        <v>42137.811805555553</v>
      </c>
      <c r="M69" s="11">
        <f t="shared" ca="1" si="2"/>
        <v>106.18819444444671</v>
      </c>
      <c r="N69" s="13">
        <v>42217</v>
      </c>
      <c r="O69" s="14">
        <v>42327</v>
      </c>
      <c r="P69" s="14"/>
      <c r="Q69" s="17"/>
      <c r="R69" s="5" t="s">
        <v>441</v>
      </c>
      <c r="W69" s="5" t="s">
        <v>156</v>
      </c>
      <c r="X69" s="14">
        <v>42244</v>
      </c>
      <c r="Y69" s="40">
        <v>20</v>
      </c>
      <c r="Z69" s="40"/>
      <c r="AA69" s="40"/>
      <c r="AB69" s="40"/>
    </row>
    <row r="70" spans="1:28" s="5" customFormat="1" ht="39.950000000000003" customHeight="1" x14ac:dyDescent="0.25">
      <c r="A70" s="5" t="s">
        <v>364</v>
      </c>
      <c r="B70" s="5" t="s">
        <v>371</v>
      </c>
      <c r="D70" s="5" t="s">
        <v>119</v>
      </c>
      <c r="E70" s="42" t="s">
        <v>174</v>
      </c>
      <c r="F70" s="42"/>
      <c r="G70" s="42"/>
      <c r="H70" s="42"/>
      <c r="I70" s="84"/>
      <c r="K70" s="5" t="s">
        <v>343</v>
      </c>
      <c r="L70" s="10">
        <v>42227.788194444445</v>
      </c>
      <c r="M70" s="11">
        <f t="shared" ca="1" si="2"/>
        <v>76.211805555554747</v>
      </c>
      <c r="N70" s="13">
        <v>42217</v>
      </c>
      <c r="O70" s="14">
        <v>42261</v>
      </c>
      <c r="P70" s="14"/>
      <c r="Q70" s="17"/>
      <c r="R70" s="5" t="s">
        <v>1501</v>
      </c>
      <c r="W70" s="5" t="s">
        <v>156</v>
      </c>
      <c r="X70" s="14">
        <v>42304</v>
      </c>
      <c r="Y70" s="40">
        <v>5</v>
      </c>
      <c r="Z70" s="40"/>
      <c r="AA70" s="40"/>
      <c r="AB70" s="40"/>
    </row>
    <row r="71" spans="1:28" s="5" customFormat="1" ht="50.1" customHeight="1" x14ac:dyDescent="0.25">
      <c r="A71" s="5" t="s">
        <v>458</v>
      </c>
      <c r="B71" s="5" t="s">
        <v>459</v>
      </c>
      <c r="D71" s="5" t="s">
        <v>119</v>
      </c>
      <c r="E71" s="5" t="s">
        <v>155</v>
      </c>
      <c r="I71" s="84"/>
      <c r="K71" s="5" t="s">
        <v>343</v>
      </c>
      <c r="L71" s="49">
        <v>42269.701388888891</v>
      </c>
      <c r="M71" s="11">
        <f t="shared" ca="1" si="2"/>
        <v>44.298611111109494</v>
      </c>
      <c r="N71" s="85">
        <v>42283</v>
      </c>
      <c r="O71" s="14">
        <v>42313</v>
      </c>
      <c r="P71" s="14"/>
      <c r="Q71" s="17"/>
      <c r="R71" s="43" t="s">
        <v>1531</v>
      </c>
      <c r="S71" s="43"/>
      <c r="T71" s="43"/>
      <c r="U71" s="43"/>
      <c r="W71" s="43" t="s">
        <v>156</v>
      </c>
      <c r="X71" s="14">
        <v>42314</v>
      </c>
      <c r="Y71" s="48">
        <v>41</v>
      </c>
      <c r="Z71" s="40"/>
      <c r="AA71" s="40"/>
      <c r="AB71" s="40"/>
    </row>
    <row r="72" spans="1:28" s="5" customFormat="1" ht="30" customHeight="1" x14ac:dyDescent="0.25">
      <c r="A72" s="5" t="s">
        <v>499</v>
      </c>
      <c r="B72" s="43" t="s">
        <v>500</v>
      </c>
      <c r="C72" s="43"/>
      <c r="D72" s="43" t="s">
        <v>119</v>
      </c>
      <c r="E72" s="43" t="s">
        <v>155</v>
      </c>
      <c r="F72" s="43"/>
      <c r="G72" s="43"/>
      <c r="H72" s="43" t="s">
        <v>2360</v>
      </c>
      <c r="I72" s="84" t="s">
        <v>177</v>
      </c>
      <c r="K72" s="43" t="s">
        <v>96</v>
      </c>
      <c r="L72" s="49">
        <v>42286.51458333333</v>
      </c>
      <c r="M72" s="11">
        <f t="shared" ca="1" si="2"/>
        <v>52.485416666670062</v>
      </c>
      <c r="N72" s="85">
        <v>42311</v>
      </c>
      <c r="O72" s="14">
        <v>42309</v>
      </c>
      <c r="P72" s="14"/>
      <c r="Q72" s="17"/>
      <c r="R72" s="43" t="s">
        <v>2212</v>
      </c>
      <c r="S72" s="43"/>
      <c r="T72" s="43"/>
      <c r="U72" s="43"/>
      <c r="W72" s="40" t="s">
        <v>156</v>
      </c>
      <c r="X72" s="14">
        <v>42339</v>
      </c>
      <c r="Y72" s="48">
        <v>60</v>
      </c>
      <c r="Z72" s="40"/>
      <c r="AA72" s="40"/>
      <c r="AB72" s="40"/>
    </row>
    <row r="73" spans="1:28" s="5" customFormat="1" ht="30" customHeight="1" x14ac:dyDescent="0.25">
      <c r="A73" s="5" t="s">
        <v>1511</v>
      </c>
      <c r="B73" s="43" t="s">
        <v>1512</v>
      </c>
      <c r="C73" s="43"/>
      <c r="D73" s="43" t="s">
        <v>119</v>
      </c>
      <c r="E73" s="43" t="s">
        <v>155</v>
      </c>
      <c r="F73" s="43"/>
      <c r="G73" s="43"/>
      <c r="H73" s="43"/>
      <c r="I73" s="84"/>
      <c r="K73" s="43" t="s">
        <v>96</v>
      </c>
      <c r="L73" s="49">
        <v>42306.522222222222</v>
      </c>
      <c r="M73" s="11">
        <f t="shared" ca="1" si="2"/>
        <v>19.477777777778101</v>
      </c>
      <c r="N73" s="85">
        <v>42311</v>
      </c>
      <c r="O73" s="14">
        <v>42317</v>
      </c>
      <c r="P73" s="14"/>
      <c r="Q73" s="17"/>
      <c r="R73" s="43" t="s">
        <v>2214</v>
      </c>
      <c r="S73" s="43"/>
      <c r="T73" s="43"/>
      <c r="U73" s="43"/>
      <c r="W73" s="43" t="s">
        <v>156</v>
      </c>
      <c r="X73" s="85">
        <v>42326</v>
      </c>
      <c r="Y73" s="48">
        <v>19</v>
      </c>
      <c r="Z73" s="40"/>
      <c r="AA73" s="40"/>
      <c r="AB73" s="40"/>
    </row>
    <row r="74" spans="1:28" s="5" customFormat="1" ht="30" customHeight="1" x14ac:dyDescent="0.25">
      <c r="A74" s="5" t="s">
        <v>1861</v>
      </c>
      <c r="B74" s="5" t="s">
        <v>1974</v>
      </c>
      <c r="D74" s="43" t="s">
        <v>154</v>
      </c>
      <c r="E74" s="43" t="s">
        <v>108</v>
      </c>
      <c r="F74" s="43"/>
      <c r="G74" s="43"/>
      <c r="H74" s="43" t="s">
        <v>154</v>
      </c>
      <c r="I74" s="36" t="s">
        <v>177</v>
      </c>
      <c r="K74" s="43" t="s">
        <v>100</v>
      </c>
      <c r="L74" s="87">
        <v>42312</v>
      </c>
      <c r="M74" s="11">
        <f t="shared" ca="1" si="2"/>
        <v>40</v>
      </c>
      <c r="N74" s="85">
        <v>42314</v>
      </c>
      <c r="O74" s="14">
        <v>42352</v>
      </c>
      <c r="P74" s="14" t="s">
        <v>2350</v>
      </c>
      <c r="Q74" s="17"/>
      <c r="R74" s="43" t="s">
        <v>2352</v>
      </c>
      <c r="S74" s="43"/>
      <c r="T74" s="43"/>
      <c r="U74" s="43"/>
      <c r="W74" s="5" t="s">
        <v>156</v>
      </c>
      <c r="X74" s="85">
        <v>42352</v>
      </c>
      <c r="Y74" s="48"/>
      <c r="Z74" s="40"/>
      <c r="AA74" s="40"/>
      <c r="AB74" s="40"/>
    </row>
    <row r="75" spans="1:28" s="5" customFormat="1" ht="30" customHeight="1" x14ac:dyDescent="0.25">
      <c r="A75" s="5" t="s">
        <v>1859</v>
      </c>
      <c r="B75" s="5" t="s">
        <v>1972</v>
      </c>
      <c r="D75" s="43" t="s">
        <v>154</v>
      </c>
      <c r="E75" s="43" t="s">
        <v>108</v>
      </c>
      <c r="F75" s="43"/>
      <c r="G75" s="43"/>
      <c r="H75" s="43" t="s">
        <v>154</v>
      </c>
      <c r="I75" s="36" t="s">
        <v>177</v>
      </c>
      <c r="K75" s="43" t="s">
        <v>100</v>
      </c>
      <c r="L75" s="87">
        <v>42312</v>
      </c>
      <c r="M75" s="11">
        <f t="shared" ca="1" si="2"/>
        <v>40</v>
      </c>
      <c r="N75" s="85">
        <v>42314</v>
      </c>
      <c r="O75" s="14">
        <v>42352</v>
      </c>
      <c r="P75" s="14" t="s">
        <v>2350</v>
      </c>
      <c r="Q75" s="17"/>
      <c r="R75" s="43" t="s">
        <v>2352</v>
      </c>
      <c r="S75" s="43"/>
      <c r="T75" s="43"/>
      <c r="U75" s="43"/>
      <c r="W75" s="5" t="s">
        <v>156</v>
      </c>
      <c r="X75" s="85">
        <v>42352</v>
      </c>
      <c r="Y75" s="48"/>
      <c r="Z75" s="40"/>
      <c r="AA75" s="40"/>
      <c r="AB75" s="40"/>
    </row>
    <row r="76" spans="1:28" s="5" customFormat="1" ht="30" customHeight="1" x14ac:dyDescent="0.25">
      <c r="A76" s="5" t="s">
        <v>1858</v>
      </c>
      <c r="B76" s="5" t="s">
        <v>1971</v>
      </c>
      <c r="D76" s="43" t="s">
        <v>154</v>
      </c>
      <c r="E76" s="43" t="s">
        <v>108</v>
      </c>
      <c r="F76" s="43"/>
      <c r="G76" s="43"/>
      <c r="H76" s="43" t="s">
        <v>154</v>
      </c>
      <c r="I76" s="36" t="s">
        <v>177</v>
      </c>
      <c r="K76" s="43" t="s">
        <v>100</v>
      </c>
      <c r="L76" s="87">
        <v>42312</v>
      </c>
      <c r="M76" s="11">
        <f t="shared" ca="1" si="2"/>
        <v>40</v>
      </c>
      <c r="N76" s="85">
        <v>42314</v>
      </c>
      <c r="O76" s="14">
        <v>42352</v>
      </c>
      <c r="P76" s="14" t="s">
        <v>2350</v>
      </c>
      <c r="Q76" s="17"/>
      <c r="R76" s="43" t="s">
        <v>2352</v>
      </c>
      <c r="S76" s="43"/>
      <c r="T76" s="43"/>
      <c r="U76" s="43"/>
      <c r="W76" s="5" t="s">
        <v>156</v>
      </c>
      <c r="X76" s="85">
        <v>42352</v>
      </c>
      <c r="Y76" s="48"/>
      <c r="Z76" s="40"/>
      <c r="AA76" s="40"/>
      <c r="AB76" s="40"/>
    </row>
    <row r="77" spans="1:28" s="5" customFormat="1" ht="30" customHeight="1" x14ac:dyDescent="0.25">
      <c r="A77" s="5" t="s">
        <v>4</v>
      </c>
      <c r="B77" s="5" t="s">
        <v>387</v>
      </c>
      <c r="D77" s="5" t="s">
        <v>118</v>
      </c>
      <c r="E77" s="42" t="s">
        <v>155</v>
      </c>
      <c r="F77" s="42"/>
      <c r="G77" s="42"/>
      <c r="H77" s="42"/>
      <c r="I77" s="84"/>
      <c r="K77" s="5" t="s">
        <v>97</v>
      </c>
      <c r="L77" s="10">
        <v>42137.811805555553</v>
      </c>
      <c r="M77" s="11">
        <f t="shared" ca="1" si="2"/>
        <v>153.18819444444671</v>
      </c>
      <c r="N77" s="13">
        <v>42217</v>
      </c>
      <c r="O77" s="14">
        <v>42327</v>
      </c>
      <c r="P77" s="14"/>
      <c r="Q77" s="17"/>
      <c r="R77" s="5" t="s">
        <v>497</v>
      </c>
      <c r="W77" s="5" t="s">
        <v>156</v>
      </c>
      <c r="X77" s="14">
        <v>42291</v>
      </c>
      <c r="Y77" s="40">
        <v>27</v>
      </c>
      <c r="Z77" s="40"/>
      <c r="AA77" s="40"/>
      <c r="AB77" s="40"/>
    </row>
    <row r="78" spans="1:28" s="5" customFormat="1" ht="30" customHeight="1" x14ac:dyDescent="0.25">
      <c r="A78" s="5" t="s">
        <v>3</v>
      </c>
      <c r="B78" s="5" t="s">
        <v>194</v>
      </c>
      <c r="D78" s="5" t="s">
        <v>118</v>
      </c>
      <c r="E78" s="42" t="s">
        <v>155</v>
      </c>
      <c r="F78" s="42"/>
      <c r="G78" s="42"/>
      <c r="H78" s="42"/>
      <c r="I78" s="84"/>
      <c r="K78" s="5" t="s">
        <v>97</v>
      </c>
      <c r="L78" s="10">
        <v>42206.505555555559</v>
      </c>
      <c r="M78" s="11">
        <f t="shared" ca="1" si="2"/>
        <v>86.494444444440887</v>
      </c>
      <c r="N78" s="13">
        <v>42217</v>
      </c>
      <c r="O78" s="14" t="s">
        <v>348</v>
      </c>
      <c r="P78" s="14"/>
      <c r="Q78" s="17"/>
      <c r="R78" s="5" t="s">
        <v>1416</v>
      </c>
      <c r="W78" s="38" t="s">
        <v>188</v>
      </c>
      <c r="X78" s="14">
        <v>42293</v>
      </c>
      <c r="Y78" s="40">
        <v>210</v>
      </c>
      <c r="Z78" s="40"/>
      <c r="AA78" s="40"/>
      <c r="AB78" s="40"/>
    </row>
    <row r="79" spans="1:28" s="5" customFormat="1" ht="30" customHeight="1" x14ac:dyDescent="0.25">
      <c r="A79" s="5" t="s">
        <v>76</v>
      </c>
      <c r="B79" s="5" t="s">
        <v>294</v>
      </c>
      <c r="D79" s="5" t="s">
        <v>119</v>
      </c>
      <c r="E79" s="42" t="s">
        <v>94</v>
      </c>
      <c r="F79" s="42"/>
      <c r="G79" s="42"/>
      <c r="H79" s="42"/>
      <c r="I79" s="84"/>
      <c r="K79" s="5" t="s">
        <v>100</v>
      </c>
      <c r="L79" s="10">
        <v>42142.93472222222</v>
      </c>
      <c r="M79" s="11">
        <f t="shared" ca="1" si="2"/>
        <v>128.06527777777956</v>
      </c>
      <c r="N79" s="13">
        <v>42217</v>
      </c>
      <c r="O79" s="14">
        <v>42262</v>
      </c>
      <c r="P79" s="14"/>
      <c r="Q79" s="17"/>
      <c r="W79" s="5" t="s">
        <v>156</v>
      </c>
      <c r="X79" s="14">
        <v>42271</v>
      </c>
      <c r="Y79" s="40">
        <v>20</v>
      </c>
      <c r="Z79" s="40"/>
      <c r="AA79" s="40"/>
      <c r="AB79" s="40"/>
    </row>
    <row r="80" spans="1:28" s="5" customFormat="1" ht="15" customHeight="1" x14ac:dyDescent="0.25">
      <c r="A80" s="5" t="s">
        <v>66</v>
      </c>
      <c r="B80" s="5" t="s">
        <v>226</v>
      </c>
      <c r="D80" s="5" t="s">
        <v>154</v>
      </c>
      <c r="E80" s="42" t="s">
        <v>108</v>
      </c>
      <c r="F80" s="42"/>
      <c r="G80" s="42"/>
      <c r="H80" s="42"/>
      <c r="I80" s="84"/>
      <c r="K80" s="5" t="s">
        <v>343</v>
      </c>
      <c r="L80" s="10">
        <v>42145</v>
      </c>
      <c r="M80" s="11">
        <f t="shared" ca="1" si="2"/>
        <v>103</v>
      </c>
      <c r="N80" s="13">
        <v>42217</v>
      </c>
      <c r="O80" s="14" t="s">
        <v>189</v>
      </c>
      <c r="P80" s="14"/>
      <c r="Q80" s="17"/>
      <c r="R80" s="5" t="s">
        <v>108</v>
      </c>
      <c r="W80" s="5" t="s">
        <v>156</v>
      </c>
      <c r="X80" s="14">
        <v>42248</v>
      </c>
      <c r="Y80" s="40"/>
      <c r="Z80" s="40"/>
      <c r="AA80" s="40"/>
      <c r="AB80" s="40"/>
    </row>
    <row r="81" spans="1:28" s="5" customFormat="1" ht="210" customHeight="1" x14ac:dyDescent="0.25">
      <c r="A81" s="5" t="s">
        <v>65</v>
      </c>
      <c r="B81" s="5" t="s">
        <v>225</v>
      </c>
      <c r="D81" s="5" t="s">
        <v>154</v>
      </c>
      <c r="E81" s="42" t="s">
        <v>108</v>
      </c>
      <c r="F81" s="42"/>
      <c r="G81" s="42"/>
      <c r="H81" s="42"/>
      <c r="I81" s="84"/>
      <c r="K81" s="5" t="s">
        <v>343</v>
      </c>
      <c r="L81" s="10" t="s">
        <v>1424</v>
      </c>
      <c r="M81" s="11" t="str">
        <f t="shared" ca="1" si="2"/>
        <v/>
      </c>
      <c r="N81" s="13">
        <v>42217</v>
      </c>
      <c r="O81" s="14" t="s">
        <v>189</v>
      </c>
      <c r="P81" s="14"/>
      <c r="Q81" s="17"/>
      <c r="R81" s="5" t="s">
        <v>108</v>
      </c>
      <c r="W81" s="5" t="s">
        <v>156</v>
      </c>
      <c r="X81" s="14">
        <v>42248</v>
      </c>
      <c r="Y81" s="40"/>
      <c r="Z81" s="40"/>
      <c r="AA81" s="40"/>
      <c r="AB81" s="40"/>
    </row>
    <row r="82" spans="1:28" s="5" customFormat="1" x14ac:dyDescent="0.25">
      <c r="A82" s="5" t="s">
        <v>64</v>
      </c>
      <c r="B82" s="5" t="s">
        <v>224</v>
      </c>
      <c r="D82" s="5" t="s">
        <v>154</v>
      </c>
      <c r="E82" s="42" t="s">
        <v>108</v>
      </c>
      <c r="F82" s="42"/>
      <c r="G82" s="42"/>
      <c r="H82" s="42"/>
      <c r="I82" s="84"/>
      <c r="K82" s="5" t="s">
        <v>343</v>
      </c>
      <c r="L82" s="10" t="s">
        <v>1424</v>
      </c>
      <c r="M82" s="11" t="str">
        <f t="shared" ca="1" si="2"/>
        <v/>
      </c>
      <c r="N82" s="13">
        <v>42217</v>
      </c>
      <c r="O82" s="14" t="s">
        <v>189</v>
      </c>
      <c r="P82" s="14"/>
      <c r="Q82" s="17"/>
      <c r="R82" s="5" t="s">
        <v>108</v>
      </c>
      <c r="W82" s="5" t="s">
        <v>156</v>
      </c>
      <c r="X82" s="14">
        <v>42248</v>
      </c>
      <c r="Y82" s="40"/>
      <c r="Z82" s="40"/>
      <c r="AA82" s="40"/>
      <c r="AB82" s="40"/>
    </row>
    <row r="83" spans="1:28" s="5" customFormat="1" x14ac:dyDescent="0.25">
      <c r="A83" s="5" t="s">
        <v>50</v>
      </c>
      <c r="B83" s="5" t="s">
        <v>227</v>
      </c>
      <c r="D83" s="5" t="s">
        <v>118</v>
      </c>
      <c r="E83" s="5" t="s">
        <v>159</v>
      </c>
      <c r="I83" s="84"/>
      <c r="K83" s="5" t="s">
        <v>2320</v>
      </c>
      <c r="L83" s="10">
        <v>42221</v>
      </c>
      <c r="M83" s="11">
        <f t="shared" ca="1" si="2"/>
        <v>13</v>
      </c>
      <c r="N83" s="13">
        <v>42217</v>
      </c>
      <c r="O83" s="14">
        <v>42234</v>
      </c>
      <c r="P83" s="14"/>
      <c r="Q83" s="17"/>
      <c r="R83" s="5" t="s">
        <v>269</v>
      </c>
      <c r="W83" s="5" t="s">
        <v>188</v>
      </c>
      <c r="X83" s="14">
        <v>42234</v>
      </c>
      <c r="Y83" s="40"/>
      <c r="Z83" s="40"/>
      <c r="AA83" s="40"/>
      <c r="AB83" s="40"/>
    </row>
    <row r="84" spans="1:28" s="5" customFormat="1" x14ac:dyDescent="0.25">
      <c r="A84" s="5" t="s">
        <v>35</v>
      </c>
      <c r="B84" s="5" t="s">
        <v>221</v>
      </c>
      <c r="D84" s="5" t="s">
        <v>154</v>
      </c>
      <c r="E84" s="42" t="s">
        <v>108</v>
      </c>
      <c r="F84" s="42"/>
      <c r="G84" s="42"/>
      <c r="H84" s="42"/>
      <c r="I84" s="84"/>
      <c r="K84" s="5" t="s">
        <v>100</v>
      </c>
      <c r="L84" s="10">
        <v>42145</v>
      </c>
      <c r="M84" s="11">
        <f t="shared" ca="1" si="2"/>
        <v>83</v>
      </c>
      <c r="N84" s="13">
        <v>42217</v>
      </c>
      <c r="O84" s="14" t="s">
        <v>189</v>
      </c>
      <c r="P84" s="14"/>
      <c r="Q84" s="17"/>
      <c r="R84" s="5" t="s">
        <v>108</v>
      </c>
      <c r="W84" s="5" t="s">
        <v>156</v>
      </c>
      <c r="X84" s="14">
        <v>42228</v>
      </c>
      <c r="Y84" s="40"/>
      <c r="Z84" s="40"/>
      <c r="AA84" s="40"/>
      <c r="AB84" s="40"/>
    </row>
    <row r="85" spans="1:28" s="5" customFormat="1" ht="39.950000000000003" customHeight="1" x14ac:dyDescent="0.25">
      <c r="A85" s="5" t="s">
        <v>34</v>
      </c>
      <c r="B85" s="5" t="s">
        <v>222</v>
      </c>
      <c r="D85" s="5" t="s">
        <v>154</v>
      </c>
      <c r="E85" s="42" t="s">
        <v>108</v>
      </c>
      <c r="F85" s="42"/>
      <c r="G85" s="42"/>
      <c r="H85" s="42"/>
      <c r="I85" s="84"/>
      <c r="K85" s="5" t="s">
        <v>100</v>
      </c>
      <c r="L85" s="10">
        <v>42145</v>
      </c>
      <c r="M85" s="11">
        <f t="shared" ca="1" si="2"/>
        <v>83</v>
      </c>
      <c r="N85" s="13">
        <v>42217</v>
      </c>
      <c r="O85" s="14" t="s">
        <v>189</v>
      </c>
      <c r="P85" s="14"/>
      <c r="Q85" s="17"/>
      <c r="R85" s="5" t="s">
        <v>108</v>
      </c>
      <c r="W85" s="5" t="s">
        <v>156</v>
      </c>
      <c r="X85" s="14">
        <v>42228</v>
      </c>
      <c r="Y85" s="40"/>
      <c r="Z85" s="40"/>
      <c r="AA85" s="40"/>
      <c r="AB85" s="40"/>
    </row>
    <row r="86" spans="1:28" s="5" customFormat="1" x14ac:dyDescent="0.25">
      <c r="A86" s="5" t="s">
        <v>33</v>
      </c>
      <c r="B86" s="5" t="s">
        <v>223</v>
      </c>
      <c r="D86" s="5" t="s">
        <v>154</v>
      </c>
      <c r="E86" s="42" t="s">
        <v>108</v>
      </c>
      <c r="F86" s="42"/>
      <c r="G86" s="42"/>
      <c r="H86" s="42"/>
      <c r="I86" s="84"/>
      <c r="K86" s="5" t="s">
        <v>100</v>
      </c>
      <c r="L86" s="10">
        <v>42145</v>
      </c>
      <c r="M86" s="11">
        <f t="shared" ca="1" si="2"/>
        <v>83</v>
      </c>
      <c r="N86" s="13">
        <v>42217</v>
      </c>
      <c r="O86" s="14" t="s">
        <v>189</v>
      </c>
      <c r="P86" s="14"/>
      <c r="Q86" s="17"/>
      <c r="R86" s="5" t="s">
        <v>108</v>
      </c>
      <c r="W86" s="5" t="s">
        <v>156</v>
      </c>
      <c r="X86" s="14">
        <v>42228</v>
      </c>
      <c r="Y86" s="40"/>
      <c r="Z86" s="40"/>
      <c r="AA86" s="40"/>
      <c r="AB86" s="40"/>
    </row>
    <row r="87" spans="1:28" s="5" customFormat="1" ht="45" customHeight="1" x14ac:dyDescent="0.25">
      <c r="A87" s="5" t="s">
        <v>30</v>
      </c>
      <c r="B87" s="5" t="s">
        <v>389</v>
      </c>
      <c r="D87" s="5" t="s">
        <v>154</v>
      </c>
      <c r="E87" s="42" t="s">
        <v>108</v>
      </c>
      <c r="F87" s="42"/>
      <c r="G87" s="42"/>
      <c r="H87" s="42"/>
      <c r="I87" s="84"/>
      <c r="K87" s="5" t="s">
        <v>100</v>
      </c>
      <c r="L87" s="10">
        <v>42221.71597222222</v>
      </c>
      <c r="M87" s="11">
        <f t="shared" ca="1" si="2"/>
        <v>25.284027777779556</v>
      </c>
      <c r="N87" s="13">
        <v>42217</v>
      </c>
      <c r="O87" s="14">
        <v>42246</v>
      </c>
      <c r="P87" s="14"/>
      <c r="Q87" s="17"/>
      <c r="W87" s="5" t="s">
        <v>156</v>
      </c>
      <c r="X87" s="14">
        <v>42247</v>
      </c>
      <c r="Y87" s="40"/>
      <c r="Z87" s="40"/>
      <c r="AA87" s="40"/>
      <c r="AB87" s="40"/>
    </row>
    <row r="88" spans="1:28" s="5" customFormat="1" x14ac:dyDescent="0.25">
      <c r="A88" s="5" t="s">
        <v>28</v>
      </c>
      <c r="B88" s="5" t="s">
        <v>390</v>
      </c>
      <c r="D88" s="5" t="s">
        <v>119</v>
      </c>
      <c r="E88" s="42" t="s">
        <v>161</v>
      </c>
      <c r="F88" s="42"/>
      <c r="G88" s="42"/>
      <c r="H88" s="42"/>
      <c r="I88" s="84"/>
      <c r="K88" s="5" t="s">
        <v>343</v>
      </c>
      <c r="L88" s="10">
        <v>42201.854861111111</v>
      </c>
      <c r="M88" s="11">
        <f t="shared" ca="1" si="2"/>
        <v>74.145138888889051</v>
      </c>
      <c r="N88" s="13">
        <v>42217</v>
      </c>
      <c r="O88" s="14">
        <v>42240</v>
      </c>
      <c r="P88" s="14"/>
      <c r="Q88" s="17"/>
      <c r="R88" s="5" t="s">
        <v>104</v>
      </c>
      <c r="W88" s="5" t="s">
        <v>156</v>
      </c>
      <c r="X88" s="14">
        <v>42276</v>
      </c>
      <c r="Y88" s="40">
        <v>172</v>
      </c>
      <c r="Z88" s="40"/>
      <c r="AA88" s="40"/>
      <c r="AB88" s="40"/>
    </row>
    <row r="89" spans="1:28" s="5" customFormat="1" ht="39.950000000000003" customHeight="1" x14ac:dyDescent="0.25">
      <c r="A89" s="5" t="s">
        <v>197</v>
      </c>
      <c r="B89" s="5" t="s">
        <v>198</v>
      </c>
      <c r="D89" s="43" t="s">
        <v>2288</v>
      </c>
      <c r="E89" s="42" t="s">
        <v>161</v>
      </c>
      <c r="F89" s="42"/>
      <c r="G89" s="42"/>
      <c r="H89" s="42"/>
      <c r="I89" s="84"/>
      <c r="L89" s="10">
        <v>42244</v>
      </c>
      <c r="M89" s="11">
        <f t="shared" ca="1" si="2"/>
        <v>32</v>
      </c>
      <c r="N89" s="13">
        <v>42217</v>
      </c>
      <c r="O89" s="14">
        <v>42258</v>
      </c>
      <c r="P89" s="14"/>
      <c r="Q89" s="17"/>
      <c r="W89" s="5" t="s">
        <v>156</v>
      </c>
      <c r="X89" s="14">
        <v>42276</v>
      </c>
      <c r="Y89" s="40">
        <v>5</v>
      </c>
      <c r="Z89" s="40"/>
      <c r="AA89" s="40"/>
      <c r="AB89" s="40"/>
    </row>
    <row r="90" spans="1:28" s="5" customFormat="1" x14ac:dyDescent="0.25">
      <c r="A90" s="5" t="s">
        <v>19</v>
      </c>
      <c r="B90" s="5" t="s">
        <v>391</v>
      </c>
      <c r="D90" s="5" t="s">
        <v>2290</v>
      </c>
      <c r="E90" s="42" t="s">
        <v>158</v>
      </c>
      <c r="F90" s="42"/>
      <c r="G90" s="42"/>
      <c r="H90" s="42"/>
      <c r="I90" s="84"/>
      <c r="K90" s="5" t="s">
        <v>101</v>
      </c>
      <c r="L90" s="10">
        <v>42157.595138888886</v>
      </c>
      <c r="M90" s="11">
        <f t="shared" ca="1" si="2"/>
        <v>113.40486111111386</v>
      </c>
      <c r="N90" s="13">
        <v>42217</v>
      </c>
      <c r="O90" s="14" t="s">
        <v>189</v>
      </c>
      <c r="P90" s="14"/>
      <c r="Q90" s="17"/>
      <c r="W90" s="5" t="s">
        <v>156</v>
      </c>
      <c r="X90" s="14">
        <v>42271</v>
      </c>
      <c r="Y90" s="40"/>
      <c r="Z90" s="40"/>
      <c r="AA90" s="40"/>
      <c r="AB90" s="40"/>
    </row>
    <row r="91" spans="1:28" s="5" customFormat="1" x14ac:dyDescent="0.25">
      <c r="A91" s="5" t="s">
        <v>168</v>
      </c>
      <c r="B91" s="5" t="s">
        <v>392</v>
      </c>
      <c r="D91" s="43" t="s">
        <v>2288</v>
      </c>
      <c r="E91" s="42" t="s">
        <v>174</v>
      </c>
      <c r="F91" s="42"/>
      <c r="G91" s="42"/>
      <c r="H91" s="42"/>
      <c r="I91" s="84"/>
      <c r="K91" s="5" t="s">
        <v>97</v>
      </c>
      <c r="L91" s="10">
        <v>42058</v>
      </c>
      <c r="M91" s="11">
        <f t="shared" ca="1" si="2"/>
        <v>176.72708333333139</v>
      </c>
      <c r="N91" s="13">
        <v>42217</v>
      </c>
      <c r="O91" s="14">
        <v>42252</v>
      </c>
      <c r="P91" s="14"/>
      <c r="Q91" s="17"/>
      <c r="W91" s="5" t="s">
        <v>156</v>
      </c>
      <c r="X91" s="14">
        <v>42234.727083333331</v>
      </c>
      <c r="Y91" s="40"/>
      <c r="Z91" s="40"/>
      <c r="AA91" s="40"/>
      <c r="AB91" s="40"/>
    </row>
    <row r="92" spans="1:28" s="5" customFormat="1" x14ac:dyDescent="0.25">
      <c r="A92" s="5" t="s">
        <v>62</v>
      </c>
      <c r="B92" s="5" t="s">
        <v>394</v>
      </c>
      <c r="D92" s="5" t="s">
        <v>118</v>
      </c>
      <c r="E92" s="42" t="s">
        <v>94</v>
      </c>
      <c r="F92" s="42"/>
      <c r="G92" s="42"/>
      <c r="H92" s="42"/>
      <c r="I92" s="84"/>
      <c r="K92" s="5" t="s">
        <v>98</v>
      </c>
      <c r="L92" s="14">
        <v>42213.603472222225</v>
      </c>
      <c r="M92" s="11">
        <f t="shared" ca="1" si="2"/>
        <v>61.396527777775191</v>
      </c>
      <c r="N92" s="13">
        <v>42217</v>
      </c>
      <c r="O92" s="14"/>
      <c r="P92" s="14"/>
      <c r="Q92" s="17"/>
      <c r="R92" s="5" t="s">
        <v>2328</v>
      </c>
      <c r="W92" s="5" t="s">
        <v>156</v>
      </c>
      <c r="X92" s="14">
        <v>42275</v>
      </c>
      <c r="Y92" s="40"/>
      <c r="Z92" s="40"/>
      <c r="AA92" s="40"/>
      <c r="AB92" s="40"/>
    </row>
    <row r="93" spans="1:28" s="5" customFormat="1" ht="39.950000000000003" customHeight="1" x14ac:dyDescent="0.25">
      <c r="A93" s="5" t="s">
        <v>57</v>
      </c>
      <c r="B93" s="5" t="s">
        <v>268</v>
      </c>
      <c r="D93" s="43" t="s">
        <v>2288</v>
      </c>
      <c r="E93" s="42" t="s">
        <v>160</v>
      </c>
      <c r="F93" s="42"/>
      <c r="G93" s="42"/>
      <c r="H93" s="42"/>
      <c r="I93" s="84"/>
      <c r="K93" s="5" t="s">
        <v>99</v>
      </c>
      <c r="L93" s="14">
        <v>42223.736805555556</v>
      </c>
      <c r="M93" s="11">
        <f t="shared" ca="1" si="2"/>
        <v>58.263194444443798</v>
      </c>
      <c r="N93" s="13">
        <v>42217</v>
      </c>
      <c r="O93" s="14">
        <v>42235</v>
      </c>
      <c r="P93" s="14"/>
      <c r="Q93" s="17"/>
      <c r="R93" s="5" t="s">
        <v>451</v>
      </c>
      <c r="W93" s="5" t="s">
        <v>156</v>
      </c>
      <c r="X93" s="14">
        <v>42282</v>
      </c>
      <c r="Y93" s="40">
        <v>6</v>
      </c>
      <c r="Z93" s="40"/>
      <c r="AA93" s="40"/>
      <c r="AB93" s="40"/>
    </row>
    <row r="94" spans="1:28" s="5" customFormat="1" ht="39.950000000000003" customHeight="1" x14ac:dyDescent="0.25">
      <c r="A94" s="5" t="s">
        <v>332</v>
      </c>
      <c r="B94" s="5" t="s">
        <v>333</v>
      </c>
      <c r="D94" s="5" t="s">
        <v>118</v>
      </c>
      <c r="E94" s="42" t="s">
        <v>161</v>
      </c>
      <c r="F94" s="42"/>
      <c r="G94" s="42"/>
      <c r="H94" s="42"/>
      <c r="I94" s="84"/>
      <c r="J94" s="5" t="s">
        <v>2309</v>
      </c>
      <c r="K94" s="5" t="s">
        <v>98</v>
      </c>
      <c r="L94" s="39">
        <v>42188</v>
      </c>
      <c r="M94" s="11">
        <f t="shared" ca="1" si="2"/>
        <v>103</v>
      </c>
      <c r="N94" s="13">
        <v>42272</v>
      </c>
      <c r="O94" s="14">
        <v>42269</v>
      </c>
      <c r="P94" s="14"/>
      <c r="Q94" s="17"/>
      <c r="R94" s="5" t="s">
        <v>1410</v>
      </c>
      <c r="W94" s="5" t="s">
        <v>156</v>
      </c>
      <c r="X94" s="14">
        <v>42291</v>
      </c>
      <c r="Y94" s="40">
        <v>103</v>
      </c>
      <c r="Z94" s="40">
        <v>13.2384</v>
      </c>
      <c r="AA94" s="40"/>
      <c r="AB94" s="40">
        <v>1</v>
      </c>
    </row>
    <row r="95" spans="1:28" s="5" customFormat="1" x14ac:dyDescent="0.25">
      <c r="A95" s="5" t="s">
        <v>18</v>
      </c>
      <c r="B95" s="5" t="s">
        <v>88</v>
      </c>
      <c r="D95" s="5" t="s">
        <v>2290</v>
      </c>
      <c r="E95" s="42" t="s">
        <v>158</v>
      </c>
      <c r="F95" s="42"/>
      <c r="G95" s="42"/>
      <c r="H95" s="42"/>
      <c r="I95" s="84"/>
      <c r="K95" s="5" t="s">
        <v>343</v>
      </c>
      <c r="L95" s="14">
        <v>42167.501388888886</v>
      </c>
      <c r="M95" s="11">
        <f t="shared" ca="1" si="2"/>
        <v>95.49861111111386</v>
      </c>
      <c r="N95" s="13">
        <v>42217</v>
      </c>
      <c r="O95" s="14">
        <v>42263</v>
      </c>
      <c r="P95" s="14"/>
      <c r="Q95" s="17"/>
      <c r="R95" s="5" t="s">
        <v>263</v>
      </c>
      <c r="W95" s="5" t="s">
        <v>156</v>
      </c>
      <c r="X95" s="14">
        <v>42263</v>
      </c>
      <c r="Y95" s="40">
        <v>362</v>
      </c>
      <c r="Z95" s="40"/>
      <c r="AA95" s="40"/>
      <c r="AB95" s="40"/>
    </row>
    <row r="96" spans="1:28" s="5" customFormat="1" x14ac:dyDescent="0.25">
      <c r="A96" s="5" t="s">
        <v>17</v>
      </c>
      <c r="B96" s="5" t="s">
        <v>87</v>
      </c>
      <c r="D96" s="5" t="s">
        <v>2290</v>
      </c>
      <c r="E96" s="42" t="s">
        <v>158</v>
      </c>
      <c r="F96" s="42"/>
      <c r="G96" s="42"/>
      <c r="H96" s="42"/>
      <c r="I96" s="84"/>
      <c r="K96" s="5" t="s">
        <v>101</v>
      </c>
      <c r="L96" s="14">
        <v>42199.606944444444</v>
      </c>
      <c r="M96" s="11">
        <f t="shared" ca="1" si="2"/>
        <v>17.393055555556202</v>
      </c>
      <c r="N96" s="13">
        <v>42217</v>
      </c>
      <c r="O96" s="14">
        <v>42215</v>
      </c>
      <c r="P96" s="14"/>
      <c r="Q96" s="17"/>
      <c r="R96" s="5" t="s">
        <v>265</v>
      </c>
      <c r="W96" s="5" t="s">
        <v>156</v>
      </c>
      <c r="X96" s="14">
        <v>42217</v>
      </c>
      <c r="Y96" s="40"/>
      <c r="Z96" s="40"/>
      <c r="AA96" s="40"/>
      <c r="AB96" s="40"/>
    </row>
    <row r="97" spans="1:28" s="5" customFormat="1" x14ac:dyDescent="0.25">
      <c r="A97" s="5" t="s">
        <v>15</v>
      </c>
      <c r="B97" s="5" t="s">
        <v>86</v>
      </c>
      <c r="D97" s="5" t="s">
        <v>2290</v>
      </c>
      <c r="E97" s="42" t="s">
        <v>158</v>
      </c>
      <c r="F97" s="42"/>
      <c r="G97" s="42"/>
      <c r="H97" s="42"/>
      <c r="I97" s="84"/>
      <c r="K97" s="5" t="s">
        <v>101</v>
      </c>
      <c r="L97" s="14">
        <v>42220.676388888889</v>
      </c>
      <c r="M97" s="11">
        <f t="shared" ca="1" si="2"/>
        <v>61.323611111110949</v>
      </c>
      <c r="N97" s="13">
        <v>42217</v>
      </c>
      <c r="O97" s="14" t="s">
        <v>264</v>
      </c>
      <c r="P97" s="14"/>
      <c r="Q97" s="36"/>
      <c r="R97" s="5" t="s">
        <v>450</v>
      </c>
      <c r="W97" s="5" t="s">
        <v>188</v>
      </c>
      <c r="X97" s="14">
        <v>42282</v>
      </c>
      <c r="Y97" s="40"/>
      <c r="Z97" s="40"/>
      <c r="AA97" s="40"/>
      <c r="AB97" s="40"/>
    </row>
    <row r="98" spans="1:28" s="5" customFormat="1" x14ac:dyDescent="0.25">
      <c r="A98" s="5" t="s">
        <v>325</v>
      </c>
      <c r="B98" s="5" t="s">
        <v>326</v>
      </c>
      <c r="D98" s="5" t="s">
        <v>118</v>
      </c>
      <c r="E98" s="42" t="s">
        <v>161</v>
      </c>
      <c r="F98" s="42"/>
      <c r="G98" s="42"/>
      <c r="H98" s="42"/>
      <c r="I98" s="84"/>
      <c r="K98" s="5" t="s">
        <v>98</v>
      </c>
      <c r="L98" s="39" t="s">
        <v>1424</v>
      </c>
      <c r="M98" s="11" t="str">
        <f t="shared" ca="1" si="2"/>
        <v/>
      </c>
      <c r="N98" s="13">
        <v>42272</v>
      </c>
      <c r="O98" s="14"/>
      <c r="P98" s="14"/>
      <c r="Q98" s="17"/>
      <c r="R98" s="5" t="s">
        <v>327</v>
      </c>
      <c r="W98" s="5" t="s">
        <v>156</v>
      </c>
      <c r="X98" s="14">
        <v>42276</v>
      </c>
      <c r="Y98" s="40"/>
      <c r="Z98" s="40"/>
      <c r="AA98" s="40"/>
      <c r="AB98" s="40"/>
    </row>
    <row r="99" spans="1:28" s="5" customFormat="1" x14ac:dyDescent="0.25">
      <c r="A99" s="5" t="s">
        <v>82</v>
      </c>
      <c r="B99" s="5" t="s">
        <v>2159</v>
      </c>
      <c r="D99" s="5" t="s">
        <v>118</v>
      </c>
      <c r="E99" s="42" t="s">
        <v>155</v>
      </c>
      <c r="F99" s="42"/>
      <c r="G99" s="42"/>
      <c r="H99" s="42"/>
      <c r="I99" s="84"/>
      <c r="J99" s="5" t="s">
        <v>2310</v>
      </c>
      <c r="K99" s="5" t="s">
        <v>97</v>
      </c>
      <c r="L99" s="14">
        <v>42142.465277777781</v>
      </c>
      <c r="M99" s="11">
        <f t="shared" ref="M99:M130" ca="1" si="3">IFERROR(IF(AND(W99&lt;&gt;"Concluído",W99&lt;&gt;"Cancelado"),TODAY()-L99+1,X99-L99),"")</f>
        <v>196.53472222221899</v>
      </c>
      <c r="N99" s="13">
        <v>42217</v>
      </c>
      <c r="O99" s="14" t="s">
        <v>191</v>
      </c>
      <c r="P99" s="14"/>
      <c r="Q99" s="69"/>
      <c r="R99" s="5" t="s">
        <v>2250</v>
      </c>
      <c r="W99" s="35" t="s">
        <v>156</v>
      </c>
      <c r="X99" s="14">
        <v>42339</v>
      </c>
      <c r="Y99" s="40"/>
      <c r="Z99" s="40">
        <v>2.4820000000000002</v>
      </c>
      <c r="AA99" s="40"/>
      <c r="AB99" s="40">
        <v>1</v>
      </c>
    </row>
    <row r="100" spans="1:28" s="5" customFormat="1" ht="39.950000000000003" customHeight="1" x14ac:dyDescent="0.25">
      <c r="A100" s="5" t="s">
        <v>72</v>
      </c>
      <c r="B100" s="5" t="s">
        <v>353</v>
      </c>
      <c r="D100" s="5" t="s">
        <v>118</v>
      </c>
      <c r="E100" s="42" t="s">
        <v>106</v>
      </c>
      <c r="F100" s="42"/>
      <c r="G100" s="42"/>
      <c r="H100" s="42"/>
      <c r="I100" s="84"/>
      <c r="K100" s="5" t="s">
        <v>354</v>
      </c>
      <c r="L100" s="10">
        <v>42222</v>
      </c>
      <c r="M100" s="11">
        <f t="shared" ca="1" si="3"/>
        <v>116</v>
      </c>
      <c r="N100" s="13">
        <v>42217</v>
      </c>
      <c r="O100" s="14"/>
      <c r="P100" s="14"/>
      <c r="Q100" s="69"/>
      <c r="R100" s="5" t="s">
        <v>2249</v>
      </c>
      <c r="W100" s="5" t="s">
        <v>156</v>
      </c>
      <c r="X100" s="14">
        <v>42338</v>
      </c>
      <c r="Y100" s="40"/>
      <c r="Z100" s="40"/>
      <c r="AA100" s="40"/>
      <c r="AB100" s="40"/>
    </row>
    <row r="101" spans="1:28" s="5" customFormat="1" x14ac:dyDescent="0.25">
      <c r="A101" s="5" t="s">
        <v>71</v>
      </c>
      <c r="B101" s="5" t="s">
        <v>355</v>
      </c>
      <c r="D101" s="5" t="s">
        <v>118</v>
      </c>
      <c r="E101" s="42" t="s">
        <v>106</v>
      </c>
      <c r="F101" s="42"/>
      <c r="G101" s="42"/>
      <c r="H101" s="42"/>
      <c r="I101" s="84"/>
      <c r="K101" s="5" t="s">
        <v>176</v>
      </c>
      <c r="L101" s="10">
        <v>42222</v>
      </c>
      <c r="M101" s="11">
        <f t="shared" ca="1" si="3"/>
        <v>36</v>
      </c>
      <c r="N101" s="13">
        <v>42217</v>
      </c>
      <c r="O101" s="14">
        <v>42222.457638888889</v>
      </c>
      <c r="P101" s="14"/>
      <c r="Q101" s="17"/>
      <c r="R101" s="5" t="s">
        <v>361</v>
      </c>
      <c r="W101" s="5" t="s">
        <v>156</v>
      </c>
      <c r="X101" s="14">
        <v>42258</v>
      </c>
      <c r="Y101" s="40"/>
      <c r="Z101" s="40"/>
      <c r="AA101" s="40"/>
      <c r="AB101" s="40"/>
    </row>
    <row r="102" spans="1:28" ht="39.950000000000003" customHeight="1" x14ac:dyDescent="0.25">
      <c r="A102" s="5" t="s">
        <v>48</v>
      </c>
      <c r="B102" s="5" t="s">
        <v>355</v>
      </c>
      <c r="C102" s="5"/>
      <c r="D102" s="5" t="s">
        <v>118</v>
      </c>
      <c r="E102" s="42" t="s">
        <v>106</v>
      </c>
      <c r="F102" s="42"/>
      <c r="G102" s="42"/>
      <c r="H102" s="42"/>
      <c r="I102" s="84"/>
      <c r="J102" s="5"/>
      <c r="K102" s="5" t="s">
        <v>176</v>
      </c>
      <c r="L102" s="14">
        <v>42222.450694444444</v>
      </c>
      <c r="M102" s="11">
        <f t="shared" ca="1" si="3"/>
        <v>76.549305555556202</v>
      </c>
      <c r="N102" s="13">
        <v>42217</v>
      </c>
      <c r="O102" s="14"/>
      <c r="P102" s="14"/>
      <c r="Q102" s="17"/>
      <c r="R102" s="5" t="s">
        <v>1485</v>
      </c>
      <c r="S102" s="5"/>
      <c r="T102" s="5"/>
      <c r="U102" s="5"/>
      <c r="W102" s="5" t="s">
        <v>188</v>
      </c>
      <c r="X102" s="14">
        <v>42299</v>
      </c>
      <c r="Y102" s="40"/>
      <c r="Z102" s="40"/>
      <c r="AA102" s="40"/>
      <c r="AB102" s="40"/>
    </row>
    <row r="103" spans="1:28" ht="39.950000000000003" customHeight="1" x14ac:dyDescent="0.25">
      <c r="A103" s="5" t="s">
        <v>342</v>
      </c>
      <c r="B103" s="5" t="s">
        <v>234</v>
      </c>
      <c r="C103" s="5"/>
      <c r="D103" s="5" t="s">
        <v>119</v>
      </c>
      <c r="E103" s="42" t="s">
        <v>106</v>
      </c>
      <c r="F103" s="42"/>
      <c r="G103" s="42"/>
      <c r="H103" s="42"/>
      <c r="I103" s="84"/>
      <c r="J103" s="5"/>
      <c r="K103" s="5" t="s">
        <v>343</v>
      </c>
      <c r="L103" s="10" t="s">
        <v>348</v>
      </c>
      <c r="M103" s="11" t="str">
        <f t="shared" ca="1" si="3"/>
        <v/>
      </c>
      <c r="N103" s="13">
        <v>42217</v>
      </c>
      <c r="O103" s="14"/>
      <c r="P103" s="14"/>
      <c r="Q103" s="37"/>
      <c r="R103" s="5" t="s">
        <v>1436</v>
      </c>
      <c r="S103" s="5"/>
      <c r="T103" s="5"/>
      <c r="U103" s="5"/>
      <c r="W103" s="5" t="s">
        <v>156</v>
      </c>
      <c r="X103" s="14">
        <v>42297</v>
      </c>
      <c r="Y103" s="40">
        <v>20</v>
      </c>
      <c r="Z103" s="40"/>
      <c r="AA103" s="40"/>
      <c r="AB103" s="40"/>
    </row>
    <row r="104" spans="1:28" ht="15" customHeight="1" x14ac:dyDescent="0.25">
      <c r="A104" s="5" t="s">
        <v>302</v>
      </c>
      <c r="B104" s="5" t="s">
        <v>407</v>
      </c>
      <c r="C104" s="5"/>
      <c r="D104" s="5" t="s">
        <v>118</v>
      </c>
      <c r="E104" s="42" t="s">
        <v>106</v>
      </c>
      <c r="F104" s="42"/>
      <c r="G104" s="42"/>
      <c r="H104" s="42"/>
      <c r="I104" s="84"/>
      <c r="J104" s="5"/>
      <c r="K104" s="5"/>
      <c r="L104" s="10">
        <v>42264</v>
      </c>
      <c r="M104" s="11">
        <f t="shared" ca="1" si="3"/>
        <v>20</v>
      </c>
      <c r="N104" s="13">
        <v>42272</v>
      </c>
      <c r="O104" s="14"/>
      <c r="P104" s="14"/>
      <c r="Q104" s="17"/>
      <c r="R104" s="5" t="s">
        <v>468</v>
      </c>
      <c r="S104" s="5"/>
      <c r="T104" s="5"/>
      <c r="U104" s="5"/>
      <c r="W104" s="5" t="s">
        <v>188</v>
      </c>
      <c r="X104" s="14">
        <v>42284</v>
      </c>
      <c r="Y104" s="40"/>
      <c r="Z104" s="40"/>
      <c r="AA104" s="40"/>
      <c r="AB104" s="40"/>
    </row>
    <row r="105" spans="1:28" x14ac:dyDescent="0.25">
      <c r="A105" s="5" t="s">
        <v>297</v>
      </c>
      <c r="B105" s="5" t="s">
        <v>408</v>
      </c>
      <c r="C105" s="5"/>
      <c r="D105" s="5" t="s">
        <v>118</v>
      </c>
      <c r="E105" s="42" t="s">
        <v>106</v>
      </c>
      <c r="F105" s="42"/>
      <c r="G105" s="42"/>
      <c r="H105" s="42"/>
      <c r="I105" s="84"/>
      <c r="J105" s="5"/>
      <c r="K105" s="5"/>
      <c r="L105" s="10">
        <v>42264</v>
      </c>
      <c r="M105" s="11">
        <f t="shared" ca="1" si="3"/>
        <v>20</v>
      </c>
      <c r="N105" s="13">
        <v>42272</v>
      </c>
      <c r="O105" s="14"/>
      <c r="P105" s="14"/>
      <c r="Q105" s="17"/>
      <c r="R105" s="5" t="s">
        <v>469</v>
      </c>
      <c r="S105" s="5"/>
      <c r="T105" s="5"/>
      <c r="U105" s="5"/>
      <c r="W105" s="5" t="s">
        <v>188</v>
      </c>
      <c r="X105" s="14">
        <v>42284</v>
      </c>
      <c r="Y105" s="40"/>
      <c r="Z105" s="40"/>
      <c r="AA105" s="40"/>
      <c r="AB105" s="40"/>
    </row>
    <row r="106" spans="1:28" x14ac:dyDescent="0.25">
      <c r="A106" s="5" t="s">
        <v>45</v>
      </c>
      <c r="B106" s="5" t="s">
        <v>356</v>
      </c>
      <c r="C106" s="5"/>
      <c r="D106" s="5" t="s">
        <v>118</v>
      </c>
      <c r="E106" s="42" t="s">
        <v>106</v>
      </c>
      <c r="F106" s="42"/>
      <c r="G106" s="42"/>
      <c r="H106" s="42"/>
      <c r="I106" s="84"/>
      <c r="J106" s="5"/>
      <c r="K106" s="5" t="s">
        <v>99</v>
      </c>
      <c r="L106" s="14">
        <v>42137.598611111112</v>
      </c>
      <c r="M106" s="11">
        <f t="shared" ca="1" si="3"/>
        <v>161.4013888888876</v>
      </c>
      <c r="N106" s="13">
        <v>42217</v>
      </c>
      <c r="O106" s="14"/>
      <c r="P106" s="14"/>
      <c r="Q106" s="17"/>
      <c r="R106" s="5" t="s">
        <v>1484</v>
      </c>
      <c r="S106" s="5"/>
      <c r="T106" s="5"/>
      <c r="U106" s="5"/>
      <c r="W106" s="5" t="s">
        <v>188</v>
      </c>
      <c r="X106" s="14">
        <v>42299</v>
      </c>
      <c r="Y106" s="40" t="s">
        <v>362</v>
      </c>
      <c r="Z106" s="40"/>
      <c r="AA106" s="40"/>
      <c r="AB106" s="40"/>
    </row>
    <row r="107" spans="1:28" x14ac:dyDescent="0.25">
      <c r="A107" s="5" t="s">
        <v>36</v>
      </c>
      <c r="B107" s="5" t="s">
        <v>355</v>
      </c>
      <c r="C107" s="5"/>
      <c r="D107" s="35" t="s">
        <v>118</v>
      </c>
      <c r="E107" s="35" t="s">
        <v>106</v>
      </c>
      <c r="F107" s="35"/>
      <c r="G107" s="35"/>
      <c r="H107" s="35"/>
      <c r="I107" s="84"/>
      <c r="J107" s="5"/>
      <c r="K107" s="5" t="s">
        <v>176</v>
      </c>
      <c r="L107" s="14">
        <v>42222.449305555558</v>
      </c>
      <c r="M107" s="11">
        <f t="shared" ca="1" si="3"/>
        <v>76.550694444442343</v>
      </c>
      <c r="N107" s="13">
        <v>42217</v>
      </c>
      <c r="O107" s="14"/>
      <c r="P107" s="14"/>
      <c r="Q107" s="41"/>
      <c r="R107" s="35" t="s">
        <v>1486</v>
      </c>
      <c r="S107" s="35"/>
      <c r="T107" s="35"/>
      <c r="U107" s="35"/>
      <c r="W107" s="5" t="s">
        <v>188</v>
      </c>
      <c r="X107" s="14">
        <v>42299</v>
      </c>
      <c r="Y107" s="40"/>
      <c r="Z107" s="40"/>
      <c r="AA107" s="40"/>
      <c r="AB107" s="40"/>
    </row>
    <row r="108" spans="1:28" x14ac:dyDescent="0.25">
      <c r="A108" s="5" t="s">
        <v>1107</v>
      </c>
      <c r="B108" s="5" t="s">
        <v>358</v>
      </c>
      <c r="C108" s="5"/>
      <c r="D108" s="43" t="s">
        <v>118</v>
      </c>
      <c r="E108" s="43" t="s">
        <v>106</v>
      </c>
      <c r="I108" s="84"/>
      <c r="J108" s="5" t="s">
        <v>2315</v>
      </c>
      <c r="K108" s="43" t="s">
        <v>97</v>
      </c>
      <c r="L108" s="87">
        <v>42244</v>
      </c>
      <c r="M108" s="11">
        <f t="shared" ca="1" si="3"/>
        <v>67</v>
      </c>
      <c r="N108" s="86">
        <v>42311</v>
      </c>
      <c r="O108" s="14"/>
      <c r="P108" s="14"/>
      <c r="Q108" s="17"/>
      <c r="R108" s="43" t="s">
        <v>2220</v>
      </c>
      <c r="W108" s="43" t="s">
        <v>156</v>
      </c>
      <c r="X108" s="14">
        <v>42311</v>
      </c>
      <c r="Y108" s="40"/>
      <c r="Z108" s="40"/>
      <c r="AA108" s="40"/>
      <c r="AB108" s="40"/>
    </row>
    <row r="109" spans="1:28" x14ac:dyDescent="0.25">
      <c r="A109" s="5" t="s">
        <v>2557</v>
      </c>
      <c r="B109" s="5" t="s">
        <v>470</v>
      </c>
      <c r="C109" s="5"/>
      <c r="D109" s="43" t="s">
        <v>118</v>
      </c>
      <c r="E109" s="43" t="s">
        <v>106</v>
      </c>
      <c r="I109" s="84"/>
      <c r="J109" s="5"/>
      <c r="K109" s="5" t="s">
        <v>2320</v>
      </c>
      <c r="L109" s="49">
        <v>42215</v>
      </c>
      <c r="M109" s="11">
        <f t="shared" ca="1" si="3"/>
        <v>116</v>
      </c>
      <c r="N109" s="86">
        <v>42284</v>
      </c>
      <c r="O109" s="14"/>
      <c r="P109" s="14"/>
      <c r="Q109" s="17"/>
      <c r="R109" s="43" t="s">
        <v>2329</v>
      </c>
      <c r="W109" s="43" t="s">
        <v>156</v>
      </c>
      <c r="X109" s="14">
        <v>42331</v>
      </c>
      <c r="Y109" s="40" t="s">
        <v>363</v>
      </c>
      <c r="Z109" s="40"/>
      <c r="AA109" s="40"/>
      <c r="AB109" s="40"/>
    </row>
    <row r="110" spans="1:28" x14ac:dyDescent="0.25">
      <c r="A110" s="5" t="s">
        <v>26</v>
      </c>
      <c r="B110" s="5" t="s">
        <v>355</v>
      </c>
      <c r="C110" s="5"/>
      <c r="D110" s="5" t="s">
        <v>118</v>
      </c>
      <c r="E110" s="42" t="s">
        <v>106</v>
      </c>
      <c r="F110" s="42"/>
      <c r="G110" s="42"/>
      <c r="H110" s="42"/>
      <c r="I110" s="84"/>
      <c r="J110" s="5"/>
      <c r="K110" s="5" t="s">
        <v>176</v>
      </c>
      <c r="L110" s="14">
        <v>42222.444444444445</v>
      </c>
      <c r="M110" s="11">
        <f t="shared" ca="1" si="3"/>
        <v>76.555555555554747</v>
      </c>
      <c r="N110" s="13">
        <v>42217</v>
      </c>
      <c r="O110" s="14"/>
      <c r="P110" s="14"/>
      <c r="Q110" s="17"/>
      <c r="R110" s="5" t="s">
        <v>1486</v>
      </c>
      <c r="S110" s="5"/>
      <c r="T110" s="5"/>
      <c r="U110" s="5"/>
      <c r="W110" s="5" t="s">
        <v>188</v>
      </c>
      <c r="X110" s="14">
        <v>42299</v>
      </c>
      <c r="Y110" s="40"/>
      <c r="Z110" s="40"/>
      <c r="AA110" s="40"/>
      <c r="AB110" s="40"/>
    </row>
    <row r="111" spans="1:28" ht="39.950000000000003" customHeight="1" x14ac:dyDescent="0.25">
      <c r="A111" s="5" t="s">
        <v>301</v>
      </c>
      <c r="B111" s="5" t="s">
        <v>407</v>
      </c>
      <c r="C111" s="5"/>
      <c r="D111" s="5" t="s">
        <v>118</v>
      </c>
      <c r="E111" s="42" t="s">
        <v>106</v>
      </c>
      <c r="F111" s="42"/>
      <c r="G111" s="42"/>
      <c r="H111" s="42"/>
      <c r="I111" s="84"/>
      <c r="J111" s="5"/>
      <c r="K111" s="5"/>
      <c r="L111" s="10">
        <v>42261</v>
      </c>
      <c r="M111" s="11">
        <f t="shared" ca="1" si="3"/>
        <v>23</v>
      </c>
      <c r="N111" s="13">
        <v>42272</v>
      </c>
      <c r="O111" s="14"/>
      <c r="P111" s="14"/>
      <c r="Q111" s="17"/>
      <c r="R111" s="5" t="s">
        <v>467</v>
      </c>
      <c r="S111" s="5"/>
      <c r="T111" s="5"/>
      <c r="U111" s="5"/>
      <c r="W111" s="5" t="s">
        <v>188</v>
      </c>
      <c r="X111" s="14">
        <v>42284</v>
      </c>
      <c r="Y111" s="40"/>
      <c r="Z111" s="40"/>
      <c r="AA111" s="40"/>
      <c r="AB111" s="40"/>
    </row>
    <row r="112" spans="1:28" x14ac:dyDescent="0.25">
      <c r="A112" s="5" t="s">
        <v>22</v>
      </c>
      <c r="B112" s="5" t="s">
        <v>2359</v>
      </c>
      <c r="C112" s="5"/>
      <c r="D112" s="5" t="s">
        <v>118</v>
      </c>
      <c r="E112" s="42" t="s">
        <v>155</v>
      </c>
      <c r="F112" s="42"/>
      <c r="G112" s="42"/>
      <c r="H112" s="42" t="s">
        <v>2320</v>
      </c>
      <c r="I112" s="84" t="s">
        <v>280</v>
      </c>
      <c r="J112" s="5"/>
      <c r="K112" s="5" t="s">
        <v>97</v>
      </c>
      <c r="L112" s="14">
        <v>42151.632638888892</v>
      </c>
      <c r="M112" s="11">
        <f t="shared" ca="1" si="3"/>
        <v>204.36736111110804</v>
      </c>
      <c r="N112" s="13">
        <v>42217</v>
      </c>
      <c r="O112" s="14" t="s">
        <v>190</v>
      </c>
      <c r="P112" s="14"/>
      <c r="Q112" s="17"/>
      <c r="R112" s="5" t="s">
        <v>2405</v>
      </c>
      <c r="S112" s="5"/>
      <c r="T112" s="5"/>
      <c r="U112" s="5"/>
      <c r="W112" s="5" t="s">
        <v>188</v>
      </c>
      <c r="X112" s="14">
        <v>42356</v>
      </c>
      <c r="Y112" s="40"/>
      <c r="Z112" s="40"/>
      <c r="AA112" s="40"/>
      <c r="AB112" s="40"/>
    </row>
    <row r="113" spans="1:28" x14ac:dyDescent="0.25">
      <c r="A113" s="5" t="s">
        <v>13</v>
      </c>
      <c r="B113" s="5" t="s">
        <v>358</v>
      </c>
      <c r="C113" s="5"/>
      <c r="D113" s="5" t="s">
        <v>118</v>
      </c>
      <c r="E113" s="42" t="s">
        <v>106</v>
      </c>
      <c r="F113" s="42"/>
      <c r="G113" s="42"/>
      <c r="H113" s="42"/>
      <c r="I113" s="84"/>
      <c r="J113" s="5"/>
      <c r="K113" s="5" t="s">
        <v>99</v>
      </c>
      <c r="L113" s="14">
        <v>42095.431944444441</v>
      </c>
      <c r="M113" s="11">
        <f t="shared" ca="1" si="3"/>
        <v>172.56805555555911</v>
      </c>
      <c r="N113" s="13">
        <v>42217</v>
      </c>
      <c r="O113" s="14"/>
      <c r="P113" s="14"/>
      <c r="Q113" s="17"/>
      <c r="R113" s="5" t="s">
        <v>361</v>
      </c>
      <c r="S113" s="5"/>
      <c r="T113" s="5"/>
      <c r="U113" s="5"/>
      <c r="W113" s="5" t="s">
        <v>156</v>
      </c>
      <c r="X113" s="14">
        <v>42268</v>
      </c>
      <c r="Y113" s="40"/>
      <c r="Z113" s="40"/>
      <c r="AA113" s="40"/>
      <c r="AB113" s="40"/>
    </row>
    <row r="114" spans="1:28" x14ac:dyDescent="0.25">
      <c r="A114" s="5" t="s">
        <v>8</v>
      </c>
      <c r="B114" s="5" t="s">
        <v>359</v>
      </c>
      <c r="C114" s="5"/>
      <c r="D114" s="5" t="s">
        <v>119</v>
      </c>
      <c r="E114" s="42" t="s">
        <v>106</v>
      </c>
      <c r="F114" s="42"/>
      <c r="G114" s="42"/>
      <c r="H114" s="42"/>
      <c r="I114" s="84"/>
      <c r="J114" s="5"/>
      <c r="K114" s="5" t="s">
        <v>343</v>
      </c>
      <c r="L114" s="14">
        <v>42172.793055555558</v>
      </c>
      <c r="M114" s="11">
        <f t="shared" ca="1" si="3"/>
        <v>95.206944444442343</v>
      </c>
      <c r="N114" s="13">
        <v>42217</v>
      </c>
      <c r="O114" s="14"/>
      <c r="P114" s="14"/>
      <c r="Q114" s="17"/>
      <c r="R114" s="5" t="s">
        <v>281</v>
      </c>
      <c r="S114" s="5"/>
      <c r="T114" s="5"/>
      <c r="U114" s="5"/>
      <c r="W114" s="5" t="s">
        <v>156</v>
      </c>
      <c r="X114" s="14">
        <v>42268</v>
      </c>
      <c r="Y114" s="40">
        <v>450</v>
      </c>
      <c r="Z114" s="40"/>
      <c r="AA114" s="40"/>
      <c r="AB114" s="40"/>
    </row>
    <row r="115" spans="1:28" x14ac:dyDescent="0.25">
      <c r="A115" s="5" t="s">
        <v>6</v>
      </c>
      <c r="B115" s="5" t="s">
        <v>360</v>
      </c>
      <c r="C115" s="5"/>
      <c r="D115" s="5" t="s">
        <v>119</v>
      </c>
      <c r="E115" s="42" t="s">
        <v>106</v>
      </c>
      <c r="F115" s="42"/>
      <c r="G115" s="42"/>
      <c r="H115" s="42"/>
      <c r="I115" s="84"/>
      <c r="J115" s="5"/>
      <c r="K115" s="5" t="s">
        <v>343</v>
      </c>
      <c r="L115" s="39" t="s">
        <v>1424</v>
      </c>
      <c r="M115" s="11" t="str">
        <f t="shared" ca="1" si="3"/>
        <v/>
      </c>
      <c r="N115" s="13">
        <v>42217</v>
      </c>
      <c r="O115" s="14"/>
      <c r="P115" s="14"/>
      <c r="Q115" s="17"/>
      <c r="R115" s="5" t="s">
        <v>281</v>
      </c>
      <c r="S115" s="5"/>
      <c r="T115" s="5"/>
      <c r="U115" s="5"/>
      <c r="W115" s="5" t="s">
        <v>156</v>
      </c>
      <c r="X115" s="14">
        <v>42265</v>
      </c>
      <c r="Y115" s="40"/>
      <c r="Z115" s="40"/>
      <c r="AA115" s="40"/>
      <c r="AB115" s="40"/>
    </row>
    <row r="116" spans="1:28" x14ac:dyDescent="0.25">
      <c r="A116" s="5" t="s">
        <v>266</v>
      </c>
      <c r="B116" s="5" t="s">
        <v>250</v>
      </c>
      <c r="C116" s="5"/>
      <c r="D116" s="5" t="s">
        <v>118</v>
      </c>
      <c r="E116" s="42" t="s">
        <v>153</v>
      </c>
      <c r="F116" s="42"/>
      <c r="G116" s="42"/>
      <c r="H116" s="42"/>
      <c r="I116" s="84"/>
      <c r="J116" s="5"/>
      <c r="K116" s="5" t="s">
        <v>97</v>
      </c>
      <c r="L116" s="49">
        <v>42217</v>
      </c>
      <c r="M116" s="11">
        <f t="shared" ca="1" si="3"/>
        <v>31.47013888888614</v>
      </c>
      <c r="N116" s="13">
        <v>42217</v>
      </c>
      <c r="O116" s="14"/>
      <c r="P116" s="14"/>
      <c r="Q116" s="17"/>
      <c r="R116" s="5"/>
      <c r="S116" s="5"/>
      <c r="T116" s="5"/>
      <c r="U116" s="5"/>
      <c r="W116" s="5" t="s">
        <v>156</v>
      </c>
      <c r="X116" s="14">
        <v>42248.470138888886</v>
      </c>
      <c r="Y116" s="40" t="s">
        <v>348</v>
      </c>
      <c r="Z116" s="40"/>
      <c r="AA116" s="40"/>
      <c r="AB116" s="40"/>
    </row>
    <row r="117" spans="1:28" x14ac:dyDescent="0.25">
      <c r="A117" s="5" t="s">
        <v>266</v>
      </c>
      <c r="B117" s="5" t="s">
        <v>253</v>
      </c>
      <c r="C117" s="5"/>
      <c r="D117" s="5" t="s">
        <v>118</v>
      </c>
      <c r="E117" s="42" t="s">
        <v>153</v>
      </c>
      <c r="F117" s="42"/>
      <c r="G117" s="42"/>
      <c r="H117" s="42"/>
      <c r="I117" s="84"/>
      <c r="J117" s="5"/>
      <c r="K117" s="5" t="s">
        <v>97</v>
      </c>
      <c r="L117" s="49">
        <v>42217</v>
      </c>
      <c r="M117" s="11">
        <f t="shared" ca="1" si="3"/>
        <v>58.597916666665697</v>
      </c>
      <c r="N117" s="13">
        <v>42217</v>
      </c>
      <c r="O117" s="14"/>
      <c r="P117" s="14"/>
      <c r="Q117" s="17"/>
      <c r="R117" s="5" t="s">
        <v>2330</v>
      </c>
      <c r="S117" s="5"/>
      <c r="T117" s="5"/>
      <c r="U117" s="5"/>
      <c r="W117" s="5" t="s">
        <v>156</v>
      </c>
      <c r="X117" s="14">
        <v>42275.597916666666</v>
      </c>
      <c r="Y117" s="40">
        <v>284</v>
      </c>
      <c r="Z117" s="40"/>
      <c r="AA117" s="40"/>
      <c r="AB117" s="40"/>
    </row>
    <row r="118" spans="1:28" ht="39.950000000000003" customHeight="1" x14ac:dyDescent="0.25">
      <c r="A118" s="5" t="s">
        <v>484</v>
      </c>
      <c r="B118" s="5" t="s">
        <v>488</v>
      </c>
      <c r="C118" s="5"/>
      <c r="D118" s="43" t="s">
        <v>2288</v>
      </c>
      <c r="E118" s="47" t="s">
        <v>162</v>
      </c>
      <c r="F118" s="47"/>
      <c r="G118" s="47"/>
      <c r="H118" s="47"/>
      <c r="I118" s="84"/>
      <c r="J118" s="5"/>
      <c r="L118" s="49">
        <v>42179</v>
      </c>
      <c r="M118" s="11">
        <f t="shared" ca="1" si="3"/>
        <v>112</v>
      </c>
      <c r="N118" s="13">
        <v>42283</v>
      </c>
      <c r="O118" s="14"/>
      <c r="P118" s="14"/>
      <c r="Q118" s="17"/>
      <c r="R118" s="43" t="s">
        <v>1443</v>
      </c>
      <c r="W118" s="43" t="s">
        <v>156</v>
      </c>
      <c r="X118" s="14">
        <v>42291</v>
      </c>
      <c r="Z118" s="40"/>
      <c r="AA118" s="40"/>
      <c r="AB118" s="40"/>
    </row>
    <row r="119" spans="1:28" ht="39.950000000000003" customHeight="1" x14ac:dyDescent="0.25">
      <c r="A119" s="5" t="s">
        <v>481</v>
      </c>
      <c r="B119" s="5" t="s">
        <v>485</v>
      </c>
      <c r="C119" s="5"/>
      <c r="D119" s="43" t="s">
        <v>2288</v>
      </c>
      <c r="E119" s="42" t="s">
        <v>162</v>
      </c>
      <c r="F119" s="42"/>
      <c r="G119" s="42"/>
      <c r="H119" s="42"/>
      <c r="I119" s="84"/>
      <c r="J119" s="5"/>
      <c r="L119" s="49">
        <v>42186</v>
      </c>
      <c r="M119" s="11">
        <f t="shared" ca="1" si="3"/>
        <v>105</v>
      </c>
      <c r="N119" s="13">
        <v>42283</v>
      </c>
      <c r="O119" s="14"/>
      <c r="P119" s="14"/>
      <c r="Q119" s="17"/>
      <c r="R119" s="43" t="s">
        <v>1444</v>
      </c>
      <c r="W119" s="43" t="s">
        <v>156</v>
      </c>
      <c r="X119" s="14">
        <v>42291</v>
      </c>
      <c r="Z119" s="40"/>
      <c r="AA119" s="40"/>
      <c r="AB119" s="40"/>
    </row>
    <row r="120" spans="1:28" ht="39.950000000000003" customHeight="1" x14ac:dyDescent="0.25">
      <c r="A120" s="5" t="s">
        <v>482</v>
      </c>
      <c r="B120" s="5" t="s">
        <v>486</v>
      </c>
      <c r="C120" s="5"/>
      <c r="D120" s="43" t="s">
        <v>2288</v>
      </c>
      <c r="E120" s="47" t="s">
        <v>162</v>
      </c>
      <c r="F120" s="47"/>
      <c r="G120" s="47"/>
      <c r="H120" s="47"/>
      <c r="I120" s="84"/>
      <c r="J120" s="5"/>
      <c r="L120" s="49">
        <v>42186</v>
      </c>
      <c r="M120" s="11">
        <f t="shared" ca="1" si="3"/>
        <v>132</v>
      </c>
      <c r="N120" s="13">
        <v>42283</v>
      </c>
      <c r="O120" s="14"/>
      <c r="P120" s="14"/>
      <c r="Q120" s="37"/>
      <c r="R120" s="43" t="s">
        <v>2331</v>
      </c>
      <c r="W120" s="43" t="s">
        <v>156</v>
      </c>
      <c r="X120" s="14">
        <v>42318</v>
      </c>
      <c r="Z120" s="40"/>
      <c r="AA120" s="40"/>
      <c r="AB120" s="40"/>
    </row>
    <row r="121" spans="1:28" ht="39.950000000000003" customHeight="1" x14ac:dyDescent="0.25">
      <c r="A121" s="5" t="s">
        <v>79</v>
      </c>
      <c r="B121" s="5" t="s">
        <v>220</v>
      </c>
      <c r="C121" s="5"/>
      <c r="D121" s="43" t="s">
        <v>2288</v>
      </c>
      <c r="E121" s="42" t="s">
        <v>94</v>
      </c>
      <c r="F121" s="42"/>
      <c r="G121" s="42"/>
      <c r="H121" s="42"/>
      <c r="I121" s="84"/>
      <c r="J121" s="5"/>
      <c r="K121" s="5" t="s">
        <v>97</v>
      </c>
      <c r="L121" s="49">
        <v>42114.761805555558</v>
      </c>
      <c r="M121" s="11">
        <f t="shared" ca="1" si="3"/>
        <v>118.64583333332848</v>
      </c>
      <c r="N121" s="13">
        <v>42217</v>
      </c>
      <c r="O121" s="14" t="s">
        <v>189</v>
      </c>
      <c r="P121" s="14"/>
      <c r="Q121" s="17"/>
      <c r="R121" s="5"/>
      <c r="S121" s="5"/>
      <c r="T121" s="5"/>
      <c r="U121" s="5"/>
      <c r="W121" s="5" t="s">
        <v>156</v>
      </c>
      <c r="X121" s="14">
        <v>42233.407638888886</v>
      </c>
      <c r="Y121" s="40" t="s">
        <v>348</v>
      </c>
      <c r="Z121" s="40"/>
      <c r="AA121" s="40"/>
      <c r="AB121" s="40"/>
    </row>
    <row r="122" spans="1:28" ht="39.950000000000003" customHeight="1" x14ac:dyDescent="0.25">
      <c r="A122" s="5" t="s">
        <v>78</v>
      </c>
      <c r="B122" s="5" t="s">
        <v>219</v>
      </c>
      <c r="C122" s="5"/>
      <c r="D122" s="43" t="s">
        <v>2288</v>
      </c>
      <c r="E122" s="42" t="s">
        <v>94</v>
      </c>
      <c r="F122" s="42"/>
      <c r="G122" s="42"/>
      <c r="H122" s="42"/>
      <c r="I122" s="84"/>
      <c r="J122" s="5"/>
      <c r="K122" s="5" t="s">
        <v>97</v>
      </c>
      <c r="L122" s="49">
        <v>42116.692361111112</v>
      </c>
      <c r="M122" s="11">
        <f t="shared" ca="1" si="3"/>
        <v>113.93472222222044</v>
      </c>
      <c r="N122" s="13">
        <v>42217</v>
      </c>
      <c r="O122" s="14" t="s">
        <v>189</v>
      </c>
      <c r="P122" s="14"/>
      <c r="Q122" s="17"/>
      <c r="R122" s="5"/>
      <c r="S122" s="5"/>
      <c r="T122" s="5"/>
      <c r="U122" s="5"/>
      <c r="W122" s="5" t="s">
        <v>156</v>
      </c>
      <c r="X122" s="14">
        <v>42230.627083333333</v>
      </c>
      <c r="Y122" s="40" t="s">
        <v>348</v>
      </c>
      <c r="Z122" s="40"/>
      <c r="AA122" s="40"/>
      <c r="AB122" s="40"/>
    </row>
    <row r="123" spans="1:28" ht="39.950000000000003" customHeight="1" x14ac:dyDescent="0.25">
      <c r="A123" s="5" t="s">
        <v>74</v>
      </c>
      <c r="B123" s="5" t="s">
        <v>395</v>
      </c>
      <c r="C123" s="5"/>
      <c r="D123" s="43" t="s">
        <v>2288</v>
      </c>
      <c r="E123" s="42" t="s">
        <v>162</v>
      </c>
      <c r="F123" s="42"/>
      <c r="G123" s="42"/>
      <c r="H123" s="42"/>
      <c r="I123" s="84"/>
      <c r="J123" s="5"/>
      <c r="K123" s="5" t="s">
        <v>97</v>
      </c>
      <c r="L123" s="49">
        <v>42172.499305555553</v>
      </c>
      <c r="M123" s="11">
        <f t="shared" ca="1" si="3"/>
        <v>124.50069444444671</v>
      </c>
      <c r="N123" s="13">
        <v>42217</v>
      </c>
      <c r="O123" s="14">
        <v>42282</v>
      </c>
      <c r="P123" s="14"/>
      <c r="Q123" s="17"/>
      <c r="R123" s="5" t="s">
        <v>1435</v>
      </c>
      <c r="S123" s="5"/>
      <c r="T123" s="5"/>
      <c r="U123" s="5"/>
      <c r="W123" s="5" t="s">
        <v>156</v>
      </c>
      <c r="X123" s="14">
        <v>42297</v>
      </c>
      <c r="Y123" s="40">
        <v>29</v>
      </c>
      <c r="Z123" s="40"/>
      <c r="AA123" s="40"/>
      <c r="AB123" s="40"/>
    </row>
    <row r="124" spans="1:28" ht="39.950000000000003" customHeight="1" x14ac:dyDescent="0.25">
      <c r="A124" s="5" t="s">
        <v>73</v>
      </c>
      <c r="B124" s="5" t="s">
        <v>218</v>
      </c>
      <c r="C124" s="5"/>
      <c r="D124" s="43" t="s">
        <v>2288</v>
      </c>
      <c r="E124" s="42" t="s">
        <v>162</v>
      </c>
      <c r="F124" s="42"/>
      <c r="G124" s="42"/>
      <c r="H124" s="42"/>
      <c r="I124" s="84"/>
      <c r="J124" s="5"/>
      <c r="K124" s="5" t="s">
        <v>99</v>
      </c>
      <c r="L124" s="49">
        <v>42184.652777777781</v>
      </c>
      <c r="M124" s="11">
        <f t="shared" ca="1" si="3"/>
        <v>36.070833333331393</v>
      </c>
      <c r="N124" s="13">
        <v>42217</v>
      </c>
      <c r="O124" s="14" t="s">
        <v>189</v>
      </c>
      <c r="P124" s="14"/>
      <c r="Q124" s="17"/>
      <c r="R124" s="5"/>
      <c r="S124" s="5"/>
      <c r="T124" s="5"/>
      <c r="U124" s="5"/>
      <c r="W124" s="5" t="s">
        <v>156</v>
      </c>
      <c r="X124" s="14">
        <v>42220.723611111112</v>
      </c>
      <c r="Y124" s="40"/>
      <c r="Z124" s="40"/>
      <c r="AA124" s="40"/>
      <c r="AB124" s="40"/>
    </row>
    <row r="125" spans="1:28" ht="39.950000000000003" customHeight="1" x14ac:dyDescent="0.25">
      <c r="A125" s="5" t="s">
        <v>3523</v>
      </c>
      <c r="B125" s="5" t="s">
        <v>312</v>
      </c>
      <c r="C125" s="5"/>
      <c r="D125" s="5" t="s">
        <v>118</v>
      </c>
      <c r="E125" s="42" t="s">
        <v>94</v>
      </c>
      <c r="F125" s="42"/>
      <c r="G125" s="42"/>
      <c r="H125" s="42"/>
      <c r="I125" s="84"/>
      <c r="J125" s="5"/>
      <c r="K125" s="5" t="s">
        <v>98</v>
      </c>
      <c r="L125" s="49">
        <v>42236</v>
      </c>
      <c r="M125" s="11">
        <f t="shared" ca="1" si="3"/>
        <v>103</v>
      </c>
      <c r="N125" s="13">
        <v>42272</v>
      </c>
      <c r="O125" s="14"/>
      <c r="P125" s="14"/>
      <c r="Q125" s="37"/>
      <c r="R125" s="91" t="s">
        <v>1507</v>
      </c>
      <c r="S125" s="91"/>
      <c r="T125" s="91"/>
      <c r="U125" s="91"/>
      <c r="W125" s="5" t="s">
        <v>156</v>
      </c>
      <c r="X125" s="14">
        <v>42339</v>
      </c>
      <c r="Y125" s="40"/>
      <c r="Z125" s="40"/>
      <c r="AA125" s="40"/>
      <c r="AB125" s="40"/>
    </row>
    <row r="126" spans="1:28" ht="39.950000000000003" customHeight="1" x14ac:dyDescent="0.25">
      <c r="A126" s="5" t="s">
        <v>3524</v>
      </c>
      <c r="B126" s="5" t="s">
        <v>308</v>
      </c>
      <c r="C126" s="5"/>
      <c r="D126" s="5" t="s">
        <v>118</v>
      </c>
      <c r="E126" s="42" t="s">
        <v>94</v>
      </c>
      <c r="F126" s="42"/>
      <c r="G126" s="42"/>
      <c r="H126" s="42"/>
      <c r="I126" s="84"/>
      <c r="J126" s="5"/>
      <c r="K126" s="5" t="s">
        <v>343</v>
      </c>
      <c r="L126" s="49">
        <v>42262</v>
      </c>
      <c r="M126" s="11">
        <f t="shared" ca="1" si="3"/>
        <v>35</v>
      </c>
      <c r="N126" s="13">
        <v>42272</v>
      </c>
      <c r="O126" s="14"/>
      <c r="P126" s="14"/>
      <c r="Q126" s="37"/>
      <c r="R126" s="5" t="s">
        <v>1442</v>
      </c>
      <c r="S126" s="5"/>
      <c r="T126" s="5"/>
      <c r="U126" s="5"/>
      <c r="W126" s="5" t="s">
        <v>156</v>
      </c>
      <c r="X126" s="14">
        <v>42297</v>
      </c>
      <c r="Y126" s="40"/>
      <c r="Z126" s="40"/>
      <c r="AA126" s="40"/>
      <c r="AB126" s="40"/>
    </row>
    <row r="127" spans="1:28" ht="39.950000000000003" customHeight="1" x14ac:dyDescent="0.25">
      <c r="A127" s="5" t="s">
        <v>3525</v>
      </c>
      <c r="B127" s="5" t="s">
        <v>434</v>
      </c>
      <c r="C127" s="5"/>
      <c r="D127" s="43" t="s">
        <v>2288</v>
      </c>
      <c r="E127" s="43" t="s">
        <v>160</v>
      </c>
      <c r="I127" s="84"/>
      <c r="J127" s="5"/>
      <c r="L127" s="49">
        <v>42271</v>
      </c>
      <c r="M127" s="11">
        <f t="shared" ca="1" si="3"/>
        <v>42</v>
      </c>
      <c r="N127" s="13">
        <v>42278</v>
      </c>
      <c r="O127" s="14"/>
      <c r="P127" s="14"/>
      <c r="Q127" s="37"/>
      <c r="R127" s="92" t="s">
        <v>2332</v>
      </c>
      <c r="S127" s="92"/>
      <c r="T127" s="92"/>
      <c r="U127" s="92"/>
      <c r="W127" s="43" t="s">
        <v>156</v>
      </c>
      <c r="X127" s="14">
        <v>42313</v>
      </c>
      <c r="Y127" s="48">
        <v>21</v>
      </c>
      <c r="Z127" s="40"/>
      <c r="AA127" s="40"/>
      <c r="AB127" s="40"/>
    </row>
    <row r="128" spans="1:28" x14ac:dyDescent="0.25">
      <c r="A128" s="5" t="s">
        <v>344</v>
      </c>
      <c r="B128" s="5" t="s">
        <v>345</v>
      </c>
      <c r="C128" s="5"/>
      <c r="D128" s="43" t="s">
        <v>118</v>
      </c>
      <c r="E128" s="42" t="s">
        <v>153</v>
      </c>
      <c r="F128" s="42"/>
      <c r="G128" s="42"/>
      <c r="H128" s="42"/>
      <c r="I128" s="84"/>
      <c r="J128" s="5"/>
      <c r="L128" s="49">
        <v>42276</v>
      </c>
      <c r="M128" s="11">
        <f t="shared" ca="1" si="3"/>
        <v>7.7444444444408873</v>
      </c>
      <c r="N128" s="13">
        <v>42276</v>
      </c>
      <c r="O128" s="14"/>
      <c r="P128" s="14"/>
      <c r="Q128" s="17"/>
      <c r="R128" s="43" t="s">
        <v>453</v>
      </c>
      <c r="W128" s="5" t="s">
        <v>156</v>
      </c>
      <c r="X128" s="14">
        <v>42283.744444444441</v>
      </c>
      <c r="Y128" s="48" t="s">
        <v>454</v>
      </c>
      <c r="Z128" s="40"/>
      <c r="AA128" s="40"/>
      <c r="AB128" s="40"/>
    </row>
    <row r="129" spans="1:28" x14ac:dyDescent="0.25">
      <c r="A129" s="5" t="s">
        <v>149</v>
      </c>
      <c r="B129" s="5" t="s">
        <v>150</v>
      </c>
      <c r="C129" s="5"/>
      <c r="D129" s="5" t="s">
        <v>118</v>
      </c>
      <c r="E129" s="42" t="s">
        <v>153</v>
      </c>
      <c r="F129" s="42"/>
      <c r="G129" s="42"/>
      <c r="H129" s="42"/>
      <c r="I129" s="84"/>
      <c r="J129" s="5" t="s">
        <v>2312</v>
      </c>
      <c r="K129" s="5" t="s">
        <v>97</v>
      </c>
      <c r="L129" s="49">
        <v>42062.555555555555</v>
      </c>
      <c r="M129" s="11">
        <f t="shared" ca="1" si="3"/>
        <v>248.44444444444525</v>
      </c>
      <c r="N129" s="13">
        <v>42217</v>
      </c>
      <c r="O129" s="14">
        <v>42313</v>
      </c>
      <c r="P129" s="14"/>
      <c r="Q129" s="17"/>
      <c r="R129" s="91" t="s">
        <v>1506</v>
      </c>
      <c r="S129" s="91"/>
      <c r="T129" s="91"/>
      <c r="U129" s="91"/>
      <c r="W129" s="5" t="s">
        <v>156</v>
      </c>
      <c r="X129" s="14">
        <v>42311</v>
      </c>
      <c r="Y129" s="40">
        <v>41</v>
      </c>
      <c r="Z129" s="40"/>
      <c r="AA129" s="40"/>
      <c r="AB129" s="40">
        <v>3</v>
      </c>
    </row>
    <row r="130" spans="1:28" ht="39.950000000000003" customHeight="1" x14ac:dyDescent="0.25">
      <c r="A130" s="5" t="s">
        <v>68</v>
      </c>
      <c r="B130" s="5" t="s">
        <v>396</v>
      </c>
      <c r="C130" s="5"/>
      <c r="D130" s="5" t="s">
        <v>118</v>
      </c>
      <c r="E130" s="42" t="s">
        <v>153</v>
      </c>
      <c r="F130" s="42"/>
      <c r="G130" s="42"/>
      <c r="H130" s="42"/>
      <c r="I130" s="84"/>
      <c r="J130" s="5"/>
      <c r="K130" s="5" t="s">
        <v>99</v>
      </c>
      <c r="L130" s="49">
        <v>42142.4375</v>
      </c>
      <c r="M130" s="11">
        <f t="shared" ca="1" si="3"/>
        <v>84.221527777779556</v>
      </c>
      <c r="N130" s="13">
        <v>42217</v>
      </c>
      <c r="O130" s="14"/>
      <c r="P130" s="14"/>
      <c r="Q130" s="17"/>
      <c r="R130" s="5"/>
      <c r="S130" s="5"/>
      <c r="T130" s="5"/>
      <c r="U130" s="5"/>
      <c r="W130" s="5" t="s">
        <v>156</v>
      </c>
      <c r="X130" s="14">
        <v>42226.65902777778</v>
      </c>
      <c r="Y130" s="40">
        <v>37</v>
      </c>
      <c r="Z130" s="40"/>
      <c r="AA130" s="40"/>
      <c r="AB130" s="40"/>
    </row>
    <row r="131" spans="1:28" ht="39.950000000000003" customHeight="1" x14ac:dyDescent="0.25">
      <c r="A131" s="5" t="s">
        <v>67</v>
      </c>
      <c r="B131" s="5" t="s">
        <v>397</v>
      </c>
      <c r="C131" s="5"/>
      <c r="D131" s="43" t="s">
        <v>2288</v>
      </c>
      <c r="E131" s="42" t="s">
        <v>160</v>
      </c>
      <c r="F131" s="42"/>
      <c r="G131" s="42"/>
      <c r="H131" s="42"/>
      <c r="I131" s="84"/>
      <c r="J131" s="5"/>
      <c r="K131" s="5" t="s">
        <v>98</v>
      </c>
      <c r="L131" s="49">
        <v>42142.479166666664</v>
      </c>
      <c r="M131" s="11">
        <f t="shared" ref="M131:M162" ca="1" si="4">IFERROR(IF(AND(W131&lt;&gt;"Concluído",W131&lt;&gt;"Cancelado"),TODAY()-L131+1,X131-L131),"")</f>
        <v>124.52083333333576</v>
      </c>
      <c r="N131" s="13">
        <v>42272</v>
      </c>
      <c r="O131" s="14">
        <v>42267</v>
      </c>
      <c r="P131" s="14"/>
      <c r="Q131" s="17"/>
      <c r="R131" s="5" t="s">
        <v>291</v>
      </c>
      <c r="S131" s="5"/>
      <c r="T131" s="5"/>
      <c r="U131" s="5"/>
      <c r="W131" s="5" t="s">
        <v>156</v>
      </c>
      <c r="X131" s="14">
        <v>42267</v>
      </c>
      <c r="Y131" s="40">
        <v>103</v>
      </c>
      <c r="Z131" s="40"/>
      <c r="AA131" s="40"/>
      <c r="AB131" s="40"/>
    </row>
    <row r="132" spans="1:28" ht="39.950000000000003" customHeight="1" x14ac:dyDescent="0.25">
      <c r="A132" s="5" t="s">
        <v>63</v>
      </c>
      <c r="B132" s="5" t="s">
        <v>271</v>
      </c>
      <c r="C132" s="5"/>
      <c r="D132" s="5" t="s">
        <v>118</v>
      </c>
      <c r="E132" s="42" t="s">
        <v>239</v>
      </c>
      <c r="F132" s="42"/>
      <c r="G132" s="42"/>
      <c r="H132" s="42"/>
      <c r="I132" s="84"/>
      <c r="J132" s="5"/>
      <c r="K132" s="5" t="s">
        <v>98</v>
      </c>
      <c r="L132" s="49">
        <v>42206.628472222219</v>
      </c>
      <c r="M132" s="11">
        <f t="shared" ca="1" si="4"/>
        <v>132.37152777778101</v>
      </c>
      <c r="N132" s="13">
        <v>42217</v>
      </c>
      <c r="O132" s="14"/>
      <c r="P132" s="14"/>
      <c r="Q132" s="17"/>
      <c r="R132" s="91" t="s">
        <v>2333</v>
      </c>
      <c r="S132" s="91"/>
      <c r="T132" s="91"/>
      <c r="U132" s="91"/>
      <c r="W132" s="5" t="s">
        <v>156</v>
      </c>
      <c r="X132" s="14">
        <v>42339</v>
      </c>
      <c r="Y132" s="40" t="s">
        <v>273</v>
      </c>
      <c r="Z132" s="40"/>
      <c r="AA132" s="40"/>
      <c r="AB132" s="40"/>
    </row>
    <row r="133" spans="1:28" ht="39.950000000000003" customHeight="1" x14ac:dyDescent="0.25">
      <c r="A133" s="5" t="s">
        <v>61</v>
      </c>
      <c r="B133" s="5" t="s">
        <v>398</v>
      </c>
      <c r="C133" s="5"/>
      <c r="D133" s="5" t="s">
        <v>118</v>
      </c>
      <c r="E133" s="42" t="s">
        <v>153</v>
      </c>
      <c r="F133" s="42"/>
      <c r="G133" s="42"/>
      <c r="H133" s="42"/>
      <c r="I133" s="84"/>
      <c r="J133" s="5"/>
      <c r="K133" s="5" t="s">
        <v>98</v>
      </c>
      <c r="L133" s="49">
        <v>42219.749305555553</v>
      </c>
      <c r="M133" s="11">
        <f t="shared" ca="1" si="4"/>
        <v>71.250694444446708</v>
      </c>
      <c r="N133" s="13">
        <v>42217</v>
      </c>
      <c r="O133" s="14">
        <v>42247</v>
      </c>
      <c r="P133" s="14"/>
      <c r="Q133" s="17"/>
      <c r="R133" s="91" t="s">
        <v>1441</v>
      </c>
      <c r="S133" s="91"/>
      <c r="T133" s="91"/>
      <c r="U133" s="91"/>
      <c r="W133" s="5" t="s">
        <v>156</v>
      </c>
      <c r="X133" s="14">
        <v>42291</v>
      </c>
      <c r="Y133" s="40"/>
      <c r="Z133" s="40"/>
      <c r="AA133" s="40"/>
      <c r="AB133" s="40"/>
    </row>
    <row r="134" spans="1:28" ht="39.950000000000003" customHeight="1" x14ac:dyDescent="0.25">
      <c r="A134" s="5" t="s">
        <v>143</v>
      </c>
      <c r="B134" s="5" t="s">
        <v>147</v>
      </c>
      <c r="C134" s="5"/>
      <c r="D134" s="5" t="s">
        <v>118</v>
      </c>
      <c r="E134" s="42" t="s">
        <v>153</v>
      </c>
      <c r="F134" s="42"/>
      <c r="G134" s="42"/>
      <c r="H134" s="42"/>
      <c r="I134" s="84"/>
      <c r="J134" s="5"/>
      <c r="K134" s="5" t="s">
        <v>2320</v>
      </c>
      <c r="L134" s="49">
        <v>42227.74722222222</v>
      </c>
      <c r="M134" s="11">
        <f t="shared" ca="1" si="4"/>
        <v>23.754166666665697</v>
      </c>
      <c r="N134" s="13">
        <v>42217</v>
      </c>
      <c r="O134" s="14"/>
      <c r="P134" s="14"/>
      <c r="Q134" s="17"/>
      <c r="R134" s="5" t="s">
        <v>257</v>
      </c>
      <c r="S134" s="5"/>
      <c r="T134" s="5"/>
      <c r="U134" s="5"/>
      <c r="W134" s="5" t="s">
        <v>188</v>
      </c>
      <c r="X134" s="14">
        <v>42251.501388888886</v>
      </c>
      <c r="Y134" s="40"/>
      <c r="Z134" s="40"/>
      <c r="AA134" s="40"/>
      <c r="AB134" s="40"/>
    </row>
    <row r="135" spans="1:28" ht="39.950000000000003" customHeight="1" x14ac:dyDescent="0.25">
      <c r="A135" s="5" t="s">
        <v>142</v>
      </c>
      <c r="B135" s="5" t="s">
        <v>427</v>
      </c>
      <c r="C135" s="5"/>
      <c r="D135" s="5" t="s">
        <v>118</v>
      </c>
      <c r="E135" s="42" t="s">
        <v>153</v>
      </c>
      <c r="F135" s="42"/>
      <c r="G135" s="42"/>
      <c r="H135" s="42" t="s">
        <v>2320</v>
      </c>
      <c r="I135" s="84" t="s">
        <v>280</v>
      </c>
      <c r="J135" s="5" t="s">
        <v>2312</v>
      </c>
      <c r="K135" s="5" t="s">
        <v>2320</v>
      </c>
      <c r="L135" s="49">
        <v>42227.748611111114</v>
      </c>
      <c r="M135" s="11">
        <f t="shared" ca="1" si="4"/>
        <v>118.25138888888614</v>
      </c>
      <c r="N135" s="13">
        <v>42217</v>
      </c>
      <c r="O135" s="14" t="s">
        <v>2318</v>
      </c>
      <c r="P135" s="14"/>
      <c r="Q135" s="37"/>
      <c r="R135" s="91" t="s">
        <v>2355</v>
      </c>
      <c r="S135" s="91"/>
      <c r="T135" s="91"/>
      <c r="U135" s="91"/>
      <c r="W135" s="5" t="s">
        <v>188</v>
      </c>
      <c r="X135" s="14">
        <v>42346</v>
      </c>
      <c r="Y135" s="40"/>
      <c r="Z135" s="40"/>
      <c r="AA135" s="40"/>
      <c r="AB135" s="40">
        <v>3</v>
      </c>
    </row>
    <row r="136" spans="1:28" ht="39.950000000000003" customHeight="1" x14ac:dyDescent="0.25">
      <c r="A136" s="5" t="s">
        <v>115</v>
      </c>
      <c r="B136" s="5" t="s">
        <v>148</v>
      </c>
      <c r="C136" s="5"/>
      <c r="D136" s="5" t="s">
        <v>118</v>
      </c>
      <c r="E136" s="42" t="s">
        <v>153</v>
      </c>
      <c r="F136" s="42"/>
      <c r="G136" s="42"/>
      <c r="H136" s="42"/>
      <c r="I136" s="84"/>
      <c r="J136" s="5"/>
      <c r="K136" s="5" t="s">
        <v>97</v>
      </c>
      <c r="L136" s="49">
        <v>42166.661111111112</v>
      </c>
      <c r="M136" s="11">
        <f t="shared" ca="1" si="4"/>
        <v>73.777083333334303</v>
      </c>
      <c r="N136" s="13">
        <v>42217</v>
      </c>
      <c r="O136" s="14"/>
      <c r="P136" s="14"/>
      <c r="Q136" s="17"/>
      <c r="R136" s="5"/>
      <c r="S136" s="5"/>
      <c r="T136" s="5"/>
      <c r="U136" s="5"/>
      <c r="W136" s="5" t="s">
        <v>156</v>
      </c>
      <c r="X136" s="14">
        <v>42240.438194444447</v>
      </c>
      <c r="Y136" s="40">
        <v>11</v>
      </c>
      <c r="Z136" s="40"/>
      <c r="AA136" s="40"/>
      <c r="AB136" s="40"/>
    </row>
    <row r="137" spans="1:28" ht="39.950000000000003" customHeight="1" x14ac:dyDescent="0.25">
      <c r="A137" s="5" t="s">
        <v>52</v>
      </c>
      <c r="B137" s="5" t="s">
        <v>400</v>
      </c>
      <c r="C137" s="5"/>
      <c r="D137" s="5" t="s">
        <v>118</v>
      </c>
      <c r="E137" s="42" t="s">
        <v>153</v>
      </c>
      <c r="F137" s="42"/>
      <c r="G137" s="42"/>
      <c r="H137" s="42"/>
      <c r="I137" s="84"/>
      <c r="J137" s="5" t="s">
        <v>2312</v>
      </c>
      <c r="K137" s="5" t="s">
        <v>98</v>
      </c>
      <c r="L137" s="49">
        <v>42178.515277777777</v>
      </c>
      <c r="M137" s="11">
        <f t="shared" ca="1" si="4"/>
        <v>139.48472222222335</v>
      </c>
      <c r="N137" s="13">
        <v>42217</v>
      </c>
      <c r="O137" s="14">
        <v>42292</v>
      </c>
      <c r="P137" s="14"/>
      <c r="Q137" s="17"/>
      <c r="R137" s="91" t="s">
        <v>1523</v>
      </c>
      <c r="S137" s="91"/>
      <c r="T137" s="91"/>
      <c r="U137" s="91"/>
      <c r="W137" s="5" t="s">
        <v>156</v>
      </c>
      <c r="X137" s="14">
        <v>42318</v>
      </c>
      <c r="Y137" s="40">
        <v>10</v>
      </c>
      <c r="Z137" s="40"/>
      <c r="AA137" s="40"/>
      <c r="AB137" s="40">
        <v>3</v>
      </c>
    </row>
    <row r="138" spans="1:28" ht="39.950000000000003" customHeight="1" x14ac:dyDescent="0.25">
      <c r="A138" s="5" t="s">
        <v>44</v>
      </c>
      <c r="B138" s="5" t="s">
        <v>90</v>
      </c>
      <c r="C138" s="5"/>
      <c r="D138" s="5" t="s">
        <v>118</v>
      </c>
      <c r="E138" s="42" t="s">
        <v>153</v>
      </c>
      <c r="F138" s="42"/>
      <c r="G138" s="42"/>
      <c r="H138" s="42"/>
      <c r="I138" s="84"/>
      <c r="J138" s="5"/>
      <c r="K138" s="5" t="s">
        <v>102</v>
      </c>
      <c r="L138" s="49">
        <v>42137.854166666664</v>
      </c>
      <c r="M138" s="11">
        <f t="shared" ca="1" si="4"/>
        <v>144.14583333333576</v>
      </c>
      <c r="N138" s="13">
        <v>42217</v>
      </c>
      <c r="O138" s="14" t="s">
        <v>156</v>
      </c>
      <c r="P138" s="14"/>
      <c r="Q138" s="17"/>
      <c r="R138" s="5" t="s">
        <v>2334</v>
      </c>
      <c r="S138" s="5"/>
      <c r="T138" s="5"/>
      <c r="U138" s="5"/>
      <c r="W138" s="5" t="s">
        <v>156</v>
      </c>
      <c r="X138" s="14">
        <v>42282</v>
      </c>
      <c r="Y138" s="40">
        <v>50</v>
      </c>
      <c r="Z138" s="40"/>
      <c r="AA138" s="40"/>
      <c r="AB138" s="40"/>
    </row>
    <row r="139" spans="1:28" ht="39.950000000000003" customHeight="1" x14ac:dyDescent="0.25">
      <c r="A139" s="5" t="s">
        <v>43</v>
      </c>
      <c r="B139" s="5" t="s">
        <v>164</v>
      </c>
      <c r="C139" s="5"/>
      <c r="D139" s="5" t="s">
        <v>118</v>
      </c>
      <c r="E139" s="42" t="s">
        <v>153</v>
      </c>
      <c r="F139" s="42"/>
      <c r="G139" s="42"/>
      <c r="H139" s="42"/>
      <c r="I139" s="84"/>
      <c r="J139" s="5"/>
      <c r="K139" s="5" t="s">
        <v>98</v>
      </c>
      <c r="L139" s="49">
        <v>42142.459722222222</v>
      </c>
      <c r="M139" s="11">
        <f t="shared" ca="1" si="4"/>
        <v>101.98124999999709</v>
      </c>
      <c r="N139" s="13">
        <v>42217</v>
      </c>
      <c r="O139" s="14">
        <v>42244</v>
      </c>
      <c r="P139" s="14"/>
      <c r="Q139" s="17"/>
      <c r="R139" s="5"/>
      <c r="S139" s="5"/>
      <c r="T139" s="5"/>
      <c r="U139" s="5"/>
      <c r="W139" s="5" t="s">
        <v>156</v>
      </c>
      <c r="X139" s="14">
        <v>42244.440972222219</v>
      </c>
      <c r="Y139" s="40">
        <v>2</v>
      </c>
      <c r="Z139" s="40"/>
      <c r="AA139" s="40"/>
      <c r="AB139" s="40"/>
    </row>
    <row r="140" spans="1:28" ht="39.950000000000003" customHeight="1" x14ac:dyDescent="0.25">
      <c r="A140" s="5" t="s">
        <v>1049</v>
      </c>
      <c r="B140" s="5" t="s">
        <v>1050</v>
      </c>
      <c r="C140" s="5"/>
      <c r="D140" s="43" t="s">
        <v>118</v>
      </c>
      <c r="E140" s="42" t="s">
        <v>153</v>
      </c>
      <c r="F140" s="42"/>
      <c r="G140" s="42"/>
      <c r="H140" s="42"/>
      <c r="I140" s="84"/>
      <c r="J140" s="5"/>
      <c r="K140" s="43" t="s">
        <v>97</v>
      </c>
      <c r="L140" s="49">
        <v>42226</v>
      </c>
      <c r="M140" s="11">
        <f t="shared" ca="1" si="4"/>
        <v>106</v>
      </c>
      <c r="N140" s="85">
        <v>42297</v>
      </c>
      <c r="O140" s="14" t="s">
        <v>156</v>
      </c>
      <c r="P140" s="14"/>
      <c r="Q140" s="37"/>
      <c r="R140" s="92" t="s">
        <v>2210</v>
      </c>
      <c r="S140" s="92"/>
      <c r="T140" s="92"/>
      <c r="U140" s="92"/>
      <c r="W140" s="43" t="s">
        <v>156</v>
      </c>
      <c r="X140" s="85">
        <v>42332</v>
      </c>
      <c r="Y140" s="48">
        <v>112</v>
      </c>
      <c r="Z140" s="40"/>
      <c r="AA140" s="40"/>
      <c r="AB140" s="40"/>
    </row>
    <row r="141" spans="1:28" ht="39.950000000000003" customHeight="1" x14ac:dyDescent="0.25">
      <c r="A141" s="5" t="s">
        <v>31</v>
      </c>
      <c r="B141" s="5" t="s">
        <v>89</v>
      </c>
      <c r="C141" s="5"/>
      <c r="D141" s="5" t="s">
        <v>118</v>
      </c>
      <c r="E141" s="42" t="s">
        <v>153</v>
      </c>
      <c r="F141" s="42"/>
      <c r="G141" s="42"/>
      <c r="H141" s="42"/>
      <c r="I141" s="84"/>
      <c r="J141" s="5"/>
      <c r="K141" s="5" t="s">
        <v>98</v>
      </c>
      <c r="L141" s="49">
        <v>42142.548611111109</v>
      </c>
      <c r="M141" s="11">
        <f t="shared" ca="1" si="4"/>
        <v>142.45138888889051</v>
      </c>
      <c r="N141" s="13">
        <v>42217</v>
      </c>
      <c r="O141" s="14"/>
      <c r="P141" s="14"/>
      <c r="Q141" s="36"/>
      <c r="R141" s="91" t="s">
        <v>489</v>
      </c>
      <c r="S141" s="91"/>
      <c r="T141" s="91"/>
      <c r="U141" s="91"/>
      <c r="W141" s="5" t="s">
        <v>188</v>
      </c>
      <c r="X141" s="14">
        <v>42285</v>
      </c>
      <c r="Y141" s="40">
        <v>138</v>
      </c>
      <c r="Z141" s="40"/>
      <c r="AA141" s="40"/>
      <c r="AB141" s="40"/>
    </row>
    <row r="142" spans="1:28" ht="39.950000000000003" customHeight="1" x14ac:dyDescent="0.25">
      <c r="A142" s="5" t="s">
        <v>29</v>
      </c>
      <c r="B142" s="5" t="s">
        <v>217</v>
      </c>
      <c r="C142" s="5"/>
      <c r="D142" s="43" t="s">
        <v>2288</v>
      </c>
      <c r="E142" s="42" t="s">
        <v>94</v>
      </c>
      <c r="F142" s="42"/>
      <c r="G142" s="42"/>
      <c r="H142" s="42"/>
      <c r="I142" s="84"/>
      <c r="J142" s="5"/>
      <c r="K142" s="5" t="s">
        <v>97</v>
      </c>
      <c r="L142" s="49">
        <v>42146.790277777778</v>
      </c>
      <c r="M142" s="11">
        <f t="shared" ca="1" si="4"/>
        <v>75.879166666665697</v>
      </c>
      <c r="N142" s="13">
        <v>42217</v>
      </c>
      <c r="O142" s="14" t="s">
        <v>156</v>
      </c>
      <c r="P142" s="14"/>
      <c r="Q142" s="17"/>
      <c r="R142" s="5"/>
      <c r="S142" s="5"/>
      <c r="T142" s="5"/>
      <c r="U142" s="5"/>
      <c r="W142" s="5" t="s">
        <v>156</v>
      </c>
      <c r="X142" s="14">
        <v>42222.669444444444</v>
      </c>
      <c r="Y142" s="40" t="s">
        <v>348</v>
      </c>
      <c r="Z142" s="40"/>
      <c r="AA142" s="40"/>
      <c r="AB142" s="40"/>
    </row>
    <row r="143" spans="1:28" ht="39.950000000000003" customHeight="1" x14ac:dyDescent="0.25">
      <c r="A143" s="5" t="s">
        <v>114</v>
      </c>
      <c r="B143" s="5" t="s">
        <v>129</v>
      </c>
      <c r="C143" s="5"/>
      <c r="D143" s="5" t="s">
        <v>118</v>
      </c>
      <c r="E143" s="42" t="s">
        <v>153</v>
      </c>
      <c r="F143" s="42"/>
      <c r="G143" s="42"/>
      <c r="H143" s="42"/>
      <c r="I143" s="84"/>
      <c r="J143" s="5"/>
      <c r="K143" s="5" t="s">
        <v>97</v>
      </c>
      <c r="L143" s="49">
        <v>42107.417361111111</v>
      </c>
      <c r="M143" s="11">
        <f t="shared" ca="1" si="4"/>
        <v>137.03819444444525</v>
      </c>
      <c r="N143" s="13">
        <v>42217</v>
      </c>
      <c r="O143" s="14"/>
      <c r="P143" s="14"/>
      <c r="Q143" s="17"/>
      <c r="R143" s="5" t="s">
        <v>349</v>
      </c>
      <c r="S143" s="5"/>
      <c r="T143" s="5"/>
      <c r="U143" s="5"/>
      <c r="W143" s="5" t="s">
        <v>188</v>
      </c>
      <c r="X143" s="14">
        <v>42244.455555555556</v>
      </c>
      <c r="Y143" s="40" t="s">
        <v>348</v>
      </c>
      <c r="Z143" s="40"/>
      <c r="AA143" s="40"/>
      <c r="AB143" s="40"/>
    </row>
    <row r="144" spans="1:28" ht="50.1" customHeight="1" x14ac:dyDescent="0.25">
      <c r="A144" s="5" t="s">
        <v>85</v>
      </c>
      <c r="B144" s="5" t="s">
        <v>183</v>
      </c>
      <c r="C144" s="5"/>
      <c r="D144" s="5" t="s">
        <v>118</v>
      </c>
      <c r="E144" s="42" t="s">
        <v>153</v>
      </c>
      <c r="F144" s="42"/>
      <c r="G144" s="42"/>
      <c r="H144" s="42"/>
      <c r="I144" s="84"/>
      <c r="J144" s="5"/>
      <c r="K144" s="5" t="s">
        <v>97</v>
      </c>
      <c r="L144" s="49">
        <v>42131.477777777778</v>
      </c>
      <c r="M144" s="11">
        <f t="shared" ca="1" si="4"/>
        <v>214.5222222222219</v>
      </c>
      <c r="N144" s="13">
        <v>42217</v>
      </c>
      <c r="O144" s="14">
        <v>42277</v>
      </c>
      <c r="P144" s="14"/>
      <c r="Q144" s="44"/>
      <c r="R144" s="7" t="s">
        <v>2387</v>
      </c>
      <c r="S144" s="7"/>
      <c r="T144" s="7"/>
      <c r="U144" s="7"/>
      <c r="W144" s="7" t="s">
        <v>156</v>
      </c>
      <c r="X144" s="14">
        <v>42346</v>
      </c>
      <c r="Y144" s="40">
        <v>37</v>
      </c>
      <c r="Z144" s="40"/>
      <c r="AA144" s="40"/>
      <c r="AB144" s="40"/>
    </row>
    <row r="145" spans="1:28" ht="50.1" customHeight="1" x14ac:dyDescent="0.25">
      <c r="A145" s="5" t="s">
        <v>77</v>
      </c>
      <c r="B145" s="5" t="s">
        <v>216</v>
      </c>
      <c r="C145" s="5"/>
      <c r="D145" s="43" t="s">
        <v>2288</v>
      </c>
      <c r="E145" s="42" t="s">
        <v>94</v>
      </c>
      <c r="F145" s="42"/>
      <c r="G145" s="42"/>
      <c r="H145" s="42"/>
      <c r="I145" s="84"/>
      <c r="J145" s="5"/>
      <c r="K145" s="5"/>
      <c r="L145" s="49">
        <v>42138.65</v>
      </c>
      <c r="M145" s="11">
        <f t="shared" ca="1" si="4"/>
        <v>118.34999999999854</v>
      </c>
      <c r="N145" s="13">
        <v>42217</v>
      </c>
      <c r="O145" s="14">
        <v>42257.512499999997</v>
      </c>
      <c r="P145" s="14"/>
      <c r="Q145" s="17"/>
      <c r="R145" s="5"/>
      <c r="S145" s="5"/>
      <c r="T145" s="5"/>
      <c r="U145" s="5"/>
      <c r="W145" s="5" t="s">
        <v>156</v>
      </c>
      <c r="X145" s="14">
        <v>42257</v>
      </c>
      <c r="Y145" s="40"/>
      <c r="Z145" s="40"/>
      <c r="AA145" s="40"/>
      <c r="AB145" s="40"/>
    </row>
    <row r="146" spans="1:28" ht="50.1" customHeight="1" x14ac:dyDescent="0.25">
      <c r="A146" s="5" t="s">
        <v>75</v>
      </c>
      <c r="B146" s="5" t="s">
        <v>215</v>
      </c>
      <c r="C146" s="5"/>
      <c r="D146" s="5" t="s">
        <v>118</v>
      </c>
      <c r="E146" s="42" t="s">
        <v>153</v>
      </c>
      <c r="F146" s="42"/>
      <c r="G146" s="42"/>
      <c r="H146" s="42"/>
      <c r="I146" s="84"/>
      <c r="J146" s="5"/>
      <c r="K146" s="5" t="s">
        <v>97</v>
      </c>
      <c r="L146" s="49">
        <v>42146.772916666669</v>
      </c>
      <c r="M146" s="11">
        <f t="shared" ca="1" si="4"/>
        <v>116.22708333333139</v>
      </c>
      <c r="N146" s="13">
        <v>42217</v>
      </c>
      <c r="O146" s="14">
        <v>42263.427777777775</v>
      </c>
      <c r="P146" s="14"/>
      <c r="Q146" s="17"/>
      <c r="R146" s="5"/>
      <c r="S146" s="5"/>
      <c r="T146" s="5"/>
      <c r="U146" s="5"/>
      <c r="W146" s="5" t="s">
        <v>156</v>
      </c>
      <c r="X146" s="14">
        <v>42263</v>
      </c>
      <c r="Y146" s="40">
        <v>66</v>
      </c>
      <c r="Z146" s="40"/>
      <c r="AA146" s="40"/>
      <c r="AB146" s="40"/>
    </row>
    <row r="147" spans="1:28" ht="50.1" customHeight="1" x14ac:dyDescent="0.25">
      <c r="A147" s="5" t="s">
        <v>3526</v>
      </c>
      <c r="B147" s="5" t="s">
        <v>341</v>
      </c>
      <c r="C147" s="5"/>
      <c r="D147" s="5" t="s">
        <v>118</v>
      </c>
      <c r="E147" s="42" t="s">
        <v>94</v>
      </c>
      <c r="F147" s="42"/>
      <c r="G147" s="42"/>
      <c r="H147" s="42"/>
      <c r="I147" s="84"/>
      <c r="J147" s="5"/>
      <c r="K147" s="5" t="s">
        <v>343</v>
      </c>
      <c r="L147" s="49">
        <v>42270</v>
      </c>
      <c r="M147" s="11">
        <f t="shared" ca="1" si="4"/>
        <v>12</v>
      </c>
      <c r="N147" s="13">
        <v>42272</v>
      </c>
      <c r="O147" s="14"/>
      <c r="P147" s="14"/>
      <c r="Q147" s="44"/>
      <c r="R147" s="7" t="s">
        <v>2335</v>
      </c>
      <c r="S147" s="7"/>
      <c r="T147" s="7"/>
      <c r="U147" s="7"/>
      <c r="W147" s="7" t="s">
        <v>156</v>
      </c>
      <c r="X147" s="14">
        <v>42282</v>
      </c>
      <c r="Y147" s="40">
        <v>44</v>
      </c>
      <c r="Z147" s="40"/>
      <c r="AA147" s="40"/>
      <c r="AB147" s="40"/>
    </row>
    <row r="148" spans="1:28" ht="50.1" customHeight="1" x14ac:dyDescent="0.25">
      <c r="A148" s="5" t="s">
        <v>181</v>
      </c>
      <c r="B148" s="5" t="s">
        <v>182</v>
      </c>
      <c r="C148" s="5"/>
      <c r="D148" s="5" t="s">
        <v>118</v>
      </c>
      <c r="E148" s="42" t="s">
        <v>153</v>
      </c>
      <c r="F148" s="42"/>
      <c r="G148" s="42"/>
      <c r="H148" s="42"/>
      <c r="I148" s="84"/>
      <c r="J148" s="5"/>
      <c r="K148" s="5" t="s">
        <v>97</v>
      </c>
      <c r="L148" s="49">
        <v>41976.754861111112</v>
      </c>
      <c r="M148" s="11">
        <f t="shared" ca="1" si="4"/>
        <v>315.2451388888876</v>
      </c>
      <c r="N148" s="13">
        <v>42217</v>
      </c>
      <c r="O148" s="14">
        <v>42272</v>
      </c>
      <c r="P148" s="14"/>
      <c r="Q148" s="17"/>
      <c r="R148" s="5" t="s">
        <v>1433</v>
      </c>
      <c r="S148" s="5"/>
      <c r="T148" s="5"/>
      <c r="U148" s="5"/>
      <c r="W148" s="5" t="s">
        <v>156</v>
      </c>
      <c r="X148" s="14">
        <v>42292</v>
      </c>
      <c r="Y148" s="40">
        <v>66</v>
      </c>
      <c r="Z148" s="40"/>
      <c r="AA148" s="40"/>
      <c r="AB148" s="40"/>
    </row>
    <row r="149" spans="1:28" ht="50.1" customHeight="1" x14ac:dyDescent="0.25">
      <c r="A149" s="5" t="s">
        <v>293</v>
      </c>
      <c r="B149" s="5" t="s">
        <v>237</v>
      </c>
      <c r="C149" s="5"/>
      <c r="D149" s="5" t="s">
        <v>119</v>
      </c>
      <c r="E149" s="42" t="s">
        <v>153</v>
      </c>
      <c r="F149" s="42"/>
      <c r="G149" s="42"/>
      <c r="H149" s="42"/>
      <c r="I149" s="84"/>
      <c r="J149" s="5"/>
      <c r="K149" s="5" t="s">
        <v>343</v>
      </c>
      <c r="L149" s="49">
        <v>42183</v>
      </c>
      <c r="M149" s="11">
        <f t="shared" ca="1" si="4"/>
        <v>141</v>
      </c>
      <c r="N149" s="13">
        <v>42217</v>
      </c>
      <c r="O149" s="14">
        <v>42275</v>
      </c>
      <c r="P149" s="14"/>
      <c r="Q149" s="45"/>
      <c r="R149" s="7" t="s">
        <v>1694</v>
      </c>
      <c r="S149" s="7"/>
      <c r="T149" s="7"/>
      <c r="U149" s="7"/>
      <c r="W149" s="5" t="s">
        <v>156</v>
      </c>
      <c r="X149" s="14">
        <v>42324</v>
      </c>
      <c r="Y149" s="40">
        <v>19</v>
      </c>
      <c r="Z149" s="40"/>
      <c r="AA149" s="40"/>
      <c r="AB149" s="40"/>
    </row>
    <row r="150" spans="1:28" ht="50.1" customHeight="1" x14ac:dyDescent="0.25">
      <c r="A150" s="5" t="s">
        <v>3527</v>
      </c>
      <c r="B150" s="5" t="s">
        <v>431</v>
      </c>
      <c r="C150" s="5"/>
      <c r="D150" s="5" t="s">
        <v>118</v>
      </c>
      <c r="E150" s="42" t="s">
        <v>153</v>
      </c>
      <c r="F150" s="42"/>
      <c r="G150" s="42"/>
      <c r="H150" s="42"/>
      <c r="I150" s="84"/>
      <c r="J150" s="5"/>
      <c r="K150" s="5" t="s">
        <v>97</v>
      </c>
      <c r="L150" s="49">
        <v>42194.624305555553</v>
      </c>
      <c r="M150" s="11">
        <f t="shared" ca="1" si="4"/>
        <v>102.37569444444671</v>
      </c>
      <c r="N150" s="13">
        <v>42217</v>
      </c>
      <c r="O150" s="14"/>
      <c r="P150" s="14"/>
      <c r="Q150" s="46"/>
      <c r="R150" s="5" t="s">
        <v>1434</v>
      </c>
      <c r="S150" s="5"/>
      <c r="T150" s="5"/>
      <c r="U150" s="5"/>
      <c r="W150" s="7" t="s">
        <v>188</v>
      </c>
      <c r="X150" s="14">
        <v>42297</v>
      </c>
      <c r="Y150" s="40">
        <v>10</v>
      </c>
      <c r="Z150" s="40"/>
      <c r="AA150" s="40"/>
      <c r="AB150" s="40"/>
    </row>
    <row r="151" spans="1:28" ht="50.1" customHeight="1" x14ac:dyDescent="0.25">
      <c r="A151" s="5" t="s">
        <v>46</v>
      </c>
      <c r="B151" s="5" t="s">
        <v>254</v>
      </c>
      <c r="C151" s="5"/>
      <c r="D151" s="5" t="s">
        <v>118</v>
      </c>
      <c r="E151" s="42" t="s">
        <v>153</v>
      </c>
      <c r="F151" s="42"/>
      <c r="G151" s="42"/>
      <c r="H151" s="42"/>
      <c r="I151" s="84"/>
      <c r="J151" s="5"/>
      <c r="K151" s="5" t="s">
        <v>97</v>
      </c>
      <c r="L151" s="49">
        <v>42135.74722222222</v>
      </c>
      <c r="M151" s="11">
        <f t="shared" ca="1" si="4"/>
        <v>149.25277777777956</v>
      </c>
      <c r="N151" s="13">
        <v>42217</v>
      </c>
      <c r="O151" s="14">
        <v>42307</v>
      </c>
      <c r="P151" s="14"/>
      <c r="Q151" s="17"/>
      <c r="R151" s="5" t="s">
        <v>1421</v>
      </c>
      <c r="S151" s="5"/>
      <c r="T151" s="5"/>
      <c r="U151" s="5"/>
      <c r="W151" s="5" t="s">
        <v>156</v>
      </c>
      <c r="X151" s="14">
        <v>42285</v>
      </c>
      <c r="Y151" s="40">
        <v>300</v>
      </c>
      <c r="Z151" s="40"/>
      <c r="AA151" s="40"/>
      <c r="AB151" s="40"/>
    </row>
    <row r="152" spans="1:28" ht="50.1" customHeight="1" x14ac:dyDescent="0.25">
      <c r="A152" s="5" t="s">
        <v>40</v>
      </c>
      <c r="B152" s="5" t="s">
        <v>186</v>
      </c>
      <c r="C152" s="5"/>
      <c r="D152" s="5" t="s">
        <v>118</v>
      </c>
      <c r="E152" s="42" t="s">
        <v>153</v>
      </c>
      <c r="F152" s="42"/>
      <c r="G152" s="42"/>
      <c r="H152" s="42"/>
      <c r="I152" s="84"/>
      <c r="J152" s="5"/>
      <c r="K152" s="5" t="s">
        <v>97</v>
      </c>
      <c r="L152" s="49">
        <v>42208.727777777778</v>
      </c>
      <c r="M152" s="11">
        <f t="shared" ca="1" si="4"/>
        <v>109.2722222222219</v>
      </c>
      <c r="N152" s="13">
        <v>42217</v>
      </c>
      <c r="O152" s="14"/>
      <c r="P152" s="14"/>
      <c r="Q152" s="44"/>
      <c r="R152" s="7" t="s">
        <v>1522</v>
      </c>
      <c r="S152" s="7"/>
      <c r="T152" s="7"/>
      <c r="U152" s="7"/>
      <c r="W152" s="7" t="s">
        <v>156</v>
      </c>
      <c r="X152" s="14">
        <v>42318</v>
      </c>
      <c r="Y152" s="40">
        <v>300</v>
      </c>
      <c r="Z152" s="40"/>
      <c r="AA152" s="40"/>
      <c r="AB152" s="40"/>
    </row>
    <row r="153" spans="1:28" ht="50.1" customHeight="1" x14ac:dyDescent="0.25">
      <c r="A153" s="5" t="s">
        <v>37</v>
      </c>
      <c r="B153" s="5" t="s">
        <v>350</v>
      </c>
      <c r="C153" s="5"/>
      <c r="D153" s="5" t="s">
        <v>118</v>
      </c>
      <c r="E153" s="42" t="s">
        <v>153</v>
      </c>
      <c r="F153" s="42"/>
      <c r="G153" s="42"/>
      <c r="H153" s="42"/>
      <c r="I153" s="84"/>
      <c r="J153" s="5"/>
      <c r="K153" s="5" t="s">
        <v>97</v>
      </c>
      <c r="L153" s="49">
        <v>42216.861111111109</v>
      </c>
      <c r="M153" s="11">
        <f t="shared" ca="1" si="4"/>
        <v>54.138888888890506</v>
      </c>
      <c r="N153" s="13">
        <v>42217</v>
      </c>
      <c r="O153" s="14">
        <v>42265</v>
      </c>
      <c r="P153" s="14"/>
      <c r="Q153" s="17"/>
      <c r="R153" s="5" t="s">
        <v>351</v>
      </c>
      <c r="S153" s="5"/>
      <c r="T153" s="5"/>
      <c r="U153" s="5"/>
      <c r="W153" s="5" t="s">
        <v>156</v>
      </c>
      <c r="X153" s="14">
        <v>42271</v>
      </c>
      <c r="Y153" s="40"/>
      <c r="Z153" s="40"/>
      <c r="AA153" s="40"/>
      <c r="AB153" s="40"/>
    </row>
    <row r="154" spans="1:28" ht="50.1" customHeight="1" x14ac:dyDescent="0.25">
      <c r="A154" s="5" t="s">
        <v>3528</v>
      </c>
      <c r="B154" s="5" t="s">
        <v>152</v>
      </c>
      <c r="C154" s="5"/>
      <c r="D154" s="5" t="s">
        <v>118</v>
      </c>
      <c r="E154" s="42" t="s">
        <v>153</v>
      </c>
      <c r="F154" s="42"/>
      <c r="G154" s="42"/>
      <c r="H154" s="42"/>
      <c r="I154" s="84"/>
      <c r="J154" s="5"/>
      <c r="K154" s="5"/>
      <c r="L154" s="49">
        <v>42217</v>
      </c>
      <c r="M154" s="11">
        <f t="shared" ca="1" si="4"/>
        <v>73</v>
      </c>
      <c r="N154" s="13">
        <v>42217</v>
      </c>
      <c r="O154" s="14">
        <v>42192</v>
      </c>
      <c r="P154" s="14"/>
      <c r="Q154" s="17"/>
      <c r="R154" s="5" t="s">
        <v>1420</v>
      </c>
      <c r="S154" s="5"/>
      <c r="T154" s="5"/>
      <c r="U154" s="5"/>
      <c r="W154" s="5" t="s">
        <v>156</v>
      </c>
      <c r="X154" s="14">
        <v>42290</v>
      </c>
      <c r="Y154" s="40"/>
      <c r="Z154" s="40"/>
      <c r="AA154" s="40"/>
      <c r="AB154" s="40"/>
    </row>
    <row r="155" spans="1:28" ht="50.1" customHeight="1" x14ac:dyDescent="0.25">
      <c r="A155" s="5" t="s">
        <v>32</v>
      </c>
      <c r="B155" s="5" t="s">
        <v>318</v>
      </c>
      <c r="C155" s="5"/>
      <c r="D155" s="5" t="s">
        <v>119</v>
      </c>
      <c r="E155" s="42" t="s">
        <v>317</v>
      </c>
      <c r="F155" s="42"/>
      <c r="G155" s="42"/>
      <c r="H155" s="42"/>
      <c r="I155" s="84"/>
      <c r="J155" s="5"/>
      <c r="K155" s="5" t="s">
        <v>343</v>
      </c>
      <c r="L155" s="49">
        <v>42205</v>
      </c>
      <c r="M155" s="11">
        <f t="shared" ca="1" si="4"/>
        <v>49</v>
      </c>
      <c r="N155" s="13">
        <v>42272</v>
      </c>
      <c r="O155" s="14">
        <v>42254</v>
      </c>
      <c r="P155" s="14"/>
      <c r="Q155" s="17"/>
      <c r="R155" s="5" t="s">
        <v>1422</v>
      </c>
      <c r="S155" s="5"/>
      <c r="T155" s="5"/>
      <c r="U155" s="5"/>
      <c r="W155" s="5" t="s">
        <v>156</v>
      </c>
      <c r="X155" s="14">
        <v>42254</v>
      </c>
      <c r="Y155" s="40">
        <v>15</v>
      </c>
      <c r="Z155" s="40"/>
      <c r="AA155" s="40"/>
      <c r="AB155" s="40"/>
    </row>
    <row r="156" spans="1:28" ht="50.1" customHeight="1" x14ac:dyDescent="0.25">
      <c r="A156" s="5" t="s">
        <v>309</v>
      </c>
      <c r="B156" s="5" t="s">
        <v>490</v>
      </c>
      <c r="C156" s="5"/>
      <c r="D156" s="5" t="s">
        <v>119</v>
      </c>
      <c r="E156" s="42" t="s">
        <v>239</v>
      </c>
      <c r="F156" s="42"/>
      <c r="G156" s="42"/>
      <c r="H156" s="42"/>
      <c r="I156" s="84"/>
      <c r="J156" s="5"/>
      <c r="K156" s="5" t="s">
        <v>343</v>
      </c>
      <c r="L156" s="49">
        <v>42261.754166666666</v>
      </c>
      <c r="M156" s="11">
        <f t="shared" ca="1" si="4"/>
        <v>42.245833333334303</v>
      </c>
      <c r="N156" s="13">
        <v>42272</v>
      </c>
      <c r="O156" s="14"/>
      <c r="P156" s="14"/>
      <c r="Q156" s="44"/>
      <c r="R156" s="7" t="s">
        <v>1696</v>
      </c>
      <c r="S156" s="7"/>
      <c r="T156" s="7"/>
      <c r="U156" s="7"/>
      <c r="W156" s="7" t="s">
        <v>156</v>
      </c>
      <c r="X156" s="14">
        <v>42304</v>
      </c>
      <c r="Y156" s="40">
        <v>15</v>
      </c>
      <c r="Z156" s="40"/>
      <c r="AA156" s="40"/>
      <c r="AB156" s="40"/>
    </row>
    <row r="157" spans="1:28" ht="50.1" customHeight="1" x14ac:dyDescent="0.25">
      <c r="A157" s="5" t="s">
        <v>446</v>
      </c>
      <c r="B157" s="5" t="s">
        <v>491</v>
      </c>
      <c r="C157" s="5"/>
      <c r="D157" s="43" t="s">
        <v>119</v>
      </c>
      <c r="E157" s="43" t="s">
        <v>239</v>
      </c>
      <c r="I157" s="84"/>
      <c r="J157" s="5"/>
      <c r="K157" s="5" t="s">
        <v>343</v>
      </c>
      <c r="L157" s="49">
        <v>42277.724305555559</v>
      </c>
      <c r="M157" s="11">
        <f t="shared" ca="1" si="4"/>
        <v>5.8444444444394321</v>
      </c>
      <c r="N157" s="13">
        <v>42272</v>
      </c>
      <c r="O157" s="14">
        <v>42283.568749999999</v>
      </c>
      <c r="P157" s="14"/>
      <c r="Q157" s="17"/>
      <c r="R157" s="5" t="s">
        <v>1423</v>
      </c>
      <c r="S157" s="5"/>
      <c r="T157" s="5"/>
      <c r="U157" s="5"/>
      <c r="W157" s="5" t="s">
        <v>156</v>
      </c>
      <c r="X157" s="14">
        <v>42283.568749999999</v>
      </c>
      <c r="Y157" s="40">
        <v>30</v>
      </c>
      <c r="Z157" s="40"/>
      <c r="AA157" s="40"/>
      <c r="AB157" s="40"/>
    </row>
    <row r="158" spans="1:28" ht="50.1" customHeight="1" x14ac:dyDescent="0.25">
      <c r="A158" s="5" t="s">
        <v>25</v>
      </c>
      <c r="B158" s="5" t="s">
        <v>184</v>
      </c>
      <c r="C158" s="5"/>
      <c r="D158" s="43" t="s">
        <v>2288</v>
      </c>
      <c r="E158" s="42" t="s">
        <v>160</v>
      </c>
      <c r="F158" s="42"/>
      <c r="G158" s="42"/>
      <c r="H158" s="42"/>
      <c r="I158" s="84"/>
      <c r="J158" s="5"/>
      <c r="K158" s="5" t="s">
        <v>97</v>
      </c>
      <c r="L158" s="49">
        <v>42146.661805555559</v>
      </c>
      <c r="M158" s="11">
        <f t="shared" ca="1" si="4"/>
        <v>178.33819444444089</v>
      </c>
      <c r="N158" s="13">
        <v>42217</v>
      </c>
      <c r="O158" s="14"/>
      <c r="P158" s="14"/>
      <c r="Q158" s="44"/>
      <c r="R158" s="7" t="s">
        <v>1695</v>
      </c>
      <c r="S158" s="7"/>
      <c r="T158" s="7"/>
      <c r="U158" s="7"/>
      <c r="W158" s="7" t="s">
        <v>156</v>
      </c>
      <c r="X158" s="14">
        <v>42325</v>
      </c>
      <c r="Y158" s="40">
        <v>550</v>
      </c>
      <c r="Z158" s="40"/>
      <c r="AA158" s="40"/>
      <c r="AB158" s="40"/>
    </row>
    <row r="159" spans="1:28" ht="50.1" customHeight="1" x14ac:dyDescent="0.25">
      <c r="A159" s="5" t="s">
        <v>323</v>
      </c>
      <c r="B159" s="5" t="s">
        <v>409</v>
      </c>
      <c r="C159" s="5"/>
      <c r="D159" s="5" t="s">
        <v>118</v>
      </c>
      <c r="E159" s="42" t="s">
        <v>161</v>
      </c>
      <c r="F159" s="42"/>
      <c r="G159" s="42"/>
      <c r="H159" s="42"/>
      <c r="I159" s="84"/>
      <c r="J159" s="5"/>
      <c r="K159" s="5" t="s">
        <v>97</v>
      </c>
      <c r="L159" s="49">
        <v>42102</v>
      </c>
      <c r="M159" s="11">
        <f t="shared" ca="1" si="4"/>
        <v>222</v>
      </c>
      <c r="N159" s="13">
        <v>42272</v>
      </c>
      <c r="O159" s="14"/>
      <c r="P159" s="14"/>
      <c r="Q159" s="45"/>
      <c r="R159" s="7" t="s">
        <v>1697</v>
      </c>
      <c r="S159" s="7"/>
      <c r="T159" s="7"/>
      <c r="U159" s="7"/>
      <c r="W159" s="7" t="s">
        <v>156</v>
      </c>
      <c r="X159" s="14">
        <v>42324</v>
      </c>
      <c r="Y159" s="40">
        <v>160</v>
      </c>
      <c r="Z159" s="40"/>
      <c r="AA159" s="40"/>
      <c r="AB159" s="40"/>
    </row>
    <row r="160" spans="1:28" ht="50.1" customHeight="1" x14ac:dyDescent="0.25">
      <c r="A160" s="5" t="s">
        <v>328</v>
      </c>
      <c r="B160" s="5" t="s">
        <v>410</v>
      </c>
      <c r="C160" s="5"/>
      <c r="D160" s="5" t="s">
        <v>118</v>
      </c>
      <c r="E160" s="42" t="s">
        <v>161</v>
      </c>
      <c r="F160" s="42"/>
      <c r="G160" s="42"/>
      <c r="H160" s="42"/>
      <c r="I160" s="84"/>
      <c r="J160" s="5"/>
      <c r="K160" s="5" t="s">
        <v>97</v>
      </c>
      <c r="L160" s="49">
        <v>42163</v>
      </c>
      <c r="M160" s="11">
        <f t="shared" ca="1" si="4"/>
        <v>143</v>
      </c>
      <c r="N160" s="13">
        <v>42272</v>
      </c>
      <c r="O160" s="14"/>
      <c r="P160" s="14"/>
      <c r="Q160" s="45"/>
      <c r="R160" s="7" t="s">
        <v>1505</v>
      </c>
      <c r="S160" s="7"/>
      <c r="T160" s="7"/>
      <c r="U160" s="7"/>
      <c r="W160" s="7" t="s">
        <v>156</v>
      </c>
      <c r="X160" s="14">
        <v>42306</v>
      </c>
      <c r="Y160" s="40">
        <v>10</v>
      </c>
      <c r="Z160" s="40"/>
      <c r="AA160" s="40"/>
      <c r="AB160" s="40"/>
    </row>
    <row r="161" spans="1:28" ht="50.1" customHeight="1" x14ac:dyDescent="0.25">
      <c r="A161" s="5" t="s">
        <v>324</v>
      </c>
      <c r="B161" s="5" t="s">
        <v>411</v>
      </c>
      <c r="C161" s="5"/>
      <c r="D161" s="5" t="s">
        <v>118</v>
      </c>
      <c r="E161" s="42" t="s">
        <v>161</v>
      </c>
      <c r="F161" s="42"/>
      <c r="G161" s="42"/>
      <c r="H161" s="42"/>
      <c r="I161" s="84"/>
      <c r="J161" s="5"/>
      <c r="K161" s="5" t="s">
        <v>97</v>
      </c>
      <c r="L161" s="49">
        <v>42163</v>
      </c>
      <c r="M161" s="11">
        <f t="shared" ca="1" si="4"/>
        <v>161</v>
      </c>
      <c r="N161" s="13">
        <v>42272</v>
      </c>
      <c r="O161" s="14"/>
      <c r="P161" s="14"/>
      <c r="Q161" s="45"/>
      <c r="R161" s="7" t="s">
        <v>1698</v>
      </c>
      <c r="S161" s="7"/>
      <c r="T161" s="7"/>
      <c r="U161" s="7"/>
      <c r="W161" s="7" t="s">
        <v>188</v>
      </c>
      <c r="X161" s="14">
        <v>42324</v>
      </c>
      <c r="Y161" s="40">
        <v>60</v>
      </c>
      <c r="Z161" s="40"/>
      <c r="AA161" s="40"/>
      <c r="AB161" s="40"/>
    </row>
    <row r="162" spans="1:28" ht="50.1" customHeight="1" x14ac:dyDescent="0.25">
      <c r="A162" s="5" t="s">
        <v>228</v>
      </c>
      <c r="B162" s="5" t="s">
        <v>279</v>
      </c>
      <c r="C162" s="5"/>
      <c r="D162" s="5" t="s">
        <v>118</v>
      </c>
      <c r="E162" s="42" t="s">
        <v>153</v>
      </c>
      <c r="F162" s="42"/>
      <c r="G162" s="42"/>
      <c r="H162" s="42"/>
      <c r="I162" s="84"/>
      <c r="J162" s="5"/>
      <c r="K162" s="5" t="s">
        <v>97</v>
      </c>
      <c r="L162" s="49">
        <v>41883</v>
      </c>
      <c r="M162" s="11">
        <f t="shared" ca="1" si="4"/>
        <v>386</v>
      </c>
      <c r="N162" s="13">
        <v>42217</v>
      </c>
      <c r="O162" s="14">
        <v>42251</v>
      </c>
      <c r="P162" s="14"/>
      <c r="Q162" s="17"/>
      <c r="R162" s="5" t="s">
        <v>352</v>
      </c>
      <c r="S162" s="5"/>
      <c r="T162" s="5"/>
      <c r="U162" s="5"/>
      <c r="W162" s="5" t="s">
        <v>156</v>
      </c>
      <c r="X162" s="14">
        <v>42269</v>
      </c>
      <c r="Y162" s="40"/>
      <c r="Z162" s="40"/>
      <c r="AA162" s="40"/>
      <c r="AB162" s="40"/>
    </row>
    <row r="163" spans="1:28" ht="39.950000000000003" customHeight="1" x14ac:dyDescent="0.25">
      <c r="A163" s="5" t="s">
        <v>58</v>
      </c>
      <c r="B163" s="5" t="s">
        <v>1419</v>
      </c>
      <c r="C163" s="5"/>
      <c r="D163" s="5" t="s">
        <v>118</v>
      </c>
      <c r="E163" s="42" t="s">
        <v>159</v>
      </c>
      <c r="F163" s="42"/>
      <c r="G163" s="42"/>
      <c r="H163" s="42"/>
      <c r="I163" s="84"/>
      <c r="J163" s="5"/>
      <c r="K163" s="5" t="s">
        <v>98</v>
      </c>
      <c r="L163" s="49">
        <v>42220.643055555556</v>
      </c>
      <c r="M163" s="11">
        <f t="shared" ref="M163:M194" ca="1" si="5">IFERROR(IF(AND(W163&lt;&gt;"Concluído",W163&lt;&gt;"Cancelado"),TODAY()-L163+1,X163-L163),"")</f>
        <v>61.356944444443798</v>
      </c>
      <c r="N163" s="13">
        <v>42217</v>
      </c>
      <c r="O163" s="14"/>
      <c r="P163" s="14"/>
      <c r="Q163" s="17"/>
      <c r="R163" s="5" t="s">
        <v>2324</v>
      </c>
      <c r="S163" s="5"/>
      <c r="T163" s="5"/>
      <c r="U163" s="5"/>
      <c r="W163" s="5" t="s">
        <v>188</v>
      </c>
      <c r="X163" s="14">
        <v>42282</v>
      </c>
      <c r="Y163" s="40">
        <v>1500</v>
      </c>
      <c r="Z163" s="40"/>
      <c r="AA163" s="40"/>
      <c r="AB163" s="40"/>
    </row>
    <row r="164" spans="1:28" ht="39.950000000000003" customHeight="1" x14ac:dyDescent="0.25">
      <c r="A164" s="5" t="s">
        <v>109</v>
      </c>
      <c r="B164" s="5" t="s">
        <v>124</v>
      </c>
      <c r="C164" s="5"/>
      <c r="D164" s="5" t="s">
        <v>118</v>
      </c>
      <c r="E164" s="42" t="s">
        <v>159</v>
      </c>
      <c r="F164" s="42"/>
      <c r="G164" s="42"/>
      <c r="H164" s="42"/>
      <c r="I164" s="84"/>
      <c r="J164" s="5"/>
      <c r="K164" s="5" t="s">
        <v>2320</v>
      </c>
      <c r="L164" s="49">
        <v>42090</v>
      </c>
      <c r="M164" s="11">
        <f t="shared" ca="1" si="5"/>
        <v>194</v>
      </c>
      <c r="N164" s="13">
        <v>42217</v>
      </c>
      <c r="O164" s="14"/>
      <c r="P164" s="14"/>
      <c r="Q164" s="17"/>
      <c r="R164" s="5" t="s">
        <v>479</v>
      </c>
      <c r="S164" s="5"/>
      <c r="T164" s="5"/>
      <c r="U164" s="5"/>
      <c r="W164" s="5" t="s">
        <v>188</v>
      </c>
      <c r="X164" s="14">
        <v>42284</v>
      </c>
      <c r="Y164" s="40">
        <v>1500</v>
      </c>
      <c r="Z164" s="40"/>
      <c r="AA164" s="40"/>
      <c r="AB164" s="40"/>
    </row>
    <row r="165" spans="1:28" ht="39.950000000000003" customHeight="1" x14ac:dyDescent="0.25">
      <c r="A165" s="5" t="s">
        <v>111</v>
      </c>
      <c r="B165" s="5" t="s">
        <v>123</v>
      </c>
      <c r="C165" s="5"/>
      <c r="D165" s="5" t="s">
        <v>118</v>
      </c>
      <c r="E165" s="42" t="s">
        <v>159</v>
      </c>
      <c r="F165" s="42"/>
      <c r="G165" s="42"/>
      <c r="H165" s="42" t="s">
        <v>2320</v>
      </c>
      <c r="I165" s="84" t="s">
        <v>280</v>
      </c>
      <c r="J165" s="5"/>
      <c r="K165" s="5" t="s">
        <v>2320</v>
      </c>
      <c r="L165" s="49">
        <v>42090</v>
      </c>
      <c r="M165" s="11">
        <f t="shared" ca="1" si="5"/>
        <v>209</v>
      </c>
      <c r="N165" s="13">
        <v>42217</v>
      </c>
      <c r="O165" s="14"/>
      <c r="P165" s="14"/>
      <c r="Q165" s="17"/>
      <c r="R165" s="5" t="s">
        <v>1701</v>
      </c>
      <c r="S165" s="5"/>
      <c r="T165" s="5"/>
      <c r="U165" s="5"/>
      <c r="W165" s="5" t="s">
        <v>156</v>
      </c>
      <c r="X165" s="14">
        <v>42299</v>
      </c>
      <c r="Y165" s="40">
        <v>1500</v>
      </c>
      <c r="Z165" s="40"/>
      <c r="AA165" s="40"/>
      <c r="AB165" s="40"/>
    </row>
    <row r="166" spans="1:28" ht="39.950000000000003" customHeight="1" x14ac:dyDescent="0.25">
      <c r="A166" s="5" t="s">
        <v>112</v>
      </c>
      <c r="B166" s="5" t="s">
        <v>126</v>
      </c>
      <c r="C166" s="5"/>
      <c r="D166" s="5" t="s">
        <v>118</v>
      </c>
      <c r="E166" s="42" t="s">
        <v>159</v>
      </c>
      <c r="F166" s="42"/>
      <c r="G166" s="42"/>
      <c r="H166" s="42"/>
      <c r="I166" s="84"/>
      <c r="J166" s="5"/>
      <c r="K166" s="5" t="s">
        <v>2320</v>
      </c>
      <c r="L166" s="49">
        <v>42090</v>
      </c>
      <c r="M166" s="11">
        <f t="shared" ca="1" si="5"/>
        <v>194</v>
      </c>
      <c r="N166" s="13">
        <v>42217</v>
      </c>
      <c r="O166" s="14"/>
      <c r="P166" s="14"/>
      <c r="Q166" s="17"/>
      <c r="R166" s="5" t="s">
        <v>480</v>
      </c>
      <c r="S166" s="5"/>
      <c r="T166" s="5"/>
      <c r="U166" s="5"/>
      <c r="W166" s="5" t="s">
        <v>188</v>
      </c>
      <c r="X166" s="14">
        <v>42284</v>
      </c>
      <c r="Y166" s="40">
        <v>1500</v>
      </c>
      <c r="Z166" s="40"/>
      <c r="AA166" s="40"/>
      <c r="AB166" s="40"/>
    </row>
    <row r="167" spans="1:28" ht="39.950000000000003" customHeight="1" x14ac:dyDescent="0.25">
      <c r="A167" s="5" t="s">
        <v>51</v>
      </c>
      <c r="B167" s="5" t="s">
        <v>402</v>
      </c>
      <c r="C167" s="5"/>
      <c r="D167" s="5" t="s">
        <v>118</v>
      </c>
      <c r="E167" s="42" t="s">
        <v>159</v>
      </c>
      <c r="F167" s="42"/>
      <c r="G167" s="42"/>
      <c r="H167" s="42" t="s">
        <v>2320</v>
      </c>
      <c r="I167" s="84" t="s">
        <v>280</v>
      </c>
      <c r="J167" s="5"/>
      <c r="K167" s="5" t="s">
        <v>2320</v>
      </c>
      <c r="L167" s="49">
        <v>42181.831250000003</v>
      </c>
      <c r="M167" s="11">
        <f t="shared" ca="1" si="5"/>
        <v>117.16874999999709</v>
      </c>
      <c r="N167" s="13">
        <v>42217</v>
      </c>
      <c r="O167" s="14"/>
      <c r="P167" s="14"/>
      <c r="Q167" s="17"/>
      <c r="R167" s="5" t="s">
        <v>1702</v>
      </c>
      <c r="S167" s="5"/>
      <c r="T167" s="5"/>
      <c r="U167" s="5"/>
      <c r="W167" s="5" t="s">
        <v>156</v>
      </c>
      <c r="X167" s="14">
        <v>42299</v>
      </c>
      <c r="Y167" s="40">
        <v>1500</v>
      </c>
      <c r="Z167" s="40"/>
      <c r="AA167" s="40"/>
      <c r="AB167" s="40"/>
    </row>
    <row r="168" spans="1:28" ht="39.950000000000003" customHeight="1" x14ac:dyDescent="0.25">
      <c r="A168" s="5" t="s">
        <v>138</v>
      </c>
      <c r="B168" s="5" t="s">
        <v>200</v>
      </c>
      <c r="C168" s="5"/>
      <c r="D168" s="5" t="s">
        <v>118</v>
      </c>
      <c r="E168" s="42" t="s">
        <v>159</v>
      </c>
      <c r="F168" s="42"/>
      <c r="G168" s="42"/>
      <c r="H168" s="42"/>
      <c r="I168" s="84"/>
      <c r="J168" s="5" t="s">
        <v>2308</v>
      </c>
      <c r="K168" s="5" t="s">
        <v>97</v>
      </c>
      <c r="L168" s="49">
        <v>42228</v>
      </c>
      <c r="M168" s="11">
        <f t="shared" ca="1" si="5"/>
        <v>90</v>
      </c>
      <c r="N168" s="13">
        <v>42217</v>
      </c>
      <c r="O168" s="14" t="s">
        <v>2282</v>
      </c>
      <c r="P168" s="14"/>
      <c r="Q168" s="36"/>
      <c r="R168" s="5" t="s">
        <v>2336</v>
      </c>
      <c r="S168" s="5"/>
      <c r="T168" s="5"/>
      <c r="U168" s="5"/>
      <c r="W168" s="5" t="s">
        <v>188</v>
      </c>
      <c r="X168" s="14">
        <v>42318</v>
      </c>
      <c r="Y168" s="40">
        <v>220</v>
      </c>
      <c r="Z168" s="40"/>
      <c r="AA168" s="40"/>
      <c r="AB168" s="40">
        <v>2</v>
      </c>
    </row>
    <row r="169" spans="1:28" ht="39.950000000000003" customHeight="1" x14ac:dyDescent="0.25">
      <c r="A169" s="5" t="s">
        <v>2062</v>
      </c>
      <c r="B169" s="5" t="s">
        <v>202</v>
      </c>
      <c r="C169" s="5"/>
      <c r="D169" s="5" t="s">
        <v>118</v>
      </c>
      <c r="E169" s="42" t="s">
        <v>159</v>
      </c>
      <c r="F169" s="42"/>
      <c r="G169" s="42"/>
      <c r="H169" s="42"/>
      <c r="I169" s="84"/>
      <c r="J169" s="5"/>
      <c r="K169" s="5" t="s">
        <v>97</v>
      </c>
      <c r="L169" s="49">
        <v>42233</v>
      </c>
      <c r="M169" s="11">
        <f t="shared" ca="1" si="5"/>
        <v>45</v>
      </c>
      <c r="N169" s="13">
        <v>42217</v>
      </c>
      <c r="O169" s="14"/>
      <c r="P169" s="14"/>
      <c r="Q169" s="37"/>
      <c r="R169" s="93" t="s">
        <v>1427</v>
      </c>
      <c r="S169" s="93"/>
      <c r="T169" s="93"/>
      <c r="U169" s="93"/>
      <c r="W169" s="5" t="s">
        <v>188</v>
      </c>
      <c r="X169" s="14">
        <v>42278</v>
      </c>
      <c r="Y169" s="40">
        <v>220</v>
      </c>
      <c r="Z169" s="40"/>
      <c r="AA169" s="40"/>
      <c r="AB169" s="40"/>
    </row>
    <row r="170" spans="1:28" ht="39.950000000000003" customHeight="1" x14ac:dyDescent="0.25">
      <c r="A170" s="5" t="s">
        <v>1338</v>
      </c>
      <c r="B170" s="5" t="s">
        <v>1496</v>
      </c>
      <c r="C170" s="5"/>
      <c r="D170" s="43" t="s">
        <v>118</v>
      </c>
      <c r="E170" s="43" t="s">
        <v>159</v>
      </c>
      <c r="I170" s="84"/>
      <c r="J170" s="5"/>
      <c r="K170" s="5" t="s">
        <v>2320</v>
      </c>
      <c r="L170" s="49">
        <v>42277</v>
      </c>
      <c r="M170" s="11">
        <f t="shared" ca="1" si="5"/>
        <v>26</v>
      </c>
      <c r="N170" s="86">
        <v>42284</v>
      </c>
      <c r="O170" s="14"/>
      <c r="P170" s="14"/>
      <c r="Q170" s="37"/>
      <c r="R170" s="43" t="s">
        <v>1497</v>
      </c>
      <c r="W170" s="43" t="s">
        <v>188</v>
      </c>
      <c r="X170" s="14">
        <v>42303</v>
      </c>
      <c r="Z170" s="40"/>
      <c r="AA170" s="40"/>
      <c r="AB170" s="40"/>
    </row>
    <row r="171" spans="1:28" ht="39.950000000000003" customHeight="1" x14ac:dyDescent="0.25">
      <c r="A171" s="5" t="s">
        <v>3529</v>
      </c>
      <c r="B171" s="5" t="s">
        <v>205</v>
      </c>
      <c r="C171" s="5"/>
      <c r="D171" s="5" t="s">
        <v>118</v>
      </c>
      <c r="E171" s="42" t="s">
        <v>159</v>
      </c>
      <c r="F171" s="42"/>
      <c r="G171" s="42"/>
      <c r="H171" s="42"/>
      <c r="I171" s="84"/>
      <c r="J171" s="5"/>
      <c r="K171" s="5" t="s">
        <v>98</v>
      </c>
      <c r="L171" s="49">
        <v>42250</v>
      </c>
      <c r="M171" s="11">
        <f t="shared" ca="1" si="5"/>
        <v>56</v>
      </c>
      <c r="N171" s="13">
        <v>42272</v>
      </c>
      <c r="O171" s="14"/>
      <c r="P171" s="14"/>
      <c r="Q171" s="17"/>
      <c r="R171" s="5" t="s">
        <v>2337</v>
      </c>
      <c r="S171" s="5"/>
      <c r="T171" s="5"/>
      <c r="U171" s="5"/>
      <c r="W171" s="5" t="s">
        <v>188</v>
      </c>
      <c r="X171" s="14">
        <v>42306</v>
      </c>
      <c r="Y171" s="40">
        <v>86</v>
      </c>
      <c r="Z171" s="40"/>
      <c r="AA171" s="40"/>
      <c r="AB171" s="40"/>
    </row>
    <row r="172" spans="1:28" ht="39.950000000000003" customHeight="1" x14ac:dyDescent="0.25">
      <c r="A172" s="5" t="s">
        <v>3530</v>
      </c>
      <c r="B172" s="5" t="s">
        <v>204</v>
      </c>
      <c r="C172" s="5"/>
      <c r="D172" s="5" t="s">
        <v>118</v>
      </c>
      <c r="E172" s="42" t="s">
        <v>159</v>
      </c>
      <c r="F172" s="42"/>
      <c r="G172" s="42"/>
      <c r="H172" s="42"/>
      <c r="I172" s="84"/>
      <c r="J172" s="5"/>
      <c r="K172" s="5" t="s">
        <v>98</v>
      </c>
      <c r="L172" s="49">
        <v>42250</v>
      </c>
      <c r="M172" s="11">
        <f t="shared" ca="1" si="5"/>
        <v>56</v>
      </c>
      <c r="N172" s="13">
        <v>42272</v>
      </c>
      <c r="O172" s="14"/>
      <c r="P172" s="14"/>
      <c r="Q172" s="17"/>
      <c r="R172" s="5" t="s">
        <v>2338</v>
      </c>
      <c r="S172" s="5"/>
      <c r="T172" s="5"/>
      <c r="U172" s="5"/>
      <c r="W172" s="5" t="s">
        <v>188</v>
      </c>
      <c r="X172" s="14">
        <v>42306</v>
      </c>
      <c r="Y172" s="40">
        <v>650</v>
      </c>
      <c r="Z172" s="40"/>
      <c r="AA172" s="40"/>
      <c r="AB172" s="40"/>
    </row>
    <row r="173" spans="1:28" ht="39.950000000000003" customHeight="1" x14ac:dyDescent="0.25">
      <c r="A173" s="5" t="s">
        <v>165</v>
      </c>
      <c r="B173" s="5" t="s">
        <v>166</v>
      </c>
      <c r="C173" s="5"/>
      <c r="D173" s="43" t="s">
        <v>2288</v>
      </c>
      <c r="E173" s="42" t="s">
        <v>174</v>
      </c>
      <c r="F173" s="42"/>
      <c r="G173" s="42"/>
      <c r="H173" s="42"/>
      <c r="I173" s="84"/>
      <c r="J173" s="5"/>
      <c r="K173" s="5" t="s">
        <v>343</v>
      </c>
      <c r="L173" s="49">
        <v>42055</v>
      </c>
      <c r="M173" s="11">
        <f t="shared" ca="1" si="5"/>
        <v>162</v>
      </c>
      <c r="N173" s="13">
        <v>42217</v>
      </c>
      <c r="O173" s="14"/>
      <c r="P173" s="14"/>
      <c r="Q173" s="17"/>
      <c r="R173" s="35" t="s">
        <v>282</v>
      </c>
      <c r="S173" s="35"/>
      <c r="T173" s="35"/>
      <c r="U173" s="35"/>
      <c r="W173" s="5" t="s">
        <v>156</v>
      </c>
      <c r="X173" s="14">
        <v>42217</v>
      </c>
      <c r="Y173" s="40"/>
      <c r="Z173" s="40"/>
      <c r="AA173" s="40"/>
      <c r="AB173" s="40"/>
    </row>
    <row r="174" spans="1:28" ht="39.950000000000003" customHeight="1" x14ac:dyDescent="0.25">
      <c r="A174" s="5" t="s">
        <v>335</v>
      </c>
      <c r="B174" s="5" t="s">
        <v>336</v>
      </c>
      <c r="C174" s="5"/>
      <c r="D174" s="5" t="s">
        <v>118</v>
      </c>
      <c r="E174" s="42" t="s">
        <v>161</v>
      </c>
      <c r="F174" s="42"/>
      <c r="G174" s="42"/>
      <c r="H174" s="42"/>
      <c r="I174" s="84"/>
      <c r="J174" s="5"/>
      <c r="K174" s="5" t="s">
        <v>98</v>
      </c>
      <c r="L174" s="49">
        <v>42208</v>
      </c>
      <c r="M174" s="11">
        <f t="shared" ca="1" si="5"/>
        <v>96</v>
      </c>
      <c r="N174" s="13">
        <v>42272</v>
      </c>
      <c r="O174" s="14"/>
      <c r="P174" s="14"/>
      <c r="Q174" s="36"/>
      <c r="R174" s="5" t="s">
        <v>1504</v>
      </c>
      <c r="S174" s="5"/>
      <c r="T174" s="5"/>
      <c r="U174" s="5"/>
      <c r="W174" s="5" t="s">
        <v>188</v>
      </c>
      <c r="X174" s="14">
        <v>42304</v>
      </c>
      <c r="Y174" s="40"/>
      <c r="Z174" s="40"/>
      <c r="AA174" s="40"/>
      <c r="AB174" s="40"/>
    </row>
    <row r="175" spans="1:28" ht="39.950000000000003" customHeight="1" x14ac:dyDescent="0.25">
      <c r="A175" s="5" t="s">
        <v>1012</v>
      </c>
      <c r="B175" s="5" t="s">
        <v>316</v>
      </c>
      <c r="C175" s="5"/>
      <c r="D175" s="5" t="s">
        <v>119</v>
      </c>
      <c r="E175" s="42" t="s">
        <v>159</v>
      </c>
      <c r="F175" s="42"/>
      <c r="G175" s="42"/>
      <c r="H175" s="42"/>
      <c r="I175" s="84"/>
      <c r="J175" s="5"/>
      <c r="K175" s="5" t="s">
        <v>343</v>
      </c>
      <c r="L175" s="49">
        <v>42219</v>
      </c>
      <c r="M175" s="11">
        <f t="shared" ca="1" si="5"/>
        <v>73</v>
      </c>
      <c r="N175" s="13">
        <v>42272</v>
      </c>
      <c r="O175" s="14"/>
      <c r="P175" s="14"/>
      <c r="Q175" s="17"/>
      <c r="R175" s="5" t="s">
        <v>424</v>
      </c>
      <c r="S175" s="5"/>
      <c r="T175" s="5"/>
      <c r="U175" s="5"/>
      <c r="W175" s="36" t="s">
        <v>156</v>
      </c>
      <c r="X175" s="14">
        <v>42292</v>
      </c>
      <c r="Y175" s="40">
        <v>20</v>
      </c>
      <c r="Z175" s="40"/>
      <c r="AA175" s="40"/>
      <c r="AB175" s="40"/>
    </row>
    <row r="176" spans="1:28" ht="39.950000000000003" customHeight="1" x14ac:dyDescent="0.25">
      <c r="A176" s="5" t="s">
        <v>287</v>
      </c>
      <c r="B176" s="5" t="s">
        <v>288</v>
      </c>
      <c r="C176" s="5"/>
      <c r="D176" s="43" t="s">
        <v>2288</v>
      </c>
      <c r="E176" s="42" t="s">
        <v>174</v>
      </c>
      <c r="F176" s="42"/>
      <c r="G176" s="42"/>
      <c r="H176" s="42"/>
      <c r="I176" s="84"/>
      <c r="J176" s="5"/>
      <c r="K176" s="5" t="s">
        <v>98</v>
      </c>
      <c r="L176" s="49">
        <v>42256</v>
      </c>
      <c r="M176" s="11">
        <f t="shared" ca="1" si="5"/>
        <v>83</v>
      </c>
      <c r="N176" s="13">
        <v>42217</v>
      </c>
      <c r="O176" s="14">
        <v>42339</v>
      </c>
      <c r="P176" s="14" t="s">
        <v>273</v>
      </c>
      <c r="Q176" s="17"/>
      <c r="R176" s="5" t="s">
        <v>1705</v>
      </c>
      <c r="S176" s="5"/>
      <c r="T176" s="5"/>
      <c r="U176" s="5"/>
      <c r="W176" s="5" t="s">
        <v>156</v>
      </c>
      <c r="X176" s="14">
        <v>42339</v>
      </c>
      <c r="Y176" s="40"/>
      <c r="Z176" s="40"/>
      <c r="AA176" s="40"/>
      <c r="AB176" s="40"/>
    </row>
    <row r="177" spans="1:28" ht="39.950000000000003" customHeight="1" x14ac:dyDescent="0.25">
      <c r="A177" s="5" t="s">
        <v>172</v>
      </c>
      <c r="B177" s="5" t="s">
        <v>173</v>
      </c>
      <c r="C177" s="5"/>
      <c r="D177" s="43" t="s">
        <v>2288</v>
      </c>
      <c r="E177" s="42" t="s">
        <v>174</v>
      </c>
      <c r="F177" s="42"/>
      <c r="G177" s="42"/>
      <c r="H177" s="42"/>
      <c r="I177" s="84"/>
      <c r="J177" s="5"/>
      <c r="K177" s="5" t="s">
        <v>98</v>
      </c>
      <c r="L177" s="49" t="s">
        <v>1424</v>
      </c>
      <c r="M177" s="11" t="str">
        <f t="shared" ca="1" si="5"/>
        <v/>
      </c>
      <c r="N177" s="13">
        <v>42217</v>
      </c>
      <c r="O177" s="14"/>
      <c r="P177" s="14"/>
      <c r="Q177" s="36"/>
      <c r="R177" s="94" t="s">
        <v>1438</v>
      </c>
      <c r="S177" s="94"/>
      <c r="T177" s="94"/>
      <c r="U177" s="94"/>
      <c r="W177" s="5" t="s">
        <v>156</v>
      </c>
      <c r="X177" s="14">
        <v>42297</v>
      </c>
      <c r="Y177" s="40"/>
      <c r="Z177" s="40"/>
      <c r="AA177" s="40"/>
      <c r="AB177" s="40"/>
    </row>
    <row r="178" spans="1:28" ht="39.950000000000003" customHeight="1" x14ac:dyDescent="0.25">
      <c r="A178" s="5" t="s">
        <v>12</v>
      </c>
      <c r="B178" s="5" t="s">
        <v>403</v>
      </c>
      <c r="C178" s="5"/>
      <c r="D178" s="43" t="s">
        <v>2288</v>
      </c>
      <c r="E178" s="42" t="s">
        <v>174</v>
      </c>
      <c r="F178" s="42"/>
      <c r="G178" s="42"/>
      <c r="H178" s="42"/>
      <c r="I178" s="84"/>
      <c r="J178" s="5"/>
      <c r="K178" s="5" t="s">
        <v>98</v>
      </c>
      <c r="L178" s="49">
        <v>42102.719444444447</v>
      </c>
      <c r="M178" s="11">
        <f t="shared" ca="1" si="5"/>
        <v>172.28055555555329</v>
      </c>
      <c r="N178" s="13">
        <v>42217</v>
      </c>
      <c r="O178" s="14">
        <v>42241</v>
      </c>
      <c r="P178" s="14"/>
      <c r="Q178" s="17"/>
      <c r="R178" s="95" t="s">
        <v>423</v>
      </c>
      <c r="S178" s="95"/>
      <c r="T178" s="95"/>
      <c r="U178" s="95"/>
      <c r="W178" s="5" t="s">
        <v>156</v>
      </c>
      <c r="X178" s="14">
        <v>42275</v>
      </c>
      <c r="Y178" s="40"/>
      <c r="Z178" s="40"/>
      <c r="AA178" s="40"/>
      <c r="AB178" s="40"/>
    </row>
    <row r="179" spans="1:28" ht="39.950000000000003" customHeight="1" x14ac:dyDescent="0.25">
      <c r="A179" s="5" t="s">
        <v>7</v>
      </c>
      <c r="B179" s="5" t="s">
        <v>406</v>
      </c>
      <c r="C179" s="5"/>
      <c r="D179" s="43" t="s">
        <v>2288</v>
      </c>
      <c r="E179" s="42" t="s">
        <v>163</v>
      </c>
      <c r="F179" s="42"/>
      <c r="G179" s="42"/>
      <c r="H179" s="42"/>
      <c r="I179" s="84"/>
      <c r="J179" s="5"/>
      <c r="K179" s="5" t="s">
        <v>98</v>
      </c>
      <c r="L179" s="49">
        <v>42206.470833333333</v>
      </c>
      <c r="M179" s="11">
        <f t="shared" ca="1" si="5"/>
        <v>58.529166666667152</v>
      </c>
      <c r="N179" s="13">
        <v>42217</v>
      </c>
      <c r="O179" s="14">
        <v>42258</v>
      </c>
      <c r="P179" s="14"/>
      <c r="Q179" s="17"/>
      <c r="R179" s="5" t="s">
        <v>283</v>
      </c>
      <c r="S179" s="5"/>
      <c r="T179" s="5"/>
      <c r="U179" s="5"/>
      <c r="W179" s="5" t="s">
        <v>156</v>
      </c>
      <c r="X179" s="14">
        <v>42265</v>
      </c>
      <c r="Y179" s="40"/>
      <c r="Z179" s="40"/>
      <c r="AA179" s="40"/>
      <c r="AB179" s="40"/>
    </row>
    <row r="180" spans="1:28" ht="39.950000000000003" customHeight="1" x14ac:dyDescent="0.25">
      <c r="A180" s="5" t="s">
        <v>3531</v>
      </c>
      <c r="B180" s="5" t="s">
        <v>393</v>
      </c>
      <c r="C180" s="5"/>
      <c r="D180" s="43" t="s">
        <v>2288</v>
      </c>
      <c r="E180" s="42" t="s">
        <v>163</v>
      </c>
      <c r="F180" s="42"/>
      <c r="G180" s="42"/>
      <c r="H180" s="42"/>
      <c r="I180" s="84"/>
      <c r="J180" s="5"/>
      <c r="K180" s="5" t="s">
        <v>97</v>
      </c>
      <c r="L180" s="49">
        <v>42207.486111111109</v>
      </c>
      <c r="M180" s="11">
        <f t="shared" ca="1" si="5"/>
        <v>85.513888888890506</v>
      </c>
      <c r="N180" s="13">
        <v>42217</v>
      </c>
      <c r="O180" s="14"/>
      <c r="P180" s="14"/>
      <c r="Q180" s="17"/>
      <c r="R180" s="5" t="s">
        <v>1417</v>
      </c>
      <c r="S180" s="5"/>
      <c r="T180" s="5"/>
      <c r="U180" s="5"/>
      <c r="W180" s="5" t="s">
        <v>156</v>
      </c>
      <c r="X180" s="14">
        <v>42293</v>
      </c>
      <c r="Y180" s="40"/>
      <c r="Z180" s="40"/>
      <c r="AA180" s="40"/>
      <c r="AB180" s="40"/>
    </row>
    <row r="181" spans="1:28" ht="39.950000000000003" customHeight="1" x14ac:dyDescent="0.25">
      <c r="A181" s="5" t="s">
        <v>170</v>
      </c>
      <c r="B181" s="5" t="s">
        <v>171</v>
      </c>
      <c r="C181" s="5"/>
      <c r="D181" s="43" t="s">
        <v>2288</v>
      </c>
      <c r="E181" s="42" t="s">
        <v>174</v>
      </c>
      <c r="F181" s="42"/>
      <c r="G181" s="42"/>
      <c r="H181" s="42"/>
      <c r="I181" s="84"/>
      <c r="J181" s="5"/>
      <c r="K181" s="5" t="s">
        <v>98</v>
      </c>
      <c r="L181" s="49">
        <v>42233</v>
      </c>
      <c r="M181" s="11">
        <f t="shared" ca="1" si="5"/>
        <v>-16</v>
      </c>
      <c r="N181" s="13">
        <v>42217</v>
      </c>
      <c r="O181" s="14">
        <v>42277</v>
      </c>
      <c r="P181" s="14"/>
      <c r="Q181" s="17"/>
      <c r="R181" s="5" t="s">
        <v>452</v>
      </c>
      <c r="S181" s="5"/>
      <c r="T181" s="5"/>
      <c r="U181" s="5"/>
      <c r="W181" s="5" t="s">
        <v>156</v>
      </c>
      <c r="X181" s="14">
        <v>42217</v>
      </c>
      <c r="Y181" s="40"/>
      <c r="Z181" s="40"/>
      <c r="AA181" s="40"/>
      <c r="AB181" s="40"/>
    </row>
    <row r="182" spans="1:28" ht="39.950000000000003" customHeight="1" x14ac:dyDescent="0.25">
      <c r="A182" s="5" t="s">
        <v>285</v>
      </c>
      <c r="B182" s="5" t="s">
        <v>286</v>
      </c>
      <c r="C182" s="5"/>
      <c r="D182" s="43" t="s">
        <v>2288</v>
      </c>
      <c r="E182" s="42" t="s">
        <v>174</v>
      </c>
      <c r="F182" s="42"/>
      <c r="G182" s="42"/>
      <c r="H182" s="42"/>
      <c r="I182" s="84"/>
      <c r="J182" s="5"/>
      <c r="K182" s="5" t="s">
        <v>98</v>
      </c>
      <c r="L182" s="49">
        <v>42258</v>
      </c>
      <c r="M182" s="11">
        <f t="shared" ca="1" si="5"/>
        <v>19</v>
      </c>
      <c r="N182" s="13">
        <v>42217</v>
      </c>
      <c r="O182" s="14"/>
      <c r="P182" s="14"/>
      <c r="Q182" s="17"/>
      <c r="R182" s="40" t="s">
        <v>365</v>
      </c>
      <c r="S182" s="40"/>
      <c r="T182" s="40"/>
      <c r="U182" s="40"/>
      <c r="W182" s="5" t="s">
        <v>156</v>
      </c>
      <c r="X182" s="14">
        <v>42277</v>
      </c>
      <c r="Y182" s="40"/>
      <c r="Z182" s="40"/>
      <c r="AA182" s="40"/>
      <c r="AB182" s="40"/>
    </row>
    <row r="183" spans="1:28" ht="39.950000000000003" customHeight="1" x14ac:dyDescent="0.25">
      <c r="A183" s="5" t="s">
        <v>175</v>
      </c>
      <c r="B183" s="5" t="s">
        <v>442</v>
      </c>
      <c r="C183" s="5"/>
      <c r="D183" s="43" t="s">
        <v>2290</v>
      </c>
      <c r="E183" s="43" t="s">
        <v>158</v>
      </c>
      <c r="I183" s="84"/>
      <c r="J183" s="5"/>
      <c r="K183" s="5" t="s">
        <v>101</v>
      </c>
      <c r="L183" s="49" t="s">
        <v>348</v>
      </c>
      <c r="M183" s="11" t="str">
        <f t="shared" ca="1" si="5"/>
        <v/>
      </c>
      <c r="N183" s="13">
        <v>42278</v>
      </c>
      <c r="O183" s="14">
        <v>42285</v>
      </c>
      <c r="P183" s="14"/>
      <c r="Q183" s="17"/>
      <c r="W183" s="43" t="s">
        <v>156</v>
      </c>
      <c r="X183" s="14">
        <v>42285</v>
      </c>
      <c r="Z183" s="40"/>
      <c r="AA183" s="40"/>
      <c r="AB183" s="40"/>
    </row>
    <row r="184" spans="1:28" ht="39.950000000000003" customHeight="1" x14ac:dyDescent="0.25">
      <c r="A184" s="5" t="s">
        <v>175</v>
      </c>
      <c r="B184" s="5" t="s">
        <v>443</v>
      </c>
      <c r="C184" s="5"/>
      <c r="D184" s="43" t="s">
        <v>2290</v>
      </c>
      <c r="E184" s="43" t="s">
        <v>158</v>
      </c>
      <c r="I184" s="84"/>
      <c r="J184" s="5"/>
      <c r="K184" s="5" t="s">
        <v>101</v>
      </c>
      <c r="L184" s="49" t="s">
        <v>348</v>
      </c>
      <c r="M184" s="11" t="str">
        <f t="shared" ca="1" si="5"/>
        <v/>
      </c>
      <c r="N184" s="13">
        <v>42278</v>
      </c>
      <c r="O184" s="14">
        <v>42285</v>
      </c>
      <c r="P184" s="14"/>
      <c r="Q184" s="17"/>
      <c r="R184" s="43" t="s">
        <v>1687</v>
      </c>
      <c r="W184" s="43" t="s">
        <v>156</v>
      </c>
      <c r="X184" s="14">
        <v>42285</v>
      </c>
      <c r="Z184" s="40"/>
      <c r="AA184" s="40"/>
      <c r="AB184" s="40"/>
    </row>
    <row r="185" spans="1:28" ht="30" customHeight="1" x14ac:dyDescent="0.25">
      <c r="A185" s="5" t="s">
        <v>175</v>
      </c>
      <c r="B185" s="5" t="s">
        <v>444</v>
      </c>
      <c r="C185" s="5"/>
      <c r="D185" s="43" t="s">
        <v>2290</v>
      </c>
      <c r="E185" s="43" t="s">
        <v>158</v>
      </c>
      <c r="I185" s="84"/>
      <c r="J185" s="5"/>
      <c r="K185" s="5" t="s">
        <v>101</v>
      </c>
      <c r="L185" s="49" t="s">
        <v>348</v>
      </c>
      <c r="M185" s="11" t="str">
        <f t="shared" ca="1" si="5"/>
        <v/>
      </c>
      <c r="N185" s="13">
        <v>42278</v>
      </c>
      <c r="O185" s="14">
        <v>42285</v>
      </c>
      <c r="P185" s="14"/>
      <c r="Q185" s="17"/>
      <c r="W185" s="43" t="s">
        <v>156</v>
      </c>
      <c r="X185" s="14">
        <v>42285</v>
      </c>
      <c r="Z185" s="40"/>
      <c r="AA185" s="40"/>
      <c r="AB185" s="40"/>
    </row>
    <row r="186" spans="1:28" ht="30" customHeight="1" x14ac:dyDescent="0.25">
      <c r="A186" s="5" t="s">
        <v>175</v>
      </c>
      <c r="B186" s="5" t="s">
        <v>445</v>
      </c>
      <c r="C186" s="5"/>
      <c r="D186" s="43" t="s">
        <v>2290</v>
      </c>
      <c r="E186" s="43" t="s">
        <v>158</v>
      </c>
      <c r="I186" s="84"/>
      <c r="J186" s="5"/>
      <c r="K186" s="5" t="s">
        <v>101</v>
      </c>
      <c r="L186" s="49" t="s">
        <v>348</v>
      </c>
      <c r="M186" s="11" t="str">
        <f t="shared" ca="1" si="5"/>
        <v/>
      </c>
      <c r="N186" s="13">
        <v>42278</v>
      </c>
      <c r="O186" s="14">
        <v>42285</v>
      </c>
      <c r="P186" s="14"/>
      <c r="Q186" s="17"/>
      <c r="W186" s="43" t="s">
        <v>156</v>
      </c>
      <c r="X186" s="14">
        <v>42285</v>
      </c>
      <c r="Z186" s="40"/>
      <c r="AA186" s="40"/>
      <c r="AB186" s="40"/>
    </row>
    <row r="187" spans="1:28" ht="30" customHeight="1" x14ac:dyDescent="0.25">
      <c r="A187" s="5" t="s">
        <v>266</v>
      </c>
      <c r="B187" s="5" t="s">
        <v>206</v>
      </c>
      <c r="C187" s="5"/>
      <c r="D187" s="5" t="s">
        <v>2290</v>
      </c>
      <c r="E187" s="42" t="s">
        <v>158</v>
      </c>
      <c r="F187" s="42"/>
      <c r="G187" s="42"/>
      <c r="H187" s="42"/>
      <c r="I187" s="84"/>
      <c r="J187" s="5"/>
      <c r="K187" s="5" t="s">
        <v>101</v>
      </c>
      <c r="L187" s="49" t="s">
        <v>348</v>
      </c>
      <c r="M187" s="11" t="str">
        <f t="shared" ca="1" si="5"/>
        <v/>
      </c>
      <c r="N187" s="13">
        <v>42217</v>
      </c>
      <c r="O187" s="14"/>
      <c r="P187" s="14"/>
      <c r="Q187" s="17"/>
      <c r="R187" s="5"/>
      <c r="S187" s="5"/>
      <c r="T187" s="5"/>
      <c r="U187" s="5"/>
      <c r="W187" s="5" t="s">
        <v>156</v>
      </c>
      <c r="X187" s="14">
        <v>42248</v>
      </c>
      <c r="Y187" s="40"/>
      <c r="Z187" s="40"/>
      <c r="AA187" s="40"/>
      <c r="AB187" s="40"/>
    </row>
    <row r="188" spans="1:28" ht="30" customHeight="1" x14ac:dyDescent="0.25">
      <c r="A188" s="5" t="s">
        <v>266</v>
      </c>
      <c r="B188" s="5" t="s">
        <v>207</v>
      </c>
      <c r="C188" s="5"/>
      <c r="D188" s="5" t="s">
        <v>2290</v>
      </c>
      <c r="E188" s="42" t="s">
        <v>158</v>
      </c>
      <c r="F188" s="42"/>
      <c r="G188" s="42"/>
      <c r="H188" s="42"/>
      <c r="I188" s="84"/>
      <c r="J188" s="5"/>
      <c r="K188" s="5" t="s">
        <v>101</v>
      </c>
      <c r="L188" s="49" t="s">
        <v>348</v>
      </c>
      <c r="M188" s="11" t="str">
        <f t="shared" ca="1" si="5"/>
        <v/>
      </c>
      <c r="N188" s="13">
        <v>42217</v>
      </c>
      <c r="O188" s="14"/>
      <c r="P188" s="14"/>
      <c r="Q188" s="17"/>
      <c r="R188" s="5"/>
      <c r="S188" s="5"/>
      <c r="T188" s="5"/>
      <c r="U188" s="5"/>
      <c r="W188" s="5" t="s">
        <v>156</v>
      </c>
      <c r="X188" s="14">
        <v>42248</v>
      </c>
      <c r="Y188" s="40"/>
      <c r="Z188" s="40"/>
      <c r="AA188" s="40"/>
      <c r="AB188" s="40"/>
    </row>
    <row r="189" spans="1:28" ht="30" customHeight="1" x14ac:dyDescent="0.25">
      <c r="A189" s="5" t="s">
        <v>266</v>
      </c>
      <c r="B189" s="5" t="s">
        <v>211</v>
      </c>
      <c r="C189" s="5"/>
      <c r="D189" s="5" t="s">
        <v>2290</v>
      </c>
      <c r="E189" s="42" t="s">
        <v>158</v>
      </c>
      <c r="F189" s="42"/>
      <c r="G189" s="42"/>
      <c r="H189" s="42"/>
      <c r="I189" s="84"/>
      <c r="J189" s="5"/>
      <c r="K189" s="5" t="s">
        <v>101</v>
      </c>
      <c r="L189" s="49" t="s">
        <v>348</v>
      </c>
      <c r="M189" s="11" t="str">
        <f t="shared" ca="1" si="5"/>
        <v/>
      </c>
      <c r="N189" s="13">
        <v>42217</v>
      </c>
      <c r="O189" s="14"/>
      <c r="P189" s="14"/>
      <c r="Q189" s="17"/>
      <c r="R189" s="5"/>
      <c r="S189" s="5"/>
      <c r="T189" s="5"/>
      <c r="U189" s="5"/>
      <c r="W189" s="5" t="s">
        <v>156</v>
      </c>
      <c r="X189" s="14">
        <v>42248</v>
      </c>
      <c r="Y189" s="40"/>
      <c r="Z189" s="40"/>
      <c r="AA189" s="40"/>
      <c r="AB189" s="40"/>
    </row>
    <row r="190" spans="1:28" ht="30" customHeight="1" x14ac:dyDescent="0.25">
      <c r="A190" s="5" t="s">
        <v>266</v>
      </c>
      <c r="B190" s="5" t="s">
        <v>213</v>
      </c>
      <c r="C190" s="5"/>
      <c r="D190" s="5" t="s">
        <v>2290</v>
      </c>
      <c r="E190" s="42" t="s">
        <v>158</v>
      </c>
      <c r="F190" s="42"/>
      <c r="G190" s="42"/>
      <c r="H190" s="42"/>
      <c r="I190" s="84"/>
      <c r="J190" s="5"/>
      <c r="K190" s="5" t="s">
        <v>101</v>
      </c>
      <c r="L190" s="49" t="s">
        <v>348</v>
      </c>
      <c r="M190" s="11" t="str">
        <f t="shared" ca="1" si="5"/>
        <v/>
      </c>
      <c r="N190" s="13">
        <v>42217</v>
      </c>
      <c r="O190" s="14"/>
      <c r="P190" s="14"/>
      <c r="Q190" s="17"/>
      <c r="R190" s="5"/>
      <c r="S190" s="5"/>
      <c r="T190" s="5"/>
      <c r="U190" s="5"/>
      <c r="W190" s="5" t="s">
        <v>156</v>
      </c>
      <c r="X190" s="14">
        <v>42248</v>
      </c>
      <c r="Y190" s="40"/>
      <c r="Z190" s="40"/>
      <c r="AA190" s="40"/>
      <c r="AB190" s="40"/>
    </row>
    <row r="191" spans="1:28" ht="30" customHeight="1" x14ac:dyDescent="0.25">
      <c r="A191" s="5" t="s">
        <v>266</v>
      </c>
      <c r="B191" s="5" t="s">
        <v>214</v>
      </c>
      <c r="C191" s="5"/>
      <c r="D191" s="5" t="s">
        <v>2290</v>
      </c>
      <c r="E191" s="42" t="s">
        <v>158</v>
      </c>
      <c r="F191" s="42"/>
      <c r="G191" s="42"/>
      <c r="H191" s="42"/>
      <c r="I191" s="84"/>
      <c r="J191" s="5"/>
      <c r="K191" s="5" t="s">
        <v>101</v>
      </c>
      <c r="L191" s="49" t="s">
        <v>348</v>
      </c>
      <c r="M191" s="11" t="str">
        <f t="shared" ca="1" si="5"/>
        <v/>
      </c>
      <c r="N191" s="13">
        <v>42217</v>
      </c>
      <c r="O191" s="14"/>
      <c r="P191" s="14"/>
      <c r="Q191" s="17"/>
      <c r="R191" s="5"/>
      <c r="S191" s="5"/>
      <c r="T191" s="5"/>
      <c r="U191" s="5"/>
      <c r="W191" s="5" t="s">
        <v>156</v>
      </c>
      <c r="X191" s="14">
        <v>42248</v>
      </c>
      <c r="Y191" s="40"/>
      <c r="Z191" s="40"/>
      <c r="AA191" s="40"/>
      <c r="AB191" s="40"/>
    </row>
    <row r="192" spans="1:28" ht="30" customHeight="1" x14ac:dyDescent="0.25">
      <c r="A192" s="5" t="s">
        <v>14</v>
      </c>
      <c r="B192" s="5" t="s">
        <v>208</v>
      </c>
      <c r="C192" s="5"/>
      <c r="D192" s="5" t="s">
        <v>2290</v>
      </c>
      <c r="E192" s="42" t="s">
        <v>158</v>
      </c>
      <c r="F192" s="42"/>
      <c r="G192" s="42"/>
      <c r="H192" s="42"/>
      <c r="I192" s="84"/>
      <c r="J192" s="5"/>
      <c r="K192" s="5" t="s">
        <v>101</v>
      </c>
      <c r="L192" s="49" t="s">
        <v>348</v>
      </c>
      <c r="M192" s="11" t="str">
        <f t="shared" ca="1" si="5"/>
        <v/>
      </c>
      <c r="N192" s="13">
        <v>42217</v>
      </c>
      <c r="O192" s="14">
        <v>42248</v>
      </c>
      <c r="P192" s="14"/>
      <c r="Q192" s="17"/>
      <c r="R192" s="5"/>
      <c r="S192" s="5"/>
      <c r="T192" s="5"/>
      <c r="U192" s="5"/>
      <c r="W192" s="5" t="s">
        <v>156</v>
      </c>
      <c r="X192" s="14">
        <v>42248</v>
      </c>
      <c r="Y192" s="40"/>
      <c r="Z192" s="40"/>
      <c r="AA192" s="40"/>
      <c r="AB192" s="40"/>
    </row>
    <row r="193" spans="1:28" ht="30" customHeight="1" x14ac:dyDescent="0.25">
      <c r="A193" s="5" t="s">
        <v>130</v>
      </c>
      <c r="B193" s="5" t="s">
        <v>210</v>
      </c>
      <c r="C193" s="5"/>
      <c r="D193" s="5" t="s">
        <v>2290</v>
      </c>
      <c r="E193" s="42" t="s">
        <v>158</v>
      </c>
      <c r="F193" s="42"/>
      <c r="G193" s="42"/>
      <c r="H193" s="42"/>
      <c r="I193" s="84"/>
      <c r="J193" s="5"/>
      <c r="K193" s="5" t="s">
        <v>101</v>
      </c>
      <c r="L193" s="49" t="s">
        <v>348</v>
      </c>
      <c r="M193" s="11" t="str">
        <f t="shared" ca="1" si="5"/>
        <v/>
      </c>
      <c r="N193" s="13">
        <v>42217</v>
      </c>
      <c r="O193" s="14">
        <v>42248</v>
      </c>
      <c r="P193" s="14"/>
      <c r="Q193" s="17"/>
      <c r="R193" s="5"/>
      <c r="S193" s="5"/>
      <c r="T193" s="5"/>
      <c r="U193" s="5"/>
      <c r="W193" s="5" t="s">
        <v>156</v>
      </c>
      <c r="X193" s="14">
        <v>42248</v>
      </c>
      <c r="Y193" s="40"/>
      <c r="Z193" s="40"/>
      <c r="AA193" s="40"/>
      <c r="AB193" s="40"/>
    </row>
    <row r="194" spans="1:28" ht="30" customHeight="1" x14ac:dyDescent="0.25">
      <c r="A194" s="5" t="s">
        <v>1453</v>
      </c>
      <c r="B194" s="5" t="s">
        <v>212</v>
      </c>
      <c r="C194" s="5"/>
      <c r="D194" s="5" t="s">
        <v>2290</v>
      </c>
      <c r="E194" s="42" t="s">
        <v>158</v>
      </c>
      <c r="F194" s="42"/>
      <c r="G194" s="42"/>
      <c r="H194" s="42"/>
      <c r="I194" s="84"/>
      <c r="J194" s="5"/>
      <c r="K194" s="5" t="s">
        <v>101</v>
      </c>
      <c r="L194" s="49" t="s">
        <v>348</v>
      </c>
      <c r="M194" s="11" t="str">
        <f t="shared" ca="1" si="5"/>
        <v/>
      </c>
      <c r="N194" s="13">
        <v>42217</v>
      </c>
      <c r="O194" s="14">
        <v>42248</v>
      </c>
      <c r="P194" s="14"/>
      <c r="Q194" s="17"/>
      <c r="R194" s="5"/>
      <c r="S194" s="5"/>
      <c r="T194" s="5"/>
      <c r="U194" s="5"/>
      <c r="W194" s="5" t="s">
        <v>156</v>
      </c>
      <c r="X194" s="14">
        <v>42248</v>
      </c>
      <c r="Y194" s="40"/>
      <c r="Z194" s="40"/>
      <c r="AA194" s="40"/>
      <c r="AB194" s="40"/>
    </row>
    <row r="195" spans="1:28" ht="30" customHeight="1" x14ac:dyDescent="0.25">
      <c r="A195" s="5" t="s">
        <v>1454</v>
      </c>
      <c r="B195" s="5" t="s">
        <v>209</v>
      </c>
      <c r="C195" s="5"/>
      <c r="D195" s="5" t="s">
        <v>2290</v>
      </c>
      <c r="E195" s="42" t="s">
        <v>158</v>
      </c>
      <c r="F195" s="42"/>
      <c r="G195" s="42"/>
      <c r="H195" s="42"/>
      <c r="I195" s="84"/>
      <c r="J195" s="5"/>
      <c r="K195" s="5" t="s">
        <v>101</v>
      </c>
      <c r="L195" s="49" t="s">
        <v>348</v>
      </c>
      <c r="M195" s="11" t="str">
        <f t="shared" ref="M195:M198" ca="1" si="6">IFERROR(IF(AND(W195&lt;&gt;"Concluído",W195&lt;&gt;"Cancelado"),TODAY()-L195+1,X195-L195),"")</f>
        <v/>
      </c>
      <c r="N195" s="13">
        <v>42217</v>
      </c>
      <c r="O195" s="14">
        <v>42248</v>
      </c>
      <c r="P195" s="14"/>
      <c r="Q195" s="17"/>
      <c r="R195" s="5"/>
      <c r="S195" s="5"/>
      <c r="T195" s="5"/>
      <c r="U195" s="5"/>
      <c r="W195" s="5" t="s">
        <v>156</v>
      </c>
      <c r="X195" s="14">
        <v>42248</v>
      </c>
      <c r="Y195" s="40"/>
      <c r="Z195" s="40"/>
      <c r="AA195" s="40"/>
      <c r="AB195" s="40"/>
    </row>
    <row r="196" spans="1:28" ht="30" customHeight="1" x14ac:dyDescent="0.25">
      <c r="A196" s="5" t="s">
        <v>241</v>
      </c>
      <c r="B196" s="5" t="s">
        <v>235</v>
      </c>
      <c r="C196" s="5"/>
      <c r="D196" s="5" t="s">
        <v>119</v>
      </c>
      <c r="E196" s="42" t="s">
        <v>155</v>
      </c>
      <c r="F196" s="42"/>
      <c r="G196" s="42"/>
      <c r="H196" s="42"/>
      <c r="I196" s="84"/>
      <c r="J196" s="5"/>
      <c r="K196" s="5" t="s">
        <v>343</v>
      </c>
      <c r="L196" s="49" t="s">
        <v>348</v>
      </c>
      <c r="M196" s="11" t="str">
        <f t="shared" ca="1" si="6"/>
        <v/>
      </c>
      <c r="N196" s="13">
        <v>42217</v>
      </c>
      <c r="O196" s="14">
        <v>42217</v>
      </c>
      <c r="P196" s="14"/>
      <c r="Q196" s="17"/>
      <c r="R196" s="5"/>
      <c r="S196" s="5"/>
      <c r="T196" s="5"/>
      <c r="U196" s="5"/>
      <c r="W196" s="5" t="s">
        <v>188</v>
      </c>
      <c r="X196" s="14">
        <v>42338</v>
      </c>
      <c r="Y196" s="40">
        <v>1</v>
      </c>
      <c r="Z196" s="40"/>
      <c r="AA196" s="40"/>
      <c r="AB196" s="40"/>
    </row>
    <row r="197" spans="1:28" ht="30" customHeight="1" x14ac:dyDescent="0.25">
      <c r="A197" s="5" t="s">
        <v>241</v>
      </c>
      <c r="B197" s="5" t="s">
        <v>236</v>
      </c>
      <c r="C197" s="5"/>
      <c r="D197" s="5" t="s">
        <v>119</v>
      </c>
      <c r="E197" s="42" t="s">
        <v>240</v>
      </c>
      <c r="F197" s="42"/>
      <c r="G197" s="42"/>
      <c r="H197" s="42"/>
      <c r="I197" s="84"/>
      <c r="J197" s="5"/>
      <c r="K197" s="5" t="s">
        <v>343</v>
      </c>
      <c r="L197" s="49" t="s">
        <v>348</v>
      </c>
      <c r="M197" s="11" t="str">
        <f t="shared" ca="1" si="6"/>
        <v/>
      </c>
      <c r="N197" s="13">
        <v>42217</v>
      </c>
      <c r="O197" s="14">
        <v>42217</v>
      </c>
      <c r="P197" s="14"/>
      <c r="Q197" s="17"/>
      <c r="R197" s="5"/>
      <c r="S197" s="5"/>
      <c r="T197" s="5"/>
      <c r="U197" s="5"/>
      <c r="W197" s="5" t="s">
        <v>156</v>
      </c>
      <c r="X197" s="14">
        <v>42248</v>
      </c>
      <c r="Y197" s="40">
        <v>192</v>
      </c>
      <c r="Z197" s="40"/>
      <c r="AA197" s="40"/>
      <c r="AB197" s="40"/>
    </row>
    <row r="198" spans="1:28" ht="39.950000000000003" customHeight="1" x14ac:dyDescent="0.25">
      <c r="A198" s="5" t="s">
        <v>276</v>
      </c>
      <c r="B198" s="5" t="s">
        <v>232</v>
      </c>
      <c r="C198" s="5"/>
      <c r="D198" s="5" t="s">
        <v>119</v>
      </c>
      <c r="E198" s="42" t="s">
        <v>159</v>
      </c>
      <c r="F198" s="42"/>
      <c r="G198" s="42"/>
      <c r="H198" s="42"/>
      <c r="I198" s="84"/>
      <c r="J198" s="5"/>
      <c r="K198" s="5" t="s">
        <v>343</v>
      </c>
      <c r="L198" s="49">
        <v>42226</v>
      </c>
      <c r="M198" s="11">
        <f t="shared" ca="1" si="6"/>
        <v>22</v>
      </c>
      <c r="N198" s="13">
        <v>42217</v>
      </c>
      <c r="O198" s="14">
        <v>42248</v>
      </c>
      <c r="P198" s="14"/>
      <c r="Q198" s="17"/>
      <c r="R198" s="5"/>
      <c r="S198" s="5"/>
      <c r="T198" s="5"/>
      <c r="U198" s="5"/>
      <c r="W198" s="5" t="s">
        <v>156</v>
      </c>
      <c r="X198" s="14">
        <v>42248</v>
      </c>
      <c r="Y198" s="40">
        <v>688</v>
      </c>
      <c r="Z198" s="40"/>
      <c r="AA198" s="40"/>
      <c r="AB198" s="40"/>
    </row>
    <row r="199" spans="1:28" ht="30" customHeight="1" x14ac:dyDescent="0.25">
      <c r="A199" s="5" t="s">
        <v>3532</v>
      </c>
      <c r="B199" s="5" t="s">
        <v>233</v>
      </c>
      <c r="C199" s="5"/>
      <c r="D199" s="5" t="s">
        <v>119</v>
      </c>
      <c r="E199" s="42" t="s">
        <v>161</v>
      </c>
      <c r="F199" s="42"/>
      <c r="G199" s="42"/>
      <c r="H199" s="42"/>
      <c r="I199" s="84"/>
      <c r="J199" s="5"/>
      <c r="K199" s="5" t="s">
        <v>343</v>
      </c>
      <c r="L199" s="49" t="s">
        <v>1424</v>
      </c>
      <c r="M199" s="11" t="str">
        <f ca="1">IFERROR(IF(AND(W199&lt;&gt;"Concluído",W199&lt;&gt;"Cancelado"),TODAY()-L199+1,#REF!-L199),"")</f>
        <v/>
      </c>
      <c r="N199" s="13">
        <v>42217</v>
      </c>
      <c r="O199" s="14"/>
      <c r="P199" s="14"/>
      <c r="Q199" s="17"/>
      <c r="R199" s="5" t="s">
        <v>188</v>
      </c>
      <c r="S199" s="5"/>
      <c r="T199" s="5"/>
      <c r="U199" s="5"/>
      <c r="W199" s="5" t="s">
        <v>188</v>
      </c>
      <c r="X199" s="100">
        <v>42356</v>
      </c>
      <c r="Y199" s="40">
        <v>33</v>
      </c>
      <c r="Z199" s="40"/>
      <c r="AA199" s="40"/>
      <c r="AB199" s="40"/>
    </row>
    <row r="200" spans="1:28" x14ac:dyDescent="0.25">
      <c r="A200" s="5" t="s">
        <v>2367</v>
      </c>
      <c r="B200" s="5" t="s">
        <v>2366</v>
      </c>
      <c r="C200" s="5"/>
      <c r="D200" s="43" t="s">
        <v>119</v>
      </c>
      <c r="E200" s="43" t="s">
        <v>159</v>
      </c>
      <c r="H200" s="43" t="s">
        <v>2360</v>
      </c>
      <c r="I200" s="84" t="s">
        <v>280</v>
      </c>
      <c r="J200" s="43" t="s">
        <v>2365</v>
      </c>
      <c r="K200" s="43" t="s">
        <v>343</v>
      </c>
      <c r="M200" s="11">
        <f ca="1">IFERROR(IF(AND(W200&lt;&gt;"Concluído",W200&lt;&gt;"Cancelado"),TODAY()-L200+1,X200-L200),"")</f>
        <v>42356</v>
      </c>
      <c r="N200" s="13">
        <v>42353</v>
      </c>
      <c r="W200" s="48" t="s">
        <v>156</v>
      </c>
      <c r="X200" s="100">
        <v>42356</v>
      </c>
    </row>
    <row r="201" spans="1:28" s="99" customFormat="1" x14ac:dyDescent="0.25">
      <c r="A201" s="101" t="s">
        <v>3533</v>
      </c>
      <c r="B201" s="99" t="s">
        <v>313</v>
      </c>
      <c r="D201" s="101" t="s">
        <v>118</v>
      </c>
      <c r="E201" s="101" t="s">
        <v>94</v>
      </c>
      <c r="F201" s="101"/>
      <c r="G201" s="101"/>
      <c r="H201" s="99" t="s">
        <v>2344</v>
      </c>
      <c r="I201" s="102" t="s">
        <v>246</v>
      </c>
      <c r="K201" s="99" t="s">
        <v>97</v>
      </c>
      <c r="L201" s="100">
        <v>42227</v>
      </c>
      <c r="M201" s="99">
        <v>142</v>
      </c>
      <c r="N201" s="100">
        <v>42272</v>
      </c>
      <c r="O201" s="100"/>
      <c r="R201" s="99" t="s">
        <v>2449</v>
      </c>
      <c r="W201" s="99" t="s">
        <v>156</v>
      </c>
      <c r="X201" s="100">
        <v>42356</v>
      </c>
    </row>
    <row r="202" spans="1:28" s="99" customFormat="1" x14ac:dyDescent="0.25">
      <c r="A202" s="101" t="s">
        <v>60</v>
      </c>
      <c r="B202" s="99" t="s">
        <v>91</v>
      </c>
      <c r="D202" s="101" t="s">
        <v>118</v>
      </c>
      <c r="E202" s="101" t="s">
        <v>153</v>
      </c>
      <c r="F202" s="101"/>
      <c r="G202" s="101"/>
      <c r="H202" s="99" t="s">
        <v>2320</v>
      </c>
      <c r="I202" s="102" t="s">
        <v>280</v>
      </c>
      <c r="J202" s="99" t="s">
        <v>2312</v>
      </c>
      <c r="K202" s="99" t="s">
        <v>2320</v>
      </c>
      <c r="L202" s="100">
        <v>42219.754166666666</v>
      </c>
      <c r="M202" s="99">
        <v>149.2458333333343</v>
      </c>
      <c r="N202" s="100">
        <v>42217</v>
      </c>
      <c r="O202" s="100">
        <v>42263</v>
      </c>
      <c r="R202" s="99" t="s">
        <v>2450</v>
      </c>
      <c r="W202" s="99" t="s">
        <v>156</v>
      </c>
      <c r="X202" s="100">
        <v>42356</v>
      </c>
      <c r="AB202" s="99">
        <v>3</v>
      </c>
    </row>
    <row r="203" spans="1:28" s="99" customFormat="1" x14ac:dyDescent="0.25">
      <c r="A203" s="101" t="s">
        <v>1669</v>
      </c>
      <c r="B203" s="99" t="s">
        <v>1670</v>
      </c>
      <c r="D203" s="101" t="s">
        <v>119</v>
      </c>
      <c r="E203" s="101" t="s">
        <v>239</v>
      </c>
      <c r="F203" s="101"/>
      <c r="G203" s="101"/>
      <c r="H203" s="99" t="s">
        <v>2360</v>
      </c>
      <c r="I203" s="102" t="s">
        <v>177</v>
      </c>
      <c r="J203" s="99" t="s">
        <v>2402</v>
      </c>
      <c r="K203" s="99" t="s">
        <v>343</v>
      </c>
      <c r="L203" s="100">
        <v>42319</v>
      </c>
      <c r="M203" s="99">
        <v>50</v>
      </c>
      <c r="N203" s="100">
        <v>42325</v>
      </c>
      <c r="O203" s="100">
        <v>42342</v>
      </c>
      <c r="P203" s="99" t="s">
        <v>2350</v>
      </c>
      <c r="R203" s="99" t="s">
        <v>2403</v>
      </c>
      <c r="W203" s="99" t="s">
        <v>156</v>
      </c>
      <c r="X203" s="100">
        <v>42342</v>
      </c>
      <c r="Y203" s="99">
        <v>55</v>
      </c>
    </row>
    <row r="204" spans="1:28" s="99" customFormat="1" x14ac:dyDescent="0.25">
      <c r="A204" s="101" t="s">
        <v>1689</v>
      </c>
      <c r="B204" s="99" t="s">
        <v>1690</v>
      </c>
      <c r="D204" s="101" t="s">
        <v>119</v>
      </c>
      <c r="E204" s="101" t="s">
        <v>159</v>
      </c>
      <c r="F204" s="101"/>
      <c r="G204" s="101"/>
      <c r="H204" s="99" t="s">
        <v>2360</v>
      </c>
      <c r="I204" s="102" t="s">
        <v>177</v>
      </c>
      <c r="J204" s="99" t="s">
        <v>2365</v>
      </c>
      <c r="K204" s="99" t="s">
        <v>343</v>
      </c>
      <c r="L204" s="100">
        <v>42324</v>
      </c>
      <c r="M204" s="99">
        <v>45</v>
      </c>
      <c r="N204" s="100">
        <v>42325</v>
      </c>
      <c r="O204" s="100">
        <v>42345</v>
      </c>
      <c r="P204" s="99" t="s">
        <v>2350</v>
      </c>
      <c r="R204" s="99" t="s">
        <v>2391</v>
      </c>
      <c r="W204" s="99" t="s">
        <v>156</v>
      </c>
      <c r="X204" s="100">
        <v>42356</v>
      </c>
      <c r="Y204" s="99">
        <v>40</v>
      </c>
    </row>
    <row r="205" spans="1:28" s="99" customFormat="1" x14ac:dyDescent="0.25">
      <c r="A205" s="101" t="s">
        <v>3534</v>
      </c>
      <c r="B205" s="99" t="s">
        <v>1519</v>
      </c>
      <c r="D205" s="101" t="s">
        <v>154</v>
      </c>
      <c r="E205" s="101" t="s">
        <v>174</v>
      </c>
      <c r="F205" s="101"/>
      <c r="G205" s="101"/>
      <c r="H205" s="99" t="s">
        <v>154</v>
      </c>
      <c r="I205" s="102" t="s">
        <v>2248</v>
      </c>
      <c r="K205" s="99" t="s">
        <v>343</v>
      </c>
      <c r="L205" s="100">
        <v>42307</v>
      </c>
      <c r="M205" s="99">
        <v>62</v>
      </c>
      <c r="N205" s="100">
        <v>42312</v>
      </c>
      <c r="O205" s="100">
        <v>42328</v>
      </c>
      <c r="R205" s="99" t="s">
        <v>2215</v>
      </c>
      <c r="W205" s="99" t="s">
        <v>156</v>
      </c>
      <c r="X205" s="100">
        <v>42356</v>
      </c>
      <c r="Y205" s="99">
        <v>6</v>
      </c>
    </row>
    <row r="206" spans="1:28" s="99" customFormat="1" x14ac:dyDescent="0.25">
      <c r="A206" s="101" t="s">
        <v>457</v>
      </c>
      <c r="B206" s="99" t="s">
        <v>2346</v>
      </c>
      <c r="D206" s="101" t="s">
        <v>119</v>
      </c>
      <c r="E206" s="101" t="s">
        <v>155</v>
      </c>
      <c r="F206" s="101"/>
      <c r="G206" s="101"/>
      <c r="H206" s="99" t="s">
        <v>154</v>
      </c>
      <c r="I206" s="102" t="s">
        <v>177</v>
      </c>
      <c r="J206" s="99" t="s">
        <v>2315</v>
      </c>
      <c r="K206" s="99" t="s">
        <v>343</v>
      </c>
      <c r="L206" s="100">
        <v>42278.84097222222</v>
      </c>
      <c r="M206" s="99">
        <v>90.159027777779556</v>
      </c>
      <c r="N206" s="100">
        <v>42283</v>
      </c>
      <c r="O206" s="100">
        <v>42372</v>
      </c>
      <c r="P206" s="99" t="s">
        <v>2350</v>
      </c>
      <c r="R206" s="99" t="s">
        <v>2390</v>
      </c>
      <c r="W206" s="99" t="s">
        <v>156</v>
      </c>
      <c r="X206" s="100">
        <v>42356</v>
      </c>
      <c r="Y206" s="99">
        <v>140</v>
      </c>
    </row>
    <row r="207" spans="1:28" s="99" customFormat="1" x14ac:dyDescent="0.25">
      <c r="A207" s="101" t="s">
        <v>463</v>
      </c>
      <c r="B207" s="99" t="s">
        <v>464</v>
      </c>
      <c r="D207" s="101" t="s">
        <v>119</v>
      </c>
      <c r="E207" s="101" t="s">
        <v>155</v>
      </c>
      <c r="F207" s="101"/>
      <c r="G207" s="101"/>
      <c r="H207" s="99" t="s">
        <v>2360</v>
      </c>
      <c r="I207" s="102" t="s">
        <v>177</v>
      </c>
      <c r="J207" s="99" t="s">
        <v>2315</v>
      </c>
      <c r="K207" s="99" t="s">
        <v>343</v>
      </c>
      <c r="L207" s="100">
        <v>42278.859027777777</v>
      </c>
      <c r="M207" s="99">
        <v>90.140972222223354</v>
      </c>
      <c r="N207" s="100">
        <v>42283</v>
      </c>
      <c r="O207" s="100">
        <v>42309</v>
      </c>
      <c r="P207" s="99" t="s">
        <v>273</v>
      </c>
      <c r="R207" s="99" t="s">
        <v>2442</v>
      </c>
      <c r="W207" s="99" t="s">
        <v>156</v>
      </c>
      <c r="X207" s="100">
        <v>42356</v>
      </c>
      <c r="Y207" s="99">
        <v>24</v>
      </c>
    </row>
    <row r="208" spans="1:28" s="99" customFormat="1" x14ac:dyDescent="0.25">
      <c r="A208" s="101" t="s">
        <v>2368</v>
      </c>
      <c r="B208" s="99" t="s">
        <v>2370</v>
      </c>
      <c r="D208" s="101" t="s">
        <v>119</v>
      </c>
      <c r="E208" s="101" t="s">
        <v>159</v>
      </c>
      <c r="F208" s="101"/>
      <c r="G208" s="101"/>
      <c r="H208" s="99" t="s">
        <v>2360</v>
      </c>
      <c r="I208" s="102" t="s">
        <v>177</v>
      </c>
      <c r="J208" s="99" t="s">
        <v>2365</v>
      </c>
      <c r="K208" s="99" t="s">
        <v>343</v>
      </c>
      <c r="L208" s="100">
        <v>42346</v>
      </c>
      <c r="M208" s="99">
        <v>23</v>
      </c>
      <c r="N208" s="100">
        <v>42353</v>
      </c>
      <c r="O208" s="100"/>
      <c r="W208" s="99" t="s">
        <v>156</v>
      </c>
      <c r="X208" s="100">
        <v>42374</v>
      </c>
      <c r="Y208" s="99">
        <v>200</v>
      </c>
    </row>
    <row r="209" spans="1:25" s="99" customFormat="1" x14ac:dyDescent="0.25">
      <c r="A209" s="101" t="s">
        <v>2364</v>
      </c>
      <c r="B209" s="99" t="s">
        <v>2363</v>
      </c>
      <c r="D209" s="101" t="s">
        <v>119</v>
      </c>
      <c r="E209" s="101" t="s">
        <v>159</v>
      </c>
      <c r="F209" s="101"/>
      <c r="G209" s="101"/>
      <c r="H209" s="99" t="s">
        <v>2360</v>
      </c>
      <c r="I209" s="102" t="s">
        <v>2130</v>
      </c>
      <c r="J209" s="99" t="s">
        <v>2365</v>
      </c>
      <c r="K209" s="99" t="s">
        <v>343</v>
      </c>
      <c r="L209" s="100"/>
      <c r="M209" s="99">
        <v>42369</v>
      </c>
      <c r="N209" s="100">
        <v>42353</v>
      </c>
      <c r="O209" s="100"/>
      <c r="W209" s="99" t="s">
        <v>156</v>
      </c>
      <c r="X209" s="100">
        <v>42354</v>
      </c>
      <c r="Y209" s="99">
        <v>20</v>
      </c>
    </row>
    <row r="210" spans="1:25" s="99" customFormat="1" x14ac:dyDescent="0.25">
      <c r="A210" s="101" t="s">
        <v>2369</v>
      </c>
      <c r="B210" s="99" t="s">
        <v>2371</v>
      </c>
      <c r="D210" s="101" t="s">
        <v>119</v>
      </c>
      <c r="E210" s="101" t="s">
        <v>159</v>
      </c>
      <c r="F210" s="101"/>
      <c r="G210" s="101"/>
      <c r="H210" s="99" t="s">
        <v>2360</v>
      </c>
      <c r="I210" s="102" t="s">
        <v>177</v>
      </c>
      <c r="J210" s="99" t="s">
        <v>2365</v>
      </c>
      <c r="K210" s="99" t="s">
        <v>343</v>
      </c>
      <c r="L210" s="100">
        <v>42346</v>
      </c>
      <c r="M210" s="99">
        <v>23</v>
      </c>
      <c r="N210" s="100">
        <v>42353</v>
      </c>
      <c r="O210" s="100"/>
      <c r="W210" s="99" t="s">
        <v>156</v>
      </c>
      <c r="X210" s="100">
        <v>42376</v>
      </c>
      <c r="Y210" s="99">
        <v>315</v>
      </c>
    </row>
    <row r="211" spans="1:25" s="99" customFormat="1" x14ac:dyDescent="0.25">
      <c r="A211" s="101" t="s">
        <v>447</v>
      </c>
      <c r="B211" s="99" t="s">
        <v>448</v>
      </c>
      <c r="D211" s="101" t="s">
        <v>119</v>
      </c>
      <c r="E211" s="101" t="s">
        <v>106</v>
      </c>
      <c r="F211" s="101"/>
      <c r="G211" s="101"/>
      <c r="H211" s="99" t="s">
        <v>2360</v>
      </c>
      <c r="I211" s="102" t="s">
        <v>177</v>
      </c>
      <c r="K211" s="99" t="s">
        <v>343</v>
      </c>
      <c r="L211" s="100">
        <v>42282</v>
      </c>
      <c r="M211" s="99">
        <v>87</v>
      </c>
      <c r="N211" s="100">
        <v>42283</v>
      </c>
      <c r="O211" s="100"/>
      <c r="R211" s="99" t="s">
        <v>2404</v>
      </c>
      <c r="W211" s="99" t="s">
        <v>156</v>
      </c>
      <c r="X211" s="100">
        <v>42367</v>
      </c>
    </row>
    <row r="212" spans="1:25" s="99" customFormat="1" x14ac:dyDescent="0.25">
      <c r="A212" s="101" t="s">
        <v>2430</v>
      </c>
      <c r="B212" s="99" t="s">
        <v>2431</v>
      </c>
      <c r="D212" s="99" t="s">
        <v>119</v>
      </c>
      <c r="E212" s="99" t="s">
        <v>1430</v>
      </c>
      <c r="H212" s="99" t="s">
        <v>2360</v>
      </c>
      <c r="I212" s="102" t="s">
        <v>246</v>
      </c>
      <c r="K212" s="99" t="s">
        <v>343</v>
      </c>
      <c r="L212" s="100">
        <v>42356</v>
      </c>
      <c r="M212" s="99">
        <v>13</v>
      </c>
      <c r="N212" s="100">
        <v>42360</v>
      </c>
      <c r="O212" s="100"/>
      <c r="W212" s="99" t="s">
        <v>156</v>
      </c>
      <c r="X212" s="100">
        <v>42376</v>
      </c>
      <c r="Y212" s="99">
        <v>27</v>
      </c>
    </row>
    <row r="213" spans="1:25" s="99" customFormat="1" x14ac:dyDescent="0.25">
      <c r="A213" s="101" t="s">
        <v>2428</v>
      </c>
      <c r="B213" s="99" t="s">
        <v>2429</v>
      </c>
      <c r="D213" s="99" t="s">
        <v>119</v>
      </c>
      <c r="E213" s="99" t="s">
        <v>1430</v>
      </c>
      <c r="H213" s="99" t="s">
        <v>2360</v>
      </c>
      <c r="I213" s="102" t="s">
        <v>246</v>
      </c>
      <c r="K213" s="99" t="s">
        <v>343</v>
      </c>
      <c r="L213" s="100">
        <v>42356</v>
      </c>
      <c r="M213" s="99">
        <v>13</v>
      </c>
      <c r="N213" s="100">
        <v>42360</v>
      </c>
      <c r="O213" s="100"/>
      <c r="W213" s="99" t="s">
        <v>156</v>
      </c>
      <c r="X213" s="100">
        <v>42376</v>
      </c>
      <c r="Y213" s="99">
        <v>9</v>
      </c>
    </row>
    <row r="214" spans="1:25" s="99" customFormat="1" x14ac:dyDescent="0.25">
      <c r="A214" s="101" t="s">
        <v>2426</v>
      </c>
      <c r="B214" s="99" t="s">
        <v>2427</v>
      </c>
      <c r="D214" s="99" t="s">
        <v>119</v>
      </c>
      <c r="E214" s="99" t="s">
        <v>1430</v>
      </c>
      <c r="H214" s="99" t="s">
        <v>2360</v>
      </c>
      <c r="I214" s="102" t="s">
        <v>246</v>
      </c>
      <c r="K214" s="99" t="s">
        <v>343</v>
      </c>
      <c r="L214" s="100">
        <v>42356</v>
      </c>
      <c r="M214" s="99">
        <v>13</v>
      </c>
      <c r="N214" s="100">
        <v>42360</v>
      </c>
      <c r="O214" s="100"/>
      <c r="W214" s="99" t="s">
        <v>156</v>
      </c>
      <c r="X214" s="100">
        <v>42376</v>
      </c>
      <c r="Y214" s="99">
        <v>6</v>
      </c>
    </row>
    <row r="215" spans="1:25" s="99" customFormat="1" x14ac:dyDescent="0.25">
      <c r="A215" s="101" t="s">
        <v>2424</v>
      </c>
      <c r="B215" s="99" t="s">
        <v>2425</v>
      </c>
      <c r="D215" s="99" t="s">
        <v>119</v>
      </c>
      <c r="E215" s="99" t="s">
        <v>1430</v>
      </c>
      <c r="H215" s="99" t="s">
        <v>2360</v>
      </c>
      <c r="I215" s="102" t="s">
        <v>246</v>
      </c>
      <c r="K215" s="99" t="s">
        <v>343</v>
      </c>
      <c r="L215" s="100">
        <v>42356</v>
      </c>
      <c r="M215" s="99">
        <v>13</v>
      </c>
      <c r="N215" s="100">
        <v>42360</v>
      </c>
      <c r="O215" s="100"/>
      <c r="W215" s="99" t="s">
        <v>156</v>
      </c>
      <c r="X215" s="100">
        <v>42376</v>
      </c>
      <c r="Y215" s="99">
        <v>14</v>
      </c>
    </row>
    <row r="216" spans="1:25" s="99" customFormat="1" x14ac:dyDescent="0.25">
      <c r="A216" s="101" t="s">
        <v>2422</v>
      </c>
      <c r="B216" s="99" t="s">
        <v>2423</v>
      </c>
      <c r="D216" s="99" t="s">
        <v>119</v>
      </c>
      <c r="E216" s="99" t="s">
        <v>1430</v>
      </c>
      <c r="H216" s="99" t="s">
        <v>2360</v>
      </c>
      <c r="I216" s="102" t="s">
        <v>246</v>
      </c>
      <c r="K216" s="99" t="s">
        <v>343</v>
      </c>
      <c r="L216" s="100">
        <v>42356</v>
      </c>
      <c r="M216" s="99">
        <v>13</v>
      </c>
      <c r="N216" s="100">
        <v>42360</v>
      </c>
      <c r="O216" s="100"/>
      <c r="W216" s="99" t="s">
        <v>156</v>
      </c>
      <c r="X216" s="100">
        <v>42376</v>
      </c>
      <c r="Y216" s="99">
        <v>43</v>
      </c>
    </row>
    <row r="217" spans="1:25" s="99" customFormat="1" x14ac:dyDescent="0.25">
      <c r="A217" s="101" t="s">
        <v>2420</v>
      </c>
      <c r="B217" s="99" t="s">
        <v>2421</v>
      </c>
      <c r="D217" s="99" t="s">
        <v>119</v>
      </c>
      <c r="E217" s="99" t="s">
        <v>1430</v>
      </c>
      <c r="H217" s="99" t="s">
        <v>2360</v>
      </c>
      <c r="I217" s="102" t="s">
        <v>246</v>
      </c>
      <c r="K217" s="99" t="s">
        <v>343</v>
      </c>
      <c r="L217" s="100">
        <v>42356</v>
      </c>
      <c r="M217" s="99">
        <v>13</v>
      </c>
      <c r="N217" s="100">
        <v>42360</v>
      </c>
      <c r="O217" s="100"/>
      <c r="W217" s="99" t="s">
        <v>156</v>
      </c>
      <c r="X217" s="100">
        <v>42376</v>
      </c>
      <c r="Y217" s="99">
        <v>12</v>
      </c>
    </row>
    <row r="218" spans="1:25" s="99" customFormat="1" x14ac:dyDescent="0.25">
      <c r="A218" s="101" t="s">
        <v>2418</v>
      </c>
      <c r="B218" s="99" t="s">
        <v>2419</v>
      </c>
      <c r="D218" s="99" t="s">
        <v>119</v>
      </c>
      <c r="E218" s="99" t="s">
        <v>1430</v>
      </c>
      <c r="H218" s="99" t="s">
        <v>2360</v>
      </c>
      <c r="I218" s="102" t="s">
        <v>246</v>
      </c>
      <c r="K218" s="99" t="s">
        <v>343</v>
      </c>
      <c r="L218" s="100">
        <v>42356</v>
      </c>
      <c r="M218" s="99">
        <v>13</v>
      </c>
      <c r="N218" s="100">
        <v>42360</v>
      </c>
      <c r="O218" s="100"/>
      <c r="W218" s="99" t="s">
        <v>156</v>
      </c>
      <c r="X218" s="100">
        <v>42376</v>
      </c>
      <c r="Y218" s="99">
        <v>9</v>
      </c>
    </row>
    <row r="219" spans="1:25" s="99" customFormat="1" x14ac:dyDescent="0.25">
      <c r="A219" s="101" t="s">
        <v>2416</v>
      </c>
      <c r="B219" s="99" t="s">
        <v>2417</v>
      </c>
      <c r="D219" s="99" t="s">
        <v>119</v>
      </c>
      <c r="E219" s="99" t="s">
        <v>1430</v>
      </c>
      <c r="H219" s="99" t="s">
        <v>2360</v>
      </c>
      <c r="I219" s="102" t="s">
        <v>246</v>
      </c>
      <c r="K219" s="99" t="s">
        <v>343</v>
      </c>
      <c r="L219" s="100">
        <v>42356</v>
      </c>
      <c r="M219" s="99">
        <v>13</v>
      </c>
      <c r="N219" s="100">
        <v>42360</v>
      </c>
      <c r="O219" s="100"/>
      <c r="W219" s="99" t="s">
        <v>156</v>
      </c>
      <c r="X219" s="100">
        <v>42376</v>
      </c>
      <c r="Y219" s="99">
        <v>3</v>
      </c>
    </row>
    <row r="220" spans="1:25" s="99" customFormat="1" x14ac:dyDescent="0.25">
      <c r="A220" s="101" t="s">
        <v>2414</v>
      </c>
      <c r="B220" s="99" t="s">
        <v>2415</v>
      </c>
      <c r="D220" s="99" t="s">
        <v>119</v>
      </c>
      <c r="E220" s="99" t="s">
        <v>1430</v>
      </c>
      <c r="H220" s="99" t="s">
        <v>2360</v>
      </c>
      <c r="I220" s="102" t="s">
        <v>246</v>
      </c>
      <c r="K220" s="99" t="s">
        <v>343</v>
      </c>
      <c r="L220" s="100">
        <v>42356</v>
      </c>
      <c r="M220" s="99">
        <v>13</v>
      </c>
      <c r="N220" s="100">
        <v>42360</v>
      </c>
      <c r="O220" s="100"/>
      <c r="W220" s="99" t="s">
        <v>156</v>
      </c>
      <c r="X220" s="100">
        <v>42376</v>
      </c>
      <c r="Y220" s="99">
        <v>5</v>
      </c>
    </row>
    <row r="221" spans="1:25" s="99" customFormat="1" x14ac:dyDescent="0.25">
      <c r="A221" s="101" t="s">
        <v>2432</v>
      </c>
      <c r="B221" s="99" t="s">
        <v>2433</v>
      </c>
      <c r="D221" s="99" t="s">
        <v>119</v>
      </c>
      <c r="E221" s="99" t="s">
        <v>106</v>
      </c>
      <c r="H221" s="99" t="s">
        <v>2361</v>
      </c>
      <c r="I221" s="102" t="s">
        <v>177</v>
      </c>
      <c r="K221" s="99" t="s">
        <v>343</v>
      </c>
      <c r="L221" s="100">
        <v>42360</v>
      </c>
      <c r="M221" s="99">
        <v>9</v>
      </c>
      <c r="N221" s="100">
        <v>42360</v>
      </c>
      <c r="O221" s="100"/>
      <c r="W221" s="99" t="s">
        <v>156</v>
      </c>
      <c r="X221" s="100">
        <v>42375</v>
      </c>
      <c r="Y221" s="99">
        <v>3</v>
      </c>
    </row>
    <row r="222" spans="1:25" s="103" customFormat="1" x14ac:dyDescent="0.25">
      <c r="A222" s="101" t="s">
        <v>1294</v>
      </c>
      <c r="B222" s="103" t="s">
        <v>2277</v>
      </c>
      <c r="D222" s="103" t="s">
        <v>119</v>
      </c>
      <c r="E222" s="103" t="s">
        <v>94</v>
      </c>
      <c r="H222" s="103" t="s">
        <v>2360</v>
      </c>
      <c r="I222" s="111" t="s">
        <v>244</v>
      </c>
      <c r="J222" s="103" t="s">
        <v>2384</v>
      </c>
      <c r="K222" s="103" t="s">
        <v>343</v>
      </c>
      <c r="L222" s="108">
        <v>42265</v>
      </c>
      <c r="M222" s="11">
        <f t="shared" ref="M222:M253" ca="1" si="7">IFERROR(IF(AND(W222&lt;&gt;"Concluído",W222&lt;&gt;"Cancelado"),TODAY()-L222+1,X222-L222),"")</f>
        <v>116</v>
      </c>
      <c r="N222" s="108">
        <v>42325</v>
      </c>
      <c r="O222" s="108" t="s">
        <v>2385</v>
      </c>
      <c r="P222" s="103" t="s">
        <v>348</v>
      </c>
      <c r="R222" s="103" t="s">
        <v>2471</v>
      </c>
      <c r="W222" s="103" t="s">
        <v>156</v>
      </c>
      <c r="X222" s="108">
        <v>42381</v>
      </c>
      <c r="Y222" s="103">
        <v>12</v>
      </c>
    </row>
    <row r="223" spans="1:25" s="103" customFormat="1" x14ac:dyDescent="0.25">
      <c r="A223" s="112" t="s">
        <v>1375</v>
      </c>
      <c r="B223" s="103" t="s">
        <v>2348</v>
      </c>
      <c r="D223" s="103" t="s">
        <v>2288</v>
      </c>
      <c r="E223" s="103" t="s">
        <v>1430</v>
      </c>
      <c r="H223" s="103" t="s">
        <v>97</v>
      </c>
      <c r="I223" s="111" t="s">
        <v>245</v>
      </c>
      <c r="J223" s="103" t="s">
        <v>2282</v>
      </c>
      <c r="K223" s="103" t="s">
        <v>97</v>
      </c>
      <c r="L223" s="108">
        <v>42283</v>
      </c>
      <c r="M223" s="11">
        <f t="shared" ca="1" si="7"/>
        <v>100</v>
      </c>
      <c r="N223" s="108">
        <v>42347</v>
      </c>
      <c r="O223" s="108"/>
      <c r="R223" s="103" t="s">
        <v>2325</v>
      </c>
      <c r="W223" s="103" t="s">
        <v>188</v>
      </c>
      <c r="X223" s="108">
        <v>42383</v>
      </c>
    </row>
    <row r="224" spans="1:25" s="103" customFormat="1" x14ac:dyDescent="0.25">
      <c r="A224" s="101" t="s">
        <v>1888</v>
      </c>
      <c r="B224" s="103" t="s">
        <v>1994</v>
      </c>
      <c r="D224" s="103" t="s">
        <v>154</v>
      </c>
      <c r="E224" s="103" t="s">
        <v>108</v>
      </c>
      <c r="H224" s="103" t="s">
        <v>154</v>
      </c>
      <c r="I224" s="111" t="s">
        <v>2248</v>
      </c>
      <c r="K224" s="103" t="s">
        <v>100</v>
      </c>
      <c r="L224" s="108">
        <v>42321</v>
      </c>
      <c r="M224" s="11">
        <f t="shared" ca="1" si="7"/>
        <v>40</v>
      </c>
      <c r="N224" s="108">
        <v>42321</v>
      </c>
      <c r="O224" s="108"/>
      <c r="W224" s="103" t="s">
        <v>156</v>
      </c>
      <c r="X224" s="108">
        <v>42361</v>
      </c>
    </row>
    <row r="225" spans="1:24" s="103" customFormat="1" x14ac:dyDescent="0.25">
      <c r="A225" s="101" t="s">
        <v>1884</v>
      </c>
      <c r="B225" s="103" t="s">
        <v>1991</v>
      </c>
      <c r="D225" s="103" t="s">
        <v>154</v>
      </c>
      <c r="E225" s="103" t="s">
        <v>108</v>
      </c>
      <c r="H225" s="103" t="s">
        <v>154</v>
      </c>
      <c r="I225" s="111" t="s">
        <v>2248</v>
      </c>
      <c r="K225" s="103" t="s">
        <v>100</v>
      </c>
      <c r="L225" s="108">
        <v>42321</v>
      </c>
      <c r="M225" s="11">
        <f t="shared" ca="1" si="7"/>
        <v>40</v>
      </c>
      <c r="N225" s="108">
        <v>42321</v>
      </c>
      <c r="O225" s="108"/>
      <c r="W225" s="103" t="s">
        <v>156</v>
      </c>
      <c r="X225" s="108">
        <v>42361</v>
      </c>
    </row>
    <row r="226" spans="1:24" s="103" customFormat="1" x14ac:dyDescent="0.25">
      <c r="A226" s="101" t="s">
        <v>1883</v>
      </c>
      <c r="B226" s="103" t="s">
        <v>1990</v>
      </c>
      <c r="D226" s="103" t="s">
        <v>154</v>
      </c>
      <c r="E226" s="103" t="s">
        <v>108</v>
      </c>
      <c r="H226" s="103" t="s">
        <v>154</v>
      </c>
      <c r="I226" s="111" t="s">
        <v>2248</v>
      </c>
      <c r="K226" s="103" t="s">
        <v>100</v>
      </c>
      <c r="L226" s="108">
        <v>42321</v>
      </c>
      <c r="M226" s="11">
        <f t="shared" ca="1" si="7"/>
        <v>40</v>
      </c>
      <c r="N226" s="108">
        <v>42321</v>
      </c>
      <c r="O226" s="108"/>
      <c r="W226" s="103" t="s">
        <v>156</v>
      </c>
      <c r="X226" s="108">
        <v>42361</v>
      </c>
    </row>
    <row r="227" spans="1:24" s="103" customFormat="1" x14ac:dyDescent="0.25">
      <c r="A227" s="101" t="s">
        <v>1881</v>
      </c>
      <c r="B227" s="103" t="s">
        <v>1989</v>
      </c>
      <c r="D227" s="103" t="s">
        <v>154</v>
      </c>
      <c r="E227" s="103" t="s">
        <v>108</v>
      </c>
      <c r="H227" s="103" t="s">
        <v>154</v>
      </c>
      <c r="I227" s="111" t="s">
        <v>2248</v>
      </c>
      <c r="K227" s="103" t="s">
        <v>100</v>
      </c>
      <c r="L227" s="108">
        <v>42321</v>
      </c>
      <c r="M227" s="11">
        <f t="shared" ca="1" si="7"/>
        <v>40</v>
      </c>
      <c r="N227" s="108">
        <v>42321</v>
      </c>
      <c r="O227" s="108"/>
      <c r="W227" s="103" t="s">
        <v>156</v>
      </c>
      <c r="X227" s="108">
        <v>42361</v>
      </c>
    </row>
    <row r="228" spans="1:24" s="103" customFormat="1" x14ac:dyDescent="0.25">
      <c r="A228" s="101" t="s">
        <v>1880</v>
      </c>
      <c r="B228" s="103" t="s">
        <v>1988</v>
      </c>
      <c r="D228" s="103" t="s">
        <v>154</v>
      </c>
      <c r="E228" s="103" t="s">
        <v>108</v>
      </c>
      <c r="H228" s="103" t="s">
        <v>154</v>
      </c>
      <c r="I228" s="111" t="s">
        <v>2248</v>
      </c>
      <c r="K228" s="103" t="s">
        <v>100</v>
      </c>
      <c r="L228" s="108">
        <v>42321</v>
      </c>
      <c r="M228" s="11">
        <f t="shared" ca="1" si="7"/>
        <v>40</v>
      </c>
      <c r="N228" s="108">
        <v>42321</v>
      </c>
      <c r="O228" s="108"/>
      <c r="W228" s="103" t="s">
        <v>156</v>
      </c>
      <c r="X228" s="108">
        <v>42361</v>
      </c>
    </row>
    <row r="229" spans="1:24" s="103" customFormat="1" x14ac:dyDescent="0.25">
      <c r="A229" s="101" t="s">
        <v>1879</v>
      </c>
      <c r="B229" s="103" t="s">
        <v>1987</v>
      </c>
      <c r="D229" s="103" t="s">
        <v>154</v>
      </c>
      <c r="E229" s="103" t="s">
        <v>108</v>
      </c>
      <c r="H229" s="103" t="s">
        <v>154</v>
      </c>
      <c r="I229" s="111" t="s">
        <v>2248</v>
      </c>
      <c r="K229" s="103" t="s">
        <v>100</v>
      </c>
      <c r="L229" s="108">
        <v>42321</v>
      </c>
      <c r="M229" s="11">
        <f t="shared" ca="1" si="7"/>
        <v>40</v>
      </c>
      <c r="N229" s="108">
        <v>42321</v>
      </c>
      <c r="O229" s="108"/>
      <c r="W229" s="103" t="s">
        <v>156</v>
      </c>
      <c r="X229" s="108">
        <v>42361</v>
      </c>
    </row>
    <row r="230" spans="1:24" s="103" customFormat="1" x14ac:dyDescent="0.25">
      <c r="A230" s="101" t="s">
        <v>1877</v>
      </c>
      <c r="B230" s="103" t="s">
        <v>1986</v>
      </c>
      <c r="D230" s="103" t="s">
        <v>154</v>
      </c>
      <c r="E230" s="103" t="s">
        <v>108</v>
      </c>
      <c r="H230" s="103" t="s">
        <v>154</v>
      </c>
      <c r="I230" s="111" t="s">
        <v>2248</v>
      </c>
      <c r="K230" s="103" t="s">
        <v>100</v>
      </c>
      <c r="L230" s="108">
        <v>42321</v>
      </c>
      <c r="M230" s="11">
        <f t="shared" ca="1" si="7"/>
        <v>40</v>
      </c>
      <c r="N230" s="108">
        <v>42321</v>
      </c>
      <c r="O230" s="108"/>
      <c r="W230" s="103" t="s">
        <v>156</v>
      </c>
      <c r="X230" s="108">
        <v>42361</v>
      </c>
    </row>
    <row r="231" spans="1:24" s="103" customFormat="1" x14ac:dyDescent="0.25">
      <c r="A231" s="101" t="s">
        <v>2233</v>
      </c>
      <c r="B231" s="103" t="s">
        <v>2246</v>
      </c>
      <c r="D231" s="103" t="s">
        <v>154</v>
      </c>
      <c r="E231" s="103" t="s">
        <v>108</v>
      </c>
      <c r="H231" s="103" t="s">
        <v>154</v>
      </c>
      <c r="I231" s="111" t="s">
        <v>2248</v>
      </c>
      <c r="K231" s="103" t="s">
        <v>100</v>
      </c>
      <c r="L231" s="108">
        <v>42321</v>
      </c>
      <c r="M231" s="11">
        <f t="shared" ca="1" si="7"/>
        <v>40</v>
      </c>
      <c r="N231" s="108">
        <v>42321</v>
      </c>
      <c r="O231" s="108"/>
      <c r="W231" s="103" t="s">
        <v>156</v>
      </c>
      <c r="X231" s="108">
        <v>42361</v>
      </c>
    </row>
    <row r="232" spans="1:24" s="103" customFormat="1" x14ac:dyDescent="0.25">
      <c r="A232" s="101" t="s">
        <v>2232</v>
      </c>
      <c r="B232" s="103" t="s">
        <v>2245</v>
      </c>
      <c r="D232" s="103" t="s">
        <v>154</v>
      </c>
      <c r="E232" s="103" t="s">
        <v>108</v>
      </c>
      <c r="H232" s="103" t="s">
        <v>154</v>
      </c>
      <c r="I232" s="111" t="s">
        <v>2248</v>
      </c>
      <c r="K232" s="103" t="s">
        <v>100</v>
      </c>
      <c r="L232" s="108">
        <v>42321</v>
      </c>
      <c r="M232" s="11">
        <f t="shared" ca="1" si="7"/>
        <v>40</v>
      </c>
      <c r="N232" s="108">
        <v>42321</v>
      </c>
      <c r="O232" s="108"/>
      <c r="W232" s="103" t="s">
        <v>156</v>
      </c>
      <c r="X232" s="108">
        <v>42361</v>
      </c>
    </row>
    <row r="233" spans="1:24" s="103" customFormat="1" x14ac:dyDescent="0.25">
      <c r="A233" s="101" t="s">
        <v>2231</v>
      </c>
      <c r="B233" s="103" t="s">
        <v>2244</v>
      </c>
      <c r="D233" s="103" t="s">
        <v>154</v>
      </c>
      <c r="E233" s="103" t="s">
        <v>108</v>
      </c>
      <c r="H233" s="103" t="s">
        <v>154</v>
      </c>
      <c r="I233" s="111" t="s">
        <v>2248</v>
      </c>
      <c r="K233" s="103" t="s">
        <v>100</v>
      </c>
      <c r="L233" s="108">
        <v>42321</v>
      </c>
      <c r="M233" s="11">
        <f t="shared" ca="1" si="7"/>
        <v>40</v>
      </c>
      <c r="N233" s="108">
        <v>42321</v>
      </c>
      <c r="O233" s="108"/>
      <c r="W233" s="103" t="s">
        <v>156</v>
      </c>
      <c r="X233" s="108">
        <v>42361</v>
      </c>
    </row>
    <row r="234" spans="1:24" s="103" customFormat="1" x14ac:dyDescent="0.25">
      <c r="A234" s="101" t="s">
        <v>2230</v>
      </c>
      <c r="B234" s="103" t="s">
        <v>2243</v>
      </c>
      <c r="D234" s="103" t="s">
        <v>154</v>
      </c>
      <c r="E234" s="103" t="s">
        <v>108</v>
      </c>
      <c r="H234" s="103" t="s">
        <v>154</v>
      </c>
      <c r="I234" s="111" t="s">
        <v>2248</v>
      </c>
      <c r="K234" s="103" t="s">
        <v>100</v>
      </c>
      <c r="L234" s="108">
        <v>42321</v>
      </c>
      <c r="M234" s="11">
        <f t="shared" ca="1" si="7"/>
        <v>40</v>
      </c>
      <c r="N234" s="108">
        <v>42321</v>
      </c>
      <c r="O234" s="108"/>
      <c r="W234" s="103" t="s">
        <v>156</v>
      </c>
      <c r="X234" s="108">
        <v>42361</v>
      </c>
    </row>
    <row r="235" spans="1:24" s="103" customFormat="1" x14ac:dyDescent="0.25">
      <c r="A235" s="101" t="s">
        <v>2229</v>
      </c>
      <c r="B235" s="103" t="s">
        <v>2242</v>
      </c>
      <c r="D235" s="103" t="s">
        <v>154</v>
      </c>
      <c r="E235" s="103" t="s">
        <v>108</v>
      </c>
      <c r="H235" s="103" t="s">
        <v>154</v>
      </c>
      <c r="I235" s="111" t="s">
        <v>2248</v>
      </c>
      <c r="K235" s="103" t="s">
        <v>100</v>
      </c>
      <c r="L235" s="108">
        <v>42321</v>
      </c>
      <c r="M235" s="11">
        <f t="shared" ca="1" si="7"/>
        <v>40</v>
      </c>
      <c r="N235" s="108">
        <v>42321</v>
      </c>
      <c r="O235" s="108"/>
      <c r="W235" s="103" t="s">
        <v>156</v>
      </c>
      <c r="X235" s="108">
        <v>42361</v>
      </c>
    </row>
    <row r="236" spans="1:24" s="103" customFormat="1" x14ac:dyDescent="0.25">
      <c r="A236" s="101" t="s">
        <v>2228</v>
      </c>
      <c r="B236" s="103" t="s">
        <v>2241</v>
      </c>
      <c r="D236" s="103" t="s">
        <v>154</v>
      </c>
      <c r="E236" s="103" t="s">
        <v>108</v>
      </c>
      <c r="H236" s="103" t="s">
        <v>154</v>
      </c>
      <c r="I236" s="111" t="s">
        <v>2248</v>
      </c>
      <c r="K236" s="103" t="s">
        <v>100</v>
      </c>
      <c r="L236" s="108">
        <v>42321</v>
      </c>
      <c r="M236" s="11">
        <f t="shared" ca="1" si="7"/>
        <v>40</v>
      </c>
      <c r="N236" s="108">
        <v>42321</v>
      </c>
      <c r="O236" s="108"/>
      <c r="W236" s="103" t="s">
        <v>156</v>
      </c>
      <c r="X236" s="108">
        <v>42361</v>
      </c>
    </row>
    <row r="237" spans="1:24" s="103" customFormat="1" x14ac:dyDescent="0.25">
      <c r="A237" s="101" t="s">
        <v>2227</v>
      </c>
      <c r="B237" s="103" t="s">
        <v>2240</v>
      </c>
      <c r="D237" s="103" t="s">
        <v>154</v>
      </c>
      <c r="E237" s="103" t="s">
        <v>108</v>
      </c>
      <c r="H237" s="103" t="s">
        <v>154</v>
      </c>
      <c r="I237" s="111" t="s">
        <v>2248</v>
      </c>
      <c r="K237" s="103" t="s">
        <v>100</v>
      </c>
      <c r="L237" s="108">
        <v>42321</v>
      </c>
      <c r="M237" s="11">
        <f t="shared" ca="1" si="7"/>
        <v>40</v>
      </c>
      <c r="N237" s="108">
        <v>42321</v>
      </c>
      <c r="O237" s="108"/>
      <c r="W237" s="103" t="s">
        <v>156</v>
      </c>
      <c r="X237" s="108">
        <v>42361</v>
      </c>
    </row>
    <row r="238" spans="1:24" s="103" customFormat="1" x14ac:dyDescent="0.25">
      <c r="A238" s="101" t="s">
        <v>2226</v>
      </c>
      <c r="B238" s="103" t="s">
        <v>2239</v>
      </c>
      <c r="D238" s="103" t="s">
        <v>154</v>
      </c>
      <c r="E238" s="103" t="s">
        <v>108</v>
      </c>
      <c r="H238" s="103" t="s">
        <v>154</v>
      </c>
      <c r="I238" s="111" t="s">
        <v>2248</v>
      </c>
      <c r="K238" s="103" t="s">
        <v>100</v>
      </c>
      <c r="L238" s="108">
        <v>42321</v>
      </c>
      <c r="M238" s="11">
        <f t="shared" ca="1" si="7"/>
        <v>40</v>
      </c>
      <c r="N238" s="108">
        <v>42321</v>
      </c>
      <c r="O238" s="108"/>
      <c r="W238" s="103" t="s">
        <v>156</v>
      </c>
      <c r="X238" s="108">
        <v>42361</v>
      </c>
    </row>
    <row r="239" spans="1:24" s="103" customFormat="1" x14ac:dyDescent="0.25">
      <c r="A239" s="101" t="s">
        <v>2225</v>
      </c>
      <c r="B239" s="103" t="s">
        <v>2238</v>
      </c>
      <c r="D239" s="103" t="s">
        <v>154</v>
      </c>
      <c r="E239" s="103" t="s">
        <v>108</v>
      </c>
      <c r="H239" s="103" t="s">
        <v>154</v>
      </c>
      <c r="I239" s="111" t="s">
        <v>2248</v>
      </c>
      <c r="K239" s="103" t="s">
        <v>100</v>
      </c>
      <c r="L239" s="108">
        <v>42321</v>
      </c>
      <c r="M239" s="11">
        <f t="shared" ca="1" si="7"/>
        <v>40</v>
      </c>
      <c r="N239" s="108">
        <v>42321</v>
      </c>
      <c r="O239" s="108"/>
      <c r="W239" s="103" t="s">
        <v>156</v>
      </c>
      <c r="X239" s="108">
        <v>42361</v>
      </c>
    </row>
    <row r="240" spans="1:24" s="103" customFormat="1" x14ac:dyDescent="0.25">
      <c r="A240" s="101" t="s">
        <v>2224</v>
      </c>
      <c r="B240" s="103" t="s">
        <v>2237</v>
      </c>
      <c r="D240" s="103" t="s">
        <v>154</v>
      </c>
      <c r="E240" s="103" t="s">
        <v>108</v>
      </c>
      <c r="H240" s="103" t="s">
        <v>154</v>
      </c>
      <c r="I240" s="111" t="s">
        <v>2248</v>
      </c>
      <c r="K240" s="103" t="s">
        <v>100</v>
      </c>
      <c r="L240" s="108">
        <v>42321</v>
      </c>
      <c r="M240" s="11">
        <f t="shared" ca="1" si="7"/>
        <v>40</v>
      </c>
      <c r="N240" s="108">
        <v>42321</v>
      </c>
      <c r="O240" s="108"/>
      <c r="W240" s="103" t="s">
        <v>156</v>
      </c>
      <c r="X240" s="108">
        <v>42361</v>
      </c>
    </row>
    <row r="241" spans="1:28" s="103" customFormat="1" x14ac:dyDescent="0.25">
      <c r="A241" s="101" t="s">
        <v>2223</v>
      </c>
      <c r="B241" s="103" t="s">
        <v>2236</v>
      </c>
      <c r="D241" s="103" t="s">
        <v>154</v>
      </c>
      <c r="E241" s="103" t="s">
        <v>108</v>
      </c>
      <c r="H241" s="103" t="s">
        <v>154</v>
      </c>
      <c r="I241" s="111" t="s">
        <v>2248</v>
      </c>
      <c r="K241" s="103" t="s">
        <v>100</v>
      </c>
      <c r="L241" s="108">
        <v>42321</v>
      </c>
      <c r="M241" s="11">
        <f t="shared" ca="1" si="7"/>
        <v>40</v>
      </c>
      <c r="N241" s="108">
        <v>42321</v>
      </c>
      <c r="O241" s="108"/>
      <c r="W241" s="103" t="s">
        <v>156</v>
      </c>
      <c r="X241" s="108">
        <v>42361</v>
      </c>
    </row>
    <row r="242" spans="1:28" s="103" customFormat="1" x14ac:dyDescent="0.25">
      <c r="A242" s="101" t="s">
        <v>2222</v>
      </c>
      <c r="B242" s="103" t="s">
        <v>2235</v>
      </c>
      <c r="D242" s="103" t="s">
        <v>154</v>
      </c>
      <c r="E242" s="103" t="s">
        <v>108</v>
      </c>
      <c r="H242" s="103" t="s">
        <v>154</v>
      </c>
      <c r="I242" s="111" t="s">
        <v>2248</v>
      </c>
      <c r="K242" s="103" t="s">
        <v>100</v>
      </c>
      <c r="L242" s="108">
        <v>42321</v>
      </c>
      <c r="M242" s="11">
        <f t="shared" ca="1" si="7"/>
        <v>40</v>
      </c>
      <c r="N242" s="108">
        <v>42321</v>
      </c>
      <c r="O242" s="108"/>
      <c r="W242" s="103" t="s">
        <v>156</v>
      </c>
      <c r="X242" s="108">
        <v>42361</v>
      </c>
    </row>
    <row r="243" spans="1:28" s="103" customFormat="1" x14ac:dyDescent="0.25">
      <c r="A243" s="101" t="s">
        <v>2221</v>
      </c>
      <c r="B243" s="103" t="s">
        <v>2234</v>
      </c>
      <c r="D243" s="103" t="s">
        <v>154</v>
      </c>
      <c r="E243" s="103" t="s">
        <v>108</v>
      </c>
      <c r="H243" s="103" t="s">
        <v>154</v>
      </c>
      <c r="I243" s="111" t="s">
        <v>2248</v>
      </c>
      <c r="K243" s="103" t="s">
        <v>100</v>
      </c>
      <c r="L243" s="108">
        <v>42321</v>
      </c>
      <c r="M243" s="11">
        <f t="shared" ca="1" si="7"/>
        <v>40</v>
      </c>
      <c r="N243" s="108">
        <v>42321</v>
      </c>
      <c r="O243" s="108"/>
      <c r="W243" s="103" t="s">
        <v>156</v>
      </c>
      <c r="X243" s="108">
        <v>42361</v>
      </c>
    </row>
    <row r="244" spans="1:28" s="103" customFormat="1" x14ac:dyDescent="0.25">
      <c r="A244" s="101" t="s">
        <v>2410</v>
      </c>
      <c r="B244" s="103" t="s">
        <v>2411</v>
      </c>
      <c r="D244" s="103" t="s">
        <v>154</v>
      </c>
      <c r="E244" s="103" t="s">
        <v>239</v>
      </c>
      <c r="H244" s="103" t="s">
        <v>154</v>
      </c>
      <c r="I244" s="111" t="s">
        <v>2248</v>
      </c>
      <c r="K244" s="103" t="s">
        <v>100</v>
      </c>
      <c r="L244" s="108">
        <v>42341</v>
      </c>
      <c r="M244" s="11">
        <f t="shared" ca="1" si="7"/>
        <v>20</v>
      </c>
      <c r="N244" s="108">
        <v>42341</v>
      </c>
      <c r="O244" s="108"/>
      <c r="W244" s="103" t="s">
        <v>156</v>
      </c>
      <c r="X244" s="108">
        <v>42361</v>
      </c>
      <c r="Y244" s="103">
        <v>154</v>
      </c>
    </row>
    <row r="245" spans="1:28" s="103" customFormat="1" x14ac:dyDescent="0.25">
      <c r="A245" s="101" t="s">
        <v>3535</v>
      </c>
      <c r="B245" s="103" t="s">
        <v>201</v>
      </c>
      <c r="D245" s="103" t="s">
        <v>118</v>
      </c>
      <c r="E245" s="103" t="s">
        <v>159</v>
      </c>
      <c r="H245" s="103" t="s">
        <v>97</v>
      </c>
      <c r="I245" s="111" t="s">
        <v>246</v>
      </c>
      <c r="K245" s="103" t="s">
        <v>97</v>
      </c>
      <c r="L245" s="108">
        <v>42240</v>
      </c>
      <c r="M245" s="11">
        <f t="shared" ca="1" si="7"/>
        <v>142</v>
      </c>
      <c r="N245" s="108">
        <v>42217</v>
      </c>
      <c r="O245" s="108"/>
      <c r="R245" s="103" t="s">
        <v>1703</v>
      </c>
      <c r="W245" s="103" t="s">
        <v>156</v>
      </c>
      <c r="X245" s="108">
        <v>42382</v>
      </c>
      <c r="Y245" s="103">
        <v>220</v>
      </c>
    </row>
    <row r="246" spans="1:28" s="103" customFormat="1" x14ac:dyDescent="0.25">
      <c r="A246" s="101" t="s">
        <v>3536</v>
      </c>
      <c r="B246" s="103" t="s">
        <v>2374</v>
      </c>
      <c r="D246" s="103" t="s">
        <v>119</v>
      </c>
      <c r="E246" s="103" t="s">
        <v>106</v>
      </c>
      <c r="H246" s="103" t="s">
        <v>2361</v>
      </c>
      <c r="I246" s="111" t="s">
        <v>177</v>
      </c>
      <c r="J246" s="103" t="s">
        <v>2375</v>
      </c>
      <c r="K246" s="103" t="s">
        <v>343</v>
      </c>
      <c r="L246" s="108">
        <v>42353</v>
      </c>
      <c r="M246" s="11">
        <f t="shared" ca="1" si="7"/>
        <v>27</v>
      </c>
      <c r="N246" s="108">
        <v>42355</v>
      </c>
      <c r="O246" s="108">
        <v>42389</v>
      </c>
      <c r="P246" s="103" t="s">
        <v>2350</v>
      </c>
      <c r="R246" s="103" t="s">
        <v>2392</v>
      </c>
      <c r="W246" s="103" t="s">
        <v>156</v>
      </c>
      <c r="X246" s="108">
        <v>42380</v>
      </c>
      <c r="Y246" s="103">
        <v>50</v>
      </c>
    </row>
    <row r="247" spans="1:28" s="103" customFormat="1" x14ac:dyDescent="0.25">
      <c r="A247" s="101" t="s">
        <v>3537</v>
      </c>
      <c r="B247" s="103" t="s">
        <v>2439</v>
      </c>
      <c r="D247" s="103" t="s">
        <v>119</v>
      </c>
      <c r="E247" s="103" t="s">
        <v>106</v>
      </c>
      <c r="H247" s="103" t="s">
        <v>2360</v>
      </c>
      <c r="I247" s="111" t="s">
        <v>177</v>
      </c>
      <c r="J247" s="103" t="s">
        <v>2388</v>
      </c>
      <c r="K247" s="103" t="s">
        <v>343</v>
      </c>
      <c r="L247" s="108">
        <v>42366</v>
      </c>
      <c r="M247" s="11">
        <f t="shared" ca="1" si="7"/>
        <v>14</v>
      </c>
      <c r="N247" s="108">
        <v>42366</v>
      </c>
      <c r="O247" s="108"/>
      <c r="W247" s="103" t="s">
        <v>156</v>
      </c>
      <c r="X247" s="108">
        <v>42380</v>
      </c>
      <c r="Y247" s="103">
        <v>33</v>
      </c>
    </row>
    <row r="248" spans="1:28" s="103" customFormat="1" x14ac:dyDescent="0.25">
      <c r="A248" s="101" t="s">
        <v>2441</v>
      </c>
      <c r="B248" s="103" t="s">
        <v>2440</v>
      </c>
      <c r="D248" s="103" t="s">
        <v>119</v>
      </c>
      <c r="E248" s="103" t="s">
        <v>106</v>
      </c>
      <c r="H248" s="103" t="s">
        <v>2360</v>
      </c>
      <c r="I248" s="111" t="s">
        <v>177</v>
      </c>
      <c r="J248" s="103" t="s">
        <v>2388</v>
      </c>
      <c r="K248" s="103" t="s">
        <v>343</v>
      </c>
      <c r="L248" s="108">
        <v>42361</v>
      </c>
      <c r="M248" s="11">
        <f t="shared" ca="1" si="7"/>
        <v>21</v>
      </c>
      <c r="N248" s="108">
        <v>42366</v>
      </c>
      <c r="O248" s="108"/>
      <c r="W248" s="103" t="s">
        <v>156</v>
      </c>
      <c r="X248" s="108">
        <v>42382</v>
      </c>
      <c r="Y248" s="103">
        <v>20</v>
      </c>
    </row>
    <row r="249" spans="1:28" s="103" customFormat="1" x14ac:dyDescent="0.25">
      <c r="A249" s="101" t="s">
        <v>49</v>
      </c>
      <c r="B249" s="103" t="s">
        <v>356</v>
      </c>
      <c r="D249" s="103" t="s">
        <v>118</v>
      </c>
      <c r="E249" s="103" t="s">
        <v>106</v>
      </c>
      <c r="H249" s="103" t="s">
        <v>2344</v>
      </c>
      <c r="I249" s="111" t="s">
        <v>177</v>
      </c>
      <c r="J249" s="103" t="s">
        <v>2311</v>
      </c>
      <c r="K249" s="103" t="s">
        <v>99</v>
      </c>
      <c r="L249" s="108">
        <v>42137.597222222219</v>
      </c>
      <c r="M249" s="11">
        <f t="shared" ca="1" si="7"/>
        <v>249.40277777778101</v>
      </c>
      <c r="N249" s="108">
        <v>42217</v>
      </c>
      <c r="O249" s="108"/>
      <c r="R249" s="103" t="s">
        <v>2487</v>
      </c>
      <c r="W249" s="103" t="s">
        <v>188</v>
      </c>
      <c r="X249" s="108">
        <v>42387</v>
      </c>
      <c r="Y249" s="103" t="s">
        <v>362</v>
      </c>
      <c r="AB249" s="103">
        <v>3</v>
      </c>
    </row>
    <row r="250" spans="1:28" s="103" customFormat="1" x14ac:dyDescent="0.25">
      <c r="A250" s="101" t="s">
        <v>305</v>
      </c>
      <c r="B250" s="103" t="s">
        <v>2454</v>
      </c>
      <c r="D250" s="103" t="s">
        <v>118</v>
      </c>
      <c r="E250" s="103" t="s">
        <v>106</v>
      </c>
      <c r="H250" s="103" t="s">
        <v>2344</v>
      </c>
      <c r="I250" s="111" t="s">
        <v>2407</v>
      </c>
      <c r="L250" s="108">
        <v>42264</v>
      </c>
      <c r="M250" s="11">
        <f t="shared" ca="1" si="7"/>
        <v>123</v>
      </c>
      <c r="N250" s="108">
        <v>42272</v>
      </c>
      <c r="O250" s="108"/>
      <c r="R250" s="103" t="s">
        <v>2488</v>
      </c>
      <c r="W250" s="103" t="s">
        <v>188</v>
      </c>
      <c r="X250" s="108">
        <v>42387</v>
      </c>
    </row>
    <row r="251" spans="1:28" s="103" customFormat="1" x14ac:dyDescent="0.25">
      <c r="A251" s="101" t="s">
        <v>298</v>
      </c>
      <c r="B251" s="103" t="s">
        <v>2463</v>
      </c>
      <c r="D251" s="103" t="s">
        <v>118</v>
      </c>
      <c r="E251" s="103" t="s">
        <v>106</v>
      </c>
      <c r="H251" s="103" t="s">
        <v>97</v>
      </c>
      <c r="I251" s="111" t="s">
        <v>2407</v>
      </c>
      <c r="J251" s="103" t="s">
        <v>2311</v>
      </c>
      <c r="L251" s="108">
        <v>42264</v>
      </c>
      <c r="M251" s="11">
        <f t="shared" ca="1" si="7"/>
        <v>123</v>
      </c>
      <c r="N251" s="108">
        <v>42272</v>
      </c>
      <c r="O251" s="108"/>
      <c r="R251" s="103" t="s">
        <v>2489</v>
      </c>
      <c r="W251" s="103" t="s">
        <v>188</v>
      </c>
      <c r="X251" s="108">
        <v>42387</v>
      </c>
      <c r="Z251" s="103" t="s">
        <v>2282</v>
      </c>
      <c r="AB251" s="103">
        <v>3</v>
      </c>
    </row>
    <row r="252" spans="1:28" s="103" customFormat="1" x14ac:dyDescent="0.25">
      <c r="A252" s="101" t="s">
        <v>3538</v>
      </c>
      <c r="B252" s="103" t="s">
        <v>2455</v>
      </c>
      <c r="D252" s="103" t="s">
        <v>118</v>
      </c>
      <c r="E252" s="103" t="s">
        <v>106</v>
      </c>
      <c r="H252" s="103" t="s">
        <v>2344</v>
      </c>
      <c r="I252" s="111" t="s">
        <v>2407</v>
      </c>
      <c r="K252" s="103" t="s">
        <v>176</v>
      </c>
      <c r="L252" s="108">
        <v>42291</v>
      </c>
      <c r="M252" s="11">
        <f t="shared" ca="1" si="7"/>
        <v>96</v>
      </c>
      <c r="N252" s="108">
        <v>42299</v>
      </c>
      <c r="O252" s="108"/>
      <c r="R252" s="103" t="s">
        <v>2490</v>
      </c>
      <c r="W252" s="103" t="s">
        <v>188</v>
      </c>
      <c r="X252" s="108">
        <v>42387</v>
      </c>
    </row>
    <row r="253" spans="1:28" s="103" customFormat="1" x14ac:dyDescent="0.25">
      <c r="A253" s="101" t="s">
        <v>3539</v>
      </c>
      <c r="B253" s="103" t="s">
        <v>2456</v>
      </c>
      <c r="D253" s="103" t="s">
        <v>118</v>
      </c>
      <c r="E253" s="103" t="s">
        <v>106</v>
      </c>
      <c r="H253" s="103" t="s">
        <v>2344</v>
      </c>
      <c r="I253" s="111" t="s">
        <v>2407</v>
      </c>
      <c r="K253" s="103" t="s">
        <v>176</v>
      </c>
      <c r="L253" s="108">
        <v>42291</v>
      </c>
      <c r="M253" s="11">
        <f t="shared" ca="1" si="7"/>
        <v>96</v>
      </c>
      <c r="N253" s="108">
        <v>42299</v>
      </c>
      <c r="O253" s="108"/>
      <c r="R253" s="103" t="s">
        <v>2491</v>
      </c>
      <c r="W253" s="103" t="s">
        <v>188</v>
      </c>
      <c r="X253" s="108">
        <v>42387</v>
      </c>
    </row>
    <row r="254" spans="1:28" s="103" customFormat="1" x14ac:dyDescent="0.25">
      <c r="A254" s="101" t="s">
        <v>2502</v>
      </c>
      <c r="B254" s="103" t="s">
        <v>1472</v>
      </c>
      <c r="D254" s="103" t="s">
        <v>2290</v>
      </c>
      <c r="E254" s="103" t="s">
        <v>158</v>
      </c>
      <c r="H254" s="103" t="s">
        <v>2358</v>
      </c>
      <c r="I254" s="111" t="s">
        <v>1411</v>
      </c>
      <c r="J254" s="103" t="s">
        <v>2282</v>
      </c>
      <c r="K254" s="103" t="s">
        <v>101</v>
      </c>
      <c r="L254" s="108">
        <v>42296</v>
      </c>
      <c r="M254" s="11">
        <f t="shared" ref="M254:M285" ca="1" si="8">IFERROR(IF(AND(W254&lt;&gt;"Concluído",W254&lt;&gt;"Cancelado"),TODAY()-L254+1,X254-L254),"")</f>
        <v>92</v>
      </c>
      <c r="N254" s="108">
        <v>42299</v>
      </c>
      <c r="O254" s="108">
        <v>42314</v>
      </c>
      <c r="R254" s="103" t="s">
        <v>2323</v>
      </c>
      <c r="W254" s="103" t="s">
        <v>156</v>
      </c>
      <c r="X254" s="108">
        <v>42388</v>
      </c>
    </row>
    <row r="255" spans="1:28" s="103" customFormat="1" x14ac:dyDescent="0.25">
      <c r="A255" s="101" t="s">
        <v>1863</v>
      </c>
      <c r="B255" s="103" t="s">
        <v>1976</v>
      </c>
      <c r="D255" s="103" t="s">
        <v>154</v>
      </c>
      <c r="E255" s="103" t="s">
        <v>108</v>
      </c>
      <c r="H255" s="103" t="s">
        <v>154</v>
      </c>
      <c r="I255" s="111" t="s">
        <v>2248</v>
      </c>
      <c r="K255" s="103" t="s">
        <v>100</v>
      </c>
      <c r="L255" s="108">
        <v>42312</v>
      </c>
      <c r="M255" s="11">
        <f t="shared" ca="1" si="8"/>
        <v>76</v>
      </c>
      <c r="N255" s="108">
        <v>42314</v>
      </c>
      <c r="O255" s="108"/>
      <c r="W255" s="103" t="s">
        <v>156</v>
      </c>
      <c r="X255" s="108">
        <v>42388</v>
      </c>
    </row>
    <row r="256" spans="1:28" s="103" customFormat="1" x14ac:dyDescent="0.25">
      <c r="A256" s="101" t="s">
        <v>1862</v>
      </c>
      <c r="B256" s="103" t="s">
        <v>1975</v>
      </c>
      <c r="D256" s="103" t="s">
        <v>154</v>
      </c>
      <c r="E256" s="103" t="s">
        <v>108</v>
      </c>
      <c r="H256" s="103" t="s">
        <v>154</v>
      </c>
      <c r="I256" s="111" t="s">
        <v>2248</v>
      </c>
      <c r="K256" s="103" t="s">
        <v>100</v>
      </c>
      <c r="L256" s="108">
        <v>42312</v>
      </c>
      <c r="M256" s="11">
        <f t="shared" ca="1" si="8"/>
        <v>76</v>
      </c>
      <c r="N256" s="108">
        <v>42314</v>
      </c>
      <c r="O256" s="108"/>
      <c r="W256" s="103" t="s">
        <v>156</v>
      </c>
      <c r="X256" s="108">
        <v>42388</v>
      </c>
    </row>
    <row r="257" spans="1:24" s="103" customFormat="1" x14ac:dyDescent="0.25">
      <c r="A257" s="101" t="s">
        <v>1860</v>
      </c>
      <c r="B257" s="103" t="s">
        <v>1973</v>
      </c>
      <c r="D257" s="103" t="s">
        <v>154</v>
      </c>
      <c r="E257" s="103" t="s">
        <v>108</v>
      </c>
      <c r="H257" s="103" t="s">
        <v>154</v>
      </c>
      <c r="I257" s="111" t="s">
        <v>2248</v>
      </c>
      <c r="K257" s="103" t="s">
        <v>100</v>
      </c>
      <c r="L257" s="108">
        <v>42312</v>
      </c>
      <c r="M257" s="11">
        <f t="shared" ca="1" si="8"/>
        <v>76</v>
      </c>
      <c r="N257" s="108">
        <v>42314</v>
      </c>
      <c r="O257" s="108"/>
      <c r="W257" s="103" t="s">
        <v>156</v>
      </c>
      <c r="X257" s="108">
        <v>42388</v>
      </c>
    </row>
    <row r="258" spans="1:24" s="103" customFormat="1" x14ac:dyDescent="0.25">
      <c r="A258" s="101" t="s">
        <v>1857</v>
      </c>
      <c r="B258" s="103" t="s">
        <v>1970</v>
      </c>
      <c r="D258" s="103" t="s">
        <v>154</v>
      </c>
      <c r="E258" s="103" t="s">
        <v>108</v>
      </c>
      <c r="H258" s="103" t="s">
        <v>154</v>
      </c>
      <c r="I258" s="111" t="s">
        <v>2248</v>
      </c>
      <c r="K258" s="103" t="s">
        <v>100</v>
      </c>
      <c r="L258" s="108">
        <v>42312</v>
      </c>
      <c r="M258" s="11">
        <f t="shared" ca="1" si="8"/>
        <v>76</v>
      </c>
      <c r="N258" s="108">
        <v>42314</v>
      </c>
      <c r="O258" s="108"/>
      <c r="W258" s="103" t="s">
        <v>156</v>
      </c>
      <c r="X258" s="108">
        <v>42388</v>
      </c>
    </row>
    <row r="259" spans="1:24" s="103" customFormat="1" x14ac:dyDescent="0.25">
      <c r="A259" s="101" t="s">
        <v>1856</v>
      </c>
      <c r="B259" s="103" t="s">
        <v>1969</v>
      </c>
      <c r="D259" s="103" t="s">
        <v>154</v>
      </c>
      <c r="E259" s="103" t="s">
        <v>108</v>
      </c>
      <c r="H259" s="103" t="s">
        <v>154</v>
      </c>
      <c r="I259" s="111" t="s">
        <v>2248</v>
      </c>
      <c r="K259" s="103" t="s">
        <v>100</v>
      </c>
      <c r="L259" s="108">
        <v>42312</v>
      </c>
      <c r="M259" s="11">
        <f t="shared" ca="1" si="8"/>
        <v>76</v>
      </c>
      <c r="N259" s="108">
        <v>42314</v>
      </c>
      <c r="O259" s="108"/>
      <c r="W259" s="103" t="s">
        <v>156</v>
      </c>
      <c r="X259" s="108">
        <v>42388</v>
      </c>
    </row>
    <row r="260" spans="1:24" s="103" customFormat="1" x14ac:dyDescent="0.25">
      <c r="A260" s="101" t="s">
        <v>1855</v>
      </c>
      <c r="B260" s="103" t="s">
        <v>1968</v>
      </c>
      <c r="D260" s="103" t="s">
        <v>154</v>
      </c>
      <c r="E260" s="103" t="s">
        <v>108</v>
      </c>
      <c r="H260" s="103" t="s">
        <v>154</v>
      </c>
      <c r="I260" s="111" t="s">
        <v>2248</v>
      </c>
      <c r="K260" s="103" t="s">
        <v>100</v>
      </c>
      <c r="L260" s="108">
        <v>42312</v>
      </c>
      <c r="M260" s="11">
        <f t="shared" ca="1" si="8"/>
        <v>76</v>
      </c>
      <c r="N260" s="108">
        <v>42314</v>
      </c>
      <c r="O260" s="108"/>
      <c r="W260" s="103" t="s">
        <v>156</v>
      </c>
      <c r="X260" s="108">
        <v>42388</v>
      </c>
    </row>
    <row r="261" spans="1:24" s="103" customFormat="1" x14ac:dyDescent="0.25">
      <c r="A261" s="101" t="s">
        <v>1854</v>
      </c>
      <c r="B261" s="103" t="s">
        <v>1967</v>
      </c>
      <c r="D261" s="103" t="s">
        <v>154</v>
      </c>
      <c r="E261" s="103" t="s">
        <v>108</v>
      </c>
      <c r="H261" s="103" t="s">
        <v>154</v>
      </c>
      <c r="I261" s="111" t="s">
        <v>2248</v>
      </c>
      <c r="K261" s="103" t="s">
        <v>100</v>
      </c>
      <c r="L261" s="108">
        <v>42312</v>
      </c>
      <c r="M261" s="11">
        <f t="shared" ca="1" si="8"/>
        <v>76</v>
      </c>
      <c r="N261" s="108">
        <v>42314</v>
      </c>
      <c r="O261" s="108"/>
      <c r="W261" s="103" t="s">
        <v>156</v>
      </c>
      <c r="X261" s="108">
        <v>42388</v>
      </c>
    </row>
    <row r="262" spans="1:24" s="103" customFormat="1" x14ac:dyDescent="0.25">
      <c r="A262" s="101" t="s">
        <v>1853</v>
      </c>
      <c r="B262" s="103" t="s">
        <v>1966</v>
      </c>
      <c r="D262" s="103" t="s">
        <v>154</v>
      </c>
      <c r="E262" s="103" t="s">
        <v>108</v>
      </c>
      <c r="H262" s="103" t="s">
        <v>154</v>
      </c>
      <c r="I262" s="111" t="s">
        <v>2248</v>
      </c>
      <c r="K262" s="103" t="s">
        <v>100</v>
      </c>
      <c r="L262" s="108">
        <v>42312</v>
      </c>
      <c r="M262" s="11">
        <f t="shared" ca="1" si="8"/>
        <v>76</v>
      </c>
      <c r="N262" s="108">
        <v>42314</v>
      </c>
      <c r="O262" s="108"/>
      <c r="W262" s="103" t="s">
        <v>156</v>
      </c>
      <c r="X262" s="108">
        <v>42388</v>
      </c>
    </row>
    <row r="263" spans="1:24" s="103" customFormat="1" x14ac:dyDescent="0.25">
      <c r="A263" s="101" t="s">
        <v>1852</v>
      </c>
      <c r="B263" s="103" t="s">
        <v>1965</v>
      </c>
      <c r="D263" s="103" t="s">
        <v>154</v>
      </c>
      <c r="E263" s="103" t="s">
        <v>108</v>
      </c>
      <c r="H263" s="103" t="s">
        <v>154</v>
      </c>
      <c r="I263" s="111" t="s">
        <v>2248</v>
      </c>
      <c r="K263" s="103" t="s">
        <v>100</v>
      </c>
      <c r="L263" s="108">
        <v>42312</v>
      </c>
      <c r="M263" s="11">
        <f t="shared" ca="1" si="8"/>
        <v>76</v>
      </c>
      <c r="N263" s="108">
        <v>42314</v>
      </c>
      <c r="O263" s="108"/>
      <c r="W263" s="103" t="s">
        <v>156</v>
      </c>
      <c r="X263" s="108">
        <v>42388</v>
      </c>
    </row>
    <row r="264" spans="1:24" s="103" customFormat="1" x14ac:dyDescent="0.25">
      <c r="A264" s="101" t="s">
        <v>1851</v>
      </c>
      <c r="B264" s="103" t="s">
        <v>1964</v>
      </c>
      <c r="D264" s="103" t="s">
        <v>154</v>
      </c>
      <c r="E264" s="103" t="s">
        <v>108</v>
      </c>
      <c r="H264" s="103" t="s">
        <v>154</v>
      </c>
      <c r="I264" s="111" t="s">
        <v>2248</v>
      </c>
      <c r="K264" s="103" t="s">
        <v>100</v>
      </c>
      <c r="L264" s="108">
        <v>42312</v>
      </c>
      <c r="M264" s="11">
        <f t="shared" ca="1" si="8"/>
        <v>76</v>
      </c>
      <c r="N264" s="108">
        <v>42314</v>
      </c>
      <c r="O264" s="108"/>
      <c r="W264" s="103" t="s">
        <v>156</v>
      </c>
      <c r="X264" s="108">
        <v>42388</v>
      </c>
    </row>
    <row r="265" spans="1:24" s="103" customFormat="1" x14ac:dyDescent="0.25">
      <c r="A265" s="101" t="s">
        <v>1850</v>
      </c>
      <c r="B265" s="103" t="s">
        <v>1964</v>
      </c>
      <c r="D265" s="103" t="s">
        <v>154</v>
      </c>
      <c r="E265" s="103" t="s">
        <v>108</v>
      </c>
      <c r="H265" s="103" t="s">
        <v>154</v>
      </c>
      <c r="I265" s="111" t="s">
        <v>2248</v>
      </c>
      <c r="K265" s="103" t="s">
        <v>100</v>
      </c>
      <c r="L265" s="108">
        <v>42312</v>
      </c>
      <c r="M265" s="11">
        <f t="shared" ca="1" si="8"/>
        <v>76</v>
      </c>
      <c r="N265" s="108">
        <v>42314</v>
      </c>
      <c r="O265" s="108"/>
      <c r="W265" s="103" t="s">
        <v>156</v>
      </c>
      <c r="X265" s="108">
        <v>42388</v>
      </c>
    </row>
    <row r="266" spans="1:24" s="103" customFormat="1" x14ac:dyDescent="0.25">
      <c r="A266" s="101" t="s">
        <v>1849</v>
      </c>
      <c r="B266" s="103" t="s">
        <v>1963</v>
      </c>
      <c r="D266" s="103" t="s">
        <v>154</v>
      </c>
      <c r="E266" s="103" t="s">
        <v>108</v>
      </c>
      <c r="H266" s="103" t="s">
        <v>154</v>
      </c>
      <c r="I266" s="111" t="s">
        <v>2248</v>
      </c>
      <c r="K266" s="103" t="s">
        <v>100</v>
      </c>
      <c r="L266" s="108">
        <v>42312</v>
      </c>
      <c r="M266" s="11">
        <f t="shared" ca="1" si="8"/>
        <v>76</v>
      </c>
      <c r="N266" s="108">
        <v>42314</v>
      </c>
      <c r="O266" s="108"/>
      <c r="W266" s="103" t="s">
        <v>156</v>
      </c>
      <c r="X266" s="108">
        <v>42388</v>
      </c>
    </row>
    <row r="267" spans="1:24" s="103" customFormat="1" x14ac:dyDescent="0.25">
      <c r="A267" s="101" t="s">
        <v>1848</v>
      </c>
      <c r="B267" s="103" t="s">
        <v>1962</v>
      </c>
      <c r="D267" s="103" t="s">
        <v>154</v>
      </c>
      <c r="E267" s="103" t="s">
        <v>108</v>
      </c>
      <c r="H267" s="103" t="s">
        <v>154</v>
      </c>
      <c r="I267" s="111" t="s">
        <v>2248</v>
      </c>
      <c r="K267" s="103" t="s">
        <v>100</v>
      </c>
      <c r="L267" s="108">
        <v>42312</v>
      </c>
      <c r="M267" s="11">
        <f t="shared" ca="1" si="8"/>
        <v>76</v>
      </c>
      <c r="N267" s="108">
        <v>42314</v>
      </c>
      <c r="O267" s="108"/>
      <c r="W267" s="103" t="s">
        <v>156</v>
      </c>
      <c r="X267" s="108">
        <v>42388</v>
      </c>
    </row>
    <row r="268" spans="1:24" s="103" customFormat="1" x14ac:dyDescent="0.25">
      <c r="A268" s="101" t="s">
        <v>1847</v>
      </c>
      <c r="B268" s="103" t="s">
        <v>1961</v>
      </c>
      <c r="D268" s="103" t="s">
        <v>154</v>
      </c>
      <c r="E268" s="103" t="s">
        <v>108</v>
      </c>
      <c r="H268" s="103" t="s">
        <v>154</v>
      </c>
      <c r="I268" s="111" t="s">
        <v>2248</v>
      </c>
      <c r="K268" s="103" t="s">
        <v>100</v>
      </c>
      <c r="L268" s="108">
        <v>42312</v>
      </c>
      <c r="M268" s="11">
        <f t="shared" ca="1" si="8"/>
        <v>76</v>
      </c>
      <c r="N268" s="108">
        <v>42314</v>
      </c>
      <c r="O268" s="108"/>
      <c r="W268" s="103" t="s">
        <v>156</v>
      </c>
      <c r="X268" s="108">
        <v>42388</v>
      </c>
    </row>
    <row r="269" spans="1:24" s="103" customFormat="1" x14ac:dyDescent="0.25">
      <c r="A269" s="101" t="s">
        <v>1846</v>
      </c>
      <c r="B269" s="103" t="s">
        <v>1960</v>
      </c>
      <c r="D269" s="103" t="s">
        <v>154</v>
      </c>
      <c r="E269" s="103" t="s">
        <v>108</v>
      </c>
      <c r="H269" s="103" t="s">
        <v>154</v>
      </c>
      <c r="I269" s="111" t="s">
        <v>2248</v>
      </c>
      <c r="K269" s="103" t="s">
        <v>100</v>
      </c>
      <c r="L269" s="108">
        <v>42312</v>
      </c>
      <c r="M269" s="11">
        <f t="shared" ca="1" si="8"/>
        <v>76</v>
      </c>
      <c r="N269" s="108">
        <v>42314</v>
      </c>
      <c r="O269" s="108"/>
      <c r="W269" s="103" t="s">
        <v>156</v>
      </c>
      <c r="X269" s="108">
        <v>42388</v>
      </c>
    </row>
    <row r="270" spans="1:24" s="103" customFormat="1" x14ac:dyDescent="0.25">
      <c r="A270" s="101" t="s">
        <v>1845</v>
      </c>
      <c r="B270" s="103" t="s">
        <v>1959</v>
      </c>
      <c r="D270" s="103" t="s">
        <v>154</v>
      </c>
      <c r="E270" s="103" t="s">
        <v>108</v>
      </c>
      <c r="H270" s="103" t="s">
        <v>154</v>
      </c>
      <c r="I270" s="111" t="s">
        <v>2248</v>
      </c>
      <c r="K270" s="103" t="s">
        <v>100</v>
      </c>
      <c r="L270" s="108">
        <v>42312</v>
      </c>
      <c r="M270" s="11">
        <f t="shared" ca="1" si="8"/>
        <v>76</v>
      </c>
      <c r="N270" s="108">
        <v>42314</v>
      </c>
      <c r="O270" s="108"/>
      <c r="W270" s="103" t="s">
        <v>156</v>
      </c>
      <c r="X270" s="108">
        <v>42388</v>
      </c>
    </row>
    <row r="271" spans="1:24" s="103" customFormat="1" x14ac:dyDescent="0.25">
      <c r="A271" s="101" t="s">
        <v>1844</v>
      </c>
      <c r="B271" s="103" t="s">
        <v>1958</v>
      </c>
      <c r="D271" s="103" t="s">
        <v>154</v>
      </c>
      <c r="E271" s="103" t="s">
        <v>108</v>
      </c>
      <c r="H271" s="103" t="s">
        <v>154</v>
      </c>
      <c r="I271" s="111" t="s">
        <v>2248</v>
      </c>
      <c r="K271" s="103" t="s">
        <v>100</v>
      </c>
      <c r="L271" s="108">
        <v>42312</v>
      </c>
      <c r="M271" s="11">
        <f t="shared" ca="1" si="8"/>
        <v>76</v>
      </c>
      <c r="N271" s="108">
        <v>42314</v>
      </c>
      <c r="O271" s="108"/>
      <c r="W271" s="103" t="s">
        <v>156</v>
      </c>
      <c r="X271" s="108">
        <v>42388</v>
      </c>
    </row>
    <row r="272" spans="1:24" s="103" customFormat="1" x14ac:dyDescent="0.25">
      <c r="A272" s="101" t="s">
        <v>1843</v>
      </c>
      <c r="B272" s="103" t="s">
        <v>1957</v>
      </c>
      <c r="D272" s="103" t="s">
        <v>154</v>
      </c>
      <c r="E272" s="103" t="s">
        <v>108</v>
      </c>
      <c r="H272" s="103" t="s">
        <v>154</v>
      </c>
      <c r="I272" s="111" t="s">
        <v>2248</v>
      </c>
      <c r="K272" s="103" t="s">
        <v>100</v>
      </c>
      <c r="L272" s="108">
        <v>42312</v>
      </c>
      <c r="M272" s="11">
        <f t="shared" ca="1" si="8"/>
        <v>76</v>
      </c>
      <c r="N272" s="108">
        <v>42314</v>
      </c>
      <c r="O272" s="108"/>
      <c r="W272" s="103" t="s">
        <v>156</v>
      </c>
      <c r="X272" s="108">
        <v>42388</v>
      </c>
    </row>
    <row r="273" spans="1:25" s="103" customFormat="1" x14ac:dyDescent="0.25">
      <c r="A273" s="101" t="s">
        <v>1842</v>
      </c>
      <c r="B273" s="103" t="s">
        <v>1956</v>
      </c>
      <c r="D273" s="103" t="s">
        <v>154</v>
      </c>
      <c r="E273" s="103" t="s">
        <v>108</v>
      </c>
      <c r="H273" s="103" t="s">
        <v>154</v>
      </c>
      <c r="I273" s="111" t="s">
        <v>2248</v>
      </c>
      <c r="K273" s="103" t="s">
        <v>100</v>
      </c>
      <c r="L273" s="108">
        <v>42312</v>
      </c>
      <c r="M273" s="11">
        <f t="shared" ca="1" si="8"/>
        <v>76</v>
      </c>
      <c r="N273" s="108">
        <v>42314</v>
      </c>
      <c r="O273" s="108"/>
      <c r="W273" s="103" t="s">
        <v>156</v>
      </c>
      <c r="X273" s="108">
        <v>42388</v>
      </c>
    </row>
    <row r="274" spans="1:25" s="103" customFormat="1" x14ac:dyDescent="0.25">
      <c r="A274" s="101" t="s">
        <v>1841</v>
      </c>
      <c r="B274" s="103" t="s">
        <v>1955</v>
      </c>
      <c r="D274" s="103" t="s">
        <v>154</v>
      </c>
      <c r="E274" s="103" t="s">
        <v>108</v>
      </c>
      <c r="H274" s="103" t="s">
        <v>154</v>
      </c>
      <c r="I274" s="111" t="s">
        <v>2248</v>
      </c>
      <c r="K274" s="103" t="s">
        <v>100</v>
      </c>
      <c r="L274" s="108">
        <v>42312</v>
      </c>
      <c r="M274" s="11">
        <f t="shared" ca="1" si="8"/>
        <v>76</v>
      </c>
      <c r="N274" s="108">
        <v>42314</v>
      </c>
      <c r="O274" s="108"/>
      <c r="W274" s="103" t="s">
        <v>156</v>
      </c>
      <c r="X274" s="108">
        <v>42388</v>
      </c>
    </row>
    <row r="275" spans="1:25" s="103" customFormat="1" x14ac:dyDescent="0.25">
      <c r="A275" s="101" t="s">
        <v>1840</v>
      </c>
      <c r="B275" s="103" t="s">
        <v>1954</v>
      </c>
      <c r="D275" s="103" t="s">
        <v>154</v>
      </c>
      <c r="E275" s="103" t="s">
        <v>108</v>
      </c>
      <c r="H275" s="103" t="s">
        <v>154</v>
      </c>
      <c r="I275" s="111" t="s">
        <v>2248</v>
      </c>
      <c r="K275" s="103" t="s">
        <v>100</v>
      </c>
      <c r="L275" s="108">
        <v>42312</v>
      </c>
      <c r="M275" s="11">
        <f t="shared" ca="1" si="8"/>
        <v>76</v>
      </c>
      <c r="N275" s="108">
        <v>42314</v>
      </c>
      <c r="O275" s="108"/>
      <c r="W275" s="103" t="s">
        <v>156</v>
      </c>
      <c r="X275" s="108">
        <v>42388</v>
      </c>
    </row>
    <row r="276" spans="1:25" s="103" customFormat="1" x14ac:dyDescent="0.25">
      <c r="A276" s="101" t="s">
        <v>1839</v>
      </c>
      <c r="B276" s="103" t="s">
        <v>1953</v>
      </c>
      <c r="D276" s="103" t="s">
        <v>154</v>
      </c>
      <c r="E276" s="103" t="s">
        <v>108</v>
      </c>
      <c r="H276" s="103" t="s">
        <v>154</v>
      </c>
      <c r="I276" s="111" t="s">
        <v>2248</v>
      </c>
      <c r="K276" s="103" t="s">
        <v>100</v>
      </c>
      <c r="L276" s="108">
        <v>42312</v>
      </c>
      <c r="M276" s="11">
        <f t="shared" ca="1" si="8"/>
        <v>76</v>
      </c>
      <c r="N276" s="108">
        <v>42314</v>
      </c>
      <c r="O276" s="108"/>
      <c r="W276" s="103" t="s">
        <v>156</v>
      </c>
      <c r="X276" s="108">
        <v>42388</v>
      </c>
    </row>
    <row r="277" spans="1:25" s="103" customFormat="1" x14ac:dyDescent="0.25">
      <c r="A277" s="101" t="s">
        <v>1838</v>
      </c>
      <c r="B277" s="103" t="s">
        <v>1952</v>
      </c>
      <c r="D277" s="103" t="s">
        <v>154</v>
      </c>
      <c r="E277" s="103" t="s">
        <v>108</v>
      </c>
      <c r="H277" s="103" t="s">
        <v>154</v>
      </c>
      <c r="I277" s="111" t="s">
        <v>2248</v>
      </c>
      <c r="K277" s="103" t="s">
        <v>100</v>
      </c>
      <c r="L277" s="108">
        <v>42312</v>
      </c>
      <c r="M277" s="11">
        <f t="shared" ca="1" si="8"/>
        <v>76</v>
      </c>
      <c r="N277" s="108">
        <v>42314</v>
      </c>
      <c r="O277" s="108"/>
      <c r="W277" s="103" t="s">
        <v>156</v>
      </c>
      <c r="X277" s="108">
        <v>42388</v>
      </c>
    </row>
    <row r="278" spans="1:25" s="103" customFormat="1" x14ac:dyDescent="0.25">
      <c r="A278" s="101" t="s">
        <v>1837</v>
      </c>
      <c r="B278" s="103" t="s">
        <v>1951</v>
      </c>
      <c r="D278" s="103" t="s">
        <v>154</v>
      </c>
      <c r="E278" s="103" t="s">
        <v>108</v>
      </c>
      <c r="H278" s="103" t="s">
        <v>154</v>
      </c>
      <c r="I278" s="111" t="s">
        <v>2248</v>
      </c>
      <c r="K278" s="103" t="s">
        <v>100</v>
      </c>
      <c r="L278" s="108">
        <v>42312</v>
      </c>
      <c r="M278" s="11">
        <f t="shared" ca="1" si="8"/>
        <v>76</v>
      </c>
      <c r="N278" s="108">
        <v>42314</v>
      </c>
      <c r="O278" s="108"/>
      <c r="W278" s="103" t="s">
        <v>156</v>
      </c>
      <c r="X278" s="108">
        <v>42388</v>
      </c>
    </row>
    <row r="279" spans="1:25" s="103" customFormat="1" x14ac:dyDescent="0.25">
      <c r="A279" s="101" t="s">
        <v>1836</v>
      </c>
      <c r="B279" s="103" t="s">
        <v>1950</v>
      </c>
      <c r="D279" s="103" t="s">
        <v>154</v>
      </c>
      <c r="E279" s="103" t="s">
        <v>108</v>
      </c>
      <c r="H279" s="103" t="s">
        <v>154</v>
      </c>
      <c r="I279" s="111" t="s">
        <v>2248</v>
      </c>
      <c r="K279" s="103" t="s">
        <v>100</v>
      </c>
      <c r="L279" s="108">
        <v>42312</v>
      </c>
      <c r="M279" s="11">
        <f t="shared" ca="1" si="8"/>
        <v>76</v>
      </c>
      <c r="N279" s="108">
        <v>42314</v>
      </c>
      <c r="O279" s="108"/>
      <c r="W279" s="103" t="s">
        <v>156</v>
      </c>
      <c r="X279" s="108">
        <v>42388</v>
      </c>
    </row>
    <row r="280" spans="1:25" s="103" customFormat="1" x14ac:dyDescent="0.25">
      <c r="A280" s="101" t="s">
        <v>1835</v>
      </c>
      <c r="B280" s="103" t="s">
        <v>1949</v>
      </c>
      <c r="D280" s="103" t="s">
        <v>154</v>
      </c>
      <c r="E280" s="103" t="s">
        <v>108</v>
      </c>
      <c r="H280" s="103" t="s">
        <v>154</v>
      </c>
      <c r="I280" s="111" t="s">
        <v>2248</v>
      </c>
      <c r="K280" s="103" t="s">
        <v>100</v>
      </c>
      <c r="L280" s="108">
        <v>42312</v>
      </c>
      <c r="M280" s="11">
        <f t="shared" ca="1" si="8"/>
        <v>76</v>
      </c>
      <c r="N280" s="108">
        <v>42314</v>
      </c>
      <c r="O280" s="108"/>
      <c r="W280" s="103" t="s">
        <v>156</v>
      </c>
      <c r="X280" s="108">
        <v>42388</v>
      </c>
    </row>
    <row r="281" spans="1:25" s="103" customFormat="1" x14ac:dyDescent="0.25">
      <c r="A281" s="101" t="s">
        <v>1834</v>
      </c>
      <c r="B281" s="103" t="s">
        <v>1948</v>
      </c>
      <c r="D281" s="103" t="s">
        <v>154</v>
      </c>
      <c r="E281" s="103" t="s">
        <v>108</v>
      </c>
      <c r="H281" s="103" t="s">
        <v>154</v>
      </c>
      <c r="I281" s="111" t="s">
        <v>2248</v>
      </c>
      <c r="K281" s="103" t="s">
        <v>100</v>
      </c>
      <c r="L281" s="108">
        <v>42312</v>
      </c>
      <c r="M281" s="11">
        <f t="shared" ca="1" si="8"/>
        <v>76</v>
      </c>
      <c r="N281" s="108">
        <v>42314</v>
      </c>
      <c r="O281" s="108"/>
      <c r="W281" s="103" t="s">
        <v>156</v>
      </c>
      <c r="X281" s="108">
        <v>42388</v>
      </c>
    </row>
    <row r="282" spans="1:25" s="103" customFormat="1" x14ac:dyDescent="0.25">
      <c r="A282" s="101" t="s">
        <v>1833</v>
      </c>
      <c r="B282" s="103" t="s">
        <v>1947</v>
      </c>
      <c r="D282" s="103" t="s">
        <v>154</v>
      </c>
      <c r="E282" s="103" t="s">
        <v>108</v>
      </c>
      <c r="H282" s="103" t="s">
        <v>154</v>
      </c>
      <c r="I282" s="111" t="s">
        <v>2248</v>
      </c>
      <c r="K282" s="103" t="s">
        <v>100</v>
      </c>
      <c r="L282" s="108">
        <v>42312</v>
      </c>
      <c r="M282" s="11">
        <f t="shared" ca="1" si="8"/>
        <v>76</v>
      </c>
      <c r="N282" s="108">
        <v>42314</v>
      </c>
      <c r="O282" s="108"/>
      <c r="W282" s="103" t="s">
        <v>156</v>
      </c>
      <c r="X282" s="108">
        <v>42388</v>
      </c>
    </row>
    <row r="283" spans="1:25" s="103" customFormat="1" x14ac:dyDescent="0.25">
      <c r="A283" s="101" t="s">
        <v>1832</v>
      </c>
      <c r="B283" s="103" t="s">
        <v>1946</v>
      </c>
      <c r="D283" s="103" t="s">
        <v>154</v>
      </c>
      <c r="E283" s="103" t="s">
        <v>108</v>
      </c>
      <c r="H283" s="103" t="s">
        <v>154</v>
      </c>
      <c r="I283" s="111" t="s">
        <v>2248</v>
      </c>
      <c r="K283" s="103" t="s">
        <v>100</v>
      </c>
      <c r="L283" s="108">
        <v>42312</v>
      </c>
      <c r="M283" s="11">
        <f t="shared" ca="1" si="8"/>
        <v>76</v>
      </c>
      <c r="N283" s="108">
        <v>42314</v>
      </c>
      <c r="O283" s="108"/>
      <c r="W283" s="103" t="s">
        <v>156</v>
      </c>
      <c r="X283" s="108">
        <v>42388</v>
      </c>
    </row>
    <row r="284" spans="1:25" s="103" customFormat="1" x14ac:dyDescent="0.25">
      <c r="A284" s="101" t="s">
        <v>1831</v>
      </c>
      <c r="B284" s="103" t="s">
        <v>1945</v>
      </c>
      <c r="D284" s="103" t="s">
        <v>154</v>
      </c>
      <c r="E284" s="103" t="s">
        <v>108</v>
      </c>
      <c r="H284" s="103" t="s">
        <v>154</v>
      </c>
      <c r="I284" s="111" t="s">
        <v>2248</v>
      </c>
      <c r="K284" s="103" t="s">
        <v>100</v>
      </c>
      <c r="L284" s="108">
        <v>42312</v>
      </c>
      <c r="M284" s="11">
        <f t="shared" ca="1" si="8"/>
        <v>76</v>
      </c>
      <c r="N284" s="108">
        <v>42314</v>
      </c>
      <c r="O284" s="108"/>
      <c r="W284" s="103" t="s">
        <v>156</v>
      </c>
      <c r="X284" s="108">
        <v>42388</v>
      </c>
    </row>
    <row r="285" spans="1:25" s="103" customFormat="1" x14ac:dyDescent="0.25">
      <c r="A285" s="101" t="s">
        <v>1830</v>
      </c>
      <c r="B285" s="103" t="s">
        <v>1944</v>
      </c>
      <c r="D285" s="103" t="s">
        <v>154</v>
      </c>
      <c r="E285" s="103" t="s">
        <v>108</v>
      </c>
      <c r="H285" s="103" t="s">
        <v>154</v>
      </c>
      <c r="I285" s="111" t="s">
        <v>2248</v>
      </c>
      <c r="K285" s="103" t="s">
        <v>100</v>
      </c>
      <c r="L285" s="108">
        <v>42312</v>
      </c>
      <c r="M285" s="11">
        <f t="shared" ca="1" si="8"/>
        <v>76</v>
      </c>
      <c r="N285" s="108">
        <v>42314</v>
      </c>
      <c r="O285" s="108"/>
      <c r="W285" s="103" t="s">
        <v>156</v>
      </c>
      <c r="X285" s="108">
        <v>42388</v>
      </c>
    </row>
    <row r="286" spans="1:25" s="103" customFormat="1" x14ac:dyDescent="0.25">
      <c r="A286" s="101" t="s">
        <v>1829</v>
      </c>
      <c r="B286" s="103" t="s">
        <v>1943</v>
      </c>
      <c r="D286" s="103" t="s">
        <v>154</v>
      </c>
      <c r="E286" s="103" t="s">
        <v>108</v>
      </c>
      <c r="H286" s="103" t="s">
        <v>154</v>
      </c>
      <c r="I286" s="111" t="s">
        <v>2248</v>
      </c>
      <c r="K286" s="103" t="s">
        <v>100</v>
      </c>
      <c r="L286" s="108">
        <v>42312</v>
      </c>
      <c r="M286" s="11">
        <f t="shared" ref="M286:M317" ca="1" si="9">IFERROR(IF(AND(W286&lt;&gt;"Concluído",W286&lt;&gt;"Cancelado"),TODAY()-L286+1,X286-L286),"")</f>
        <v>76</v>
      </c>
      <c r="N286" s="108">
        <v>42314</v>
      </c>
      <c r="O286" s="108"/>
      <c r="W286" s="103" t="s">
        <v>156</v>
      </c>
      <c r="X286" s="108">
        <v>42388</v>
      </c>
    </row>
    <row r="287" spans="1:25" s="103" customFormat="1" x14ac:dyDescent="0.25">
      <c r="A287" s="101" t="s">
        <v>2408</v>
      </c>
      <c r="B287" s="103" t="s">
        <v>2409</v>
      </c>
      <c r="D287" s="103" t="s">
        <v>154</v>
      </c>
      <c r="E287" s="103" t="s">
        <v>161</v>
      </c>
      <c r="H287" s="103" t="s">
        <v>154</v>
      </c>
      <c r="I287" s="111" t="s">
        <v>2248</v>
      </c>
      <c r="K287" s="103" t="s">
        <v>100</v>
      </c>
      <c r="L287" s="108">
        <v>42346</v>
      </c>
      <c r="M287" s="11">
        <f t="shared" ca="1" si="9"/>
        <v>42</v>
      </c>
      <c r="N287" s="108">
        <v>42346</v>
      </c>
      <c r="O287" s="108"/>
      <c r="W287" s="103" t="s">
        <v>156</v>
      </c>
      <c r="X287" s="108">
        <v>42388</v>
      </c>
    </row>
    <row r="288" spans="1:25" s="103" customFormat="1" x14ac:dyDescent="0.25">
      <c r="A288" s="101" t="s">
        <v>2412</v>
      </c>
      <c r="B288" s="103" t="s">
        <v>2413</v>
      </c>
      <c r="D288" s="103" t="s">
        <v>154</v>
      </c>
      <c r="E288" s="103" t="s">
        <v>161</v>
      </c>
      <c r="H288" s="103" t="s">
        <v>154</v>
      </c>
      <c r="I288" s="111" t="s">
        <v>2248</v>
      </c>
      <c r="K288" s="103" t="s">
        <v>100</v>
      </c>
      <c r="L288" s="108">
        <v>42340</v>
      </c>
      <c r="M288" s="11">
        <f t="shared" ca="1" si="9"/>
        <v>48</v>
      </c>
      <c r="N288" s="108">
        <v>42341</v>
      </c>
      <c r="O288" s="108"/>
      <c r="W288" s="103" t="s">
        <v>156</v>
      </c>
      <c r="X288" s="108">
        <v>42388</v>
      </c>
      <c r="Y288" s="103">
        <v>130</v>
      </c>
    </row>
    <row r="289" spans="1:32" s="103" customFormat="1" x14ac:dyDescent="0.25">
      <c r="A289" s="101" t="s">
        <v>2503</v>
      </c>
      <c r="B289" s="103" t="s">
        <v>334</v>
      </c>
      <c r="D289" s="103" t="s">
        <v>118</v>
      </c>
      <c r="E289" s="103" t="s">
        <v>161</v>
      </c>
      <c r="H289" s="103" t="s">
        <v>97</v>
      </c>
      <c r="I289" s="111" t="s">
        <v>177</v>
      </c>
      <c r="K289" s="103" t="s">
        <v>98</v>
      </c>
      <c r="L289" s="108">
        <v>42215</v>
      </c>
      <c r="M289" s="11">
        <f t="shared" ca="1" si="9"/>
        <v>308</v>
      </c>
      <c r="N289" s="108">
        <v>42272</v>
      </c>
      <c r="O289" s="108" t="s">
        <v>348</v>
      </c>
      <c r="P289" s="103" t="s">
        <v>273</v>
      </c>
      <c r="Q289" s="44"/>
      <c r="R289" s="103" t="s">
        <v>2529</v>
      </c>
      <c r="W289" s="103" t="s">
        <v>189</v>
      </c>
      <c r="X289" s="108">
        <v>42389</v>
      </c>
      <c r="Y289" s="103">
        <v>140</v>
      </c>
    </row>
    <row r="290" spans="1:32" s="103" customFormat="1" x14ac:dyDescent="0.25">
      <c r="A290" s="112" t="s">
        <v>310</v>
      </c>
      <c r="B290" s="103" t="s">
        <v>311</v>
      </c>
      <c r="D290" s="103" t="s">
        <v>118</v>
      </c>
      <c r="E290" s="103" t="s">
        <v>94</v>
      </c>
      <c r="H290" s="103" t="s">
        <v>2347</v>
      </c>
      <c r="I290" s="111" t="s">
        <v>246</v>
      </c>
      <c r="J290" s="103" t="s">
        <v>2395</v>
      </c>
      <c r="K290" s="103" t="s">
        <v>98</v>
      </c>
      <c r="L290" s="108">
        <v>42193.609027777777</v>
      </c>
      <c r="M290" s="11">
        <f t="shared" ca="1" si="9"/>
        <v>190.39097222222335</v>
      </c>
      <c r="N290" s="108">
        <v>42272</v>
      </c>
      <c r="O290" s="108">
        <v>42360</v>
      </c>
      <c r="P290" s="103" t="s">
        <v>2350</v>
      </c>
      <c r="R290" s="115" t="s">
        <v>2527</v>
      </c>
      <c r="S290" s="115"/>
      <c r="T290" s="115"/>
      <c r="U290" s="115"/>
      <c r="W290" s="103" t="s">
        <v>156</v>
      </c>
      <c r="X290" s="108">
        <v>42384</v>
      </c>
      <c r="Y290" s="103">
        <v>312</v>
      </c>
    </row>
    <row r="291" spans="1:32" s="103" customFormat="1" x14ac:dyDescent="0.25">
      <c r="A291" s="101" t="s">
        <v>140</v>
      </c>
      <c r="B291" s="103" t="s">
        <v>429</v>
      </c>
      <c r="D291" s="103" t="s">
        <v>118</v>
      </c>
      <c r="E291" s="103" t="s">
        <v>153</v>
      </c>
      <c r="H291" s="103" t="s">
        <v>2320</v>
      </c>
      <c r="I291" s="111" t="s">
        <v>280</v>
      </c>
      <c r="J291" s="103" t="s">
        <v>2312</v>
      </c>
      <c r="K291" s="103" t="s">
        <v>2320</v>
      </c>
      <c r="L291" s="108">
        <v>42227.750694444447</v>
      </c>
      <c r="M291" s="11">
        <f t="shared" ca="1" si="9"/>
        <v>160.24930555555329</v>
      </c>
      <c r="N291" s="108">
        <v>42217</v>
      </c>
      <c r="O291" s="108"/>
      <c r="R291" s="103" t="s">
        <v>2528</v>
      </c>
      <c r="W291" s="103" t="s">
        <v>188</v>
      </c>
      <c r="X291" s="108">
        <v>42388</v>
      </c>
      <c r="AB291" s="103">
        <v>3</v>
      </c>
    </row>
    <row r="292" spans="1:32" s="103" customFormat="1" x14ac:dyDescent="0.25">
      <c r="A292" s="101" t="s">
        <v>2476</v>
      </c>
      <c r="B292" s="103" t="s">
        <v>2477</v>
      </c>
      <c r="D292" s="103" t="s">
        <v>2288</v>
      </c>
      <c r="E292" s="103" t="s">
        <v>1430</v>
      </c>
      <c r="H292" s="103" t="s">
        <v>2361</v>
      </c>
      <c r="I292" s="111" t="s">
        <v>1411</v>
      </c>
      <c r="K292" s="103" t="s">
        <v>343</v>
      </c>
      <c r="L292" s="108">
        <v>42374</v>
      </c>
      <c r="M292" s="11">
        <f t="shared" ca="1" si="9"/>
        <v>17</v>
      </c>
      <c r="N292" s="108">
        <v>42383</v>
      </c>
      <c r="O292" s="108"/>
      <c r="R292" s="103" t="s">
        <v>2532</v>
      </c>
      <c r="W292" s="103" t="s">
        <v>156</v>
      </c>
      <c r="X292" s="108">
        <v>42391</v>
      </c>
    </row>
    <row r="293" spans="1:32" s="103" customFormat="1" x14ac:dyDescent="0.25">
      <c r="A293" s="101" t="s">
        <v>131</v>
      </c>
      <c r="B293" s="103" t="s">
        <v>383</v>
      </c>
      <c r="D293" s="103" t="s">
        <v>154</v>
      </c>
      <c r="E293" s="103" t="s">
        <v>108</v>
      </c>
      <c r="H293" s="103" t="s">
        <v>154</v>
      </c>
      <c r="I293" s="111" t="s">
        <v>2248</v>
      </c>
      <c r="K293" s="103" t="s">
        <v>100</v>
      </c>
      <c r="L293" s="108">
        <v>42135.765277777777</v>
      </c>
      <c r="M293" s="11">
        <f t="shared" ca="1" si="9"/>
        <v>248.23472222222335</v>
      </c>
      <c r="N293" s="108">
        <v>42217</v>
      </c>
      <c r="O293" s="108">
        <v>42368</v>
      </c>
      <c r="Q293" s="103" t="s">
        <v>2307</v>
      </c>
      <c r="R293" s="103" t="s">
        <v>2548</v>
      </c>
      <c r="W293" s="103" t="s">
        <v>156</v>
      </c>
      <c r="X293" s="108">
        <v>42384</v>
      </c>
      <c r="Y293" s="103">
        <v>0</v>
      </c>
    </row>
    <row r="294" spans="1:32" s="103" customFormat="1" x14ac:dyDescent="0.25">
      <c r="A294" s="101" t="s">
        <v>10</v>
      </c>
      <c r="B294" s="103" t="s">
        <v>384</v>
      </c>
      <c r="D294" s="103" t="s">
        <v>154</v>
      </c>
      <c r="E294" s="103" t="s">
        <v>108</v>
      </c>
      <c r="H294" s="103" t="s">
        <v>154</v>
      </c>
      <c r="I294" s="111" t="s">
        <v>2248</v>
      </c>
      <c r="K294" s="103" t="s">
        <v>100</v>
      </c>
      <c r="L294" s="108">
        <v>42158.493750000001</v>
      </c>
      <c r="M294" s="11">
        <f t="shared" ca="1" si="9"/>
        <v>226.50624999999854</v>
      </c>
      <c r="N294" s="108">
        <v>42217</v>
      </c>
      <c r="O294" s="108">
        <v>42286</v>
      </c>
      <c r="Q294" s="103" t="s">
        <v>2307</v>
      </c>
      <c r="R294" s="103" t="s">
        <v>2549</v>
      </c>
      <c r="W294" s="103" t="s">
        <v>156</v>
      </c>
      <c r="X294" s="108">
        <v>42385</v>
      </c>
      <c r="Y294" s="103">
        <v>0</v>
      </c>
    </row>
    <row r="295" spans="1:32" s="103" customFormat="1" x14ac:dyDescent="0.25">
      <c r="A295" s="101" t="s">
        <v>1304</v>
      </c>
      <c r="B295" s="103" t="s">
        <v>460</v>
      </c>
      <c r="D295" s="103" t="s">
        <v>154</v>
      </c>
      <c r="E295" s="103" t="s">
        <v>155</v>
      </c>
      <c r="H295" s="103" t="s">
        <v>154</v>
      </c>
      <c r="I295" s="111" t="s">
        <v>2248</v>
      </c>
      <c r="K295" s="103" t="s">
        <v>343</v>
      </c>
      <c r="L295" s="108">
        <v>42272.561805555553</v>
      </c>
      <c r="M295" s="11">
        <f t="shared" ca="1" si="9"/>
        <v>250.43819444444671</v>
      </c>
      <c r="N295" s="108">
        <v>42283</v>
      </c>
      <c r="O295" s="108">
        <v>42324</v>
      </c>
      <c r="R295" s="103" t="s">
        <v>2550</v>
      </c>
      <c r="W295" s="103" t="s">
        <v>189</v>
      </c>
      <c r="X295" s="108">
        <v>42383</v>
      </c>
      <c r="Y295" s="103">
        <v>16</v>
      </c>
    </row>
    <row r="296" spans="1:32" s="103" customFormat="1" x14ac:dyDescent="0.25">
      <c r="A296" s="101"/>
      <c r="B296" s="103" t="s">
        <v>2534</v>
      </c>
      <c r="D296" s="103" t="s">
        <v>154</v>
      </c>
      <c r="E296" s="103" t="s">
        <v>2535</v>
      </c>
      <c r="H296" s="103" t="s">
        <v>154</v>
      </c>
      <c r="I296" s="111" t="s">
        <v>2248</v>
      </c>
      <c r="K296" s="103" t="s">
        <v>154</v>
      </c>
      <c r="L296" s="108">
        <v>42395</v>
      </c>
      <c r="M296" s="11">
        <f t="shared" ca="1" si="9"/>
        <v>128</v>
      </c>
      <c r="N296" s="108">
        <v>42395</v>
      </c>
      <c r="O296" s="108">
        <v>42367</v>
      </c>
      <c r="P296" s="103" t="s">
        <v>2350</v>
      </c>
      <c r="Q296" s="103" t="s">
        <v>2307</v>
      </c>
      <c r="R296" s="103" t="s">
        <v>2536</v>
      </c>
      <c r="W296" s="103" t="s">
        <v>189</v>
      </c>
      <c r="X296" s="108">
        <v>42367</v>
      </c>
    </row>
    <row r="297" spans="1:32" s="103" customFormat="1" x14ac:dyDescent="0.25">
      <c r="A297" s="101"/>
      <c r="B297" s="103" t="s">
        <v>2537</v>
      </c>
      <c r="D297" s="103" t="s">
        <v>154</v>
      </c>
      <c r="E297" s="103" t="s">
        <v>2535</v>
      </c>
      <c r="H297" s="103" t="s">
        <v>154</v>
      </c>
      <c r="I297" s="111" t="s">
        <v>2248</v>
      </c>
      <c r="K297" s="103" t="s">
        <v>154</v>
      </c>
      <c r="L297" s="108">
        <v>42395</v>
      </c>
      <c r="M297" s="11">
        <f t="shared" ca="1" si="9"/>
        <v>128</v>
      </c>
      <c r="N297" s="108">
        <v>42395</v>
      </c>
      <c r="O297" s="108">
        <v>42361</v>
      </c>
      <c r="P297" s="103" t="s">
        <v>2350</v>
      </c>
      <c r="Q297" s="103" t="s">
        <v>2307</v>
      </c>
      <c r="R297" s="103" t="s">
        <v>2538</v>
      </c>
      <c r="W297" s="103" t="s">
        <v>189</v>
      </c>
      <c r="X297" s="108">
        <v>42365</v>
      </c>
    </row>
    <row r="298" spans="1:32" s="103" customFormat="1" x14ac:dyDescent="0.25">
      <c r="A298" s="101" t="s">
        <v>982</v>
      </c>
      <c r="B298" s="103" t="s">
        <v>319</v>
      </c>
      <c r="D298" s="103" t="s">
        <v>119</v>
      </c>
      <c r="E298" s="103" t="s">
        <v>159</v>
      </c>
      <c r="H298" s="103" t="s">
        <v>2360</v>
      </c>
      <c r="I298" s="111" t="s">
        <v>2130</v>
      </c>
      <c r="K298" s="103" t="s">
        <v>343</v>
      </c>
      <c r="L298" s="108">
        <v>42213</v>
      </c>
      <c r="M298" s="11">
        <f t="shared" ca="1" si="9"/>
        <v>310</v>
      </c>
      <c r="N298" s="108">
        <v>42272</v>
      </c>
      <c r="O298" s="108">
        <v>42339</v>
      </c>
      <c r="R298" s="103" t="s">
        <v>2551</v>
      </c>
      <c r="W298" s="103" t="s">
        <v>189</v>
      </c>
      <c r="X298" s="108">
        <v>42395</v>
      </c>
      <c r="Y298" s="103">
        <v>20</v>
      </c>
    </row>
    <row r="299" spans="1:32" s="103" customFormat="1" x14ac:dyDescent="0.25">
      <c r="A299" s="101" t="s">
        <v>2523</v>
      </c>
      <c r="B299" s="103" t="s">
        <v>2486</v>
      </c>
      <c r="D299" s="103" t="s">
        <v>119</v>
      </c>
      <c r="E299" s="103" t="s">
        <v>106</v>
      </c>
      <c r="H299" s="103" t="s">
        <v>2360</v>
      </c>
      <c r="I299" s="111" t="s">
        <v>177</v>
      </c>
      <c r="K299" s="103" t="s">
        <v>343</v>
      </c>
      <c r="L299" s="108">
        <v>42383</v>
      </c>
      <c r="M299" s="11">
        <f t="shared" ca="1" si="9"/>
        <v>140</v>
      </c>
      <c r="N299" s="108">
        <v>42383</v>
      </c>
      <c r="O299" s="108">
        <v>42391</v>
      </c>
      <c r="P299" s="103" t="s">
        <v>2530</v>
      </c>
      <c r="Q299" s="44"/>
      <c r="R299" s="103" t="s">
        <v>2560</v>
      </c>
      <c r="W299" s="103" t="s">
        <v>189</v>
      </c>
      <c r="X299" s="108">
        <v>42395</v>
      </c>
      <c r="Y299" s="103">
        <v>2</v>
      </c>
    </row>
    <row r="300" spans="1:32" s="103" customFormat="1" x14ac:dyDescent="0.25">
      <c r="A300" s="121" t="s">
        <v>2557</v>
      </c>
      <c r="B300" s="83" t="s">
        <v>2558</v>
      </c>
      <c r="C300" s="83"/>
      <c r="D300" s="83" t="s">
        <v>118</v>
      </c>
      <c r="E300" s="83" t="s">
        <v>106</v>
      </c>
      <c r="F300" s="83"/>
      <c r="G300" s="83"/>
      <c r="H300" s="83" t="s">
        <v>2320</v>
      </c>
      <c r="I300" s="122" t="s">
        <v>280</v>
      </c>
      <c r="J300" s="83" t="s">
        <v>2310</v>
      </c>
      <c r="K300" s="83" t="s">
        <v>2320</v>
      </c>
      <c r="L300" s="123">
        <v>42151</v>
      </c>
      <c r="M300" s="124">
        <f t="shared" ca="1" si="9"/>
        <v>244</v>
      </c>
      <c r="N300" s="123">
        <v>42401</v>
      </c>
      <c r="O300" s="123"/>
      <c r="P300" s="83"/>
      <c r="Q300" s="83"/>
      <c r="R300" s="83" t="s">
        <v>2559</v>
      </c>
      <c r="S300" s="83"/>
      <c r="T300" s="83"/>
      <c r="U300" s="83"/>
      <c r="W300" s="83" t="s">
        <v>156</v>
      </c>
      <c r="X300" s="123">
        <v>42395</v>
      </c>
      <c r="Y300" s="83"/>
    </row>
    <row r="301" spans="1:32" s="103" customFormat="1" x14ac:dyDescent="0.25">
      <c r="A301" s="101" t="s">
        <v>322</v>
      </c>
      <c r="B301" s="103" t="s">
        <v>413</v>
      </c>
      <c r="D301" s="103" t="s">
        <v>118</v>
      </c>
      <c r="E301" s="103" t="s">
        <v>161</v>
      </c>
      <c r="H301" s="103" t="s">
        <v>2344</v>
      </c>
      <c r="I301" s="111" t="s">
        <v>245</v>
      </c>
      <c r="J301" s="103" t="s">
        <v>2388</v>
      </c>
      <c r="K301" s="103" t="s">
        <v>97</v>
      </c>
      <c r="L301" s="108">
        <v>42034</v>
      </c>
      <c r="M301" s="11">
        <f t="shared" ca="1" si="9"/>
        <v>361</v>
      </c>
      <c r="N301" s="108">
        <v>42272</v>
      </c>
      <c r="O301" s="108"/>
      <c r="R301" s="103" t="s">
        <v>2571</v>
      </c>
      <c r="W301" s="103" t="s">
        <v>188</v>
      </c>
      <c r="X301" s="123">
        <v>42395</v>
      </c>
      <c r="Y301" s="103">
        <v>14</v>
      </c>
      <c r="Z301" s="103">
        <v>1.4839533333333299</v>
      </c>
      <c r="AB301" s="103">
        <v>3</v>
      </c>
    </row>
    <row r="302" spans="1:32" s="103" customFormat="1" x14ac:dyDescent="0.25">
      <c r="A302" s="101" t="s">
        <v>1457</v>
      </c>
      <c r="B302" s="103" t="s">
        <v>1471</v>
      </c>
      <c r="D302" s="103" t="s">
        <v>2290</v>
      </c>
      <c r="E302" s="103" t="s">
        <v>158</v>
      </c>
      <c r="H302" s="103" t="s">
        <v>2358</v>
      </c>
      <c r="I302" s="111" t="s">
        <v>1411</v>
      </c>
      <c r="J302" s="103" t="s">
        <v>2282</v>
      </c>
      <c r="K302" s="103" t="s">
        <v>101</v>
      </c>
      <c r="L302" s="108" t="s">
        <v>1424</v>
      </c>
      <c r="M302" s="11" t="str">
        <f t="shared" ca="1" si="9"/>
        <v/>
      </c>
      <c r="N302" s="108">
        <v>42299</v>
      </c>
      <c r="O302" s="108">
        <v>42314</v>
      </c>
      <c r="Q302" s="45"/>
      <c r="R302" s="103" t="s">
        <v>2573</v>
      </c>
      <c r="W302" s="103" t="s">
        <v>188</v>
      </c>
      <c r="X302" s="123">
        <v>42395</v>
      </c>
    </row>
    <row r="303" spans="1:32" s="103" customFormat="1" x14ac:dyDescent="0.25">
      <c r="A303" s="101" t="s">
        <v>339</v>
      </c>
      <c r="B303" s="103" t="s">
        <v>340</v>
      </c>
      <c r="D303" s="103" t="s">
        <v>2288</v>
      </c>
      <c r="E303" s="103" t="s">
        <v>161</v>
      </c>
      <c r="H303" s="103" t="s">
        <v>97</v>
      </c>
      <c r="I303" s="111" t="s">
        <v>1411</v>
      </c>
      <c r="K303" s="103" t="s">
        <v>97</v>
      </c>
      <c r="L303" s="108">
        <v>42234</v>
      </c>
      <c r="M303" s="11">
        <f t="shared" ca="1" si="9"/>
        <v>163</v>
      </c>
      <c r="N303" s="108">
        <v>42272</v>
      </c>
      <c r="O303" s="108"/>
      <c r="Q303" s="45"/>
      <c r="R303" s="103" t="s">
        <v>2572</v>
      </c>
      <c r="W303" s="103" t="s">
        <v>156</v>
      </c>
      <c r="X303" s="108">
        <v>42397</v>
      </c>
    </row>
    <row r="304" spans="1:32" s="103" customFormat="1" x14ac:dyDescent="0.25">
      <c r="A304" s="101" t="s">
        <v>2513</v>
      </c>
      <c r="B304" s="103" t="s">
        <v>2251</v>
      </c>
      <c r="D304" s="103" t="s">
        <v>2288</v>
      </c>
      <c r="E304" s="103" t="s">
        <v>94</v>
      </c>
      <c r="H304" s="103" t="s">
        <v>97</v>
      </c>
      <c r="I304" s="111" t="s">
        <v>245</v>
      </c>
      <c r="K304" s="103" t="s">
        <v>97</v>
      </c>
      <c r="L304" s="108">
        <v>42270</v>
      </c>
      <c r="M304" s="11">
        <f t="shared" ca="1" si="9"/>
        <v>126</v>
      </c>
      <c r="N304" s="108">
        <v>42272</v>
      </c>
      <c r="O304" s="108"/>
      <c r="R304" s="103" t="s">
        <v>2574</v>
      </c>
      <c r="W304" s="103" t="s">
        <v>156</v>
      </c>
      <c r="X304" s="108">
        <v>42396</v>
      </c>
      <c r="Y304" s="103">
        <v>15</v>
      </c>
      <c r="AC304" s="108" t="s">
        <v>273</v>
      </c>
      <c r="AD304" s="108" t="s">
        <v>2282</v>
      </c>
      <c r="AE304" s="103" t="s">
        <v>2282</v>
      </c>
      <c r="AF304" s="103" t="s">
        <v>2282</v>
      </c>
    </row>
    <row r="305" spans="1:32" s="103" customFormat="1" x14ac:dyDescent="0.25">
      <c r="A305" s="101" t="s">
        <v>1099</v>
      </c>
      <c r="B305" s="103" t="s">
        <v>2478</v>
      </c>
      <c r="D305" s="103" t="s">
        <v>2288</v>
      </c>
      <c r="E305" s="103" t="s">
        <v>1430</v>
      </c>
      <c r="H305" s="103" t="s">
        <v>97</v>
      </c>
      <c r="I305" s="111" t="s">
        <v>2248</v>
      </c>
      <c r="K305" s="103" t="s">
        <v>97</v>
      </c>
      <c r="L305" s="108">
        <v>42237</v>
      </c>
      <c r="M305" s="11">
        <f t="shared" ca="1" si="9"/>
        <v>164</v>
      </c>
      <c r="N305" s="108">
        <v>42383</v>
      </c>
      <c r="O305" s="108"/>
      <c r="Q305" s="125"/>
      <c r="R305" s="103" t="s">
        <v>2575</v>
      </c>
      <c r="W305" s="103" t="s">
        <v>188</v>
      </c>
      <c r="X305" s="108">
        <v>42401</v>
      </c>
      <c r="AC305" s="108" t="s">
        <v>273</v>
      </c>
      <c r="AD305" s="108" t="s">
        <v>2282</v>
      </c>
      <c r="AE305" s="103" t="s">
        <v>2282</v>
      </c>
      <c r="AF305" s="103" t="s">
        <v>2282</v>
      </c>
    </row>
    <row r="306" spans="1:32" s="103" customFormat="1" x14ac:dyDescent="0.25">
      <c r="A306" s="101" t="s">
        <v>303</v>
      </c>
      <c r="B306" s="103" t="s">
        <v>2458</v>
      </c>
      <c r="D306" s="103" t="s">
        <v>118</v>
      </c>
      <c r="E306" s="103" t="s">
        <v>106</v>
      </c>
      <c r="H306" s="103" t="s">
        <v>2344</v>
      </c>
      <c r="I306" s="111" t="s">
        <v>2407</v>
      </c>
      <c r="J306" s="103" t="s">
        <v>2576</v>
      </c>
      <c r="L306" s="108">
        <v>42262</v>
      </c>
      <c r="M306" s="11">
        <f t="shared" ca="1" si="9"/>
        <v>129</v>
      </c>
      <c r="N306" s="108">
        <v>42272</v>
      </c>
      <c r="O306" s="108" t="s">
        <v>2525</v>
      </c>
      <c r="P306" s="103" t="s">
        <v>2526</v>
      </c>
      <c r="Q306" s="44"/>
      <c r="R306" s="103" t="s">
        <v>2618</v>
      </c>
      <c r="W306" s="103" t="s">
        <v>156</v>
      </c>
      <c r="X306" s="108">
        <v>42391</v>
      </c>
      <c r="Y306" s="103">
        <v>3076</v>
      </c>
      <c r="Z306" s="108" t="s">
        <v>2282</v>
      </c>
      <c r="AA306" s="103" t="s">
        <v>2282</v>
      </c>
      <c r="AB306" s="103" t="s">
        <v>2282</v>
      </c>
      <c r="AC306" s="108" t="s">
        <v>273</v>
      </c>
      <c r="AD306" s="108" t="s">
        <v>2282</v>
      </c>
      <c r="AE306" s="103" t="s">
        <v>2282</v>
      </c>
      <c r="AF306" s="103" t="s">
        <v>2282</v>
      </c>
    </row>
    <row r="307" spans="1:32" s="103" customFormat="1" x14ac:dyDescent="0.25">
      <c r="A307" s="101" t="s">
        <v>304</v>
      </c>
      <c r="B307" s="103" t="s">
        <v>2458</v>
      </c>
      <c r="D307" s="103" t="s">
        <v>118</v>
      </c>
      <c r="E307" s="103" t="s">
        <v>106</v>
      </c>
      <c r="H307" s="103" t="s">
        <v>2344</v>
      </c>
      <c r="I307" s="111" t="s">
        <v>2407</v>
      </c>
      <c r="J307" s="103" t="s">
        <v>2576</v>
      </c>
      <c r="L307" s="108">
        <v>42262</v>
      </c>
      <c r="M307" s="11">
        <f t="shared" ca="1" si="9"/>
        <v>129</v>
      </c>
      <c r="N307" s="108">
        <v>42272</v>
      </c>
      <c r="O307" s="108" t="s">
        <v>2525</v>
      </c>
      <c r="P307" s="103" t="s">
        <v>2526</v>
      </c>
      <c r="Q307" s="44"/>
      <c r="R307" s="103" t="s">
        <v>2619</v>
      </c>
      <c r="W307" s="103" t="s">
        <v>156</v>
      </c>
      <c r="X307" s="108">
        <v>42391</v>
      </c>
      <c r="Y307" s="103">
        <v>3076</v>
      </c>
      <c r="Z307" s="108" t="s">
        <v>2282</v>
      </c>
      <c r="AA307" s="103" t="s">
        <v>2282</v>
      </c>
      <c r="AB307" s="103" t="s">
        <v>2282</v>
      </c>
      <c r="AC307" s="108" t="s">
        <v>273</v>
      </c>
      <c r="AD307" s="108" t="s">
        <v>2282</v>
      </c>
      <c r="AE307" s="103" t="s">
        <v>2282</v>
      </c>
      <c r="AF307" s="103" t="s">
        <v>2282</v>
      </c>
    </row>
    <row r="308" spans="1:32" s="103" customFormat="1" x14ac:dyDescent="0.25">
      <c r="A308" s="101" t="s">
        <v>483</v>
      </c>
      <c r="B308" s="103" t="s">
        <v>487</v>
      </c>
      <c r="D308" s="103" t="s">
        <v>2288</v>
      </c>
      <c r="E308" s="103" t="s">
        <v>162</v>
      </c>
      <c r="H308" s="103" t="s">
        <v>97</v>
      </c>
      <c r="I308" s="111" t="s">
        <v>246</v>
      </c>
      <c r="J308" s="103" t="s">
        <v>1029</v>
      </c>
      <c r="L308" s="108">
        <v>42186</v>
      </c>
      <c r="M308" s="11">
        <f t="shared" ca="1" si="9"/>
        <v>212</v>
      </c>
      <c r="N308" s="108">
        <v>42283</v>
      </c>
      <c r="O308" s="108" t="s">
        <v>264</v>
      </c>
      <c r="P308" s="103" t="s">
        <v>2350</v>
      </c>
      <c r="R308" s="115" t="s">
        <v>2615</v>
      </c>
      <c r="S308" s="115"/>
      <c r="T308" s="115"/>
      <c r="U308" s="115"/>
      <c r="W308" s="103" t="s">
        <v>156</v>
      </c>
      <c r="X308" s="108">
        <v>42398</v>
      </c>
      <c r="Y308" s="103">
        <v>8</v>
      </c>
      <c r="Z308" s="108" t="s">
        <v>2282</v>
      </c>
      <c r="AA308" s="103" t="s">
        <v>2282</v>
      </c>
      <c r="AB308" s="103" t="s">
        <v>2282</v>
      </c>
      <c r="AC308" s="108" t="s">
        <v>273</v>
      </c>
      <c r="AD308" s="108" t="s">
        <v>2282</v>
      </c>
      <c r="AE308" s="103" t="s">
        <v>2282</v>
      </c>
      <c r="AF308" s="103" t="s">
        <v>2282</v>
      </c>
    </row>
    <row r="309" spans="1:32" s="103" customFormat="1" x14ac:dyDescent="0.25">
      <c r="A309" s="101" t="s">
        <v>2377</v>
      </c>
      <c r="B309" s="103" t="s">
        <v>2378</v>
      </c>
      <c r="D309" s="103" t="s">
        <v>118</v>
      </c>
      <c r="E309" s="103" t="s">
        <v>108</v>
      </c>
      <c r="H309" s="103" t="s">
        <v>97</v>
      </c>
      <c r="I309" s="111" t="s">
        <v>2407</v>
      </c>
      <c r="J309" s="103" t="s">
        <v>2396</v>
      </c>
      <c r="K309" s="103" t="s">
        <v>97</v>
      </c>
      <c r="L309" s="108">
        <v>42338</v>
      </c>
      <c r="M309" s="11">
        <f t="shared" ca="1" si="9"/>
        <v>64</v>
      </c>
      <c r="N309" s="108">
        <v>42355</v>
      </c>
      <c r="O309" s="108" t="s">
        <v>2525</v>
      </c>
      <c r="P309" s="103" t="s">
        <v>2526</v>
      </c>
      <c r="Q309" s="44"/>
      <c r="R309" s="103" t="s">
        <v>2621</v>
      </c>
      <c r="W309" s="103" t="s">
        <v>188</v>
      </c>
      <c r="X309" s="108">
        <v>42402</v>
      </c>
      <c r="Y309" s="103">
        <v>2000</v>
      </c>
      <c r="Z309" s="108" t="s">
        <v>1356</v>
      </c>
      <c r="AA309" s="108" t="s">
        <v>1356</v>
      </c>
      <c r="AB309" s="108" t="s">
        <v>2607</v>
      </c>
      <c r="AC309" s="108" t="s">
        <v>2350</v>
      </c>
      <c r="AD309" s="108" t="s">
        <v>1356</v>
      </c>
      <c r="AE309" s="108" t="s">
        <v>1356</v>
      </c>
      <c r="AF309" s="108" t="s">
        <v>2607</v>
      </c>
    </row>
    <row r="310" spans="1:32" s="103" customFormat="1" x14ac:dyDescent="0.25">
      <c r="A310" s="101" t="s">
        <v>2602</v>
      </c>
      <c r="B310" s="103" t="s">
        <v>2603</v>
      </c>
      <c r="D310" s="103" t="s">
        <v>2288</v>
      </c>
      <c r="E310" s="103" t="s">
        <v>1430</v>
      </c>
      <c r="H310" s="103" t="s">
        <v>2344</v>
      </c>
      <c r="I310" s="111" t="s">
        <v>2130</v>
      </c>
      <c r="K310" s="103" t="s">
        <v>98</v>
      </c>
      <c r="L310" s="108">
        <v>42383</v>
      </c>
      <c r="M310" s="11">
        <f t="shared" ca="1" si="9"/>
        <v>19</v>
      </c>
      <c r="N310" s="108">
        <v>42398</v>
      </c>
      <c r="O310" s="108"/>
      <c r="Q310" s="46"/>
      <c r="R310" s="103" t="s">
        <v>2664</v>
      </c>
      <c r="W310" s="103" t="s">
        <v>156</v>
      </c>
      <c r="X310" s="108">
        <v>42402</v>
      </c>
      <c r="AC310" s="108" t="s">
        <v>273</v>
      </c>
      <c r="AD310" s="108" t="s">
        <v>2282</v>
      </c>
      <c r="AE310" s="103" t="s">
        <v>2282</v>
      </c>
      <c r="AF310" s="103" t="s">
        <v>2282</v>
      </c>
    </row>
    <row r="311" spans="1:32" s="103" customFormat="1" x14ac:dyDescent="0.25">
      <c r="A311" s="101" t="s">
        <v>2660</v>
      </c>
      <c r="B311" s="103" t="s">
        <v>2661</v>
      </c>
      <c r="D311" s="103" t="s">
        <v>119</v>
      </c>
      <c r="E311" s="103" t="s">
        <v>1430</v>
      </c>
      <c r="H311" s="103" t="s">
        <v>2360</v>
      </c>
      <c r="I311" s="111" t="s">
        <v>245</v>
      </c>
      <c r="K311" s="103" t="s">
        <v>96</v>
      </c>
      <c r="L311" s="108">
        <v>42403</v>
      </c>
      <c r="M311" s="11">
        <f t="shared" ca="1" si="9"/>
        <v>1</v>
      </c>
      <c r="N311" s="108">
        <v>42403</v>
      </c>
      <c r="O311" s="108"/>
      <c r="Q311" s="46"/>
      <c r="R311" s="103" t="s">
        <v>2662</v>
      </c>
      <c r="W311" s="103" t="s">
        <v>188</v>
      </c>
      <c r="X311" s="108">
        <v>42404</v>
      </c>
      <c r="AC311" s="108"/>
      <c r="AD311" s="108"/>
    </row>
    <row r="312" spans="1:32" s="103" customFormat="1" x14ac:dyDescent="0.25">
      <c r="A312" s="101" t="s">
        <v>2517</v>
      </c>
      <c r="B312" s="103" t="s">
        <v>2319</v>
      </c>
      <c r="D312" s="103" t="s">
        <v>118</v>
      </c>
      <c r="E312" s="103" t="s">
        <v>155</v>
      </c>
      <c r="H312" s="103" t="s">
        <v>2320</v>
      </c>
      <c r="I312" s="111" t="s">
        <v>280</v>
      </c>
      <c r="J312" s="103" t="s">
        <v>2310</v>
      </c>
      <c r="K312" s="103" t="s">
        <v>2320</v>
      </c>
      <c r="L312" s="108">
        <v>42339</v>
      </c>
      <c r="M312" s="11">
        <f t="shared" ca="1" si="9"/>
        <v>62</v>
      </c>
      <c r="N312" s="108">
        <v>42348</v>
      </c>
      <c r="O312" s="108"/>
      <c r="Q312" s="46"/>
      <c r="R312" s="103" t="s">
        <v>2630</v>
      </c>
      <c r="W312" s="103" t="s">
        <v>156</v>
      </c>
      <c r="X312" s="108">
        <v>42401</v>
      </c>
      <c r="AC312" s="108" t="s">
        <v>273</v>
      </c>
      <c r="AD312" s="108" t="s">
        <v>2282</v>
      </c>
      <c r="AE312" s="103" t="s">
        <v>2282</v>
      </c>
      <c r="AF312" s="103" t="s">
        <v>2282</v>
      </c>
    </row>
    <row r="313" spans="1:32" s="103" customFormat="1" x14ac:dyDescent="0.25">
      <c r="A313" s="101" t="s">
        <v>2518</v>
      </c>
      <c r="B313" s="103" t="s">
        <v>2376</v>
      </c>
      <c r="D313" s="103" t="s">
        <v>119</v>
      </c>
      <c r="E313" s="103" t="s">
        <v>155</v>
      </c>
      <c r="H313" s="103" t="s">
        <v>2360</v>
      </c>
      <c r="I313" s="111" t="s">
        <v>177</v>
      </c>
      <c r="J313" s="103" t="s">
        <v>2315</v>
      </c>
      <c r="K313" s="103" t="s">
        <v>343</v>
      </c>
      <c r="L313" s="108">
        <v>42346</v>
      </c>
      <c r="M313" s="11">
        <f t="shared" ca="1" si="9"/>
        <v>58</v>
      </c>
      <c r="N313" s="108">
        <v>42355</v>
      </c>
      <c r="O313" s="108" t="s">
        <v>2393</v>
      </c>
      <c r="P313" s="103" t="s">
        <v>2397</v>
      </c>
      <c r="Q313" s="113"/>
      <c r="R313" s="103" t="s">
        <v>2622</v>
      </c>
      <c r="W313" s="103" t="s">
        <v>188</v>
      </c>
      <c r="X313" s="108">
        <v>42404</v>
      </c>
      <c r="Y313" s="103">
        <v>12</v>
      </c>
      <c r="AC313" s="103" t="s">
        <v>273</v>
      </c>
      <c r="AD313" s="103" t="s">
        <v>348</v>
      </c>
      <c r="AE313" s="103" t="s">
        <v>348</v>
      </c>
      <c r="AF313" s="103" t="s">
        <v>348</v>
      </c>
    </row>
    <row r="314" spans="1:32" s="103" customFormat="1" x14ac:dyDescent="0.25">
      <c r="A314" s="101" t="s">
        <v>2520</v>
      </c>
      <c r="B314" s="103" t="s">
        <v>2438</v>
      </c>
      <c r="D314" s="103" t="s">
        <v>119</v>
      </c>
      <c r="E314" s="103" t="s">
        <v>1430</v>
      </c>
      <c r="H314" s="103" t="s">
        <v>2360</v>
      </c>
      <c r="I314" s="111" t="s">
        <v>177</v>
      </c>
      <c r="J314" s="103" t="s">
        <v>2375</v>
      </c>
      <c r="K314" s="103" t="s">
        <v>343</v>
      </c>
      <c r="L314" s="108">
        <v>42361</v>
      </c>
      <c r="M314" s="11">
        <f t="shared" ca="1" si="9"/>
        <v>162</v>
      </c>
      <c r="N314" s="108">
        <v>42361</v>
      </c>
      <c r="O314" s="108">
        <v>42387</v>
      </c>
      <c r="P314" s="103" t="s">
        <v>2350</v>
      </c>
      <c r="Q314" s="44"/>
      <c r="R314" s="103" t="s">
        <v>2623</v>
      </c>
      <c r="W314" s="103" t="s">
        <v>189</v>
      </c>
      <c r="X314" s="108">
        <v>42403</v>
      </c>
      <c r="Y314" s="103">
        <v>50</v>
      </c>
      <c r="AC314" s="103" t="s">
        <v>273</v>
      </c>
      <c r="AD314" s="103" t="s">
        <v>348</v>
      </c>
      <c r="AE314" s="103" t="s">
        <v>348</v>
      </c>
      <c r="AF314" s="103" t="s">
        <v>348</v>
      </c>
    </row>
    <row r="315" spans="1:32" s="103" customFormat="1" x14ac:dyDescent="0.25">
      <c r="A315" s="101" t="s">
        <v>2467</v>
      </c>
      <c r="B315" s="103" t="s">
        <v>386</v>
      </c>
      <c r="D315" s="103" t="s">
        <v>119</v>
      </c>
      <c r="E315" s="103" t="s">
        <v>239</v>
      </c>
      <c r="H315" s="103" t="s">
        <v>2361</v>
      </c>
      <c r="I315" s="111" t="s">
        <v>177</v>
      </c>
      <c r="J315" s="103" t="s">
        <v>2388</v>
      </c>
      <c r="K315" s="103" t="s">
        <v>343</v>
      </c>
      <c r="L315" s="108">
        <v>42374</v>
      </c>
      <c r="M315" s="11">
        <f t="shared" ca="1" si="9"/>
        <v>149</v>
      </c>
      <c r="N315" s="108">
        <v>42380</v>
      </c>
      <c r="O315" s="108" t="s">
        <v>348</v>
      </c>
      <c r="P315" s="103" t="s">
        <v>2350</v>
      </c>
      <c r="Q315" s="44"/>
      <c r="R315" s="103" t="s">
        <v>2624</v>
      </c>
      <c r="W315" s="103" t="s">
        <v>189</v>
      </c>
      <c r="X315" s="108">
        <v>42403</v>
      </c>
      <c r="Y315" s="103">
        <v>34</v>
      </c>
      <c r="AC315" s="103" t="s">
        <v>273</v>
      </c>
      <c r="AD315" s="103" t="s">
        <v>348</v>
      </c>
      <c r="AE315" s="103" t="s">
        <v>348</v>
      </c>
      <c r="AF315" s="103" t="s">
        <v>348</v>
      </c>
    </row>
    <row r="316" spans="1:32" s="103" customFormat="1" x14ac:dyDescent="0.25">
      <c r="A316" s="101" t="s">
        <v>2472</v>
      </c>
      <c r="B316" s="103" t="s">
        <v>2473</v>
      </c>
      <c r="D316" s="103" t="s">
        <v>119</v>
      </c>
      <c r="E316" s="103" t="s">
        <v>174</v>
      </c>
      <c r="H316" s="103" t="s">
        <v>2360</v>
      </c>
      <c r="I316" s="111" t="s">
        <v>177</v>
      </c>
      <c r="J316" s="103" t="s">
        <v>348</v>
      </c>
      <c r="K316" s="103" t="s">
        <v>343</v>
      </c>
      <c r="L316" s="108">
        <v>42361</v>
      </c>
      <c r="M316" s="11">
        <f t="shared" ca="1" si="9"/>
        <v>162</v>
      </c>
      <c r="N316" s="108">
        <v>42382</v>
      </c>
      <c r="O316" s="108">
        <v>42384</v>
      </c>
      <c r="P316" s="103" t="s">
        <v>2350</v>
      </c>
      <c r="Q316" s="44"/>
      <c r="R316" s="103" t="s">
        <v>2625</v>
      </c>
      <c r="W316" s="103" t="s">
        <v>189</v>
      </c>
      <c r="X316" s="108">
        <v>42403</v>
      </c>
      <c r="Y316" s="103">
        <v>17</v>
      </c>
      <c r="AC316" s="103" t="s">
        <v>273</v>
      </c>
      <c r="AD316" s="103" t="s">
        <v>348</v>
      </c>
      <c r="AE316" s="103" t="s">
        <v>348</v>
      </c>
      <c r="AF316" s="103" t="s">
        <v>348</v>
      </c>
    </row>
    <row r="317" spans="1:32" s="103" customFormat="1" x14ac:dyDescent="0.25">
      <c r="A317" s="101" t="s">
        <v>320</v>
      </c>
      <c r="B317" s="126" t="s">
        <v>412</v>
      </c>
      <c r="C317" s="126"/>
      <c r="D317" s="126" t="s">
        <v>118</v>
      </c>
      <c r="E317" s="103" t="s">
        <v>161</v>
      </c>
      <c r="H317" s="103" t="s">
        <v>2358</v>
      </c>
      <c r="I317" s="111" t="s">
        <v>2130</v>
      </c>
      <c r="K317" s="103" t="s">
        <v>98</v>
      </c>
      <c r="L317" s="108">
        <v>42208</v>
      </c>
      <c r="M317" s="11">
        <f t="shared" ca="1" si="9"/>
        <v>202</v>
      </c>
      <c r="N317" s="108">
        <v>42272</v>
      </c>
      <c r="O317" s="108"/>
      <c r="Q317" s="46"/>
      <c r="R317" s="103" t="s">
        <v>2627</v>
      </c>
      <c r="W317" s="103" t="s">
        <v>188</v>
      </c>
      <c r="X317" s="108">
        <v>42410</v>
      </c>
      <c r="AC317" s="108" t="s">
        <v>1356</v>
      </c>
      <c r="AD317" s="108" t="s">
        <v>1356</v>
      </c>
      <c r="AE317" s="108" t="s">
        <v>1356</v>
      </c>
      <c r="AF317" s="108" t="s">
        <v>1356</v>
      </c>
    </row>
    <row r="318" spans="1:32" s="103" customFormat="1" x14ac:dyDescent="0.25">
      <c r="A318" s="101" t="s">
        <v>1776</v>
      </c>
      <c r="B318" s="103" t="s">
        <v>2434</v>
      </c>
      <c r="D318" s="103" t="s">
        <v>119</v>
      </c>
      <c r="E318" s="103" t="s">
        <v>1430</v>
      </c>
      <c r="H318" s="103" t="s">
        <v>2361</v>
      </c>
      <c r="I318" s="113" t="s">
        <v>246</v>
      </c>
      <c r="J318" s="103" t="s">
        <v>2437</v>
      </c>
      <c r="K318" s="103" t="s">
        <v>343</v>
      </c>
      <c r="L318" s="108">
        <v>42314</v>
      </c>
      <c r="M318" s="11">
        <f t="shared" ref="M318:M349" ca="1" si="10">IFERROR(IF(AND(W318&lt;&gt;"Concluído",W318&lt;&gt;"Cancelado"),TODAY()-L318+1,X318-L318),"")</f>
        <v>102</v>
      </c>
      <c r="N318" s="108">
        <v>42361</v>
      </c>
      <c r="O318" s="108"/>
      <c r="Q318" s="44"/>
      <c r="R318" s="103" t="s">
        <v>2616</v>
      </c>
      <c r="W318" s="103" t="s">
        <v>188</v>
      </c>
      <c r="X318" s="108">
        <v>42416</v>
      </c>
      <c r="Y318" s="103">
        <v>17</v>
      </c>
      <c r="Z318" s="108" t="s">
        <v>1356</v>
      </c>
      <c r="AA318" s="108" t="s">
        <v>1356</v>
      </c>
      <c r="AB318" s="108" t="s">
        <v>2604</v>
      </c>
      <c r="AC318" s="108" t="s">
        <v>2350</v>
      </c>
      <c r="AD318" s="108" t="s">
        <v>1356</v>
      </c>
      <c r="AE318" s="108" t="s">
        <v>1356</v>
      </c>
      <c r="AF318" s="108" t="s">
        <v>2604</v>
      </c>
    </row>
    <row r="319" spans="1:32" s="103" customFormat="1" x14ac:dyDescent="0.25">
      <c r="A319" s="101" t="s">
        <v>1777</v>
      </c>
      <c r="B319" s="103" t="s">
        <v>1806</v>
      </c>
      <c r="D319" s="103" t="s">
        <v>119</v>
      </c>
      <c r="E319" s="103" t="s">
        <v>1430</v>
      </c>
      <c r="H319" s="103" t="s">
        <v>2361</v>
      </c>
      <c r="I319" s="113" t="s">
        <v>246</v>
      </c>
      <c r="J319" s="103" t="s">
        <v>2437</v>
      </c>
      <c r="K319" s="103" t="s">
        <v>343</v>
      </c>
      <c r="L319" s="108">
        <v>42314</v>
      </c>
      <c r="M319" s="11">
        <f t="shared" ca="1" si="10"/>
        <v>102</v>
      </c>
      <c r="N319" s="108">
        <v>42361</v>
      </c>
      <c r="O319" s="108"/>
      <c r="Q319" s="44"/>
      <c r="R319" s="115" t="s">
        <v>2617</v>
      </c>
      <c r="S319" s="115"/>
      <c r="T319" s="115"/>
      <c r="U319" s="115"/>
      <c r="W319" s="103" t="s">
        <v>188</v>
      </c>
      <c r="X319" s="108">
        <v>42416</v>
      </c>
      <c r="Y319" s="103">
        <v>7</v>
      </c>
      <c r="Z319" s="108" t="s">
        <v>1356</v>
      </c>
      <c r="AA319" s="108" t="s">
        <v>1356</v>
      </c>
      <c r="AB319" s="108" t="s">
        <v>2604</v>
      </c>
      <c r="AC319" s="108" t="s">
        <v>2350</v>
      </c>
      <c r="AD319" s="108" t="s">
        <v>1356</v>
      </c>
      <c r="AE319" s="108" t="s">
        <v>1356</v>
      </c>
      <c r="AF319" s="108" t="s">
        <v>2604</v>
      </c>
    </row>
    <row r="320" spans="1:32" s="103" customFormat="1" x14ac:dyDescent="0.25">
      <c r="A320" s="101" t="s">
        <v>1412</v>
      </c>
      <c r="B320" s="103" t="s">
        <v>1413</v>
      </c>
      <c r="D320" s="103" t="s">
        <v>108</v>
      </c>
      <c r="E320" s="103" t="s">
        <v>108</v>
      </c>
      <c r="H320" s="103" t="s">
        <v>97</v>
      </c>
      <c r="I320" s="111" t="s">
        <v>1411</v>
      </c>
      <c r="J320" s="103" t="s">
        <v>2282</v>
      </c>
      <c r="K320" s="103" t="s">
        <v>98</v>
      </c>
      <c r="L320" s="108">
        <v>42282</v>
      </c>
      <c r="M320" s="11">
        <f t="shared" ca="1" si="10"/>
        <v>134</v>
      </c>
      <c r="N320" s="108">
        <v>42285</v>
      </c>
      <c r="O320" s="108">
        <v>42352</v>
      </c>
      <c r="Q320" s="45"/>
      <c r="R320" s="103" t="s">
        <v>2631</v>
      </c>
      <c r="W320" s="103" t="s">
        <v>156</v>
      </c>
      <c r="X320" s="108">
        <v>42416</v>
      </c>
      <c r="AC320" s="108" t="s">
        <v>273</v>
      </c>
      <c r="AD320" s="108" t="s">
        <v>2282</v>
      </c>
      <c r="AE320" s="103" t="s">
        <v>2282</v>
      </c>
      <c r="AF320" s="103" t="s">
        <v>2282</v>
      </c>
    </row>
    <row r="321" spans="1:33" s="103" customFormat="1" x14ac:dyDescent="0.25">
      <c r="A321" s="101" t="s">
        <v>2495</v>
      </c>
      <c r="B321" s="103" t="s">
        <v>2501</v>
      </c>
      <c r="D321" s="101" t="s">
        <v>2288</v>
      </c>
      <c r="E321" s="103" t="s">
        <v>1347</v>
      </c>
      <c r="H321" s="101" t="s">
        <v>2495</v>
      </c>
      <c r="I321" s="111" t="s">
        <v>2407</v>
      </c>
      <c r="K321" s="103" t="s">
        <v>2495</v>
      </c>
      <c r="L321" s="103" t="s">
        <v>2495</v>
      </c>
      <c r="M321" s="11" t="str">
        <f t="shared" ca="1" si="10"/>
        <v/>
      </c>
      <c r="N321" s="133">
        <v>42217</v>
      </c>
      <c r="O321" s="103" t="s">
        <v>2495</v>
      </c>
      <c r="P321" s="103" t="s">
        <v>2495</v>
      </c>
      <c r="Q321" s="103" t="s">
        <v>2495</v>
      </c>
      <c r="R321" s="103" t="s">
        <v>2495</v>
      </c>
      <c r="W321" s="103" t="s">
        <v>156</v>
      </c>
      <c r="X321" s="108">
        <v>42416</v>
      </c>
      <c r="AC321" s="108" t="s">
        <v>273</v>
      </c>
      <c r="AD321" s="108" t="s">
        <v>2282</v>
      </c>
      <c r="AE321" s="103" t="s">
        <v>2282</v>
      </c>
      <c r="AF321" s="103" t="s">
        <v>2282</v>
      </c>
    </row>
    <row r="322" spans="1:33" s="103" customFormat="1" x14ac:dyDescent="0.25">
      <c r="A322" s="101" t="s">
        <v>69</v>
      </c>
      <c r="B322" s="103" t="s">
        <v>195</v>
      </c>
      <c r="D322" s="103" t="s">
        <v>118</v>
      </c>
      <c r="E322" s="103" t="s">
        <v>160</v>
      </c>
      <c r="H322" s="103" t="s">
        <v>2347</v>
      </c>
      <c r="I322" s="111" t="s">
        <v>246</v>
      </c>
      <c r="J322" s="103" t="s">
        <v>2396</v>
      </c>
      <c r="K322" s="103" t="s">
        <v>99</v>
      </c>
      <c r="L322" s="108">
        <v>42116.354861111111</v>
      </c>
      <c r="M322" s="11">
        <f t="shared" ca="1" si="10"/>
        <v>299.64513888888905</v>
      </c>
      <c r="N322" s="108">
        <v>42217</v>
      </c>
      <c r="O322" s="108">
        <v>42333</v>
      </c>
      <c r="P322" s="103" t="s">
        <v>273</v>
      </c>
      <c r="Q322" s="44"/>
      <c r="R322" s="115" t="s">
        <v>2686</v>
      </c>
      <c r="S322" s="115"/>
      <c r="T322" s="115"/>
      <c r="U322" s="115"/>
      <c r="W322" s="103" t="s">
        <v>156</v>
      </c>
      <c r="X322" s="108">
        <v>42416</v>
      </c>
      <c r="Y322" s="103">
        <v>512</v>
      </c>
      <c r="Z322" s="108" t="s">
        <v>2282</v>
      </c>
      <c r="AA322" s="103" t="s">
        <v>2282</v>
      </c>
      <c r="AB322" s="103" t="s">
        <v>2282</v>
      </c>
      <c r="AC322" s="108" t="s">
        <v>273</v>
      </c>
      <c r="AD322" s="108" t="s">
        <v>2282</v>
      </c>
      <c r="AE322" s="103" t="s">
        <v>2282</v>
      </c>
      <c r="AF322" s="103" t="s">
        <v>2282</v>
      </c>
    </row>
    <row r="323" spans="1:33" s="103" customFormat="1" x14ac:dyDescent="0.25">
      <c r="A323" s="101" t="s">
        <v>2591</v>
      </c>
      <c r="B323" s="103" t="s">
        <v>2592</v>
      </c>
      <c r="D323" s="103" t="s">
        <v>2288</v>
      </c>
      <c r="E323" s="103" t="s">
        <v>1430</v>
      </c>
      <c r="H323" s="103" t="s">
        <v>2347</v>
      </c>
      <c r="I323" s="111" t="s">
        <v>2130</v>
      </c>
      <c r="J323" s="103" t="s">
        <v>2677</v>
      </c>
      <c r="K323" s="103" t="s">
        <v>97</v>
      </c>
      <c r="L323" s="108">
        <v>42389</v>
      </c>
      <c r="M323" s="11">
        <f t="shared" ca="1" si="10"/>
        <v>26</v>
      </c>
      <c r="N323" s="108">
        <v>42397</v>
      </c>
      <c r="O323" s="108"/>
      <c r="R323" s="115" t="s">
        <v>2685</v>
      </c>
      <c r="S323" s="115"/>
      <c r="T323" s="115"/>
      <c r="U323" s="115"/>
      <c r="W323" s="103" t="s">
        <v>188</v>
      </c>
      <c r="X323" s="108">
        <v>42415</v>
      </c>
      <c r="Z323" s="108" t="s">
        <v>1356</v>
      </c>
      <c r="AA323" s="108" t="s">
        <v>1356</v>
      </c>
      <c r="AB323" s="108" t="s">
        <v>1356</v>
      </c>
      <c r="AC323" s="108" t="s">
        <v>273</v>
      </c>
      <c r="AD323" s="108" t="s">
        <v>2282</v>
      </c>
      <c r="AE323" s="103" t="s">
        <v>2282</v>
      </c>
      <c r="AF323" s="103" t="s">
        <v>2282</v>
      </c>
      <c r="AG323" s="101" t="s">
        <v>273</v>
      </c>
    </row>
    <row r="324" spans="1:33" s="103" customFormat="1" x14ac:dyDescent="0.25">
      <c r="A324" s="101" t="s">
        <v>192</v>
      </c>
      <c r="B324" s="103" t="s">
        <v>2162</v>
      </c>
      <c r="D324" s="103" t="s">
        <v>118</v>
      </c>
      <c r="E324" s="103" t="s">
        <v>155</v>
      </c>
      <c r="H324" s="103" t="s">
        <v>2320</v>
      </c>
      <c r="I324" s="111" t="s">
        <v>2407</v>
      </c>
      <c r="J324" s="103" t="s">
        <v>2310</v>
      </c>
      <c r="K324" s="103" t="s">
        <v>97</v>
      </c>
      <c r="L324" s="108">
        <v>42243</v>
      </c>
      <c r="M324" s="11">
        <f t="shared" ca="1" si="10"/>
        <v>179</v>
      </c>
      <c r="N324" s="108">
        <v>42217</v>
      </c>
      <c r="O324" s="108" t="s">
        <v>193</v>
      </c>
      <c r="Q324" s="46"/>
      <c r="R324" s="103" t="s">
        <v>2734</v>
      </c>
      <c r="W324" s="103" t="s">
        <v>156</v>
      </c>
      <c r="X324" s="108">
        <v>42422</v>
      </c>
      <c r="Z324" s="103">
        <v>26.827999999999999</v>
      </c>
      <c r="AB324" s="103">
        <v>1</v>
      </c>
      <c r="AC324" s="108" t="s">
        <v>273</v>
      </c>
      <c r="AD324" s="108" t="s">
        <v>2282</v>
      </c>
      <c r="AE324" s="103" t="s">
        <v>2282</v>
      </c>
      <c r="AF324" s="103" t="s">
        <v>2282</v>
      </c>
      <c r="AG324" s="101" t="s">
        <v>2350</v>
      </c>
    </row>
    <row r="325" spans="1:33" s="103" customFormat="1" x14ac:dyDescent="0.25">
      <c r="A325" s="101" t="s">
        <v>42</v>
      </c>
      <c r="B325" s="7" t="s">
        <v>255</v>
      </c>
      <c r="C325" s="7"/>
      <c r="D325" s="103" t="s">
        <v>119</v>
      </c>
      <c r="E325" s="103" t="s">
        <v>153</v>
      </c>
      <c r="H325" s="103" t="s">
        <v>2358</v>
      </c>
      <c r="I325" s="111" t="s">
        <v>245</v>
      </c>
      <c r="J325" s="103" t="s">
        <v>2313</v>
      </c>
      <c r="K325" s="103" t="s">
        <v>343</v>
      </c>
      <c r="L325" s="108">
        <v>42193.452777777777</v>
      </c>
      <c r="M325" s="11">
        <f t="shared" ca="1" si="10"/>
        <v>229.54722222222335</v>
      </c>
      <c r="N325" s="108">
        <v>42217</v>
      </c>
      <c r="O325" s="108"/>
      <c r="Q325" s="44"/>
      <c r="R325" s="103" t="s">
        <v>2679</v>
      </c>
      <c r="W325" s="103" t="s">
        <v>156</v>
      </c>
      <c r="X325" s="108">
        <v>42423</v>
      </c>
      <c r="Y325" s="103">
        <v>6</v>
      </c>
      <c r="Z325" s="108" t="s">
        <v>2282</v>
      </c>
      <c r="AA325" s="103" t="s">
        <v>2282</v>
      </c>
      <c r="AB325" s="103" t="s">
        <v>2282</v>
      </c>
      <c r="AC325" s="108" t="s">
        <v>273</v>
      </c>
      <c r="AD325" s="108" t="s">
        <v>2282</v>
      </c>
      <c r="AE325" s="103" t="s">
        <v>2282</v>
      </c>
      <c r="AF325" s="103" t="s">
        <v>2282</v>
      </c>
      <c r="AG325" s="101" t="s">
        <v>2350</v>
      </c>
    </row>
    <row r="326" spans="1:33" s="103" customFormat="1" x14ac:dyDescent="0.25">
      <c r="A326" s="101" t="s">
        <v>1779</v>
      </c>
      <c r="B326" s="103" t="s">
        <v>2436</v>
      </c>
      <c r="D326" s="103" t="s">
        <v>2288</v>
      </c>
      <c r="E326" s="103" t="s">
        <v>1430</v>
      </c>
      <c r="H326" s="103" t="s">
        <v>2320</v>
      </c>
      <c r="I326" s="111" t="s">
        <v>280</v>
      </c>
      <c r="J326" s="103" t="s">
        <v>2310</v>
      </c>
      <c r="K326" s="103" t="s">
        <v>2320</v>
      </c>
      <c r="L326" s="108">
        <v>42292</v>
      </c>
      <c r="M326" s="11">
        <f t="shared" ca="1" si="10"/>
        <v>131</v>
      </c>
      <c r="N326" s="108">
        <v>42361</v>
      </c>
      <c r="O326" s="108"/>
      <c r="Q326" s="46"/>
      <c r="R326" s="103" t="s">
        <v>2733</v>
      </c>
      <c r="W326" s="103" t="s">
        <v>188</v>
      </c>
      <c r="X326" s="108">
        <v>42423</v>
      </c>
      <c r="AC326" s="108" t="s">
        <v>273</v>
      </c>
      <c r="AD326" s="108" t="s">
        <v>2282</v>
      </c>
      <c r="AE326" s="103" t="s">
        <v>2282</v>
      </c>
      <c r="AF326" s="103" t="s">
        <v>2282</v>
      </c>
      <c r="AG326" s="101" t="s">
        <v>2350</v>
      </c>
    </row>
    <row r="327" spans="1:33" s="103" customFormat="1" x14ac:dyDescent="0.25">
      <c r="A327" s="101" t="s">
        <v>2561</v>
      </c>
      <c r="B327" s="103" t="s">
        <v>2562</v>
      </c>
      <c r="D327" s="103" t="s">
        <v>119</v>
      </c>
      <c r="E327" s="103" t="s">
        <v>1430</v>
      </c>
      <c r="H327" s="103" t="s">
        <v>2361</v>
      </c>
      <c r="I327" s="111" t="s">
        <v>177</v>
      </c>
      <c r="J327" s="103" t="s">
        <v>2393</v>
      </c>
      <c r="K327" s="103" t="s">
        <v>343</v>
      </c>
      <c r="L327" s="108">
        <v>42380</v>
      </c>
      <c r="M327" s="11">
        <f t="shared" ca="1" si="10"/>
        <v>143</v>
      </c>
      <c r="N327" s="108">
        <v>42383</v>
      </c>
      <c r="O327" s="108">
        <v>42370</v>
      </c>
      <c r="P327" s="103" t="s">
        <v>273</v>
      </c>
      <c r="Q327" s="44"/>
      <c r="R327" s="103" t="s">
        <v>2735</v>
      </c>
      <c r="W327" s="103" t="s">
        <v>189</v>
      </c>
      <c r="X327" s="108">
        <v>42423</v>
      </c>
      <c r="Y327" s="103">
        <v>14</v>
      </c>
      <c r="AC327" s="103" t="s">
        <v>273</v>
      </c>
      <c r="AD327" s="103" t="s">
        <v>348</v>
      </c>
      <c r="AE327" s="103" t="s">
        <v>348</v>
      </c>
      <c r="AF327" s="103" t="s">
        <v>348</v>
      </c>
      <c r="AG327" s="101" t="s">
        <v>2350</v>
      </c>
    </row>
    <row r="328" spans="1:33" s="103" customFormat="1" x14ac:dyDescent="0.25">
      <c r="A328" s="101" t="s">
        <v>2522</v>
      </c>
      <c r="B328" s="103" t="s">
        <v>2483</v>
      </c>
      <c r="D328" s="103" t="s">
        <v>119</v>
      </c>
      <c r="E328" s="103" t="s">
        <v>1430</v>
      </c>
      <c r="H328" s="103" t="s">
        <v>2361</v>
      </c>
      <c r="I328" s="111" t="s">
        <v>177</v>
      </c>
      <c r="J328" s="103" t="s">
        <v>2388</v>
      </c>
      <c r="K328" s="103" t="s">
        <v>343</v>
      </c>
      <c r="L328" s="108">
        <v>42381</v>
      </c>
      <c r="M328" s="11">
        <f t="shared" ca="1" si="10"/>
        <v>142</v>
      </c>
      <c r="N328" s="108">
        <v>42383</v>
      </c>
      <c r="O328" s="108">
        <v>42394</v>
      </c>
      <c r="P328" s="103" t="s">
        <v>2389</v>
      </c>
      <c r="Q328" s="44"/>
      <c r="R328" s="103" t="s">
        <v>2736</v>
      </c>
      <c r="W328" s="103" t="s">
        <v>189</v>
      </c>
      <c r="X328" s="108">
        <v>42423</v>
      </c>
      <c r="Y328" s="103">
        <v>100</v>
      </c>
      <c r="AC328" s="103" t="s">
        <v>273</v>
      </c>
      <c r="AD328" s="103" t="s">
        <v>348</v>
      </c>
      <c r="AE328" s="103" t="s">
        <v>348</v>
      </c>
      <c r="AF328" s="103" t="s">
        <v>348</v>
      </c>
      <c r="AG328" s="101" t="s">
        <v>2350</v>
      </c>
    </row>
    <row r="329" spans="1:33" s="103" customFormat="1" x14ac:dyDescent="0.25">
      <c r="A329" s="101" t="s">
        <v>2552</v>
      </c>
      <c r="B329" s="103" t="s">
        <v>2553</v>
      </c>
      <c r="D329" s="103" t="s">
        <v>119</v>
      </c>
      <c r="E329" s="103" t="s">
        <v>155</v>
      </c>
      <c r="H329" s="103" t="s">
        <v>2360</v>
      </c>
      <c r="I329" s="111" t="s">
        <v>177</v>
      </c>
      <c r="J329" s="103" t="s">
        <v>2315</v>
      </c>
      <c r="K329" s="103" t="s">
        <v>343</v>
      </c>
      <c r="L329" s="108">
        <v>42383</v>
      </c>
      <c r="M329" s="11">
        <f t="shared" ca="1" si="10"/>
        <v>140</v>
      </c>
      <c r="N329" s="108">
        <v>42395</v>
      </c>
      <c r="O329" s="108" t="s">
        <v>348</v>
      </c>
      <c r="P329" s="103" t="s">
        <v>2350</v>
      </c>
      <c r="Q329" s="44"/>
      <c r="R329" s="103" t="s">
        <v>2739</v>
      </c>
      <c r="W329" s="103" t="s">
        <v>189</v>
      </c>
      <c r="X329" s="108">
        <v>42423</v>
      </c>
      <c r="Y329" s="103">
        <v>10</v>
      </c>
      <c r="AC329" s="103" t="s">
        <v>273</v>
      </c>
      <c r="AD329" s="103" t="s">
        <v>348</v>
      </c>
      <c r="AE329" s="103" t="s">
        <v>348</v>
      </c>
      <c r="AF329" s="103" t="s">
        <v>348</v>
      </c>
      <c r="AG329" s="101" t="s">
        <v>2350</v>
      </c>
    </row>
    <row r="330" spans="1:33" s="103" customFormat="1" x14ac:dyDescent="0.25">
      <c r="A330" s="101" t="s">
        <v>2563</v>
      </c>
      <c r="B330" s="103" t="s">
        <v>2564</v>
      </c>
      <c r="D330" s="103" t="s">
        <v>119</v>
      </c>
      <c r="E330" s="103" t="s">
        <v>1430</v>
      </c>
      <c r="H330" s="103" t="s">
        <v>2361</v>
      </c>
      <c r="I330" s="111" t="s">
        <v>177</v>
      </c>
      <c r="J330" s="103" t="s">
        <v>2375</v>
      </c>
      <c r="K330" s="103" t="s">
        <v>343</v>
      </c>
      <c r="L330" s="108">
        <v>42380</v>
      </c>
      <c r="M330" s="11">
        <f t="shared" ca="1" si="10"/>
        <v>143</v>
      </c>
      <c r="N330" s="108">
        <v>42383</v>
      </c>
      <c r="O330" s="108">
        <v>42370</v>
      </c>
      <c r="P330" s="103" t="s">
        <v>273</v>
      </c>
      <c r="Q330" s="44"/>
      <c r="R330" s="103" t="s">
        <v>2737</v>
      </c>
      <c r="W330" s="103" t="s">
        <v>189</v>
      </c>
      <c r="X330" s="108">
        <v>42423</v>
      </c>
      <c r="Y330" s="103">
        <v>7</v>
      </c>
      <c r="AC330" s="103" t="s">
        <v>273</v>
      </c>
      <c r="AD330" s="103" t="s">
        <v>348</v>
      </c>
      <c r="AE330" s="103" t="s">
        <v>348</v>
      </c>
      <c r="AF330" s="103" t="s">
        <v>348</v>
      </c>
      <c r="AG330" s="101" t="s">
        <v>2350</v>
      </c>
    </row>
    <row r="331" spans="1:33" s="103" customFormat="1" x14ac:dyDescent="0.25">
      <c r="A331" s="101" t="s">
        <v>2565</v>
      </c>
      <c r="B331" s="103" t="s">
        <v>2566</v>
      </c>
      <c r="D331" s="103" t="s">
        <v>119</v>
      </c>
      <c r="E331" s="103" t="s">
        <v>1430</v>
      </c>
      <c r="H331" s="103" t="s">
        <v>2361</v>
      </c>
      <c r="I331" s="111" t="s">
        <v>177</v>
      </c>
      <c r="J331" s="103" t="s">
        <v>2375</v>
      </c>
      <c r="K331" s="103" t="s">
        <v>343</v>
      </c>
      <c r="L331" s="108">
        <v>42380</v>
      </c>
      <c r="M331" s="11">
        <f t="shared" ca="1" si="10"/>
        <v>143</v>
      </c>
      <c r="N331" s="108">
        <v>42383</v>
      </c>
      <c r="O331" s="108">
        <v>42370</v>
      </c>
      <c r="P331" s="103" t="s">
        <v>273</v>
      </c>
      <c r="Q331" s="44"/>
      <c r="R331" s="103" t="s">
        <v>2737</v>
      </c>
      <c r="W331" s="103" t="s">
        <v>189</v>
      </c>
      <c r="X331" s="108">
        <v>42423</v>
      </c>
      <c r="Y331" s="103">
        <v>5</v>
      </c>
      <c r="AC331" s="103" t="s">
        <v>273</v>
      </c>
      <c r="AD331" s="103" t="s">
        <v>348</v>
      </c>
      <c r="AE331" s="103" t="s">
        <v>348</v>
      </c>
      <c r="AF331" s="103" t="s">
        <v>348</v>
      </c>
      <c r="AG331" s="101" t="s">
        <v>2350</v>
      </c>
    </row>
    <row r="332" spans="1:33" s="103" customFormat="1" x14ac:dyDescent="0.25">
      <c r="A332" s="101" t="s">
        <v>2567</v>
      </c>
      <c r="B332" s="103" t="s">
        <v>2568</v>
      </c>
      <c r="D332" s="103" t="s">
        <v>119</v>
      </c>
      <c r="E332" s="103" t="s">
        <v>1430</v>
      </c>
      <c r="H332" s="103" t="s">
        <v>2361</v>
      </c>
      <c r="I332" s="111" t="s">
        <v>177</v>
      </c>
      <c r="J332" s="103" t="s">
        <v>2375</v>
      </c>
      <c r="K332" s="103" t="s">
        <v>343</v>
      </c>
      <c r="L332" s="108">
        <v>42380</v>
      </c>
      <c r="M332" s="11">
        <f t="shared" ca="1" si="10"/>
        <v>143</v>
      </c>
      <c r="N332" s="108">
        <v>42383</v>
      </c>
      <c r="O332" s="108">
        <v>42370</v>
      </c>
      <c r="P332" s="103" t="s">
        <v>273</v>
      </c>
      <c r="Q332" s="44"/>
      <c r="R332" s="103" t="s">
        <v>2738</v>
      </c>
      <c r="W332" s="103" t="s">
        <v>189</v>
      </c>
      <c r="X332" s="108">
        <v>42423</v>
      </c>
      <c r="Y332" s="103">
        <v>1</v>
      </c>
      <c r="AC332" s="103" t="s">
        <v>273</v>
      </c>
      <c r="AD332" s="103" t="s">
        <v>348</v>
      </c>
      <c r="AE332" s="103" t="s">
        <v>348</v>
      </c>
      <c r="AF332" s="103" t="s">
        <v>348</v>
      </c>
      <c r="AG332" s="101" t="s">
        <v>2350</v>
      </c>
    </row>
    <row r="333" spans="1:33" s="103" customFormat="1" x14ac:dyDescent="0.25">
      <c r="A333" s="101" t="s">
        <v>2569</v>
      </c>
      <c r="B333" s="103" t="s">
        <v>2570</v>
      </c>
      <c r="D333" s="103" t="s">
        <v>119</v>
      </c>
      <c r="E333" s="103" t="s">
        <v>1430</v>
      </c>
      <c r="H333" s="103" t="s">
        <v>2361</v>
      </c>
      <c r="I333" s="111" t="s">
        <v>177</v>
      </c>
      <c r="J333" s="103" t="s">
        <v>2375</v>
      </c>
      <c r="K333" s="103" t="s">
        <v>343</v>
      </c>
      <c r="L333" s="108">
        <v>42380</v>
      </c>
      <c r="M333" s="11">
        <f t="shared" ca="1" si="10"/>
        <v>143</v>
      </c>
      <c r="N333" s="108">
        <v>42383</v>
      </c>
      <c r="O333" s="108">
        <v>42370</v>
      </c>
      <c r="P333" s="103" t="s">
        <v>273</v>
      </c>
      <c r="Q333" s="44"/>
      <c r="R333" s="103" t="s">
        <v>2738</v>
      </c>
      <c r="W333" s="103" t="s">
        <v>189</v>
      </c>
      <c r="X333" s="108">
        <v>42423</v>
      </c>
      <c r="Y333" s="103">
        <v>5</v>
      </c>
      <c r="AC333" s="103" t="s">
        <v>273</v>
      </c>
      <c r="AD333" s="103" t="s">
        <v>348</v>
      </c>
      <c r="AE333" s="103" t="s">
        <v>348</v>
      </c>
      <c r="AF333" s="103" t="s">
        <v>348</v>
      </c>
      <c r="AG333" s="101" t="s">
        <v>2350</v>
      </c>
    </row>
    <row r="334" spans="1:33" s="103" customFormat="1" x14ac:dyDescent="0.25">
      <c r="A334" s="101" t="s">
        <v>2495</v>
      </c>
      <c r="B334" s="103" t="s">
        <v>2498</v>
      </c>
      <c r="D334" s="101" t="s">
        <v>2288</v>
      </c>
      <c r="E334" s="103" t="s">
        <v>1347</v>
      </c>
      <c r="H334" s="101" t="s">
        <v>2495</v>
      </c>
      <c r="I334" s="111" t="s">
        <v>2407</v>
      </c>
      <c r="K334" s="103" t="s">
        <v>2495</v>
      </c>
      <c r="L334" s="103" t="s">
        <v>2495</v>
      </c>
      <c r="M334" s="11" t="str">
        <f t="shared" ca="1" si="10"/>
        <v/>
      </c>
      <c r="N334" s="133">
        <v>42217</v>
      </c>
      <c r="O334" s="103" t="s">
        <v>2495</v>
      </c>
      <c r="P334" s="103" t="s">
        <v>2495</v>
      </c>
      <c r="Q334" s="103" t="s">
        <v>2495</v>
      </c>
      <c r="R334" s="103" t="s">
        <v>2495</v>
      </c>
      <c r="W334" s="103" t="s">
        <v>156</v>
      </c>
      <c r="X334" s="108">
        <v>42402</v>
      </c>
      <c r="AA334" s="101" t="s">
        <v>273</v>
      </c>
    </row>
    <row r="335" spans="1:33" s="103" customFormat="1" x14ac:dyDescent="0.25">
      <c r="A335" s="101" t="s">
        <v>2495</v>
      </c>
      <c r="B335" s="103" t="s">
        <v>2499</v>
      </c>
      <c r="D335" s="101" t="s">
        <v>2288</v>
      </c>
      <c r="E335" s="103" t="s">
        <v>1347</v>
      </c>
      <c r="H335" s="101" t="s">
        <v>2495</v>
      </c>
      <c r="I335" s="111" t="s">
        <v>2407</v>
      </c>
      <c r="K335" s="103" t="s">
        <v>2495</v>
      </c>
      <c r="L335" s="103" t="s">
        <v>2495</v>
      </c>
      <c r="M335" s="11" t="str">
        <f t="shared" ca="1" si="10"/>
        <v/>
      </c>
      <c r="N335" s="133">
        <v>42217</v>
      </c>
      <c r="O335" s="103" t="s">
        <v>2495</v>
      </c>
      <c r="P335" s="103" t="s">
        <v>2495</v>
      </c>
      <c r="Q335" s="103" t="s">
        <v>2495</v>
      </c>
      <c r="R335" s="103" t="s">
        <v>2495</v>
      </c>
      <c r="W335" s="103" t="s">
        <v>156</v>
      </c>
      <c r="X335" s="108">
        <v>42402</v>
      </c>
      <c r="AA335" s="101" t="s">
        <v>273</v>
      </c>
    </row>
    <row r="336" spans="1:33" s="103" customFormat="1" x14ac:dyDescent="0.25">
      <c r="A336" s="101" t="s">
        <v>2495</v>
      </c>
      <c r="B336" s="103" t="s">
        <v>2500</v>
      </c>
      <c r="D336" s="101" t="s">
        <v>2288</v>
      </c>
      <c r="E336" s="103" t="s">
        <v>1347</v>
      </c>
      <c r="H336" s="101" t="s">
        <v>2495</v>
      </c>
      <c r="I336" s="111" t="s">
        <v>2407</v>
      </c>
      <c r="K336" s="103" t="s">
        <v>2495</v>
      </c>
      <c r="L336" s="103" t="s">
        <v>2495</v>
      </c>
      <c r="M336" s="11" t="str">
        <f t="shared" ca="1" si="10"/>
        <v/>
      </c>
      <c r="N336" s="133">
        <v>42217</v>
      </c>
      <c r="O336" s="103" t="s">
        <v>2495</v>
      </c>
      <c r="P336" s="103" t="s">
        <v>2495</v>
      </c>
      <c r="Q336" s="103" t="s">
        <v>2495</v>
      </c>
      <c r="R336" s="103" t="s">
        <v>2495</v>
      </c>
      <c r="W336" s="103" t="s">
        <v>156</v>
      </c>
      <c r="X336" s="108">
        <v>42402</v>
      </c>
      <c r="AA336" s="101" t="s">
        <v>273</v>
      </c>
    </row>
    <row r="337" spans="1:27" s="103" customFormat="1" x14ac:dyDescent="0.25">
      <c r="A337" s="101" t="s">
        <v>2730</v>
      </c>
      <c r="B337" s="103" t="s">
        <v>2731</v>
      </c>
      <c r="D337" s="103" t="s">
        <v>119</v>
      </c>
      <c r="E337" s="103" t="s">
        <v>1430</v>
      </c>
      <c r="H337" s="103" t="s">
        <v>2360</v>
      </c>
      <c r="I337" s="111" t="s">
        <v>2130</v>
      </c>
      <c r="J337" s="103" t="s">
        <v>2388</v>
      </c>
      <c r="K337" s="103" t="s">
        <v>343</v>
      </c>
      <c r="L337" s="108">
        <v>42417</v>
      </c>
      <c r="M337" s="11">
        <f t="shared" ca="1" si="10"/>
        <v>12</v>
      </c>
      <c r="N337" s="108">
        <v>42419</v>
      </c>
      <c r="O337" s="108"/>
      <c r="Q337" s="44"/>
      <c r="R337" s="115" t="s">
        <v>2779</v>
      </c>
      <c r="T337" s="108"/>
      <c r="W337" s="128" t="s">
        <v>188</v>
      </c>
      <c r="X337" s="108">
        <v>42429</v>
      </c>
      <c r="AA337" s="101" t="s">
        <v>2350</v>
      </c>
    </row>
    <row r="338" spans="1:27" s="103" customFormat="1" x14ac:dyDescent="0.25">
      <c r="A338" s="101" t="s">
        <v>477</v>
      </c>
      <c r="B338" s="103" t="s">
        <v>478</v>
      </c>
      <c r="D338" s="103" t="s">
        <v>118</v>
      </c>
      <c r="E338" s="103" t="s">
        <v>159</v>
      </c>
      <c r="H338" s="103" t="s">
        <v>2344</v>
      </c>
      <c r="I338" s="111" t="s">
        <v>2130</v>
      </c>
      <c r="J338" s="103" t="s">
        <v>2626</v>
      </c>
      <c r="K338" s="103" t="s">
        <v>97</v>
      </c>
      <c r="L338" s="108">
        <v>42282</v>
      </c>
      <c r="M338" s="11">
        <f t="shared" ca="1" si="10"/>
        <v>147</v>
      </c>
      <c r="N338" s="108">
        <v>42284</v>
      </c>
      <c r="O338" s="108"/>
      <c r="Q338" s="45"/>
      <c r="R338" s="115" t="s">
        <v>2778</v>
      </c>
      <c r="T338" s="108"/>
      <c r="W338" s="128" t="s">
        <v>188</v>
      </c>
      <c r="X338" s="108">
        <v>42429</v>
      </c>
      <c r="Z338" s="108" t="s">
        <v>1356</v>
      </c>
      <c r="AA338" s="101" t="s">
        <v>273</v>
      </c>
    </row>
    <row r="339" spans="1:27" s="103" customFormat="1" x14ac:dyDescent="0.25">
      <c r="A339" s="101" t="s">
        <v>1326</v>
      </c>
      <c r="B339" s="103" t="s">
        <v>1327</v>
      </c>
      <c r="D339" s="103" t="s">
        <v>118</v>
      </c>
      <c r="E339" s="103" t="s">
        <v>159</v>
      </c>
      <c r="H339" s="103" t="s">
        <v>97</v>
      </c>
      <c r="I339" s="111" t="s">
        <v>2130</v>
      </c>
      <c r="J339" s="103" t="s">
        <v>2606</v>
      </c>
      <c r="K339" s="103" t="s">
        <v>97</v>
      </c>
      <c r="L339" s="108">
        <v>42277</v>
      </c>
      <c r="M339" s="11">
        <f t="shared" ca="1" si="10"/>
        <v>146</v>
      </c>
      <c r="N339" s="108">
        <v>42285</v>
      </c>
      <c r="O339" s="108" t="s">
        <v>2531</v>
      </c>
      <c r="P339" s="103" t="s">
        <v>2389</v>
      </c>
      <c r="Q339" s="45"/>
      <c r="R339" s="115" t="s">
        <v>2743</v>
      </c>
      <c r="T339" s="108"/>
      <c r="W339" s="128" t="s">
        <v>188</v>
      </c>
      <c r="X339" s="108">
        <v>42423</v>
      </c>
      <c r="Z339" s="108" t="s">
        <v>1356</v>
      </c>
      <c r="AA339" s="101" t="s">
        <v>273</v>
      </c>
    </row>
    <row r="340" spans="1:27" s="103" customFormat="1" x14ac:dyDescent="0.25">
      <c r="A340" s="101" t="s">
        <v>2795</v>
      </c>
      <c r="B340" s="103" t="s">
        <v>2716</v>
      </c>
      <c r="D340" s="103" t="s">
        <v>118</v>
      </c>
      <c r="E340" s="103" t="s">
        <v>1430</v>
      </c>
      <c r="H340" s="103" t="s">
        <v>2320</v>
      </c>
      <c r="I340" s="111" t="s">
        <v>280</v>
      </c>
      <c r="J340" s="103" t="s">
        <v>2310</v>
      </c>
      <c r="K340" s="103" t="s">
        <v>2320</v>
      </c>
      <c r="L340" s="108">
        <v>42417</v>
      </c>
      <c r="M340" s="11">
        <f t="shared" ca="1" si="10"/>
        <v>13</v>
      </c>
      <c r="N340" s="108">
        <v>42417</v>
      </c>
      <c r="O340" s="108"/>
      <c r="Q340" s="46"/>
      <c r="R340" s="103" t="s">
        <v>2789</v>
      </c>
      <c r="T340" s="108"/>
      <c r="W340" s="103" t="s">
        <v>810</v>
      </c>
      <c r="X340" s="108">
        <v>42430</v>
      </c>
      <c r="AA340" s="101" t="s">
        <v>2350</v>
      </c>
    </row>
    <row r="341" spans="1:27" s="103" customFormat="1" x14ac:dyDescent="0.25">
      <c r="A341" s="101" t="s">
        <v>2645</v>
      </c>
      <c r="B341" s="103" t="s">
        <v>2644</v>
      </c>
      <c r="D341" s="103" t="s">
        <v>118</v>
      </c>
      <c r="E341" s="103" t="s">
        <v>1430</v>
      </c>
      <c r="H341" s="103" t="s">
        <v>2320</v>
      </c>
      <c r="I341" s="111" t="s">
        <v>2407</v>
      </c>
      <c r="J341" s="103" t="s">
        <v>2310</v>
      </c>
      <c r="K341" s="103" t="s">
        <v>2320</v>
      </c>
      <c r="L341" s="108">
        <v>42403</v>
      </c>
      <c r="M341" s="11">
        <f t="shared" ca="1" si="10"/>
        <v>28</v>
      </c>
      <c r="N341" s="108">
        <v>42403</v>
      </c>
      <c r="O341" s="108"/>
      <c r="Q341" s="44"/>
      <c r="R341" s="103" t="s">
        <v>2788</v>
      </c>
      <c r="T341" s="108"/>
      <c r="W341" s="103" t="s">
        <v>188</v>
      </c>
      <c r="X341" s="108">
        <v>42431</v>
      </c>
      <c r="AA341" s="101" t="s">
        <v>2350</v>
      </c>
    </row>
    <row r="342" spans="1:27" s="103" customFormat="1" x14ac:dyDescent="0.25">
      <c r="A342" s="101" t="s">
        <v>2794</v>
      </c>
      <c r="B342" s="103" t="s">
        <v>2715</v>
      </c>
      <c r="D342" s="103" t="s">
        <v>118</v>
      </c>
      <c r="E342" s="103" t="s">
        <v>1430</v>
      </c>
      <c r="H342" s="103" t="s">
        <v>2320</v>
      </c>
      <c r="I342" s="111" t="s">
        <v>2407</v>
      </c>
      <c r="J342" s="103" t="s">
        <v>2310</v>
      </c>
      <c r="K342" s="103" t="s">
        <v>2320</v>
      </c>
      <c r="L342" s="108">
        <v>42417</v>
      </c>
      <c r="M342" s="11">
        <f t="shared" ca="1" si="10"/>
        <v>14</v>
      </c>
      <c r="N342" s="108">
        <v>42417</v>
      </c>
      <c r="O342" s="108"/>
      <c r="Q342" s="44"/>
      <c r="R342" s="103" t="s">
        <v>2802</v>
      </c>
      <c r="T342" s="108"/>
      <c r="W342" s="103" t="s">
        <v>188</v>
      </c>
      <c r="X342" s="108">
        <v>42431</v>
      </c>
      <c r="AA342" s="101" t="s">
        <v>2350</v>
      </c>
    </row>
    <row r="343" spans="1:27" s="103" customFormat="1" x14ac:dyDescent="0.25">
      <c r="A343" s="101" t="s">
        <v>2796</v>
      </c>
      <c r="B343" s="103" t="s">
        <v>2717</v>
      </c>
      <c r="D343" s="103" t="s">
        <v>118</v>
      </c>
      <c r="E343" s="103" t="s">
        <v>1430</v>
      </c>
      <c r="H343" s="103" t="s">
        <v>2320</v>
      </c>
      <c r="I343" s="111" t="s">
        <v>2407</v>
      </c>
      <c r="J343" s="103" t="s">
        <v>2310</v>
      </c>
      <c r="K343" s="103" t="s">
        <v>2320</v>
      </c>
      <c r="L343" s="108">
        <v>42417</v>
      </c>
      <c r="M343" s="11">
        <f t="shared" ca="1" si="10"/>
        <v>14</v>
      </c>
      <c r="N343" s="108">
        <v>42417</v>
      </c>
      <c r="O343" s="108"/>
      <c r="Q343" s="44"/>
      <c r="R343" s="103" t="s">
        <v>2803</v>
      </c>
      <c r="T343" s="108"/>
      <c r="W343" s="103" t="s">
        <v>188</v>
      </c>
      <c r="X343" s="108">
        <v>42431</v>
      </c>
      <c r="AA343" s="101" t="s">
        <v>2350</v>
      </c>
    </row>
    <row r="344" spans="1:27" s="103" customFormat="1" x14ac:dyDescent="0.25">
      <c r="A344" s="101" t="s">
        <v>2798</v>
      </c>
      <c r="B344" s="103" t="s">
        <v>2719</v>
      </c>
      <c r="D344" s="103" t="s">
        <v>118</v>
      </c>
      <c r="E344" s="103" t="s">
        <v>1430</v>
      </c>
      <c r="H344" s="103" t="s">
        <v>2320</v>
      </c>
      <c r="I344" s="111" t="s">
        <v>2407</v>
      </c>
      <c r="J344" s="103" t="s">
        <v>2310</v>
      </c>
      <c r="K344" s="103" t="s">
        <v>2320</v>
      </c>
      <c r="L344" s="108">
        <v>42417</v>
      </c>
      <c r="M344" s="11">
        <f t="shared" ca="1" si="10"/>
        <v>14</v>
      </c>
      <c r="N344" s="108">
        <v>42417</v>
      </c>
      <c r="O344" s="108"/>
      <c r="Q344" s="44"/>
      <c r="R344" s="103" t="s">
        <v>2803</v>
      </c>
      <c r="T344" s="108"/>
      <c r="W344" s="103" t="s">
        <v>188</v>
      </c>
      <c r="X344" s="108">
        <v>42431</v>
      </c>
      <c r="AA344" s="101" t="s">
        <v>2350</v>
      </c>
    </row>
    <row r="345" spans="1:27" s="103" customFormat="1" x14ac:dyDescent="0.25">
      <c r="A345" s="101" t="s">
        <v>2801</v>
      </c>
      <c r="B345" s="103" t="s">
        <v>2722</v>
      </c>
      <c r="D345" s="103" t="s">
        <v>118</v>
      </c>
      <c r="E345" s="103" t="s">
        <v>1430</v>
      </c>
      <c r="H345" s="103" t="s">
        <v>2320</v>
      </c>
      <c r="I345" s="111" t="s">
        <v>2407</v>
      </c>
      <c r="J345" s="103" t="s">
        <v>2310</v>
      </c>
      <c r="K345" s="103" t="s">
        <v>2320</v>
      </c>
      <c r="L345" s="108">
        <v>42417</v>
      </c>
      <c r="M345" s="11">
        <f t="shared" ca="1" si="10"/>
        <v>14</v>
      </c>
      <c r="N345" s="108">
        <v>42417</v>
      </c>
      <c r="O345" s="108"/>
      <c r="Q345" s="44"/>
      <c r="R345" s="103" t="s">
        <v>2804</v>
      </c>
      <c r="T345" s="108"/>
      <c r="W345" s="103" t="s">
        <v>188</v>
      </c>
      <c r="X345" s="108">
        <v>42431</v>
      </c>
      <c r="AA345" s="101" t="s">
        <v>2350</v>
      </c>
    </row>
    <row r="346" spans="1:27" s="103" customFormat="1" x14ac:dyDescent="0.25">
      <c r="A346" s="101" t="s">
        <v>2792</v>
      </c>
      <c r="B346" s="103" t="s">
        <v>2793</v>
      </c>
      <c r="D346" s="103" t="s">
        <v>118</v>
      </c>
      <c r="E346" s="103" t="s">
        <v>203</v>
      </c>
      <c r="H346" s="103" t="s">
        <v>2320</v>
      </c>
      <c r="I346" s="111" t="s">
        <v>2407</v>
      </c>
      <c r="J346" s="103" t="s">
        <v>2310</v>
      </c>
      <c r="K346" s="103" t="s">
        <v>2320</v>
      </c>
      <c r="L346" s="108">
        <v>42423</v>
      </c>
      <c r="M346" s="103">
        <f t="shared" ca="1" si="10"/>
        <v>8</v>
      </c>
      <c r="N346" s="108">
        <v>42423</v>
      </c>
      <c r="O346" s="108"/>
      <c r="Q346" s="46"/>
      <c r="R346" s="103" t="s">
        <v>2805</v>
      </c>
      <c r="T346" s="108"/>
      <c r="W346" s="103" t="s">
        <v>188</v>
      </c>
      <c r="X346" s="108">
        <v>42431</v>
      </c>
      <c r="AA346" s="101" t="s">
        <v>2350</v>
      </c>
    </row>
    <row r="347" spans="1:27" s="103" customFormat="1" x14ac:dyDescent="0.25">
      <c r="A347" s="101" t="s">
        <v>1891</v>
      </c>
      <c r="B347" s="103" t="s">
        <v>1997</v>
      </c>
      <c r="D347" s="103" t="s">
        <v>2288</v>
      </c>
      <c r="E347" s="103" t="s">
        <v>1430</v>
      </c>
      <c r="H347" s="103" t="s">
        <v>97</v>
      </c>
      <c r="I347" s="111" t="s">
        <v>2451</v>
      </c>
      <c r="K347" s="103" t="s">
        <v>97</v>
      </c>
      <c r="L347" s="108">
        <v>42321</v>
      </c>
      <c r="M347" s="11">
        <f t="shared" ca="1" si="10"/>
        <v>116</v>
      </c>
      <c r="N347" s="108">
        <v>42380</v>
      </c>
      <c r="O347" s="108" t="s">
        <v>2524</v>
      </c>
      <c r="P347" s="103" t="s">
        <v>454</v>
      </c>
      <c r="Q347" s="45"/>
      <c r="R347" s="103" t="s">
        <v>2817</v>
      </c>
      <c r="S347" s="103" t="s">
        <v>2782</v>
      </c>
      <c r="T347" s="108" t="s">
        <v>2818</v>
      </c>
      <c r="U347" s="103" t="s">
        <v>2819</v>
      </c>
      <c r="W347" s="103" t="s">
        <v>188</v>
      </c>
      <c r="X347" s="108">
        <v>42437</v>
      </c>
      <c r="Z347" s="108" t="s">
        <v>2282</v>
      </c>
      <c r="AA347" s="101" t="s">
        <v>273</v>
      </c>
    </row>
    <row r="348" spans="1:27" s="103" customFormat="1" x14ac:dyDescent="0.25">
      <c r="A348" s="101" t="s">
        <v>2643</v>
      </c>
      <c r="B348" s="103" t="s">
        <v>2642</v>
      </c>
      <c r="D348" s="103" t="s">
        <v>2288</v>
      </c>
      <c r="E348" s="103" t="s">
        <v>1430</v>
      </c>
      <c r="H348" s="103" t="s">
        <v>97</v>
      </c>
      <c r="I348" s="111" t="s">
        <v>2451</v>
      </c>
      <c r="K348" s="103" t="s">
        <v>97</v>
      </c>
      <c r="L348" s="108">
        <v>42396</v>
      </c>
      <c r="M348" s="11">
        <f t="shared" ca="1" si="10"/>
        <v>41</v>
      </c>
      <c r="N348" s="108">
        <v>42403</v>
      </c>
      <c r="O348" s="108"/>
      <c r="Q348" s="46"/>
      <c r="R348" s="103" t="s">
        <v>2829</v>
      </c>
      <c r="T348" s="108"/>
      <c r="U348" s="133" t="s">
        <v>2819</v>
      </c>
      <c r="W348" s="103" t="s">
        <v>156</v>
      </c>
      <c r="X348" s="108">
        <v>42437</v>
      </c>
      <c r="AA348" s="101" t="s">
        <v>273</v>
      </c>
    </row>
    <row r="349" spans="1:27" s="103" customFormat="1" x14ac:dyDescent="0.25">
      <c r="A349" s="101" t="s">
        <v>136</v>
      </c>
      <c r="B349" s="103" t="s">
        <v>151</v>
      </c>
      <c r="D349" s="103" t="s">
        <v>2288</v>
      </c>
      <c r="E349" s="103" t="s">
        <v>1430</v>
      </c>
      <c r="H349" s="103" t="s">
        <v>2347</v>
      </c>
      <c r="I349" s="111" t="s">
        <v>246</v>
      </c>
      <c r="J349" s="103" t="s">
        <v>2398</v>
      </c>
      <c r="K349" s="103" t="s">
        <v>97</v>
      </c>
      <c r="L349" s="108">
        <v>42217</v>
      </c>
      <c r="M349" s="11">
        <f t="shared" ca="1" si="10"/>
        <v>216</v>
      </c>
      <c r="N349" s="108">
        <v>42217</v>
      </c>
      <c r="O349" s="108" t="s">
        <v>2306</v>
      </c>
      <c r="P349" s="103" t="s">
        <v>2530</v>
      </c>
      <c r="Q349" s="45"/>
      <c r="R349" s="135" t="s">
        <v>2836</v>
      </c>
      <c r="S349" s="103" t="s">
        <v>2282</v>
      </c>
      <c r="T349" s="108" t="s">
        <v>2282</v>
      </c>
      <c r="U349" s="103" t="s">
        <v>2282</v>
      </c>
      <c r="W349" s="103" t="s">
        <v>156</v>
      </c>
      <c r="X349" s="108">
        <v>42433</v>
      </c>
      <c r="Y349" s="103">
        <v>118</v>
      </c>
      <c r="Z349" s="108" t="s">
        <v>2282</v>
      </c>
      <c r="AA349" s="101" t="s">
        <v>273</v>
      </c>
    </row>
    <row r="350" spans="1:27" s="103" customFormat="1" x14ac:dyDescent="0.25">
      <c r="A350" s="101" t="s">
        <v>1688</v>
      </c>
      <c r="B350" s="103" t="s">
        <v>1691</v>
      </c>
      <c r="D350" s="103" t="s">
        <v>118</v>
      </c>
      <c r="E350" s="103" t="s">
        <v>155</v>
      </c>
      <c r="H350" s="103" t="s">
        <v>97</v>
      </c>
      <c r="I350" s="111" t="s">
        <v>280</v>
      </c>
      <c r="J350" s="103" t="s">
        <v>2310</v>
      </c>
      <c r="K350" s="103" t="s">
        <v>97</v>
      </c>
      <c r="L350" s="108">
        <v>42324</v>
      </c>
      <c r="M350" s="11" t="str">
        <f ca="1">IFERROR(IF(AND(#REF!&lt;&gt;"Concluído",#REF!&lt;&gt;"Cancelado"),TODAY()-L350+1,X350-L350),"")</f>
        <v/>
      </c>
      <c r="N350" s="108">
        <v>42324</v>
      </c>
      <c r="O350" s="108" t="s">
        <v>2556</v>
      </c>
      <c r="Q350" s="46"/>
      <c r="R350" s="103" t="s">
        <v>2858</v>
      </c>
      <c r="T350" s="108"/>
      <c r="W350" s="103" t="s">
        <v>188</v>
      </c>
      <c r="X350" s="108">
        <v>42431</v>
      </c>
      <c r="Y350" s="103">
        <v>50</v>
      </c>
      <c r="AA350" s="101" t="s">
        <v>2350</v>
      </c>
    </row>
    <row r="351" spans="1:27" s="103" customFormat="1" x14ac:dyDescent="0.25">
      <c r="A351" s="101" t="s">
        <v>2652</v>
      </c>
      <c r="B351" s="103" t="s">
        <v>2653</v>
      </c>
      <c r="D351" s="103" t="s">
        <v>119</v>
      </c>
      <c r="E351" s="103" t="s">
        <v>1430</v>
      </c>
      <c r="H351" s="103" t="s">
        <v>2360</v>
      </c>
      <c r="I351" s="111" t="s">
        <v>245</v>
      </c>
      <c r="K351" s="103" t="s">
        <v>96</v>
      </c>
      <c r="L351" s="108">
        <v>42403</v>
      </c>
      <c r="M351" s="11">
        <f t="shared" ref="M351:M362" ca="1" si="11">IFERROR(IF(AND(W351&lt;&gt;"Concluído",W351&lt;&gt;"Cancelado"),TODAY()-L351+1,X351-L351),"")</f>
        <v>34</v>
      </c>
      <c r="N351" s="108">
        <v>42403</v>
      </c>
      <c r="O351" s="108"/>
      <c r="Q351" s="46"/>
      <c r="R351" s="103" t="s">
        <v>2852</v>
      </c>
      <c r="W351" s="103" t="s">
        <v>188</v>
      </c>
      <c r="X351" s="108">
        <v>42437</v>
      </c>
      <c r="Z351" s="108"/>
      <c r="AA351" s="101" t="s">
        <v>2350</v>
      </c>
    </row>
    <row r="352" spans="1:27" s="103" customFormat="1" x14ac:dyDescent="0.25">
      <c r="A352" s="101" t="s">
        <v>2654</v>
      </c>
      <c r="B352" s="103" t="s">
        <v>2655</v>
      </c>
      <c r="D352" s="103" t="s">
        <v>119</v>
      </c>
      <c r="E352" s="103" t="s">
        <v>1430</v>
      </c>
      <c r="H352" s="103" t="s">
        <v>2360</v>
      </c>
      <c r="I352" s="111" t="s">
        <v>245</v>
      </c>
      <c r="K352" s="103" t="s">
        <v>96</v>
      </c>
      <c r="L352" s="108">
        <v>42403</v>
      </c>
      <c r="M352" s="11">
        <f t="shared" ca="1" si="11"/>
        <v>34</v>
      </c>
      <c r="N352" s="108">
        <v>42403</v>
      </c>
      <c r="O352" s="108"/>
      <c r="Q352" s="46"/>
      <c r="R352" s="103" t="s">
        <v>2853</v>
      </c>
      <c r="W352" s="103" t="s">
        <v>188</v>
      </c>
      <c r="X352" s="108">
        <v>42437</v>
      </c>
      <c r="Z352" s="108"/>
      <c r="AA352" s="101" t="s">
        <v>2350</v>
      </c>
    </row>
    <row r="353" spans="1:28" s="103" customFormat="1" x14ac:dyDescent="0.25">
      <c r="A353" s="101" t="s">
        <v>2656</v>
      </c>
      <c r="B353" s="103" t="s">
        <v>2657</v>
      </c>
      <c r="D353" s="103" t="s">
        <v>119</v>
      </c>
      <c r="E353" s="103" t="s">
        <v>1430</v>
      </c>
      <c r="H353" s="103" t="s">
        <v>2360</v>
      </c>
      <c r="I353" s="111" t="s">
        <v>245</v>
      </c>
      <c r="K353" s="103" t="s">
        <v>96</v>
      </c>
      <c r="L353" s="108">
        <v>42403</v>
      </c>
      <c r="M353" s="11">
        <f t="shared" ca="1" si="11"/>
        <v>34</v>
      </c>
      <c r="N353" s="108">
        <v>42403</v>
      </c>
      <c r="O353" s="108"/>
      <c r="Q353" s="46"/>
      <c r="R353" s="103" t="s">
        <v>2854</v>
      </c>
      <c r="W353" s="103" t="s">
        <v>188</v>
      </c>
      <c r="X353" s="108">
        <v>42437</v>
      </c>
      <c r="Z353" s="108"/>
      <c r="AA353" s="101" t="s">
        <v>2350</v>
      </c>
    </row>
    <row r="354" spans="1:28" s="103" customFormat="1" x14ac:dyDescent="0.25">
      <c r="A354" s="101" t="s">
        <v>2658</v>
      </c>
      <c r="B354" s="103" t="s">
        <v>2659</v>
      </c>
      <c r="D354" s="103" t="s">
        <v>119</v>
      </c>
      <c r="E354" s="103" t="s">
        <v>1430</v>
      </c>
      <c r="H354" s="103" t="s">
        <v>2360</v>
      </c>
      <c r="I354" s="111" t="s">
        <v>245</v>
      </c>
      <c r="K354" s="103" t="s">
        <v>96</v>
      </c>
      <c r="L354" s="108">
        <v>42403</v>
      </c>
      <c r="M354" s="11">
        <f t="shared" ca="1" si="11"/>
        <v>34</v>
      </c>
      <c r="N354" s="108">
        <v>42403</v>
      </c>
      <c r="O354" s="108"/>
      <c r="Q354" s="46"/>
      <c r="R354" s="103" t="s">
        <v>2855</v>
      </c>
      <c r="W354" s="103" t="s">
        <v>188</v>
      </c>
      <c r="X354" s="108">
        <v>42437</v>
      </c>
      <c r="Z354" s="108"/>
      <c r="AA354" s="101" t="s">
        <v>2350</v>
      </c>
    </row>
    <row r="355" spans="1:28" s="103" customFormat="1" x14ac:dyDescent="0.25">
      <c r="A355" s="101" t="s">
        <v>330</v>
      </c>
      <c r="B355" s="103" t="s">
        <v>331</v>
      </c>
      <c r="D355" s="103" t="s">
        <v>118</v>
      </c>
      <c r="E355" s="103" t="s">
        <v>161</v>
      </c>
      <c r="H355" s="103" t="s">
        <v>97</v>
      </c>
      <c r="I355" s="111" t="s">
        <v>177</v>
      </c>
      <c r="J355" s="103" t="s">
        <v>2309</v>
      </c>
      <c r="K355" s="103" t="s">
        <v>97</v>
      </c>
      <c r="L355" s="108">
        <v>42093</v>
      </c>
      <c r="M355" s="11">
        <f t="shared" ca="1" si="11"/>
        <v>344</v>
      </c>
      <c r="N355" s="108">
        <v>42272</v>
      </c>
      <c r="O355" s="108">
        <v>42308</v>
      </c>
      <c r="P355" s="103" t="s">
        <v>273</v>
      </c>
      <c r="Q355" s="113"/>
      <c r="R355" s="103" t="s">
        <v>2780</v>
      </c>
      <c r="S355" s="108" t="s">
        <v>348</v>
      </c>
      <c r="T355" s="108" t="s">
        <v>348</v>
      </c>
      <c r="U355" s="103" t="s">
        <v>348</v>
      </c>
      <c r="W355" s="103" t="s">
        <v>188</v>
      </c>
      <c r="X355" s="108">
        <v>42437</v>
      </c>
      <c r="Y355" s="103">
        <v>32</v>
      </c>
      <c r="Z355" s="103">
        <v>224.274</v>
      </c>
      <c r="AA355" s="101" t="s">
        <v>2350</v>
      </c>
    </row>
    <row r="356" spans="1:28" s="103" customFormat="1" x14ac:dyDescent="0.25">
      <c r="A356" s="101" t="s">
        <v>1513</v>
      </c>
      <c r="B356" s="103" t="s">
        <v>1514</v>
      </c>
      <c r="D356" s="103" t="s">
        <v>119</v>
      </c>
      <c r="E356" s="103" t="s">
        <v>174</v>
      </c>
      <c r="H356" s="103" t="s">
        <v>2361</v>
      </c>
      <c r="I356" s="111" t="s">
        <v>177</v>
      </c>
      <c r="J356" s="103" t="s">
        <v>2365</v>
      </c>
      <c r="K356" s="103" t="s">
        <v>96</v>
      </c>
      <c r="L356" s="108">
        <v>42300.7</v>
      </c>
      <c r="M356" s="11">
        <f t="shared" ca="1" si="11"/>
        <v>136.30000000000291</v>
      </c>
      <c r="N356" s="108">
        <v>42311</v>
      </c>
      <c r="O356" s="108" t="s">
        <v>348</v>
      </c>
      <c r="P356" s="103" t="s">
        <v>2389</v>
      </c>
      <c r="Q356" s="125"/>
      <c r="R356" s="103" t="s">
        <v>2839</v>
      </c>
      <c r="S356" s="103" t="s">
        <v>2781</v>
      </c>
      <c r="T356" s="108" t="s">
        <v>2781</v>
      </c>
      <c r="U356" s="103" t="s">
        <v>348</v>
      </c>
      <c r="W356" s="103" t="s">
        <v>188</v>
      </c>
      <c r="X356" s="108">
        <v>42437</v>
      </c>
      <c r="Y356" s="103">
        <v>50</v>
      </c>
      <c r="AA356" s="101" t="s">
        <v>2350</v>
      </c>
    </row>
    <row r="357" spans="1:28" s="103" customFormat="1" x14ac:dyDescent="0.25">
      <c r="A357" s="101" t="s">
        <v>1452</v>
      </c>
      <c r="B357" s="103" t="s">
        <v>2276</v>
      </c>
      <c r="D357" s="103" t="s">
        <v>2288</v>
      </c>
      <c r="E357" s="103" t="s">
        <v>1430</v>
      </c>
      <c r="H357" s="103" t="s">
        <v>2344</v>
      </c>
      <c r="I357" s="111" t="s">
        <v>245</v>
      </c>
      <c r="K357" s="103" t="s">
        <v>97</v>
      </c>
      <c r="L357" s="108">
        <v>42260.74722222222</v>
      </c>
      <c r="M357" s="11">
        <f t="shared" ca="1" si="11"/>
        <v>169.25277777777956</v>
      </c>
      <c r="N357" s="108">
        <v>42339</v>
      </c>
      <c r="O357" s="108"/>
      <c r="Q357" s="44"/>
      <c r="R357" s="103" t="s">
        <v>2787</v>
      </c>
      <c r="W357" s="103" t="s">
        <v>156</v>
      </c>
      <c r="X357" s="108">
        <v>42430</v>
      </c>
      <c r="Z357" s="108" t="s">
        <v>2282</v>
      </c>
      <c r="AA357" s="101" t="s">
        <v>273</v>
      </c>
    </row>
    <row r="358" spans="1:28" s="103" customFormat="1" x14ac:dyDescent="0.25">
      <c r="A358" s="101" t="s">
        <v>2713</v>
      </c>
      <c r="B358" s="103" t="s">
        <v>2705</v>
      </c>
      <c r="D358" s="103" t="s">
        <v>119</v>
      </c>
      <c r="E358" s="103" t="s">
        <v>1430</v>
      </c>
      <c r="H358" s="103" t="s">
        <v>2360</v>
      </c>
      <c r="I358" s="111" t="s">
        <v>2130</v>
      </c>
      <c r="J358" s="103" t="s">
        <v>2388</v>
      </c>
      <c r="K358" s="103" t="s">
        <v>343</v>
      </c>
      <c r="L358" s="108">
        <v>42411</v>
      </c>
      <c r="M358" s="11">
        <f t="shared" ca="1" si="11"/>
        <v>112</v>
      </c>
      <c r="N358" s="108">
        <v>42417</v>
      </c>
      <c r="O358" s="108"/>
      <c r="Q358" s="44"/>
      <c r="R358" s="115" t="s">
        <v>2884</v>
      </c>
      <c r="S358" s="103" t="s">
        <v>2849</v>
      </c>
      <c r="T358" s="108" t="s">
        <v>2850</v>
      </c>
      <c r="W358" s="128" t="s">
        <v>189</v>
      </c>
      <c r="X358" s="108">
        <v>42425</v>
      </c>
      <c r="Y358" s="103">
        <v>83</v>
      </c>
      <c r="AA358" s="101" t="s">
        <v>2350</v>
      </c>
    </row>
    <row r="359" spans="1:28" s="103" customFormat="1" x14ac:dyDescent="0.25">
      <c r="A359" s="134" t="s">
        <v>2846</v>
      </c>
      <c r="B359" s="103" t="s">
        <v>2845</v>
      </c>
      <c r="D359" s="103" t="s">
        <v>2289</v>
      </c>
      <c r="E359" s="103" t="s">
        <v>108</v>
      </c>
      <c r="H359" s="103" t="s">
        <v>2358</v>
      </c>
      <c r="I359" s="111" t="s">
        <v>2130</v>
      </c>
      <c r="J359" s="103" t="s">
        <v>2674</v>
      </c>
      <c r="K359" s="103" t="s">
        <v>343</v>
      </c>
      <c r="L359" s="108">
        <v>42432</v>
      </c>
      <c r="M359" s="11">
        <f t="shared" ca="1" si="11"/>
        <v>8</v>
      </c>
      <c r="N359" s="108">
        <v>42284</v>
      </c>
      <c r="O359" s="129" t="s">
        <v>2531</v>
      </c>
      <c r="Q359" s="45"/>
      <c r="R359" s="115" t="s">
        <v>2883</v>
      </c>
      <c r="S359" s="128"/>
      <c r="T359" s="108"/>
      <c r="W359" s="128" t="s">
        <v>188</v>
      </c>
      <c r="X359" s="108">
        <v>42440</v>
      </c>
      <c r="Z359" s="108"/>
      <c r="AA359" s="101" t="s">
        <v>273</v>
      </c>
    </row>
    <row r="360" spans="1:28" s="103" customFormat="1" x14ac:dyDescent="0.25">
      <c r="A360" s="101" t="s">
        <v>2492</v>
      </c>
      <c r="B360" s="103" t="s">
        <v>2493</v>
      </c>
      <c r="D360" s="103" t="s">
        <v>119</v>
      </c>
      <c r="E360" s="103" t="s">
        <v>1430</v>
      </c>
      <c r="H360" s="103" t="s">
        <v>2360</v>
      </c>
      <c r="I360" s="111" t="s">
        <v>177</v>
      </c>
      <c r="J360" s="103" t="s">
        <v>2375</v>
      </c>
      <c r="K360" s="103" t="s">
        <v>343</v>
      </c>
      <c r="L360" s="108">
        <v>42384</v>
      </c>
      <c r="M360" s="11">
        <f t="shared" ca="1" si="11"/>
        <v>61</v>
      </c>
      <c r="N360" s="108">
        <v>42387</v>
      </c>
      <c r="O360" s="108">
        <v>42401</v>
      </c>
      <c r="P360" s="103" t="s">
        <v>273</v>
      </c>
      <c r="Q360" s="113"/>
      <c r="R360" s="103" t="s">
        <v>2894</v>
      </c>
      <c r="S360" s="103" t="s">
        <v>2782</v>
      </c>
      <c r="T360" s="103" t="s">
        <v>2375</v>
      </c>
      <c r="U360" s="103" t="s">
        <v>348</v>
      </c>
      <c r="W360" s="103" t="s">
        <v>156</v>
      </c>
      <c r="X360" s="108">
        <v>42445</v>
      </c>
      <c r="Y360" s="103">
        <v>173</v>
      </c>
      <c r="AA360" s="101" t="s">
        <v>2350</v>
      </c>
    </row>
    <row r="361" spans="1:28" s="103" customFormat="1" x14ac:dyDescent="0.25">
      <c r="A361" s="101" t="s">
        <v>2810</v>
      </c>
      <c r="B361" s="103" t="s">
        <v>2811</v>
      </c>
      <c r="D361" s="103" t="s">
        <v>119</v>
      </c>
      <c r="E361" s="103" t="s">
        <v>1430</v>
      </c>
      <c r="H361" s="103" t="s">
        <v>2360</v>
      </c>
      <c r="I361" s="111" t="s">
        <v>1411</v>
      </c>
      <c r="J361" s="103" t="s">
        <v>2388</v>
      </c>
      <c r="K361" s="103" t="s">
        <v>343</v>
      </c>
      <c r="L361" s="108">
        <v>42430</v>
      </c>
      <c r="M361" s="103">
        <f t="shared" ca="1" si="11"/>
        <v>15</v>
      </c>
      <c r="N361" s="108">
        <v>42432</v>
      </c>
      <c r="O361" s="108"/>
      <c r="Q361" s="44"/>
      <c r="R361" s="103" t="s">
        <v>2902</v>
      </c>
      <c r="S361" s="103" t="s">
        <v>2760</v>
      </c>
      <c r="T361" s="108" t="s">
        <v>2864</v>
      </c>
      <c r="U361" s="133">
        <v>42438</v>
      </c>
      <c r="W361" s="103" t="s">
        <v>156</v>
      </c>
      <c r="X361" s="108">
        <v>42445</v>
      </c>
      <c r="Y361" s="103">
        <v>55</v>
      </c>
      <c r="AA361" s="101" t="s">
        <v>2350</v>
      </c>
    </row>
    <row r="362" spans="1:28" s="103" customFormat="1" x14ac:dyDescent="0.25">
      <c r="A362" s="101" t="s">
        <v>2813</v>
      </c>
      <c r="B362" s="103" t="s">
        <v>2812</v>
      </c>
      <c r="D362" s="103" t="s">
        <v>119</v>
      </c>
      <c r="E362" s="103" t="s">
        <v>1430</v>
      </c>
      <c r="H362" s="103" t="s">
        <v>2360</v>
      </c>
      <c r="I362" s="111" t="s">
        <v>1411</v>
      </c>
      <c r="J362" s="103" t="s">
        <v>2388</v>
      </c>
      <c r="K362" s="103" t="s">
        <v>343</v>
      </c>
      <c r="L362" s="108">
        <v>42430</v>
      </c>
      <c r="M362" s="103">
        <f t="shared" ca="1" si="11"/>
        <v>15</v>
      </c>
      <c r="N362" s="108">
        <v>42432</v>
      </c>
      <c r="O362" s="108"/>
      <c r="Q362" s="44"/>
      <c r="R362" s="103" t="s">
        <v>2902</v>
      </c>
      <c r="S362" s="103" t="s">
        <v>2760</v>
      </c>
      <c r="T362" s="108" t="s">
        <v>2864</v>
      </c>
      <c r="U362" s="133">
        <v>42438</v>
      </c>
      <c r="W362" s="103" t="s">
        <v>156</v>
      </c>
      <c r="X362" s="108">
        <v>42445</v>
      </c>
      <c r="AA362" s="101" t="s">
        <v>2350</v>
      </c>
    </row>
    <row r="363" spans="1:28" s="103" customFormat="1" x14ac:dyDescent="0.25">
      <c r="A363" s="101" t="s">
        <v>1196</v>
      </c>
      <c r="B363" s="103" t="s">
        <v>1197</v>
      </c>
      <c r="D363" s="103" t="s">
        <v>2288</v>
      </c>
      <c r="E363" s="103" t="s">
        <v>174</v>
      </c>
      <c r="H363" s="103" t="s">
        <v>97</v>
      </c>
      <c r="I363" s="111" t="s">
        <v>1411</v>
      </c>
      <c r="J363" s="103" t="s">
        <v>2872</v>
      </c>
      <c r="K363" s="103" t="s">
        <v>97</v>
      </c>
      <c r="L363" s="108" t="s">
        <v>2282</v>
      </c>
      <c r="M363" s="103" t="s">
        <v>2282</v>
      </c>
      <c r="N363" s="108">
        <v>42388</v>
      </c>
      <c r="O363" s="108"/>
      <c r="Q363" s="113"/>
      <c r="R363" s="103" t="s">
        <v>2940</v>
      </c>
      <c r="S363" s="103" t="s">
        <v>2873</v>
      </c>
      <c r="T363" s="108" t="s">
        <v>2874</v>
      </c>
      <c r="U363" s="133">
        <v>42445</v>
      </c>
      <c r="W363" s="103" t="s">
        <v>156</v>
      </c>
      <c r="X363" s="108">
        <v>42446</v>
      </c>
      <c r="AA363" s="101" t="s">
        <v>273</v>
      </c>
    </row>
    <row r="364" spans="1:28" ht="39.950000000000003" customHeight="1" x14ac:dyDescent="0.25">
      <c r="A364" s="5" t="s">
        <v>2869</v>
      </c>
      <c r="B364" s="5" t="s">
        <v>471</v>
      </c>
      <c r="C364" s="5"/>
      <c r="D364" s="43" t="s">
        <v>118</v>
      </c>
      <c r="E364" s="43" t="s">
        <v>106</v>
      </c>
      <c r="H364" s="43" t="s">
        <v>97</v>
      </c>
      <c r="I364" s="111" t="s">
        <v>2407</v>
      </c>
      <c r="J364" s="5"/>
      <c r="K364" s="5" t="s">
        <v>2320</v>
      </c>
      <c r="L364" s="49">
        <v>42151</v>
      </c>
      <c r="M364" s="11">
        <f t="shared" ref="M364:M395" ca="1" si="12">IFERROR(IF(AND(W364&lt;&gt;"Concluído",W364&lt;&gt;"Cancelado"),TODAY()-L364+1,X364-L364),"")</f>
        <v>294</v>
      </c>
      <c r="N364" s="86">
        <v>42284</v>
      </c>
      <c r="O364" s="14"/>
      <c r="P364" s="14"/>
      <c r="Q364" s="17"/>
      <c r="R364" s="43" t="s">
        <v>2890</v>
      </c>
      <c r="W364" s="43" t="s">
        <v>156</v>
      </c>
      <c r="X364" s="108">
        <v>42445</v>
      </c>
      <c r="Y364" s="40" t="s">
        <v>363</v>
      </c>
      <c r="Z364" s="40"/>
      <c r="AA364" s="40" t="s">
        <v>2350</v>
      </c>
      <c r="AB364" s="40"/>
    </row>
    <row r="365" spans="1:28" s="103" customFormat="1" x14ac:dyDescent="0.25">
      <c r="A365" s="101" t="s">
        <v>2581</v>
      </c>
      <c r="B365" s="103" t="s">
        <v>2545</v>
      </c>
      <c r="D365" s="103" t="s">
        <v>108</v>
      </c>
      <c r="E365" s="103" t="s">
        <v>108</v>
      </c>
      <c r="H365" s="103" t="s">
        <v>2344</v>
      </c>
      <c r="I365" s="111" t="s">
        <v>2248</v>
      </c>
      <c r="K365" s="103" t="s">
        <v>97</v>
      </c>
      <c r="L365" s="108">
        <v>42395</v>
      </c>
      <c r="M365" s="11">
        <f t="shared" ca="1" si="12"/>
        <v>7</v>
      </c>
      <c r="N365" s="108">
        <v>42395</v>
      </c>
      <c r="O365" s="108">
        <v>42396</v>
      </c>
      <c r="Q365" s="44"/>
      <c r="R365" s="103" t="s">
        <v>2639</v>
      </c>
      <c r="T365" s="108"/>
      <c r="W365" s="103" t="s">
        <v>156</v>
      </c>
      <c r="X365" s="108">
        <v>42402</v>
      </c>
      <c r="AA365" s="101" t="s">
        <v>273</v>
      </c>
    </row>
    <row r="366" spans="1:28" s="103" customFormat="1" x14ac:dyDescent="0.25">
      <c r="A366" s="101" t="s">
        <v>2581</v>
      </c>
      <c r="B366" s="103" t="s">
        <v>2546</v>
      </c>
      <c r="D366" s="103" t="s">
        <v>108</v>
      </c>
      <c r="E366" s="103" t="s">
        <v>108</v>
      </c>
      <c r="H366" s="103" t="s">
        <v>2344</v>
      </c>
      <c r="I366" s="111" t="s">
        <v>2248</v>
      </c>
      <c r="K366" s="103" t="s">
        <v>97</v>
      </c>
      <c r="L366" s="108">
        <v>42395</v>
      </c>
      <c r="M366" s="11">
        <f t="shared" ca="1" si="12"/>
        <v>7</v>
      </c>
      <c r="N366" s="108">
        <v>42395</v>
      </c>
      <c r="O366" s="108">
        <v>42419</v>
      </c>
      <c r="Q366" s="44"/>
      <c r="R366" s="103" t="s">
        <v>2640</v>
      </c>
      <c r="T366" s="108"/>
      <c r="W366" s="103" t="s">
        <v>156</v>
      </c>
      <c r="X366" s="108">
        <v>42402</v>
      </c>
      <c r="AA366" s="101" t="s">
        <v>273</v>
      </c>
    </row>
    <row r="367" spans="1:28" s="103" customFormat="1" x14ac:dyDescent="0.25">
      <c r="A367" s="101" t="s">
        <v>2406</v>
      </c>
      <c r="B367" s="103" t="s">
        <v>2382</v>
      </c>
      <c r="D367" s="103" t="s">
        <v>2288</v>
      </c>
      <c r="I367" s="111"/>
      <c r="L367" s="108"/>
      <c r="M367" s="11">
        <f t="shared" ca="1" si="12"/>
        <v>42402</v>
      </c>
      <c r="N367" s="133">
        <v>42217</v>
      </c>
      <c r="O367" s="108"/>
      <c r="Q367" s="46"/>
      <c r="R367" s="103" t="s">
        <v>2635</v>
      </c>
      <c r="T367" s="108"/>
      <c r="W367" s="103" t="s">
        <v>188</v>
      </c>
      <c r="X367" s="108">
        <v>42402</v>
      </c>
      <c r="AA367" s="101" t="s">
        <v>273</v>
      </c>
    </row>
    <row r="368" spans="1:28" s="103" customFormat="1" x14ac:dyDescent="0.25">
      <c r="A368" s="101" t="s">
        <v>2968</v>
      </c>
      <c r="B368" s="103" t="s">
        <v>2991</v>
      </c>
      <c r="D368" s="103" t="s">
        <v>119</v>
      </c>
      <c r="E368" s="103" t="s">
        <v>1430</v>
      </c>
      <c r="H368" s="103" t="s">
        <v>2360</v>
      </c>
      <c r="I368" s="111" t="s">
        <v>2939</v>
      </c>
      <c r="J368" s="103" t="s">
        <v>2388</v>
      </c>
      <c r="K368" s="103" t="s">
        <v>2999</v>
      </c>
      <c r="L368" s="108">
        <v>42450</v>
      </c>
      <c r="M368" s="11">
        <f t="shared" ca="1" si="12"/>
        <v>2</v>
      </c>
      <c r="N368" s="108">
        <v>42451</v>
      </c>
      <c r="O368" s="108"/>
      <c r="Q368" s="46"/>
      <c r="R368" s="103" t="s">
        <v>3018</v>
      </c>
      <c r="T368" s="108"/>
      <c r="W368" s="103" t="s">
        <v>156</v>
      </c>
      <c r="X368" s="108">
        <v>42452</v>
      </c>
      <c r="AA368" s="101" t="s">
        <v>2350</v>
      </c>
    </row>
    <row r="369" spans="1:27" s="103" customFormat="1" x14ac:dyDescent="0.25">
      <c r="A369" s="101" t="s">
        <v>2969</v>
      </c>
      <c r="B369" s="103" t="s">
        <v>2992</v>
      </c>
      <c r="D369" s="103" t="s">
        <v>119</v>
      </c>
      <c r="E369" s="103" t="s">
        <v>1430</v>
      </c>
      <c r="H369" s="103" t="s">
        <v>2360</v>
      </c>
      <c r="I369" s="111" t="s">
        <v>2939</v>
      </c>
      <c r="J369" s="103" t="s">
        <v>2388</v>
      </c>
      <c r="K369" s="103" t="s">
        <v>2999</v>
      </c>
      <c r="L369" s="108">
        <v>42450</v>
      </c>
      <c r="M369" s="11">
        <f t="shared" ca="1" si="12"/>
        <v>1</v>
      </c>
      <c r="N369" s="108">
        <v>42451</v>
      </c>
      <c r="O369" s="108"/>
      <c r="Q369" s="46"/>
      <c r="R369" s="103" t="s">
        <v>3019</v>
      </c>
      <c r="T369" s="108"/>
      <c r="W369" s="103" t="s">
        <v>156</v>
      </c>
      <c r="X369" s="108">
        <v>42451</v>
      </c>
      <c r="AA369" s="101" t="s">
        <v>2350</v>
      </c>
    </row>
    <row r="370" spans="1:27" s="103" customFormat="1" x14ac:dyDescent="0.25">
      <c r="A370" s="101" t="s">
        <v>2970</v>
      </c>
      <c r="B370" s="103" t="s">
        <v>2993</v>
      </c>
      <c r="D370" s="103" t="s">
        <v>119</v>
      </c>
      <c r="E370" s="103" t="s">
        <v>1430</v>
      </c>
      <c r="H370" s="103" t="s">
        <v>2360</v>
      </c>
      <c r="I370" s="111" t="s">
        <v>2939</v>
      </c>
      <c r="J370" s="103" t="s">
        <v>2388</v>
      </c>
      <c r="K370" s="103" t="s">
        <v>3001</v>
      </c>
      <c r="L370" s="108">
        <v>42450</v>
      </c>
      <c r="M370" s="11">
        <f t="shared" ca="1" si="12"/>
        <v>1</v>
      </c>
      <c r="N370" s="108">
        <v>42451</v>
      </c>
      <c r="O370" s="108"/>
      <c r="Q370" s="46"/>
      <c r="R370" s="103" t="s">
        <v>3019</v>
      </c>
      <c r="T370" s="108"/>
      <c r="W370" s="103" t="s">
        <v>156</v>
      </c>
      <c r="X370" s="108">
        <v>42451</v>
      </c>
      <c r="AA370" s="101" t="s">
        <v>2350</v>
      </c>
    </row>
    <row r="371" spans="1:27" s="103" customFormat="1" x14ac:dyDescent="0.25">
      <c r="A371" s="101" t="s">
        <v>2910</v>
      </c>
      <c r="B371" s="103" t="s">
        <v>2911</v>
      </c>
      <c r="D371" s="103" t="s">
        <v>119</v>
      </c>
      <c r="E371" s="103" t="s">
        <v>1430</v>
      </c>
      <c r="H371" s="103" t="s">
        <v>2360</v>
      </c>
      <c r="I371" s="111" t="s">
        <v>2939</v>
      </c>
      <c r="J371" s="103" t="s">
        <v>2388</v>
      </c>
      <c r="K371" s="103" t="s">
        <v>343</v>
      </c>
      <c r="L371" s="108">
        <v>42444</v>
      </c>
      <c r="M371" s="11">
        <f t="shared" ca="1" si="12"/>
        <v>7</v>
      </c>
      <c r="N371" s="108">
        <v>42445</v>
      </c>
      <c r="O371" s="108"/>
      <c r="Q371" s="44"/>
      <c r="R371" s="103" t="s">
        <v>3019</v>
      </c>
      <c r="T371" s="108"/>
      <c r="W371" s="103" t="s">
        <v>156</v>
      </c>
      <c r="X371" s="108">
        <v>42451</v>
      </c>
      <c r="AA371" s="101" t="s">
        <v>2350</v>
      </c>
    </row>
    <row r="372" spans="1:27" s="103" customFormat="1" x14ac:dyDescent="0.25">
      <c r="A372" s="101" t="s">
        <v>2971</v>
      </c>
      <c r="B372" s="103" t="s">
        <v>2994</v>
      </c>
      <c r="D372" s="103" t="s">
        <v>119</v>
      </c>
      <c r="E372" s="103" t="s">
        <v>1430</v>
      </c>
      <c r="H372" s="103" t="s">
        <v>2360</v>
      </c>
      <c r="I372" s="111" t="s">
        <v>2939</v>
      </c>
      <c r="J372" s="103" t="s">
        <v>2388</v>
      </c>
      <c r="K372" s="103" t="s">
        <v>3001</v>
      </c>
      <c r="L372" s="108">
        <v>42450</v>
      </c>
      <c r="M372" s="11">
        <f t="shared" ca="1" si="12"/>
        <v>1</v>
      </c>
      <c r="N372" s="108">
        <v>42451</v>
      </c>
      <c r="O372" s="108"/>
      <c r="Q372" s="46"/>
      <c r="R372" s="103" t="s">
        <v>3019</v>
      </c>
      <c r="T372" s="108"/>
      <c r="W372" s="103" t="s">
        <v>156</v>
      </c>
      <c r="X372" s="108">
        <v>42451</v>
      </c>
      <c r="AA372" s="101" t="s">
        <v>2350</v>
      </c>
    </row>
    <row r="373" spans="1:27" s="103" customFormat="1" x14ac:dyDescent="0.25">
      <c r="A373" s="101" t="s">
        <v>2970</v>
      </c>
      <c r="B373" s="103" t="s">
        <v>2993</v>
      </c>
      <c r="D373" s="103" t="s">
        <v>119</v>
      </c>
      <c r="E373" s="103" t="s">
        <v>1430</v>
      </c>
      <c r="H373" s="103" t="s">
        <v>2360</v>
      </c>
      <c r="I373" s="111" t="s">
        <v>2939</v>
      </c>
      <c r="J373" s="103" t="s">
        <v>2388</v>
      </c>
      <c r="K373" s="103" t="s">
        <v>3001</v>
      </c>
      <c r="L373" s="108">
        <v>42450</v>
      </c>
      <c r="M373" s="11">
        <f t="shared" ca="1" si="12"/>
        <v>1</v>
      </c>
      <c r="N373" s="108">
        <v>42451</v>
      </c>
      <c r="O373" s="108"/>
      <c r="Q373" s="46"/>
      <c r="R373" s="103" t="s">
        <v>3019</v>
      </c>
      <c r="T373" s="108"/>
      <c r="W373" s="103" t="s">
        <v>156</v>
      </c>
      <c r="X373" s="108">
        <v>42451</v>
      </c>
      <c r="AA373" s="101" t="s">
        <v>2350</v>
      </c>
    </row>
    <row r="374" spans="1:27" s="103" customFormat="1" x14ac:dyDescent="0.25">
      <c r="A374" s="101" t="s">
        <v>2907</v>
      </c>
      <c r="B374" s="103" t="s">
        <v>2908</v>
      </c>
      <c r="D374" s="103" t="s">
        <v>119</v>
      </c>
      <c r="E374" s="103" t="s">
        <v>1430</v>
      </c>
      <c r="H374" s="103" t="s">
        <v>2360</v>
      </c>
      <c r="I374" s="111" t="s">
        <v>2939</v>
      </c>
      <c r="J374" s="103" t="s">
        <v>2388</v>
      </c>
      <c r="K374" s="103" t="s">
        <v>343</v>
      </c>
      <c r="L374" s="108">
        <v>42444</v>
      </c>
      <c r="M374" s="11">
        <f t="shared" ca="1" si="12"/>
        <v>7</v>
      </c>
      <c r="N374" s="108">
        <v>42445</v>
      </c>
      <c r="O374" s="108"/>
      <c r="Q374" s="46"/>
      <c r="R374" s="103" t="s">
        <v>3019</v>
      </c>
      <c r="T374" s="108"/>
      <c r="W374" s="103" t="s">
        <v>156</v>
      </c>
      <c r="X374" s="108">
        <v>42451</v>
      </c>
      <c r="AA374" s="101" t="s">
        <v>2350</v>
      </c>
    </row>
    <row r="375" spans="1:27" s="103" customFormat="1" x14ac:dyDescent="0.25">
      <c r="A375" s="101" t="s">
        <v>2357</v>
      </c>
      <c r="B375" s="103" t="s">
        <v>399</v>
      </c>
      <c r="D375" s="103" t="s">
        <v>118</v>
      </c>
      <c r="E375" s="103" t="s">
        <v>1430</v>
      </c>
      <c r="H375" s="103" t="s">
        <v>97</v>
      </c>
      <c r="I375" s="111" t="s">
        <v>246</v>
      </c>
      <c r="J375" s="103" t="s">
        <v>2315</v>
      </c>
      <c r="K375" s="103" t="s">
        <v>97</v>
      </c>
      <c r="L375" s="108">
        <v>42219.75277777778</v>
      </c>
      <c r="M375" s="11">
        <f t="shared" ca="1" si="12"/>
        <v>224.24722222222044</v>
      </c>
      <c r="N375" s="108">
        <v>42217</v>
      </c>
      <c r="O375" s="108">
        <v>42254</v>
      </c>
      <c r="P375" s="103" t="s">
        <v>273</v>
      </c>
      <c r="Q375" s="45"/>
      <c r="R375" s="115" t="s">
        <v>3017</v>
      </c>
      <c r="T375" s="108"/>
      <c r="W375" s="103" t="s">
        <v>156</v>
      </c>
      <c r="X375" s="108">
        <v>42444</v>
      </c>
      <c r="Y375" s="103">
        <v>400</v>
      </c>
      <c r="Z375" s="108" t="s">
        <v>2282</v>
      </c>
      <c r="AA375" s="101" t="s">
        <v>2350</v>
      </c>
    </row>
    <row r="376" spans="1:27" s="103" customFormat="1" x14ac:dyDescent="0.25">
      <c r="A376" s="101" t="s">
        <v>284</v>
      </c>
      <c r="B376" s="103" t="s">
        <v>422</v>
      </c>
      <c r="D376" s="103" t="s">
        <v>118</v>
      </c>
      <c r="E376" s="103" t="s">
        <v>159</v>
      </c>
      <c r="H376" s="103" t="s">
        <v>97</v>
      </c>
      <c r="I376" s="111" t="s">
        <v>2130</v>
      </c>
      <c r="J376" s="103" t="s">
        <v>2773</v>
      </c>
      <c r="K376" s="103" t="s">
        <v>97</v>
      </c>
      <c r="L376" s="108">
        <v>42240</v>
      </c>
      <c r="M376" s="11">
        <f t="shared" ca="1" si="12"/>
        <v>212</v>
      </c>
      <c r="N376" s="108">
        <v>42217</v>
      </c>
      <c r="O376" s="129" t="s">
        <v>2882</v>
      </c>
      <c r="P376" s="103" t="s">
        <v>273</v>
      </c>
      <c r="Q376" s="113"/>
      <c r="R376" s="115" t="s">
        <v>2951</v>
      </c>
      <c r="S376" s="103" t="s">
        <v>2755</v>
      </c>
      <c r="T376" s="108" t="s">
        <v>2952</v>
      </c>
      <c r="W376" s="128" t="s">
        <v>188</v>
      </c>
      <c r="X376" s="108">
        <v>42452</v>
      </c>
      <c r="Y376" s="103">
        <v>100</v>
      </c>
      <c r="Z376" s="108">
        <v>42376</v>
      </c>
      <c r="AA376" s="101" t="s">
        <v>2350</v>
      </c>
    </row>
    <row r="377" spans="1:27" s="103" customFormat="1" x14ac:dyDescent="0.25">
      <c r="A377" s="101" t="s">
        <v>2696</v>
      </c>
      <c r="B377" s="103" t="s">
        <v>2697</v>
      </c>
      <c r="D377" s="103" t="s">
        <v>119</v>
      </c>
      <c r="E377" s="103" t="s">
        <v>1430</v>
      </c>
      <c r="H377" s="103" t="s">
        <v>2360</v>
      </c>
      <c r="I377" s="111" t="s">
        <v>177</v>
      </c>
      <c r="J377" s="103" t="s">
        <v>2388</v>
      </c>
      <c r="K377" s="103" t="s">
        <v>343</v>
      </c>
      <c r="L377" s="108">
        <v>42411</v>
      </c>
      <c r="M377" s="11">
        <f t="shared" ca="1" si="12"/>
        <v>112</v>
      </c>
      <c r="N377" s="108">
        <v>42417</v>
      </c>
      <c r="O377" s="108"/>
      <c r="P377" s="103" t="s">
        <v>2350</v>
      </c>
      <c r="Q377" s="44"/>
      <c r="R377" s="103" t="s">
        <v>3006</v>
      </c>
      <c r="S377" s="103" t="s">
        <v>2783</v>
      </c>
      <c r="T377" s="108" t="s">
        <v>2785</v>
      </c>
      <c r="U377" s="103" t="s">
        <v>348</v>
      </c>
      <c r="W377" s="103" t="s">
        <v>189</v>
      </c>
      <c r="X377" s="108">
        <v>42446</v>
      </c>
      <c r="Y377" s="103">
        <v>8</v>
      </c>
      <c r="AA377" s="101" t="s">
        <v>2350</v>
      </c>
    </row>
    <row r="378" spans="1:27" s="103" customFormat="1" x14ac:dyDescent="0.25">
      <c r="A378" s="101" t="s">
        <v>2706</v>
      </c>
      <c r="B378" s="103" t="s">
        <v>2698</v>
      </c>
      <c r="D378" s="103" t="s">
        <v>119</v>
      </c>
      <c r="E378" s="103" t="s">
        <v>1430</v>
      </c>
      <c r="H378" s="103" t="s">
        <v>2360</v>
      </c>
      <c r="I378" s="111" t="s">
        <v>177</v>
      </c>
      <c r="J378" s="103" t="s">
        <v>2388</v>
      </c>
      <c r="K378" s="103" t="s">
        <v>343</v>
      </c>
      <c r="L378" s="108">
        <v>42411</v>
      </c>
      <c r="M378" s="11">
        <f t="shared" ca="1" si="12"/>
        <v>112</v>
      </c>
      <c r="N378" s="108">
        <v>42417</v>
      </c>
      <c r="O378" s="108"/>
      <c r="P378" s="103" t="s">
        <v>2350</v>
      </c>
      <c r="Q378" s="44"/>
      <c r="R378" s="103" t="s">
        <v>3007</v>
      </c>
      <c r="S378" s="103" t="s">
        <v>2783</v>
      </c>
      <c r="T378" s="108" t="s">
        <v>2785</v>
      </c>
      <c r="U378" s="103" t="s">
        <v>348</v>
      </c>
      <c r="W378" s="103" t="s">
        <v>189</v>
      </c>
      <c r="X378" s="108">
        <v>42446</v>
      </c>
      <c r="Y378" s="103">
        <v>10</v>
      </c>
      <c r="AA378" s="101" t="s">
        <v>2350</v>
      </c>
    </row>
    <row r="379" spans="1:27" s="103" customFormat="1" x14ac:dyDescent="0.25">
      <c r="A379" s="101" t="s">
        <v>2707</v>
      </c>
      <c r="B379" s="103" t="s">
        <v>2699</v>
      </c>
      <c r="D379" s="103" t="s">
        <v>119</v>
      </c>
      <c r="E379" s="103" t="s">
        <v>1430</v>
      </c>
      <c r="H379" s="103" t="s">
        <v>2360</v>
      </c>
      <c r="I379" s="111" t="s">
        <v>177</v>
      </c>
      <c r="J379" s="103" t="s">
        <v>2388</v>
      </c>
      <c r="K379" s="103" t="s">
        <v>343</v>
      </c>
      <c r="L379" s="108">
        <v>42411</v>
      </c>
      <c r="M379" s="11">
        <f t="shared" ca="1" si="12"/>
        <v>112</v>
      </c>
      <c r="N379" s="108">
        <v>42417</v>
      </c>
      <c r="O379" s="108"/>
      <c r="P379" s="103" t="s">
        <v>2350</v>
      </c>
      <c r="Q379" s="44"/>
      <c r="R379" s="103" t="s">
        <v>3008</v>
      </c>
      <c r="S379" s="103" t="s">
        <v>2783</v>
      </c>
      <c r="T379" s="108" t="s">
        <v>2785</v>
      </c>
      <c r="U379" s="103" t="s">
        <v>348</v>
      </c>
      <c r="W379" s="103" t="s">
        <v>189</v>
      </c>
      <c r="X379" s="108">
        <v>42446</v>
      </c>
      <c r="Y379" s="103">
        <v>3</v>
      </c>
      <c r="AA379" s="101" t="s">
        <v>2350</v>
      </c>
    </row>
    <row r="380" spans="1:27" s="103" customFormat="1" x14ac:dyDescent="0.25">
      <c r="A380" s="101" t="s">
        <v>2708</v>
      </c>
      <c r="B380" s="103" t="s">
        <v>2700</v>
      </c>
      <c r="D380" s="103" t="s">
        <v>119</v>
      </c>
      <c r="E380" s="103" t="s">
        <v>1430</v>
      </c>
      <c r="H380" s="103" t="s">
        <v>2360</v>
      </c>
      <c r="I380" s="111" t="s">
        <v>177</v>
      </c>
      <c r="J380" s="103" t="s">
        <v>2388</v>
      </c>
      <c r="K380" s="103" t="s">
        <v>343</v>
      </c>
      <c r="L380" s="108">
        <v>42411</v>
      </c>
      <c r="M380" s="11">
        <f t="shared" ca="1" si="12"/>
        <v>112</v>
      </c>
      <c r="N380" s="108">
        <v>42417</v>
      </c>
      <c r="O380" s="108"/>
      <c r="P380" s="103" t="s">
        <v>2350</v>
      </c>
      <c r="Q380" s="44"/>
      <c r="R380" s="103" t="s">
        <v>3009</v>
      </c>
      <c r="S380" s="103" t="s">
        <v>2783</v>
      </c>
      <c r="T380" s="108" t="s">
        <v>2785</v>
      </c>
      <c r="U380" s="103" t="s">
        <v>348</v>
      </c>
      <c r="W380" s="103" t="s">
        <v>189</v>
      </c>
      <c r="X380" s="108">
        <v>42446</v>
      </c>
      <c r="Y380" s="103">
        <v>6</v>
      </c>
      <c r="AA380" s="101" t="s">
        <v>2350</v>
      </c>
    </row>
    <row r="381" spans="1:27" s="103" customFormat="1" x14ac:dyDescent="0.25">
      <c r="A381" s="101" t="s">
        <v>2709</v>
      </c>
      <c r="B381" s="103" t="s">
        <v>2701</v>
      </c>
      <c r="D381" s="103" t="s">
        <v>119</v>
      </c>
      <c r="E381" s="103" t="s">
        <v>1430</v>
      </c>
      <c r="H381" s="103" t="s">
        <v>2360</v>
      </c>
      <c r="I381" s="111" t="s">
        <v>177</v>
      </c>
      <c r="J381" s="103" t="s">
        <v>2388</v>
      </c>
      <c r="K381" s="103" t="s">
        <v>343</v>
      </c>
      <c r="L381" s="108">
        <v>42411</v>
      </c>
      <c r="M381" s="11">
        <f t="shared" ca="1" si="12"/>
        <v>112</v>
      </c>
      <c r="N381" s="108">
        <v>42417</v>
      </c>
      <c r="O381" s="108"/>
      <c r="P381" s="103" t="s">
        <v>2350</v>
      </c>
      <c r="Q381" s="44"/>
      <c r="R381" s="103" t="s">
        <v>3008</v>
      </c>
      <c r="S381" s="103" t="s">
        <v>2783</v>
      </c>
      <c r="T381" s="108" t="s">
        <v>2785</v>
      </c>
      <c r="U381" s="103" t="s">
        <v>348</v>
      </c>
      <c r="W381" s="103" t="s">
        <v>189</v>
      </c>
      <c r="X381" s="108">
        <v>42446</v>
      </c>
      <c r="Y381" s="103">
        <v>15</v>
      </c>
      <c r="AA381" s="101" t="s">
        <v>2350</v>
      </c>
    </row>
    <row r="382" spans="1:27" s="103" customFormat="1" x14ac:dyDescent="0.25">
      <c r="A382" s="101" t="s">
        <v>2710</v>
      </c>
      <c r="B382" s="103" t="s">
        <v>2702</v>
      </c>
      <c r="D382" s="103" t="s">
        <v>119</v>
      </c>
      <c r="E382" s="103" t="s">
        <v>1430</v>
      </c>
      <c r="H382" s="103" t="s">
        <v>2360</v>
      </c>
      <c r="I382" s="111" t="s">
        <v>177</v>
      </c>
      <c r="J382" s="103" t="s">
        <v>2388</v>
      </c>
      <c r="K382" s="103" t="s">
        <v>343</v>
      </c>
      <c r="L382" s="108">
        <v>42411</v>
      </c>
      <c r="M382" s="11">
        <f t="shared" ca="1" si="12"/>
        <v>112</v>
      </c>
      <c r="N382" s="108">
        <v>42417</v>
      </c>
      <c r="O382" s="108"/>
      <c r="P382" s="103" t="s">
        <v>2350</v>
      </c>
      <c r="Q382" s="44"/>
      <c r="R382" s="103" t="s">
        <v>3009</v>
      </c>
      <c r="S382" s="103" t="s">
        <v>2783</v>
      </c>
      <c r="T382" s="108" t="s">
        <v>2785</v>
      </c>
      <c r="U382" s="103" t="s">
        <v>348</v>
      </c>
      <c r="W382" s="103" t="s">
        <v>189</v>
      </c>
      <c r="X382" s="108">
        <v>42446</v>
      </c>
      <c r="Y382" s="103">
        <v>42</v>
      </c>
      <c r="AA382" s="101" t="s">
        <v>2350</v>
      </c>
    </row>
    <row r="383" spans="1:27" s="103" customFormat="1" x14ac:dyDescent="0.25">
      <c r="A383" s="101" t="s">
        <v>2711</v>
      </c>
      <c r="B383" s="103" t="s">
        <v>2703</v>
      </c>
      <c r="D383" s="103" t="s">
        <v>119</v>
      </c>
      <c r="E383" s="103" t="s">
        <v>1430</v>
      </c>
      <c r="H383" s="103" t="s">
        <v>2360</v>
      </c>
      <c r="I383" s="111" t="s">
        <v>177</v>
      </c>
      <c r="J383" s="103" t="s">
        <v>2388</v>
      </c>
      <c r="K383" s="103" t="s">
        <v>343</v>
      </c>
      <c r="L383" s="108">
        <v>42411</v>
      </c>
      <c r="M383" s="11">
        <f t="shared" ca="1" si="12"/>
        <v>112</v>
      </c>
      <c r="N383" s="108">
        <v>42417</v>
      </c>
      <c r="O383" s="108"/>
      <c r="P383" s="103" t="s">
        <v>2350</v>
      </c>
      <c r="Q383" s="44"/>
      <c r="R383" s="103" t="s">
        <v>3010</v>
      </c>
      <c r="S383" s="103" t="s">
        <v>2765</v>
      </c>
      <c r="T383" s="108" t="s">
        <v>2786</v>
      </c>
      <c r="U383" s="103" t="s">
        <v>348</v>
      </c>
      <c r="W383" s="103" t="s">
        <v>189</v>
      </c>
      <c r="X383" s="108">
        <v>42450</v>
      </c>
      <c r="Y383" s="103">
        <v>35</v>
      </c>
      <c r="AA383" s="101" t="s">
        <v>2350</v>
      </c>
    </row>
    <row r="384" spans="1:27" s="103" customFormat="1" x14ac:dyDescent="0.25">
      <c r="A384" s="101" t="s">
        <v>2712</v>
      </c>
      <c r="B384" s="103" t="s">
        <v>2704</v>
      </c>
      <c r="D384" s="103" t="s">
        <v>119</v>
      </c>
      <c r="E384" s="103" t="s">
        <v>1430</v>
      </c>
      <c r="H384" s="103" t="s">
        <v>2360</v>
      </c>
      <c r="I384" s="111" t="s">
        <v>177</v>
      </c>
      <c r="J384" s="103" t="s">
        <v>2388</v>
      </c>
      <c r="K384" s="103" t="s">
        <v>343</v>
      </c>
      <c r="L384" s="108">
        <v>42411</v>
      </c>
      <c r="M384" s="11">
        <f t="shared" ca="1" si="12"/>
        <v>112</v>
      </c>
      <c r="N384" s="108">
        <v>42417</v>
      </c>
      <c r="O384" s="108"/>
      <c r="P384" s="103" t="s">
        <v>2350</v>
      </c>
      <c r="Q384" s="44"/>
      <c r="R384" s="103" t="s">
        <v>3008</v>
      </c>
      <c r="S384" s="103" t="s">
        <v>2783</v>
      </c>
      <c r="T384" s="108" t="s">
        <v>2785</v>
      </c>
      <c r="U384" s="103" t="s">
        <v>348</v>
      </c>
      <c r="W384" s="103" t="s">
        <v>189</v>
      </c>
      <c r="X384" s="108">
        <v>42446</v>
      </c>
      <c r="Y384" s="103">
        <v>7</v>
      </c>
      <c r="AA384" s="101" t="s">
        <v>2350</v>
      </c>
    </row>
    <row r="385" spans="1:27" s="103" customFormat="1" x14ac:dyDescent="0.25">
      <c r="A385" s="101" t="s">
        <v>2724</v>
      </c>
      <c r="B385" s="103" t="s">
        <v>2726</v>
      </c>
      <c r="D385" s="103" t="s">
        <v>119</v>
      </c>
      <c r="E385" s="103" t="s">
        <v>1430</v>
      </c>
      <c r="H385" s="103" t="s">
        <v>2361</v>
      </c>
      <c r="I385" s="111" t="s">
        <v>177</v>
      </c>
      <c r="J385" s="103" t="s">
        <v>2388</v>
      </c>
      <c r="K385" s="103" t="s">
        <v>343</v>
      </c>
      <c r="L385" s="108">
        <v>42411</v>
      </c>
      <c r="M385" s="11">
        <f t="shared" ca="1" si="12"/>
        <v>112</v>
      </c>
      <c r="N385" s="108">
        <v>42417</v>
      </c>
      <c r="O385" s="108"/>
      <c r="P385" s="103" t="s">
        <v>2350</v>
      </c>
      <c r="Q385" s="45"/>
      <c r="R385" s="103" t="s">
        <v>3011</v>
      </c>
      <c r="S385" s="103" t="s">
        <v>2783</v>
      </c>
      <c r="T385" s="108" t="s">
        <v>2785</v>
      </c>
      <c r="U385" s="103" t="s">
        <v>348</v>
      </c>
      <c r="W385" s="103" t="s">
        <v>189</v>
      </c>
      <c r="X385" s="108">
        <v>42446</v>
      </c>
      <c r="Y385" s="103">
        <v>10</v>
      </c>
      <c r="AA385" s="101" t="s">
        <v>2350</v>
      </c>
    </row>
    <row r="386" spans="1:27" s="103" customFormat="1" x14ac:dyDescent="0.25">
      <c r="A386" s="101" t="s">
        <v>2725</v>
      </c>
      <c r="B386" s="103" t="s">
        <v>2727</v>
      </c>
      <c r="D386" s="103" t="s">
        <v>119</v>
      </c>
      <c r="E386" s="103" t="s">
        <v>1430</v>
      </c>
      <c r="H386" s="103" t="s">
        <v>2361</v>
      </c>
      <c r="I386" s="111" t="s">
        <v>177</v>
      </c>
      <c r="J386" s="103" t="s">
        <v>2388</v>
      </c>
      <c r="K386" s="103" t="s">
        <v>343</v>
      </c>
      <c r="L386" s="108">
        <v>42411</v>
      </c>
      <c r="M386" s="11">
        <f t="shared" ca="1" si="12"/>
        <v>112</v>
      </c>
      <c r="N386" s="108">
        <v>42417</v>
      </c>
      <c r="O386" s="108"/>
      <c r="P386" s="103" t="s">
        <v>2350</v>
      </c>
      <c r="Q386" s="45"/>
      <c r="R386" s="103" t="s">
        <v>3011</v>
      </c>
      <c r="S386" s="103" t="s">
        <v>2783</v>
      </c>
      <c r="T386" s="108" t="s">
        <v>2785</v>
      </c>
      <c r="U386" s="103" t="s">
        <v>348</v>
      </c>
      <c r="W386" s="103" t="s">
        <v>189</v>
      </c>
      <c r="X386" s="108">
        <v>42446</v>
      </c>
      <c r="Y386" s="103">
        <v>2</v>
      </c>
      <c r="AA386" s="101" t="s">
        <v>2350</v>
      </c>
    </row>
    <row r="387" spans="1:27" s="103" customFormat="1" x14ac:dyDescent="0.25">
      <c r="A387" s="101" t="s">
        <v>2865</v>
      </c>
      <c r="B387" s="103" t="s">
        <v>2866</v>
      </c>
      <c r="D387" s="103" t="s">
        <v>119</v>
      </c>
      <c r="E387" s="103" t="s">
        <v>155</v>
      </c>
      <c r="H387" s="103" t="s">
        <v>2360</v>
      </c>
      <c r="I387" s="111" t="s">
        <v>177</v>
      </c>
      <c r="J387" s="103" t="s">
        <v>2867</v>
      </c>
      <c r="K387" s="103" t="s">
        <v>343</v>
      </c>
      <c r="L387" s="108">
        <v>42438</v>
      </c>
      <c r="M387" s="11">
        <f t="shared" ca="1" si="12"/>
        <v>85</v>
      </c>
      <c r="N387" s="108">
        <v>42438</v>
      </c>
      <c r="O387" s="108"/>
      <c r="P387" s="103" t="s">
        <v>2350</v>
      </c>
      <c r="Q387" s="44"/>
      <c r="R387" s="103" t="s">
        <v>3012</v>
      </c>
      <c r="S387" s="103" t="s">
        <v>2783</v>
      </c>
      <c r="T387" s="108" t="s">
        <v>2895</v>
      </c>
      <c r="U387" s="103" t="s">
        <v>348</v>
      </c>
      <c r="W387" s="103" t="s">
        <v>189</v>
      </c>
      <c r="X387" s="108">
        <v>42447</v>
      </c>
      <c r="Y387" s="103">
        <v>8</v>
      </c>
      <c r="AA387" s="101" t="s">
        <v>2350</v>
      </c>
    </row>
    <row r="388" spans="1:27" s="103" customFormat="1" x14ac:dyDescent="0.25">
      <c r="A388" s="101" t="s">
        <v>2876</v>
      </c>
      <c r="B388" s="103" t="s">
        <v>2877</v>
      </c>
      <c r="D388" s="103" t="s">
        <v>119</v>
      </c>
      <c r="E388" s="103" t="s">
        <v>155</v>
      </c>
      <c r="H388" s="103" t="s">
        <v>2360</v>
      </c>
      <c r="I388" s="111" t="s">
        <v>177</v>
      </c>
      <c r="J388" s="103" t="s">
        <v>2315</v>
      </c>
      <c r="K388" s="103" t="s">
        <v>343</v>
      </c>
      <c r="L388" s="108">
        <v>42443</v>
      </c>
      <c r="M388" s="11">
        <f t="shared" ca="1" si="12"/>
        <v>80</v>
      </c>
      <c r="N388" s="108">
        <v>42443</v>
      </c>
      <c r="O388" s="108"/>
      <c r="P388" s="103" t="s">
        <v>2350</v>
      </c>
      <c r="Q388" s="44"/>
      <c r="R388" s="103" t="s">
        <v>3013</v>
      </c>
      <c r="S388" s="103" t="s">
        <v>2783</v>
      </c>
      <c r="T388" s="108" t="s">
        <v>2895</v>
      </c>
      <c r="U388" s="103" t="s">
        <v>348</v>
      </c>
      <c r="W388" s="103" t="s">
        <v>189</v>
      </c>
      <c r="X388" s="108">
        <v>42447</v>
      </c>
      <c r="Y388" s="103">
        <v>8</v>
      </c>
      <c r="AA388" s="101" t="s">
        <v>2350</v>
      </c>
    </row>
    <row r="389" spans="1:27" s="103" customFormat="1" x14ac:dyDescent="0.25">
      <c r="A389" s="101" t="s">
        <v>1468</v>
      </c>
      <c r="B389" s="103" t="s">
        <v>1469</v>
      </c>
      <c r="D389" s="103" t="s">
        <v>2290</v>
      </c>
      <c r="E389" s="103" t="s">
        <v>158</v>
      </c>
      <c r="H389" s="103" t="s">
        <v>97</v>
      </c>
      <c r="I389" s="111" t="s">
        <v>1411</v>
      </c>
      <c r="J389" s="103" t="s">
        <v>2282</v>
      </c>
      <c r="K389" s="103" t="s">
        <v>101</v>
      </c>
      <c r="L389" s="108">
        <v>42293</v>
      </c>
      <c r="M389" s="11">
        <f t="shared" ca="1" si="12"/>
        <v>164</v>
      </c>
      <c r="N389" s="108">
        <v>42299</v>
      </c>
      <c r="O389" s="108">
        <v>42314</v>
      </c>
      <c r="Q389" s="45"/>
      <c r="R389" s="103" t="s">
        <v>2754</v>
      </c>
      <c r="S389" s="103" t="s">
        <v>2755</v>
      </c>
      <c r="T389" s="108" t="s">
        <v>2756</v>
      </c>
      <c r="U389" s="103" t="s">
        <v>2757</v>
      </c>
      <c r="W389" s="103" t="s">
        <v>188</v>
      </c>
      <c r="X389" s="108">
        <v>42457</v>
      </c>
      <c r="AA389" s="101" t="s">
        <v>273</v>
      </c>
    </row>
    <row r="390" spans="1:27" s="103" customFormat="1" x14ac:dyDescent="0.25">
      <c r="A390" s="101" t="s">
        <v>277</v>
      </c>
      <c r="B390" s="103" t="s">
        <v>278</v>
      </c>
      <c r="C390" s="103" t="s">
        <v>3068</v>
      </c>
      <c r="D390" s="103" t="s">
        <v>118</v>
      </c>
      <c r="E390" s="103" t="s">
        <v>1430</v>
      </c>
      <c r="H390" s="103" t="s">
        <v>2344</v>
      </c>
      <c r="I390" s="111" t="s">
        <v>246</v>
      </c>
      <c r="J390" s="103" t="s">
        <v>3020</v>
      </c>
      <c r="K390" s="103" t="s">
        <v>98</v>
      </c>
      <c r="L390" s="108">
        <v>42185.619444444441</v>
      </c>
      <c r="M390" s="11">
        <f t="shared" ca="1" si="12"/>
        <v>272.38055555555911</v>
      </c>
      <c r="N390" s="108">
        <v>42272</v>
      </c>
      <c r="O390" s="108">
        <v>42397</v>
      </c>
      <c r="P390" s="103" t="s">
        <v>2530</v>
      </c>
      <c r="Q390" s="44"/>
      <c r="R390" s="115" t="s">
        <v>3069</v>
      </c>
      <c r="S390" s="103" t="s">
        <v>2833</v>
      </c>
      <c r="T390" s="108" t="s">
        <v>2834</v>
      </c>
      <c r="U390" s="108">
        <v>42447</v>
      </c>
      <c r="W390" s="103" t="s">
        <v>156</v>
      </c>
      <c r="X390" s="108">
        <v>42458</v>
      </c>
      <c r="Y390" s="103" t="s">
        <v>292</v>
      </c>
      <c r="Z390" s="108" t="s">
        <v>2282</v>
      </c>
      <c r="AA390" s="101" t="s">
        <v>2350</v>
      </c>
    </row>
    <row r="391" spans="1:27" s="103" customFormat="1" x14ac:dyDescent="0.25">
      <c r="A391" s="101" t="s">
        <v>1236</v>
      </c>
      <c r="B391" s="103" t="s">
        <v>2468</v>
      </c>
      <c r="C391" s="103" t="s">
        <v>3049</v>
      </c>
      <c r="D391" s="103" t="s">
        <v>2288</v>
      </c>
      <c r="E391" s="103" t="s">
        <v>1430</v>
      </c>
      <c r="H391" s="103" t="s">
        <v>2358</v>
      </c>
      <c r="I391" s="111" t="s">
        <v>2451</v>
      </c>
      <c r="L391" s="108">
        <v>42261</v>
      </c>
      <c r="M391" s="11">
        <f t="shared" ca="1" si="12"/>
        <v>197</v>
      </c>
      <c r="N391" s="108">
        <v>42380</v>
      </c>
      <c r="O391" s="108" t="s">
        <v>2524</v>
      </c>
      <c r="P391" s="103" t="s">
        <v>454</v>
      </c>
      <c r="Q391" s="45"/>
      <c r="R391" s="103" t="s">
        <v>3050</v>
      </c>
      <c r="S391" s="103" t="s">
        <v>2849</v>
      </c>
      <c r="T391" s="108" t="s">
        <v>2891</v>
      </c>
      <c r="U391" s="133">
        <v>42444</v>
      </c>
      <c r="W391" s="103" t="s">
        <v>156</v>
      </c>
      <c r="X391" s="108">
        <v>42458</v>
      </c>
      <c r="Z391" s="108" t="s">
        <v>1356</v>
      </c>
      <c r="AA391" s="101" t="s">
        <v>273</v>
      </c>
    </row>
    <row r="392" spans="1:27" s="103" customFormat="1" x14ac:dyDescent="0.25">
      <c r="A392" s="101" t="s">
        <v>2593</v>
      </c>
      <c r="B392" s="103" t="s">
        <v>2605</v>
      </c>
      <c r="C392" s="103" t="s">
        <v>3054</v>
      </c>
      <c r="D392" s="103" t="s">
        <v>2288</v>
      </c>
      <c r="E392" s="103" t="s">
        <v>1430</v>
      </c>
      <c r="H392" s="103" t="s">
        <v>2361</v>
      </c>
      <c r="I392" s="111" t="s">
        <v>2451</v>
      </c>
      <c r="K392" s="103" t="s">
        <v>343</v>
      </c>
      <c r="L392" s="108">
        <v>42367</v>
      </c>
      <c r="M392" s="11">
        <f t="shared" ca="1" si="12"/>
        <v>77</v>
      </c>
      <c r="N392" s="108">
        <v>42391</v>
      </c>
      <c r="O392" s="108"/>
      <c r="Q392" s="45"/>
      <c r="R392" s="103" t="s">
        <v>2893</v>
      </c>
      <c r="S392" s="103" t="s">
        <v>2755</v>
      </c>
      <c r="T392" s="108" t="s">
        <v>2888</v>
      </c>
      <c r="U392" s="133">
        <v>42440</v>
      </c>
      <c r="W392" s="103" t="s">
        <v>156</v>
      </c>
      <c r="X392" s="108">
        <v>42444</v>
      </c>
      <c r="Z392" s="108" t="s">
        <v>2282</v>
      </c>
      <c r="AA392" s="101" t="s">
        <v>273</v>
      </c>
    </row>
    <row r="393" spans="1:27" s="103" customFormat="1" x14ac:dyDescent="0.25">
      <c r="A393" s="101" t="s">
        <v>2596</v>
      </c>
      <c r="B393" s="103" t="s">
        <v>2597</v>
      </c>
      <c r="C393" s="103" t="s">
        <v>3025</v>
      </c>
      <c r="D393" s="103" t="s">
        <v>119</v>
      </c>
      <c r="E393" s="103" t="s">
        <v>1430</v>
      </c>
      <c r="H393" s="103" t="s">
        <v>97</v>
      </c>
      <c r="I393" s="111" t="s">
        <v>2451</v>
      </c>
      <c r="K393" s="103" t="s">
        <v>97</v>
      </c>
      <c r="L393" s="108">
        <v>42383</v>
      </c>
      <c r="M393" s="11">
        <f t="shared" ca="1" si="12"/>
        <v>75</v>
      </c>
      <c r="N393" s="108">
        <v>42391</v>
      </c>
      <c r="O393" s="108"/>
      <c r="Q393" s="45"/>
      <c r="R393" s="103" t="s">
        <v>3055</v>
      </c>
      <c r="S393" s="103" t="s">
        <v>2826</v>
      </c>
      <c r="T393" s="108" t="s">
        <v>2827</v>
      </c>
      <c r="U393" s="133">
        <v>42440</v>
      </c>
      <c r="W393" s="103" t="s">
        <v>188</v>
      </c>
      <c r="X393" s="108">
        <v>42458</v>
      </c>
      <c r="Z393" s="108" t="s">
        <v>2282</v>
      </c>
      <c r="AA393" s="101" t="s">
        <v>2350</v>
      </c>
    </row>
    <row r="394" spans="1:27" s="103" customFormat="1" x14ac:dyDescent="0.25">
      <c r="A394" s="101" t="s">
        <v>2600</v>
      </c>
      <c r="B394" s="103" t="s">
        <v>2601</v>
      </c>
      <c r="C394" s="103" t="s">
        <v>3025</v>
      </c>
      <c r="D394" s="103" t="s">
        <v>2288</v>
      </c>
      <c r="E394" s="103" t="s">
        <v>1430</v>
      </c>
      <c r="H394" s="103" t="s">
        <v>2344</v>
      </c>
      <c r="I394" s="111" t="s">
        <v>2451</v>
      </c>
      <c r="K394" s="103" t="s">
        <v>98</v>
      </c>
      <c r="L394" s="108">
        <v>42389</v>
      </c>
      <c r="M394" s="11">
        <f t="shared" ca="1" si="12"/>
        <v>62</v>
      </c>
      <c r="N394" s="108">
        <v>42391</v>
      </c>
      <c r="O394" s="108"/>
      <c r="Q394" s="45"/>
      <c r="R394" s="103" t="s">
        <v>2957</v>
      </c>
      <c r="S394" s="103" t="s">
        <v>180</v>
      </c>
      <c r="T394" s="108" t="s">
        <v>2451</v>
      </c>
      <c r="U394" s="103" t="s">
        <v>2828</v>
      </c>
      <c r="W394" s="103" t="s">
        <v>156</v>
      </c>
      <c r="X394" s="108">
        <v>42451</v>
      </c>
      <c r="Z394" s="108" t="s">
        <v>2282</v>
      </c>
      <c r="AA394" s="101" t="s">
        <v>273</v>
      </c>
    </row>
    <row r="395" spans="1:27" s="103" customFormat="1" x14ac:dyDescent="0.25">
      <c r="A395" s="101" t="s">
        <v>2797</v>
      </c>
      <c r="B395" s="7" t="s">
        <v>2718</v>
      </c>
      <c r="D395" s="103" t="s">
        <v>118</v>
      </c>
      <c r="E395" s="103" t="s">
        <v>1430</v>
      </c>
      <c r="H395" s="103" t="s">
        <v>2320</v>
      </c>
      <c r="I395" s="111" t="s">
        <v>2407</v>
      </c>
      <c r="J395" s="103" t="s">
        <v>2310</v>
      </c>
      <c r="K395" s="103" t="s">
        <v>2320</v>
      </c>
      <c r="L395" s="108">
        <v>42417</v>
      </c>
      <c r="M395" s="11">
        <f t="shared" ca="1" si="12"/>
        <v>41</v>
      </c>
      <c r="N395" s="108">
        <v>42417</v>
      </c>
      <c r="O395" s="108"/>
      <c r="Q395" s="44"/>
      <c r="R395" s="103" t="s">
        <v>3003</v>
      </c>
      <c r="S395" s="103" t="s">
        <v>188</v>
      </c>
      <c r="T395" s="108" t="s">
        <v>2885</v>
      </c>
      <c r="W395" s="103" t="s">
        <v>188</v>
      </c>
      <c r="X395" s="108">
        <v>42458</v>
      </c>
      <c r="AA395" s="101" t="s">
        <v>2350</v>
      </c>
    </row>
    <row r="396" spans="1:27" s="103" customFormat="1" x14ac:dyDescent="0.25">
      <c r="A396" s="101" t="s">
        <v>2799</v>
      </c>
      <c r="B396" s="7" t="s">
        <v>2720</v>
      </c>
      <c r="D396" s="103" t="s">
        <v>118</v>
      </c>
      <c r="E396" s="103" t="s">
        <v>1430</v>
      </c>
      <c r="H396" s="103" t="s">
        <v>2320</v>
      </c>
      <c r="I396" s="111" t="s">
        <v>2407</v>
      </c>
      <c r="J396" s="103" t="s">
        <v>2310</v>
      </c>
      <c r="K396" s="103" t="s">
        <v>2320</v>
      </c>
      <c r="L396" s="108">
        <v>42417</v>
      </c>
      <c r="M396" s="11">
        <f t="shared" ref="M396:M427" ca="1" si="13">IFERROR(IF(AND(W396&lt;&gt;"Concluído",W396&lt;&gt;"Cancelado"),TODAY()-L396+1,X396-L396),"")</f>
        <v>41</v>
      </c>
      <c r="N396" s="108">
        <v>42417</v>
      </c>
      <c r="O396" s="108"/>
      <c r="Q396" s="44"/>
      <c r="R396" s="103" t="s">
        <v>3004</v>
      </c>
      <c r="S396" s="103" t="s">
        <v>188</v>
      </c>
      <c r="T396" s="108" t="s">
        <v>2885</v>
      </c>
      <c r="W396" s="103" t="s">
        <v>188</v>
      </c>
      <c r="X396" s="108">
        <v>42458</v>
      </c>
      <c r="AA396" s="101" t="s">
        <v>2350</v>
      </c>
    </row>
    <row r="397" spans="1:27" s="103" customFormat="1" x14ac:dyDescent="0.25">
      <c r="A397" s="101" t="s">
        <v>2800</v>
      </c>
      <c r="B397" s="7" t="s">
        <v>2721</v>
      </c>
      <c r="D397" s="103" t="s">
        <v>118</v>
      </c>
      <c r="E397" s="103" t="s">
        <v>1430</v>
      </c>
      <c r="H397" s="103" t="s">
        <v>2320</v>
      </c>
      <c r="I397" s="111" t="s">
        <v>2407</v>
      </c>
      <c r="J397" s="103" t="s">
        <v>2310</v>
      </c>
      <c r="K397" s="103" t="s">
        <v>2320</v>
      </c>
      <c r="L397" s="108">
        <v>42417</v>
      </c>
      <c r="M397" s="11">
        <f t="shared" ca="1" si="13"/>
        <v>47</v>
      </c>
      <c r="N397" s="108">
        <v>42417</v>
      </c>
      <c r="O397" s="108"/>
      <c r="Q397" s="44"/>
      <c r="R397" s="103" t="s">
        <v>3091</v>
      </c>
      <c r="S397" s="103" t="s">
        <v>2320</v>
      </c>
      <c r="T397" s="108" t="s">
        <v>2308</v>
      </c>
      <c r="W397" s="103" t="s">
        <v>188</v>
      </c>
      <c r="X397" s="108">
        <v>42464</v>
      </c>
      <c r="AA397" s="101" t="s">
        <v>2350</v>
      </c>
    </row>
    <row r="398" spans="1:27" s="103" customFormat="1" x14ac:dyDescent="0.25">
      <c r="A398" s="101" t="s">
        <v>2714</v>
      </c>
      <c r="B398" s="7" t="s">
        <v>2723</v>
      </c>
      <c r="D398" s="103" t="s">
        <v>118</v>
      </c>
      <c r="E398" s="103" t="s">
        <v>1430</v>
      </c>
      <c r="H398" s="103" t="s">
        <v>2320</v>
      </c>
      <c r="I398" s="111" t="s">
        <v>2407</v>
      </c>
      <c r="J398" s="103" t="s">
        <v>2310</v>
      </c>
      <c r="K398" s="103" t="s">
        <v>2320</v>
      </c>
      <c r="L398" s="108">
        <v>42417</v>
      </c>
      <c r="M398" s="11">
        <f t="shared" ca="1" si="13"/>
        <v>41</v>
      </c>
      <c r="N398" s="108">
        <v>42417</v>
      </c>
      <c r="O398" s="108"/>
      <c r="Q398" s="44"/>
      <c r="R398" s="103" t="s">
        <v>3005</v>
      </c>
      <c r="S398" s="103" t="s">
        <v>188</v>
      </c>
      <c r="T398" s="108" t="s">
        <v>2885</v>
      </c>
      <c r="W398" s="103" t="s">
        <v>188</v>
      </c>
      <c r="X398" s="108">
        <v>42458</v>
      </c>
      <c r="AA398" s="101" t="s">
        <v>2350</v>
      </c>
    </row>
    <row r="399" spans="1:27" s="103" customFormat="1" x14ac:dyDescent="0.25">
      <c r="A399" s="101" t="s">
        <v>2806</v>
      </c>
      <c r="B399" s="103" t="s">
        <v>2807</v>
      </c>
      <c r="D399" s="103" t="s">
        <v>119</v>
      </c>
      <c r="E399" s="103" t="s">
        <v>106</v>
      </c>
      <c r="H399" s="103" t="s">
        <v>2360</v>
      </c>
      <c r="I399" s="111" t="s">
        <v>280</v>
      </c>
      <c r="J399" s="103" t="s">
        <v>2950</v>
      </c>
      <c r="K399" s="103" t="s">
        <v>343</v>
      </c>
      <c r="L399" s="108">
        <v>42416</v>
      </c>
      <c r="M399" s="103">
        <f t="shared" ca="1" si="13"/>
        <v>41</v>
      </c>
      <c r="N399" s="108">
        <v>42431</v>
      </c>
      <c r="O399" s="108"/>
      <c r="Q399" s="46"/>
      <c r="R399" s="103" t="s">
        <v>3081</v>
      </c>
      <c r="T399" s="108"/>
      <c r="U399" s="133"/>
      <c r="W399" s="103" t="s">
        <v>156</v>
      </c>
      <c r="X399" s="108">
        <v>42457</v>
      </c>
      <c r="Y399" s="103">
        <v>32</v>
      </c>
      <c r="AA399" s="101" t="s">
        <v>273</v>
      </c>
    </row>
    <row r="400" spans="1:27" s="103" customFormat="1" x14ac:dyDescent="0.25">
      <c r="A400" s="101" t="s">
        <v>2814</v>
      </c>
      <c r="B400" s="103" t="s">
        <v>2815</v>
      </c>
      <c r="C400" s="103" t="s">
        <v>3025</v>
      </c>
      <c r="D400" s="103" t="s">
        <v>119</v>
      </c>
      <c r="E400" s="103" t="s">
        <v>1430</v>
      </c>
      <c r="H400" s="103" t="s">
        <v>2360</v>
      </c>
      <c r="I400" s="111" t="s">
        <v>280</v>
      </c>
      <c r="J400" s="103" t="s">
        <v>2388</v>
      </c>
      <c r="K400" s="103" t="s">
        <v>343</v>
      </c>
      <c r="L400" s="108">
        <v>42430</v>
      </c>
      <c r="M400" s="103">
        <f t="shared" ca="1" si="13"/>
        <v>27</v>
      </c>
      <c r="N400" s="108">
        <v>42432</v>
      </c>
      <c r="O400" s="108"/>
      <c r="P400" s="103" t="s">
        <v>2860</v>
      </c>
      <c r="Q400" s="46"/>
      <c r="R400" s="103" t="s">
        <v>3083</v>
      </c>
      <c r="T400" s="108"/>
      <c r="U400" s="133"/>
      <c r="W400" s="103" t="s">
        <v>156</v>
      </c>
      <c r="X400" s="108">
        <v>42457</v>
      </c>
      <c r="Y400" s="103" t="s">
        <v>2861</v>
      </c>
      <c r="AA400" s="101" t="s">
        <v>2350</v>
      </c>
    </row>
    <row r="401" spans="1:27" s="103" customFormat="1" x14ac:dyDescent="0.25">
      <c r="A401" s="101" t="s">
        <v>2905</v>
      </c>
      <c r="B401" s="103" t="s">
        <v>2906</v>
      </c>
      <c r="C401" s="103" t="s">
        <v>3025</v>
      </c>
      <c r="D401" s="103" t="s">
        <v>119</v>
      </c>
      <c r="E401" s="103" t="s">
        <v>1430</v>
      </c>
      <c r="H401" s="103" t="s">
        <v>2360</v>
      </c>
      <c r="I401" s="111" t="s">
        <v>2939</v>
      </c>
      <c r="J401" s="103" t="s">
        <v>2388</v>
      </c>
      <c r="K401" s="103" t="s">
        <v>343</v>
      </c>
      <c r="L401" s="108">
        <v>42444</v>
      </c>
      <c r="M401" s="11">
        <f t="shared" ca="1" si="13"/>
        <v>14</v>
      </c>
      <c r="N401" s="108">
        <v>42445</v>
      </c>
      <c r="O401" s="108"/>
      <c r="Q401" s="44"/>
      <c r="R401" s="138" t="s">
        <v>3058</v>
      </c>
      <c r="T401" s="108"/>
      <c r="W401" s="103" t="s">
        <v>156</v>
      </c>
      <c r="X401" s="108">
        <v>42458</v>
      </c>
      <c r="AA401" s="101" t="s">
        <v>2350</v>
      </c>
    </row>
    <row r="402" spans="1:27" s="103" customFormat="1" x14ac:dyDescent="0.25">
      <c r="A402" s="101" t="s">
        <v>2912</v>
      </c>
      <c r="B402" s="103" t="s">
        <v>2913</v>
      </c>
      <c r="C402" s="103" t="s">
        <v>3025</v>
      </c>
      <c r="D402" s="103" t="s">
        <v>119</v>
      </c>
      <c r="E402" s="103" t="s">
        <v>1430</v>
      </c>
      <c r="H402" s="103" t="s">
        <v>2360</v>
      </c>
      <c r="I402" s="111" t="s">
        <v>2939</v>
      </c>
      <c r="J402" s="103" t="s">
        <v>2388</v>
      </c>
      <c r="K402" s="103" t="s">
        <v>343</v>
      </c>
      <c r="L402" s="108">
        <v>42444</v>
      </c>
      <c r="M402" s="11">
        <f t="shared" ca="1" si="13"/>
        <v>14</v>
      </c>
      <c r="N402" s="108">
        <v>42445</v>
      </c>
      <c r="O402" s="108"/>
      <c r="Q402" s="44"/>
      <c r="R402" s="138" t="s">
        <v>3057</v>
      </c>
      <c r="T402" s="108"/>
      <c r="W402" s="103" t="s">
        <v>156</v>
      </c>
      <c r="X402" s="108">
        <v>42458</v>
      </c>
      <c r="AA402" s="101" t="s">
        <v>2350</v>
      </c>
    </row>
    <row r="403" spans="1:27" s="103" customFormat="1" x14ac:dyDescent="0.25">
      <c r="A403" s="101" t="s">
        <v>2915</v>
      </c>
      <c r="B403" s="103" t="s">
        <v>2916</v>
      </c>
      <c r="C403" s="103" t="s">
        <v>3025</v>
      </c>
      <c r="D403" s="103" t="s">
        <v>119</v>
      </c>
      <c r="E403" s="103" t="s">
        <v>1430</v>
      </c>
      <c r="H403" s="103" t="s">
        <v>2360</v>
      </c>
      <c r="I403" s="111" t="s">
        <v>2939</v>
      </c>
      <c r="J403" s="103" t="s">
        <v>2388</v>
      </c>
      <c r="K403" s="103" t="s">
        <v>343</v>
      </c>
      <c r="L403" s="108">
        <v>42444</v>
      </c>
      <c r="M403" s="11">
        <f t="shared" ca="1" si="13"/>
        <v>14</v>
      </c>
      <c r="N403" s="108">
        <v>42445</v>
      </c>
      <c r="O403" s="108"/>
      <c r="Q403" s="44"/>
      <c r="R403" s="138" t="s">
        <v>3060</v>
      </c>
      <c r="T403" s="108"/>
      <c r="W403" s="103" t="s">
        <v>156</v>
      </c>
      <c r="X403" s="108">
        <v>42458</v>
      </c>
      <c r="AA403" s="101" t="s">
        <v>2350</v>
      </c>
    </row>
    <row r="404" spans="1:27" s="103" customFormat="1" x14ac:dyDescent="0.25">
      <c r="A404" s="101" t="s">
        <v>2917</v>
      </c>
      <c r="B404" s="103" t="s">
        <v>2918</v>
      </c>
      <c r="C404" s="103" t="s">
        <v>3025</v>
      </c>
      <c r="D404" s="103" t="s">
        <v>119</v>
      </c>
      <c r="E404" s="103" t="s">
        <v>1430</v>
      </c>
      <c r="H404" s="103" t="s">
        <v>2360</v>
      </c>
      <c r="I404" s="111" t="s">
        <v>2939</v>
      </c>
      <c r="J404" s="103" t="s">
        <v>2388</v>
      </c>
      <c r="K404" s="103" t="s">
        <v>343</v>
      </c>
      <c r="L404" s="108">
        <v>42444</v>
      </c>
      <c r="M404" s="11">
        <f t="shared" ca="1" si="13"/>
        <v>14</v>
      </c>
      <c r="N404" s="108">
        <v>42445</v>
      </c>
      <c r="O404" s="108"/>
      <c r="Q404" s="44"/>
      <c r="R404" s="138" t="s">
        <v>3060</v>
      </c>
      <c r="T404" s="108"/>
      <c r="W404" s="103" t="s">
        <v>156</v>
      </c>
      <c r="X404" s="108">
        <v>42458</v>
      </c>
      <c r="AA404" s="101" t="s">
        <v>2350</v>
      </c>
    </row>
    <row r="405" spans="1:27" s="103" customFormat="1" x14ac:dyDescent="0.25">
      <c r="A405" s="101" t="s">
        <v>2919</v>
      </c>
      <c r="B405" s="103" t="s">
        <v>2920</v>
      </c>
      <c r="C405" s="103" t="s">
        <v>3025</v>
      </c>
      <c r="D405" s="103" t="s">
        <v>119</v>
      </c>
      <c r="E405" s="103" t="s">
        <v>1430</v>
      </c>
      <c r="H405" s="103" t="s">
        <v>2360</v>
      </c>
      <c r="I405" s="111" t="s">
        <v>2939</v>
      </c>
      <c r="J405" s="103" t="s">
        <v>2388</v>
      </c>
      <c r="K405" s="103" t="s">
        <v>343</v>
      </c>
      <c r="L405" s="108">
        <v>42444</v>
      </c>
      <c r="M405" s="11">
        <f t="shared" ca="1" si="13"/>
        <v>14</v>
      </c>
      <c r="N405" s="108">
        <v>42445</v>
      </c>
      <c r="O405" s="108"/>
      <c r="Q405" s="44"/>
      <c r="R405" s="138" t="s">
        <v>3060</v>
      </c>
      <c r="T405" s="108"/>
      <c r="W405" s="103" t="s">
        <v>156</v>
      </c>
      <c r="X405" s="108">
        <v>42458</v>
      </c>
      <c r="AA405" s="101" t="s">
        <v>2350</v>
      </c>
    </row>
    <row r="406" spans="1:27" s="103" customFormat="1" x14ac:dyDescent="0.25">
      <c r="A406" s="101" t="s">
        <v>2921</v>
      </c>
      <c r="B406" s="103" t="s">
        <v>2922</v>
      </c>
      <c r="C406" s="103" t="s">
        <v>3025</v>
      </c>
      <c r="D406" s="103" t="s">
        <v>119</v>
      </c>
      <c r="E406" s="103" t="s">
        <v>1430</v>
      </c>
      <c r="H406" s="103" t="s">
        <v>2360</v>
      </c>
      <c r="I406" s="111" t="s">
        <v>2939</v>
      </c>
      <c r="J406" s="103" t="s">
        <v>2388</v>
      </c>
      <c r="K406" s="103" t="s">
        <v>343</v>
      </c>
      <c r="L406" s="108">
        <v>42444</v>
      </c>
      <c r="M406" s="11">
        <f t="shared" ca="1" si="13"/>
        <v>14</v>
      </c>
      <c r="N406" s="108">
        <v>42445</v>
      </c>
      <c r="O406" s="108"/>
      <c r="Q406" s="44"/>
      <c r="R406" s="138" t="s">
        <v>3060</v>
      </c>
      <c r="T406" s="108"/>
      <c r="W406" s="103" t="s">
        <v>156</v>
      </c>
      <c r="X406" s="108">
        <v>42458</v>
      </c>
      <c r="AA406" s="101" t="s">
        <v>2350</v>
      </c>
    </row>
    <row r="407" spans="1:27" s="103" customFormat="1" x14ac:dyDescent="0.25">
      <c r="A407" s="101" t="s">
        <v>465</v>
      </c>
      <c r="B407" s="103" t="s">
        <v>2906</v>
      </c>
      <c r="C407" s="103" t="s">
        <v>3025</v>
      </c>
      <c r="D407" s="103" t="s">
        <v>119</v>
      </c>
      <c r="E407" s="103" t="s">
        <v>1430</v>
      </c>
      <c r="H407" s="103" t="s">
        <v>2360</v>
      </c>
      <c r="I407" s="111" t="s">
        <v>2939</v>
      </c>
      <c r="J407" s="103" t="s">
        <v>2388</v>
      </c>
      <c r="K407" s="103" t="s">
        <v>2999</v>
      </c>
      <c r="L407" s="108">
        <v>42450</v>
      </c>
      <c r="M407" s="11">
        <f t="shared" ca="1" si="13"/>
        <v>8</v>
      </c>
      <c r="N407" s="108">
        <v>42451</v>
      </c>
      <c r="O407" s="108"/>
      <c r="Q407" s="44"/>
      <c r="R407" s="138" t="s">
        <v>3060</v>
      </c>
      <c r="T407" s="108"/>
      <c r="W407" s="103" t="s">
        <v>156</v>
      </c>
      <c r="X407" s="108">
        <v>42458</v>
      </c>
      <c r="AA407" s="101" t="s">
        <v>2350</v>
      </c>
    </row>
    <row r="408" spans="1:27" s="103" customFormat="1" x14ac:dyDescent="0.25">
      <c r="A408" s="101" t="s">
        <v>2964</v>
      </c>
      <c r="B408" s="103" t="s">
        <v>2983</v>
      </c>
      <c r="C408" s="103" t="s">
        <v>3025</v>
      </c>
      <c r="D408" s="103" t="s">
        <v>119</v>
      </c>
      <c r="E408" s="103" t="s">
        <v>1430</v>
      </c>
      <c r="H408" s="103" t="s">
        <v>2360</v>
      </c>
      <c r="I408" s="111" t="s">
        <v>2939</v>
      </c>
      <c r="J408" s="103" t="s">
        <v>2388</v>
      </c>
      <c r="K408" s="103" t="s">
        <v>2999</v>
      </c>
      <c r="L408" s="108">
        <v>42450</v>
      </c>
      <c r="M408" s="11">
        <f t="shared" ca="1" si="13"/>
        <v>8</v>
      </c>
      <c r="N408" s="108">
        <v>42451</v>
      </c>
      <c r="O408" s="108"/>
      <c r="Q408" s="44"/>
      <c r="R408" s="138" t="s">
        <v>3060</v>
      </c>
      <c r="T408" s="108"/>
      <c r="W408" s="103" t="s">
        <v>156</v>
      </c>
      <c r="X408" s="108">
        <v>42458</v>
      </c>
      <c r="AA408" s="101" t="s">
        <v>2350</v>
      </c>
    </row>
    <row r="409" spans="1:27" s="103" customFormat="1" x14ac:dyDescent="0.25">
      <c r="A409" s="101" t="s">
        <v>2966</v>
      </c>
      <c r="B409" s="103" t="s">
        <v>2909</v>
      </c>
      <c r="C409" s="103" t="s">
        <v>3025</v>
      </c>
      <c r="D409" s="103" t="s">
        <v>119</v>
      </c>
      <c r="E409" s="103" t="s">
        <v>1430</v>
      </c>
      <c r="H409" s="103" t="s">
        <v>2360</v>
      </c>
      <c r="I409" s="111" t="s">
        <v>2939</v>
      </c>
      <c r="J409" s="103" t="s">
        <v>2388</v>
      </c>
      <c r="K409" s="103" t="s">
        <v>2999</v>
      </c>
      <c r="L409" s="108">
        <v>42450</v>
      </c>
      <c r="M409" s="11">
        <f t="shared" ca="1" si="13"/>
        <v>8</v>
      </c>
      <c r="N409" s="108">
        <v>42451</v>
      </c>
      <c r="O409" s="108"/>
      <c r="Q409" s="44"/>
      <c r="R409" s="138" t="s">
        <v>3064</v>
      </c>
      <c r="T409" s="108"/>
      <c r="W409" s="103" t="s">
        <v>156</v>
      </c>
      <c r="X409" s="108">
        <v>42458</v>
      </c>
      <c r="AA409" s="101" t="s">
        <v>2350</v>
      </c>
    </row>
    <row r="410" spans="1:27" s="103" customFormat="1" x14ac:dyDescent="0.25">
      <c r="A410" s="101" t="s">
        <v>465</v>
      </c>
      <c r="B410" s="103" t="s">
        <v>2916</v>
      </c>
      <c r="C410" s="103" t="s">
        <v>3025</v>
      </c>
      <c r="D410" s="103" t="s">
        <v>119</v>
      </c>
      <c r="E410" s="103" t="s">
        <v>1430</v>
      </c>
      <c r="H410" s="103" t="s">
        <v>2360</v>
      </c>
      <c r="I410" s="111" t="s">
        <v>2939</v>
      </c>
      <c r="J410" s="103" t="s">
        <v>2388</v>
      </c>
      <c r="K410" s="103" t="s">
        <v>3001</v>
      </c>
      <c r="L410" s="108">
        <v>42450</v>
      </c>
      <c r="M410" s="11">
        <f t="shared" ca="1" si="13"/>
        <v>8</v>
      </c>
      <c r="N410" s="108">
        <v>42451</v>
      </c>
      <c r="O410" s="108"/>
      <c r="Q410" s="44"/>
      <c r="R410" s="138" t="s">
        <v>3064</v>
      </c>
      <c r="T410" s="108"/>
      <c r="W410" s="103" t="s">
        <v>156</v>
      </c>
      <c r="X410" s="108">
        <v>42458</v>
      </c>
      <c r="AA410" s="101" t="s">
        <v>2350</v>
      </c>
    </row>
    <row r="411" spans="1:27" s="103" customFormat="1" x14ac:dyDescent="0.25">
      <c r="A411" s="101" t="s">
        <v>465</v>
      </c>
      <c r="B411" s="103" t="s">
        <v>2913</v>
      </c>
      <c r="C411" s="103" t="s">
        <v>3025</v>
      </c>
      <c r="D411" s="103" t="s">
        <v>119</v>
      </c>
      <c r="E411" s="103" t="s">
        <v>1430</v>
      </c>
      <c r="H411" s="103" t="s">
        <v>2360</v>
      </c>
      <c r="I411" s="111" t="s">
        <v>2939</v>
      </c>
      <c r="J411" s="103" t="s">
        <v>2388</v>
      </c>
      <c r="K411" s="103" t="s">
        <v>2999</v>
      </c>
      <c r="L411" s="108">
        <v>42450</v>
      </c>
      <c r="M411" s="11">
        <f t="shared" ca="1" si="13"/>
        <v>8</v>
      </c>
      <c r="N411" s="108">
        <v>42451</v>
      </c>
      <c r="O411" s="108"/>
      <c r="Q411" s="44"/>
      <c r="R411" s="138" t="s">
        <v>3060</v>
      </c>
      <c r="T411" s="108"/>
      <c r="W411" s="103" t="s">
        <v>156</v>
      </c>
      <c r="X411" s="108">
        <v>42458</v>
      </c>
      <c r="AA411" s="101" t="s">
        <v>2350</v>
      </c>
    </row>
    <row r="412" spans="1:27" s="103" customFormat="1" x14ac:dyDescent="0.25">
      <c r="A412" s="101" t="s">
        <v>2974</v>
      </c>
      <c r="B412" s="103" t="s">
        <v>2995</v>
      </c>
      <c r="C412" s="103" t="s">
        <v>3025</v>
      </c>
      <c r="D412" s="103" t="s">
        <v>119</v>
      </c>
      <c r="E412" s="103" t="s">
        <v>1430</v>
      </c>
      <c r="H412" s="103" t="s">
        <v>2360</v>
      </c>
      <c r="I412" s="111" t="s">
        <v>2939</v>
      </c>
      <c r="J412" s="103" t="s">
        <v>2388</v>
      </c>
      <c r="K412" s="103" t="s">
        <v>3001</v>
      </c>
      <c r="L412" s="108">
        <v>42450</v>
      </c>
      <c r="M412" s="11">
        <f t="shared" ca="1" si="13"/>
        <v>8</v>
      </c>
      <c r="N412" s="108">
        <v>42451</v>
      </c>
      <c r="O412" s="108"/>
      <c r="Q412" s="44"/>
      <c r="R412" s="138" t="s">
        <v>3060</v>
      </c>
      <c r="T412" s="108"/>
      <c r="W412" s="103" t="s">
        <v>156</v>
      </c>
      <c r="X412" s="108">
        <v>42458</v>
      </c>
      <c r="AA412" s="101" t="s">
        <v>2350</v>
      </c>
    </row>
    <row r="413" spans="1:27" s="103" customFormat="1" x14ac:dyDescent="0.25">
      <c r="A413" s="101" t="s">
        <v>2976</v>
      </c>
      <c r="B413" s="103" t="s">
        <v>2997</v>
      </c>
      <c r="C413" s="103" t="s">
        <v>3025</v>
      </c>
      <c r="D413" s="103" t="s">
        <v>119</v>
      </c>
      <c r="E413" s="103" t="s">
        <v>1430</v>
      </c>
      <c r="H413" s="103" t="s">
        <v>2360</v>
      </c>
      <c r="I413" s="111" t="s">
        <v>2939</v>
      </c>
      <c r="J413" s="103" t="s">
        <v>2388</v>
      </c>
      <c r="K413" s="103" t="s">
        <v>3001</v>
      </c>
      <c r="L413" s="108">
        <v>42450</v>
      </c>
      <c r="M413" s="11">
        <f t="shared" ca="1" si="13"/>
        <v>8</v>
      </c>
      <c r="N413" s="108">
        <v>42451</v>
      </c>
      <c r="O413" s="108"/>
      <c r="Q413" s="44"/>
      <c r="R413" s="138" t="s">
        <v>3060</v>
      </c>
      <c r="T413" s="108"/>
      <c r="W413" s="103" t="s">
        <v>156</v>
      </c>
      <c r="X413" s="108">
        <v>42458</v>
      </c>
      <c r="AA413" s="101" t="s">
        <v>2350</v>
      </c>
    </row>
    <row r="414" spans="1:27" s="103" customFormat="1" x14ac:dyDescent="0.25">
      <c r="A414" s="101" t="s">
        <v>2978</v>
      </c>
      <c r="B414" s="103" t="s">
        <v>2997</v>
      </c>
      <c r="C414" s="103" t="s">
        <v>3025</v>
      </c>
      <c r="D414" s="103" t="s">
        <v>119</v>
      </c>
      <c r="E414" s="103" t="s">
        <v>1430</v>
      </c>
      <c r="H414" s="103" t="s">
        <v>2360</v>
      </c>
      <c r="I414" s="111" t="s">
        <v>2939</v>
      </c>
      <c r="J414" s="103" t="s">
        <v>2388</v>
      </c>
      <c r="K414" s="103" t="s">
        <v>3000</v>
      </c>
      <c r="L414" s="108">
        <v>42450</v>
      </c>
      <c r="M414" s="11">
        <f t="shared" ca="1" si="13"/>
        <v>8</v>
      </c>
      <c r="N414" s="108">
        <v>42451</v>
      </c>
      <c r="O414" s="108"/>
      <c r="Q414" s="44"/>
      <c r="R414" s="138" t="s">
        <v>3060</v>
      </c>
      <c r="T414" s="108"/>
      <c r="W414" s="103" t="s">
        <v>156</v>
      </c>
      <c r="X414" s="108">
        <v>42458</v>
      </c>
      <c r="AA414" s="101" t="s">
        <v>2350</v>
      </c>
    </row>
    <row r="415" spans="1:27" s="103" customFormat="1" x14ac:dyDescent="0.25">
      <c r="A415" s="101" t="s">
        <v>2979</v>
      </c>
      <c r="B415" s="103" t="s">
        <v>2916</v>
      </c>
      <c r="C415" s="103" t="s">
        <v>3025</v>
      </c>
      <c r="D415" s="103" t="s">
        <v>119</v>
      </c>
      <c r="E415" s="103" t="s">
        <v>1430</v>
      </c>
      <c r="H415" s="103" t="s">
        <v>2360</v>
      </c>
      <c r="I415" s="111" t="s">
        <v>2939</v>
      </c>
      <c r="J415" s="103" t="s">
        <v>2388</v>
      </c>
      <c r="K415" s="103" t="s">
        <v>3000</v>
      </c>
      <c r="L415" s="108">
        <v>42450</v>
      </c>
      <c r="M415" s="11">
        <f t="shared" ca="1" si="13"/>
        <v>8</v>
      </c>
      <c r="N415" s="108">
        <v>42451</v>
      </c>
      <c r="O415" s="108"/>
      <c r="Q415" s="44"/>
      <c r="R415" s="138" t="s">
        <v>3060</v>
      </c>
      <c r="T415" s="108"/>
      <c r="W415" s="103" t="s">
        <v>156</v>
      </c>
      <c r="X415" s="108">
        <v>42458</v>
      </c>
      <c r="AA415" s="101" t="s">
        <v>2350</v>
      </c>
    </row>
    <row r="416" spans="1:27" s="103" customFormat="1" x14ac:dyDescent="0.25">
      <c r="A416" s="101" t="s">
        <v>2896</v>
      </c>
      <c r="B416" s="103" t="s">
        <v>2897</v>
      </c>
      <c r="C416" s="103" t="s">
        <v>3085</v>
      </c>
      <c r="D416" s="103" t="s">
        <v>119</v>
      </c>
      <c r="E416" s="103" t="s">
        <v>1430</v>
      </c>
      <c r="H416" s="103" t="s">
        <v>2360</v>
      </c>
      <c r="I416" s="111" t="s">
        <v>177</v>
      </c>
      <c r="J416" s="103" t="s">
        <v>2388</v>
      </c>
      <c r="K416" s="103" t="s">
        <v>343</v>
      </c>
      <c r="L416" s="108">
        <v>42444</v>
      </c>
      <c r="M416" s="11">
        <f t="shared" ca="1" si="13"/>
        <v>16</v>
      </c>
      <c r="N416" s="108">
        <v>42445</v>
      </c>
      <c r="O416" s="108"/>
      <c r="Q416" s="44"/>
      <c r="R416" s="103" t="s">
        <v>3139</v>
      </c>
      <c r="S416" s="103" t="s">
        <v>3014</v>
      </c>
      <c r="T416" s="108" t="s">
        <v>2388</v>
      </c>
      <c r="U416" s="103" t="s">
        <v>348</v>
      </c>
      <c r="W416" s="103" t="s">
        <v>188</v>
      </c>
      <c r="X416" s="108">
        <v>42460</v>
      </c>
      <c r="Y416" s="103">
        <v>130</v>
      </c>
      <c r="AA416" s="101" t="s">
        <v>2350</v>
      </c>
    </row>
    <row r="417" spans="1:27" s="103" customFormat="1" x14ac:dyDescent="0.25">
      <c r="A417" s="101" t="s">
        <v>2495</v>
      </c>
      <c r="B417" s="103" t="s">
        <v>2494</v>
      </c>
      <c r="D417" s="101" t="s">
        <v>2288</v>
      </c>
      <c r="E417" s="103" t="s">
        <v>1347</v>
      </c>
      <c r="H417" s="101" t="s">
        <v>2495</v>
      </c>
      <c r="I417" s="111" t="s">
        <v>2407</v>
      </c>
      <c r="K417" s="103" t="s">
        <v>2495</v>
      </c>
      <c r="L417" s="103" t="s">
        <v>2495</v>
      </c>
      <c r="M417" s="11" t="str">
        <f t="shared" ca="1" si="13"/>
        <v/>
      </c>
      <c r="N417" s="133">
        <v>42217</v>
      </c>
      <c r="O417" s="103" t="s">
        <v>2495</v>
      </c>
      <c r="P417" s="103" t="s">
        <v>2495</v>
      </c>
      <c r="Q417" s="103" t="s">
        <v>2495</v>
      </c>
      <c r="R417" s="103" t="s">
        <v>2495</v>
      </c>
      <c r="S417" s="103" t="s">
        <v>2495</v>
      </c>
      <c r="T417" s="103" t="s">
        <v>2495</v>
      </c>
      <c r="U417" s="103" t="s">
        <v>2495</v>
      </c>
      <c r="W417" s="103" t="s">
        <v>156</v>
      </c>
      <c r="X417" s="108">
        <v>42460</v>
      </c>
      <c r="AA417" s="101" t="s">
        <v>273</v>
      </c>
    </row>
    <row r="418" spans="1:27" s="103" customFormat="1" x14ac:dyDescent="0.25">
      <c r="A418" s="101" t="s">
        <v>2495</v>
      </c>
      <c r="B418" s="103" t="s">
        <v>2496</v>
      </c>
      <c r="D418" s="101" t="s">
        <v>2288</v>
      </c>
      <c r="E418" s="103" t="s">
        <v>1347</v>
      </c>
      <c r="H418" s="101" t="s">
        <v>2495</v>
      </c>
      <c r="I418" s="111" t="s">
        <v>2407</v>
      </c>
      <c r="K418" s="103" t="s">
        <v>2495</v>
      </c>
      <c r="L418" s="103" t="s">
        <v>2495</v>
      </c>
      <c r="M418" s="11" t="str">
        <f t="shared" ca="1" si="13"/>
        <v/>
      </c>
      <c r="N418" s="133">
        <v>42217</v>
      </c>
      <c r="O418" s="103" t="s">
        <v>2495</v>
      </c>
      <c r="P418" s="103" t="s">
        <v>2495</v>
      </c>
      <c r="Q418" s="103" t="s">
        <v>2495</v>
      </c>
      <c r="R418" s="103" t="s">
        <v>2495</v>
      </c>
      <c r="S418" s="103" t="s">
        <v>2495</v>
      </c>
      <c r="T418" s="103" t="s">
        <v>2495</v>
      </c>
      <c r="U418" s="103" t="s">
        <v>2495</v>
      </c>
      <c r="W418" s="103" t="s">
        <v>156</v>
      </c>
      <c r="X418" s="108">
        <v>42460</v>
      </c>
      <c r="AA418" s="101" t="s">
        <v>273</v>
      </c>
    </row>
    <row r="419" spans="1:27" s="103" customFormat="1" x14ac:dyDescent="0.25">
      <c r="A419" s="101" t="s">
        <v>2495</v>
      </c>
      <c r="B419" s="103" t="s">
        <v>2497</v>
      </c>
      <c r="D419" s="101" t="s">
        <v>2288</v>
      </c>
      <c r="E419" s="103" t="s">
        <v>1347</v>
      </c>
      <c r="H419" s="101" t="s">
        <v>2495</v>
      </c>
      <c r="I419" s="111" t="s">
        <v>2407</v>
      </c>
      <c r="K419" s="103" t="s">
        <v>2495</v>
      </c>
      <c r="L419" s="103" t="s">
        <v>2495</v>
      </c>
      <c r="M419" s="11" t="str">
        <f t="shared" ca="1" si="13"/>
        <v/>
      </c>
      <c r="N419" s="133">
        <v>42217</v>
      </c>
      <c r="O419" s="103" t="s">
        <v>2495</v>
      </c>
      <c r="P419" s="103" t="s">
        <v>2495</v>
      </c>
      <c r="Q419" s="103" t="s">
        <v>2495</v>
      </c>
      <c r="R419" s="103" t="s">
        <v>2495</v>
      </c>
      <c r="S419" s="103" t="s">
        <v>2495</v>
      </c>
      <c r="T419" s="103" t="s">
        <v>2495</v>
      </c>
      <c r="U419" s="103" t="s">
        <v>2495</v>
      </c>
      <c r="W419" s="103" t="s">
        <v>156</v>
      </c>
      <c r="X419" s="108">
        <v>42460</v>
      </c>
      <c r="AA419" s="101" t="s">
        <v>273</v>
      </c>
    </row>
    <row r="420" spans="1:27" s="103" customFormat="1" x14ac:dyDescent="0.25">
      <c r="A420" s="101" t="s">
        <v>2903</v>
      </c>
      <c r="B420" s="103" t="s">
        <v>2904</v>
      </c>
      <c r="C420" s="103" t="s">
        <v>3025</v>
      </c>
      <c r="D420" s="103" t="s">
        <v>119</v>
      </c>
      <c r="E420" s="103" t="s">
        <v>1430</v>
      </c>
      <c r="H420" s="103" t="s">
        <v>2360</v>
      </c>
      <c r="I420" s="111" t="s">
        <v>2939</v>
      </c>
      <c r="J420" s="103" t="s">
        <v>2388</v>
      </c>
      <c r="K420" s="103" t="s">
        <v>343</v>
      </c>
      <c r="L420" s="108">
        <v>42444</v>
      </c>
      <c r="M420" s="11">
        <f t="shared" ca="1" si="13"/>
        <v>17</v>
      </c>
      <c r="N420" s="108">
        <v>42445</v>
      </c>
      <c r="O420" s="108"/>
      <c r="Q420" s="44"/>
      <c r="R420" s="138" t="s">
        <v>3057</v>
      </c>
      <c r="T420" s="108"/>
      <c r="W420" s="103" t="s">
        <v>156</v>
      </c>
      <c r="X420" s="108">
        <v>42461</v>
      </c>
      <c r="AA420" s="101" t="s">
        <v>2350</v>
      </c>
    </row>
    <row r="421" spans="1:27" s="103" customFormat="1" x14ac:dyDescent="0.25">
      <c r="A421" s="101" t="s">
        <v>2914</v>
      </c>
      <c r="B421" s="103" t="s">
        <v>2909</v>
      </c>
      <c r="C421" s="103" t="s">
        <v>3025</v>
      </c>
      <c r="D421" s="103" t="s">
        <v>119</v>
      </c>
      <c r="E421" s="103" t="s">
        <v>1430</v>
      </c>
      <c r="H421" s="103" t="s">
        <v>2360</v>
      </c>
      <c r="I421" s="111" t="s">
        <v>2939</v>
      </c>
      <c r="J421" s="103" t="s">
        <v>2388</v>
      </c>
      <c r="K421" s="103" t="s">
        <v>343</v>
      </c>
      <c r="L421" s="108">
        <v>42444</v>
      </c>
      <c r="M421" s="11">
        <f t="shared" ca="1" si="13"/>
        <v>17</v>
      </c>
      <c r="N421" s="108">
        <v>42445</v>
      </c>
      <c r="O421" s="108"/>
      <c r="Q421" s="44"/>
      <c r="R421" s="138" t="s">
        <v>3059</v>
      </c>
      <c r="T421" s="108"/>
      <c r="W421" s="103" t="s">
        <v>156</v>
      </c>
      <c r="X421" s="108">
        <v>42461</v>
      </c>
      <c r="AA421" s="101" t="s">
        <v>2350</v>
      </c>
    </row>
    <row r="422" spans="1:27" s="103" customFormat="1" x14ac:dyDescent="0.25">
      <c r="A422" s="101" t="s">
        <v>2923</v>
      </c>
      <c r="B422" s="103" t="s">
        <v>2924</v>
      </c>
      <c r="C422" s="103" t="s">
        <v>3025</v>
      </c>
      <c r="D422" s="103" t="s">
        <v>119</v>
      </c>
      <c r="E422" s="103" t="s">
        <v>1430</v>
      </c>
      <c r="H422" s="103" t="s">
        <v>2360</v>
      </c>
      <c r="I422" s="111" t="s">
        <v>2939</v>
      </c>
      <c r="J422" s="103" t="s">
        <v>2388</v>
      </c>
      <c r="K422" s="103" t="s">
        <v>343</v>
      </c>
      <c r="L422" s="108">
        <v>42444</v>
      </c>
      <c r="M422" s="11">
        <f t="shared" ca="1" si="13"/>
        <v>17</v>
      </c>
      <c r="N422" s="108">
        <v>42445</v>
      </c>
      <c r="O422" s="108"/>
      <c r="Q422" s="44"/>
      <c r="R422" s="138" t="s">
        <v>3061</v>
      </c>
      <c r="T422" s="108"/>
      <c r="W422" s="103" t="s">
        <v>156</v>
      </c>
      <c r="X422" s="108">
        <v>42461</v>
      </c>
      <c r="AA422" s="101" t="s">
        <v>2350</v>
      </c>
    </row>
    <row r="423" spans="1:27" s="103" customFormat="1" x14ac:dyDescent="0.25">
      <c r="A423" s="101" t="s">
        <v>2925</v>
      </c>
      <c r="B423" s="103" t="s">
        <v>2926</v>
      </c>
      <c r="C423" s="103" t="s">
        <v>3025</v>
      </c>
      <c r="D423" s="103" t="s">
        <v>119</v>
      </c>
      <c r="E423" s="103" t="s">
        <v>1430</v>
      </c>
      <c r="H423" s="103" t="s">
        <v>2360</v>
      </c>
      <c r="I423" s="111" t="s">
        <v>2939</v>
      </c>
      <c r="J423" s="103" t="s">
        <v>2388</v>
      </c>
      <c r="K423" s="103" t="s">
        <v>343</v>
      </c>
      <c r="L423" s="108">
        <v>42444</v>
      </c>
      <c r="M423" s="11">
        <f t="shared" ca="1" si="13"/>
        <v>17</v>
      </c>
      <c r="N423" s="108">
        <v>42445</v>
      </c>
      <c r="O423" s="108"/>
      <c r="Q423" s="44"/>
      <c r="R423" s="138" t="s">
        <v>3061</v>
      </c>
      <c r="T423" s="108"/>
      <c r="W423" s="103" t="s">
        <v>156</v>
      </c>
      <c r="X423" s="108">
        <v>42461</v>
      </c>
      <c r="AA423" s="101" t="s">
        <v>2350</v>
      </c>
    </row>
    <row r="424" spans="1:27" s="103" customFormat="1" x14ac:dyDescent="0.25">
      <c r="A424" s="101" t="s">
        <v>2927</v>
      </c>
      <c r="B424" s="103" t="s">
        <v>2928</v>
      </c>
      <c r="C424" s="103" t="s">
        <v>3025</v>
      </c>
      <c r="D424" s="103" t="s">
        <v>119</v>
      </c>
      <c r="E424" s="103" t="s">
        <v>1430</v>
      </c>
      <c r="H424" s="103" t="s">
        <v>2360</v>
      </c>
      <c r="I424" s="111" t="s">
        <v>2939</v>
      </c>
      <c r="J424" s="103" t="s">
        <v>2388</v>
      </c>
      <c r="K424" s="103" t="s">
        <v>343</v>
      </c>
      <c r="L424" s="108">
        <v>42444</v>
      </c>
      <c r="M424" s="11">
        <f t="shared" ca="1" si="13"/>
        <v>17</v>
      </c>
      <c r="N424" s="108">
        <v>42445</v>
      </c>
      <c r="O424" s="108"/>
      <c r="Q424" s="44"/>
      <c r="R424" s="138" t="s">
        <v>3061</v>
      </c>
      <c r="T424" s="108"/>
      <c r="W424" s="103" t="s">
        <v>156</v>
      </c>
      <c r="X424" s="108">
        <v>42461</v>
      </c>
      <c r="AA424" s="101" t="s">
        <v>2350</v>
      </c>
    </row>
    <row r="425" spans="1:27" s="103" customFormat="1" x14ac:dyDescent="0.25">
      <c r="A425" s="101" t="s">
        <v>2929</v>
      </c>
      <c r="B425" s="103" t="s">
        <v>2930</v>
      </c>
      <c r="C425" s="103" t="s">
        <v>3025</v>
      </c>
      <c r="D425" s="103" t="s">
        <v>119</v>
      </c>
      <c r="E425" s="103" t="s">
        <v>1430</v>
      </c>
      <c r="H425" s="103" t="s">
        <v>2360</v>
      </c>
      <c r="I425" s="111" t="s">
        <v>2939</v>
      </c>
      <c r="J425" s="103" t="s">
        <v>2388</v>
      </c>
      <c r="K425" s="103" t="s">
        <v>343</v>
      </c>
      <c r="L425" s="108">
        <v>42444</v>
      </c>
      <c r="M425" s="11">
        <f t="shared" ca="1" si="13"/>
        <v>17</v>
      </c>
      <c r="N425" s="108">
        <v>42445</v>
      </c>
      <c r="O425" s="108"/>
      <c r="Q425" s="44"/>
      <c r="R425" s="138" t="s">
        <v>3061</v>
      </c>
      <c r="T425" s="108"/>
      <c r="W425" s="103" t="s">
        <v>156</v>
      </c>
      <c r="X425" s="108">
        <v>42461</v>
      </c>
      <c r="AA425" s="101" t="s">
        <v>2350</v>
      </c>
    </row>
    <row r="426" spans="1:27" s="103" customFormat="1" x14ac:dyDescent="0.25">
      <c r="A426" s="101" t="s">
        <v>2931</v>
      </c>
      <c r="B426" s="103" t="s">
        <v>2930</v>
      </c>
      <c r="C426" s="103" t="s">
        <v>3025</v>
      </c>
      <c r="D426" s="103" t="s">
        <v>119</v>
      </c>
      <c r="E426" s="103" t="s">
        <v>1430</v>
      </c>
      <c r="H426" s="103" t="s">
        <v>2360</v>
      </c>
      <c r="I426" s="111" t="s">
        <v>2939</v>
      </c>
      <c r="J426" s="103" t="s">
        <v>2388</v>
      </c>
      <c r="K426" s="103" t="s">
        <v>343</v>
      </c>
      <c r="L426" s="108">
        <v>42444</v>
      </c>
      <c r="M426" s="11">
        <f t="shared" ca="1" si="13"/>
        <v>17</v>
      </c>
      <c r="N426" s="108">
        <v>42445</v>
      </c>
      <c r="O426" s="108"/>
      <c r="Q426" s="44"/>
      <c r="R426" s="138" t="s">
        <v>3061</v>
      </c>
      <c r="T426" s="108"/>
      <c r="W426" s="103" t="s">
        <v>156</v>
      </c>
      <c r="X426" s="108">
        <v>42461</v>
      </c>
      <c r="AA426" s="101" t="s">
        <v>2350</v>
      </c>
    </row>
    <row r="427" spans="1:27" s="103" customFormat="1" x14ac:dyDescent="0.25">
      <c r="A427" s="101" t="s">
        <v>2932</v>
      </c>
      <c r="B427" s="103" t="s">
        <v>2934</v>
      </c>
      <c r="C427" s="103" t="s">
        <v>3025</v>
      </c>
      <c r="D427" s="103" t="s">
        <v>119</v>
      </c>
      <c r="E427" s="103" t="s">
        <v>1430</v>
      </c>
      <c r="H427" s="103" t="s">
        <v>2360</v>
      </c>
      <c r="I427" s="111" t="s">
        <v>2939</v>
      </c>
      <c r="J427" s="103" t="s">
        <v>2388</v>
      </c>
      <c r="K427" s="103" t="s">
        <v>343</v>
      </c>
      <c r="L427" s="108">
        <v>42444</v>
      </c>
      <c r="M427" s="11">
        <f t="shared" ca="1" si="13"/>
        <v>17</v>
      </c>
      <c r="N427" s="108">
        <v>42445</v>
      </c>
      <c r="O427" s="108"/>
      <c r="Q427" s="44"/>
      <c r="R427" s="138" t="s">
        <v>3061</v>
      </c>
      <c r="T427" s="108"/>
      <c r="W427" s="103" t="s">
        <v>156</v>
      </c>
      <c r="X427" s="108">
        <v>42461</v>
      </c>
      <c r="AA427" s="101" t="s">
        <v>2350</v>
      </c>
    </row>
    <row r="428" spans="1:27" s="103" customFormat="1" x14ac:dyDescent="0.25">
      <c r="A428" s="101" t="s">
        <v>2933</v>
      </c>
      <c r="B428" s="103" t="s">
        <v>2934</v>
      </c>
      <c r="C428" s="103" t="s">
        <v>3025</v>
      </c>
      <c r="D428" s="103" t="s">
        <v>119</v>
      </c>
      <c r="E428" s="103" t="s">
        <v>1430</v>
      </c>
      <c r="H428" s="103" t="s">
        <v>2360</v>
      </c>
      <c r="I428" s="111" t="s">
        <v>2939</v>
      </c>
      <c r="J428" s="103" t="s">
        <v>2388</v>
      </c>
      <c r="K428" s="103" t="s">
        <v>343</v>
      </c>
      <c r="L428" s="108">
        <v>42444</v>
      </c>
      <c r="M428" s="11">
        <f t="shared" ref="M428:M454" ca="1" si="14">IFERROR(IF(AND(W428&lt;&gt;"Concluído",W428&lt;&gt;"Cancelado"),TODAY()-L428+1,X428-L428),"")</f>
        <v>17</v>
      </c>
      <c r="N428" s="108">
        <v>42445</v>
      </c>
      <c r="O428" s="108"/>
      <c r="Q428" s="44"/>
      <c r="R428" s="138" t="s">
        <v>3061</v>
      </c>
      <c r="T428" s="108"/>
      <c r="W428" s="103" t="s">
        <v>156</v>
      </c>
      <c r="X428" s="108">
        <v>42461</v>
      </c>
      <c r="AA428" s="101" t="s">
        <v>2350</v>
      </c>
    </row>
    <row r="429" spans="1:27" s="103" customFormat="1" x14ac:dyDescent="0.25">
      <c r="A429" s="101" t="s">
        <v>2935</v>
      </c>
      <c r="B429" s="103" t="s">
        <v>2936</v>
      </c>
      <c r="C429" s="103" t="s">
        <v>3025</v>
      </c>
      <c r="D429" s="103" t="s">
        <v>119</v>
      </c>
      <c r="E429" s="103" t="s">
        <v>1430</v>
      </c>
      <c r="H429" s="103" t="s">
        <v>2360</v>
      </c>
      <c r="I429" s="111" t="s">
        <v>2939</v>
      </c>
      <c r="J429" s="103" t="s">
        <v>2388</v>
      </c>
      <c r="K429" s="103" t="s">
        <v>343</v>
      </c>
      <c r="L429" s="108">
        <v>42444</v>
      </c>
      <c r="M429" s="11">
        <f t="shared" ca="1" si="14"/>
        <v>17</v>
      </c>
      <c r="N429" s="108">
        <v>42445</v>
      </c>
      <c r="O429" s="108"/>
      <c r="Q429" s="44"/>
      <c r="R429" s="138" t="s">
        <v>3061</v>
      </c>
      <c r="T429" s="108"/>
      <c r="W429" s="103" t="s">
        <v>156</v>
      </c>
      <c r="X429" s="108">
        <v>42461</v>
      </c>
      <c r="AA429" s="101" t="s">
        <v>2350</v>
      </c>
    </row>
    <row r="430" spans="1:27" s="103" customFormat="1" x14ac:dyDescent="0.25">
      <c r="A430" s="101" t="s">
        <v>2937</v>
      </c>
      <c r="B430" s="103" t="s">
        <v>2938</v>
      </c>
      <c r="C430" s="103" t="s">
        <v>3025</v>
      </c>
      <c r="D430" s="103" t="s">
        <v>119</v>
      </c>
      <c r="E430" s="103" t="s">
        <v>1430</v>
      </c>
      <c r="H430" s="103" t="s">
        <v>2360</v>
      </c>
      <c r="I430" s="111" t="s">
        <v>2939</v>
      </c>
      <c r="J430" s="103" t="s">
        <v>2388</v>
      </c>
      <c r="K430" s="103" t="s">
        <v>343</v>
      </c>
      <c r="L430" s="108">
        <v>42444</v>
      </c>
      <c r="M430" s="11">
        <f t="shared" ca="1" si="14"/>
        <v>17</v>
      </c>
      <c r="N430" s="108">
        <v>42445</v>
      </c>
      <c r="O430" s="108"/>
      <c r="Q430" s="44"/>
      <c r="R430" s="138" t="s">
        <v>3061</v>
      </c>
      <c r="T430" s="108"/>
      <c r="W430" s="103" t="s">
        <v>156</v>
      </c>
      <c r="X430" s="108">
        <v>42461</v>
      </c>
      <c r="AA430" s="101" t="s">
        <v>2350</v>
      </c>
    </row>
    <row r="431" spans="1:27" s="103" customFormat="1" x14ac:dyDescent="0.25">
      <c r="A431" s="101" t="s">
        <v>2958</v>
      </c>
      <c r="B431" s="103" t="s">
        <v>2980</v>
      </c>
      <c r="C431" s="103" t="s">
        <v>3025</v>
      </c>
      <c r="D431" s="103" t="s">
        <v>119</v>
      </c>
      <c r="E431" s="103" t="s">
        <v>1430</v>
      </c>
      <c r="H431" s="103" t="s">
        <v>2360</v>
      </c>
      <c r="I431" s="111" t="s">
        <v>2939</v>
      </c>
      <c r="J431" s="103" t="s">
        <v>2388</v>
      </c>
      <c r="K431" s="103" t="s">
        <v>2999</v>
      </c>
      <c r="L431" s="108">
        <v>42450</v>
      </c>
      <c r="M431" s="11">
        <f t="shared" ca="1" si="14"/>
        <v>11</v>
      </c>
      <c r="N431" s="108">
        <v>42451</v>
      </c>
      <c r="O431" s="108"/>
      <c r="Q431" s="44"/>
      <c r="R431" s="138" t="s">
        <v>3057</v>
      </c>
      <c r="T431" s="108"/>
      <c r="W431" s="103" t="s">
        <v>156</v>
      </c>
      <c r="X431" s="108">
        <v>42461</v>
      </c>
      <c r="AA431" s="101" t="s">
        <v>2350</v>
      </c>
    </row>
    <row r="432" spans="1:27" s="103" customFormat="1" x14ac:dyDescent="0.25">
      <c r="A432" s="101" t="s">
        <v>2959</v>
      </c>
      <c r="B432" s="103" t="s">
        <v>2981</v>
      </c>
      <c r="C432" s="103" t="s">
        <v>3025</v>
      </c>
      <c r="D432" s="103" t="s">
        <v>119</v>
      </c>
      <c r="E432" s="103" t="s">
        <v>1430</v>
      </c>
      <c r="H432" s="103" t="s">
        <v>2360</v>
      </c>
      <c r="I432" s="111" t="s">
        <v>2939</v>
      </c>
      <c r="J432" s="103" t="s">
        <v>2388</v>
      </c>
      <c r="K432" s="103" t="s">
        <v>2999</v>
      </c>
      <c r="L432" s="108">
        <v>42450</v>
      </c>
      <c r="M432" s="11">
        <f t="shared" ca="1" si="14"/>
        <v>11</v>
      </c>
      <c r="N432" s="108">
        <v>42451</v>
      </c>
      <c r="O432" s="108"/>
      <c r="Q432" s="44"/>
      <c r="R432" s="138" t="s">
        <v>3062</v>
      </c>
      <c r="T432" s="108"/>
      <c r="W432" s="103" t="s">
        <v>156</v>
      </c>
      <c r="X432" s="108">
        <v>42461</v>
      </c>
      <c r="AA432" s="101" t="s">
        <v>2350</v>
      </c>
    </row>
    <row r="433" spans="1:27" s="103" customFormat="1" x14ac:dyDescent="0.25">
      <c r="A433" s="101" t="s">
        <v>2814</v>
      </c>
      <c r="B433" s="103" t="s">
        <v>2982</v>
      </c>
      <c r="C433" s="103" t="s">
        <v>3025</v>
      </c>
      <c r="D433" s="103" t="s">
        <v>119</v>
      </c>
      <c r="E433" s="103" t="s">
        <v>1430</v>
      </c>
      <c r="H433" s="103" t="s">
        <v>2360</v>
      </c>
      <c r="I433" s="111" t="s">
        <v>2939</v>
      </c>
      <c r="J433" s="103" t="s">
        <v>2388</v>
      </c>
      <c r="K433" s="103" t="s">
        <v>3000</v>
      </c>
      <c r="L433" s="108">
        <v>42450</v>
      </c>
      <c r="M433" s="11">
        <f t="shared" ca="1" si="14"/>
        <v>11</v>
      </c>
      <c r="N433" s="108">
        <v>42451</v>
      </c>
      <c r="O433" s="108"/>
      <c r="Q433" s="44"/>
      <c r="R433" s="138" t="s">
        <v>3060</v>
      </c>
      <c r="T433" s="108"/>
      <c r="W433" s="103" t="s">
        <v>156</v>
      </c>
      <c r="X433" s="108">
        <v>42461</v>
      </c>
      <c r="AA433" s="101" t="s">
        <v>2350</v>
      </c>
    </row>
    <row r="434" spans="1:27" s="103" customFormat="1" x14ac:dyDescent="0.25">
      <c r="A434" s="101" t="s">
        <v>2960</v>
      </c>
      <c r="B434" s="103" t="s">
        <v>2983</v>
      </c>
      <c r="C434" s="103" t="s">
        <v>3025</v>
      </c>
      <c r="D434" s="103" t="s">
        <v>119</v>
      </c>
      <c r="E434" s="103" t="s">
        <v>1430</v>
      </c>
      <c r="H434" s="103" t="s">
        <v>2360</v>
      </c>
      <c r="I434" s="111" t="s">
        <v>2939</v>
      </c>
      <c r="J434" s="103" t="s">
        <v>2388</v>
      </c>
      <c r="K434" s="103" t="s">
        <v>2999</v>
      </c>
      <c r="L434" s="108">
        <v>42450</v>
      </c>
      <c r="M434" s="11">
        <f t="shared" ca="1" si="14"/>
        <v>11</v>
      </c>
      <c r="N434" s="108">
        <v>42451</v>
      </c>
      <c r="O434" s="108"/>
      <c r="Q434" s="44"/>
      <c r="R434" s="138" t="s">
        <v>3057</v>
      </c>
      <c r="T434" s="108"/>
      <c r="W434" s="103" t="s">
        <v>156</v>
      </c>
      <c r="X434" s="108">
        <v>42461</v>
      </c>
      <c r="AA434" s="101" t="s">
        <v>2350</v>
      </c>
    </row>
    <row r="435" spans="1:27" s="103" customFormat="1" x14ac:dyDescent="0.25">
      <c r="A435" s="101" t="s">
        <v>2961</v>
      </c>
      <c r="B435" s="103" t="s">
        <v>2984</v>
      </c>
      <c r="C435" s="103" t="s">
        <v>3025</v>
      </c>
      <c r="D435" s="103" t="s">
        <v>119</v>
      </c>
      <c r="E435" s="103" t="s">
        <v>1430</v>
      </c>
      <c r="H435" s="103" t="s">
        <v>2360</v>
      </c>
      <c r="I435" s="111" t="s">
        <v>2939</v>
      </c>
      <c r="J435" s="103" t="s">
        <v>2388</v>
      </c>
      <c r="K435" s="103" t="s">
        <v>2999</v>
      </c>
      <c r="L435" s="108">
        <v>42450</v>
      </c>
      <c r="M435" s="11">
        <f t="shared" ca="1" si="14"/>
        <v>11</v>
      </c>
      <c r="N435" s="108">
        <v>42451</v>
      </c>
      <c r="O435" s="108"/>
      <c r="Q435" s="44"/>
      <c r="R435" s="138" t="s">
        <v>3057</v>
      </c>
      <c r="T435" s="108"/>
      <c r="W435" s="103" t="s">
        <v>156</v>
      </c>
      <c r="X435" s="108">
        <v>42461</v>
      </c>
      <c r="AA435" s="101" t="s">
        <v>2350</v>
      </c>
    </row>
    <row r="436" spans="1:27" s="103" customFormat="1" x14ac:dyDescent="0.25">
      <c r="A436" s="101" t="s">
        <v>465</v>
      </c>
      <c r="B436" s="103" t="s">
        <v>2985</v>
      </c>
      <c r="C436" s="103" t="s">
        <v>3025</v>
      </c>
      <c r="D436" s="103" t="s">
        <v>119</v>
      </c>
      <c r="E436" s="103" t="s">
        <v>1430</v>
      </c>
      <c r="H436" s="103" t="s">
        <v>2360</v>
      </c>
      <c r="I436" s="111" t="s">
        <v>2939</v>
      </c>
      <c r="J436" s="103" t="s">
        <v>2388</v>
      </c>
      <c r="K436" s="103" t="s">
        <v>2999</v>
      </c>
      <c r="L436" s="108">
        <v>42450</v>
      </c>
      <c r="M436" s="11">
        <f t="shared" ca="1" si="14"/>
        <v>11</v>
      </c>
      <c r="N436" s="108">
        <v>42451</v>
      </c>
      <c r="O436" s="108"/>
      <c r="Q436" s="44"/>
      <c r="R436" s="138" t="s">
        <v>3057</v>
      </c>
      <c r="T436" s="108"/>
      <c r="W436" s="103" t="s">
        <v>156</v>
      </c>
      <c r="X436" s="108">
        <v>42461</v>
      </c>
      <c r="AA436" s="101" t="s">
        <v>2350</v>
      </c>
    </row>
    <row r="437" spans="1:27" s="103" customFormat="1" x14ac:dyDescent="0.25">
      <c r="A437" s="101" t="s">
        <v>2962</v>
      </c>
      <c r="B437" s="103" t="s">
        <v>2986</v>
      </c>
      <c r="C437" s="103" t="s">
        <v>3025</v>
      </c>
      <c r="D437" s="103" t="s">
        <v>119</v>
      </c>
      <c r="E437" s="103" t="s">
        <v>1430</v>
      </c>
      <c r="H437" s="103" t="s">
        <v>2360</v>
      </c>
      <c r="I437" s="111" t="s">
        <v>2939</v>
      </c>
      <c r="J437" s="103" t="s">
        <v>2388</v>
      </c>
      <c r="K437" s="103" t="s">
        <v>2999</v>
      </c>
      <c r="L437" s="108">
        <v>42450</v>
      </c>
      <c r="M437" s="11">
        <f t="shared" ca="1" si="14"/>
        <v>11</v>
      </c>
      <c r="N437" s="108">
        <v>42451</v>
      </c>
      <c r="O437" s="108"/>
      <c r="Q437" s="44"/>
      <c r="R437" s="138" t="s">
        <v>3057</v>
      </c>
      <c r="T437" s="108"/>
      <c r="W437" s="103" t="s">
        <v>156</v>
      </c>
      <c r="X437" s="108">
        <v>42461</v>
      </c>
      <c r="AA437" s="101" t="s">
        <v>2350</v>
      </c>
    </row>
    <row r="438" spans="1:27" s="103" customFormat="1" x14ac:dyDescent="0.25">
      <c r="A438" s="101" t="s">
        <v>2963</v>
      </c>
      <c r="B438" s="103" t="s">
        <v>2987</v>
      </c>
      <c r="C438" s="103" t="s">
        <v>3025</v>
      </c>
      <c r="D438" s="103" t="s">
        <v>119</v>
      </c>
      <c r="E438" s="103" t="s">
        <v>1430</v>
      </c>
      <c r="H438" s="103" t="s">
        <v>2360</v>
      </c>
      <c r="I438" s="111" t="s">
        <v>2939</v>
      </c>
      <c r="J438" s="103" t="s">
        <v>2388</v>
      </c>
      <c r="K438" s="103" t="s">
        <v>2999</v>
      </c>
      <c r="L438" s="108">
        <v>42450</v>
      </c>
      <c r="M438" s="11">
        <f t="shared" ca="1" si="14"/>
        <v>11</v>
      </c>
      <c r="N438" s="108">
        <v>42451</v>
      </c>
      <c r="O438" s="108"/>
      <c r="Q438" s="44"/>
      <c r="R438" s="138" t="s">
        <v>3057</v>
      </c>
      <c r="T438" s="108"/>
      <c r="W438" s="103" t="s">
        <v>156</v>
      </c>
      <c r="X438" s="108">
        <v>42461</v>
      </c>
      <c r="AA438" s="101" t="s">
        <v>2350</v>
      </c>
    </row>
    <row r="439" spans="1:27" s="103" customFormat="1" x14ac:dyDescent="0.25">
      <c r="A439" s="101" t="s">
        <v>465</v>
      </c>
      <c r="B439" s="103" t="s">
        <v>2988</v>
      </c>
      <c r="C439" s="103" t="s">
        <v>3025</v>
      </c>
      <c r="D439" s="103" t="s">
        <v>119</v>
      </c>
      <c r="E439" s="103" t="s">
        <v>1430</v>
      </c>
      <c r="H439" s="103" t="s">
        <v>2360</v>
      </c>
      <c r="I439" s="111" t="s">
        <v>2939</v>
      </c>
      <c r="J439" s="103" t="s">
        <v>2388</v>
      </c>
      <c r="K439" s="103" t="s">
        <v>3000</v>
      </c>
      <c r="L439" s="108">
        <v>42450</v>
      </c>
      <c r="M439" s="11">
        <f t="shared" ca="1" si="14"/>
        <v>11</v>
      </c>
      <c r="N439" s="108">
        <v>42451</v>
      </c>
      <c r="O439" s="108"/>
      <c r="Q439" s="44"/>
      <c r="R439" s="138" t="s">
        <v>3063</v>
      </c>
      <c r="T439" s="108"/>
      <c r="W439" s="103" t="s">
        <v>156</v>
      </c>
      <c r="X439" s="108">
        <v>42461</v>
      </c>
      <c r="AA439" s="101" t="s">
        <v>2350</v>
      </c>
    </row>
    <row r="440" spans="1:27" s="103" customFormat="1" x14ac:dyDescent="0.25">
      <c r="A440" s="101" t="s">
        <v>2965</v>
      </c>
      <c r="B440" s="103" t="s">
        <v>2989</v>
      </c>
      <c r="C440" s="103" t="s">
        <v>3025</v>
      </c>
      <c r="D440" s="103" t="s">
        <v>119</v>
      </c>
      <c r="E440" s="103" t="s">
        <v>1430</v>
      </c>
      <c r="H440" s="103" t="s">
        <v>2360</v>
      </c>
      <c r="I440" s="111" t="s">
        <v>2939</v>
      </c>
      <c r="J440" s="103" t="s">
        <v>2388</v>
      </c>
      <c r="K440" s="103" t="s">
        <v>2999</v>
      </c>
      <c r="L440" s="108">
        <v>42450</v>
      </c>
      <c r="M440" s="11">
        <f t="shared" ca="1" si="14"/>
        <v>11</v>
      </c>
      <c r="N440" s="108">
        <v>42451</v>
      </c>
      <c r="O440" s="108"/>
      <c r="Q440" s="44"/>
      <c r="R440" s="138" t="s">
        <v>3063</v>
      </c>
      <c r="T440" s="108"/>
      <c r="W440" s="103" t="s">
        <v>156</v>
      </c>
      <c r="X440" s="108">
        <v>42461</v>
      </c>
      <c r="AA440" s="101" t="s">
        <v>2350</v>
      </c>
    </row>
    <row r="441" spans="1:27" s="103" customFormat="1" x14ac:dyDescent="0.25">
      <c r="A441" s="101" t="s">
        <v>2967</v>
      </c>
      <c r="B441" s="103" t="s">
        <v>2990</v>
      </c>
      <c r="C441" s="103" t="s">
        <v>3025</v>
      </c>
      <c r="D441" s="103" t="s">
        <v>119</v>
      </c>
      <c r="E441" s="103" t="s">
        <v>1430</v>
      </c>
      <c r="H441" s="103" t="s">
        <v>2360</v>
      </c>
      <c r="I441" s="111" t="s">
        <v>2939</v>
      </c>
      <c r="J441" s="103" t="s">
        <v>2388</v>
      </c>
      <c r="K441" s="103" t="s">
        <v>2999</v>
      </c>
      <c r="L441" s="108">
        <v>42450</v>
      </c>
      <c r="M441" s="11">
        <f t="shared" ca="1" si="14"/>
        <v>11</v>
      </c>
      <c r="N441" s="108">
        <v>42451</v>
      </c>
      <c r="O441" s="108"/>
      <c r="Q441" s="44"/>
      <c r="R441" s="138" t="s">
        <v>3065</v>
      </c>
      <c r="T441" s="108"/>
      <c r="W441" s="103" t="s">
        <v>156</v>
      </c>
      <c r="X441" s="108">
        <v>42461</v>
      </c>
      <c r="AA441" s="101" t="s">
        <v>2350</v>
      </c>
    </row>
    <row r="442" spans="1:27" s="103" customFormat="1" x14ac:dyDescent="0.25">
      <c r="A442" s="101" t="s">
        <v>465</v>
      </c>
      <c r="B442" s="103" t="s">
        <v>2928</v>
      </c>
      <c r="C442" s="103" t="s">
        <v>3025</v>
      </c>
      <c r="D442" s="103" t="s">
        <v>119</v>
      </c>
      <c r="E442" s="103" t="s">
        <v>1430</v>
      </c>
      <c r="H442" s="103" t="s">
        <v>2360</v>
      </c>
      <c r="I442" s="111" t="s">
        <v>2939</v>
      </c>
      <c r="J442" s="103" t="s">
        <v>2388</v>
      </c>
      <c r="K442" s="103" t="s">
        <v>2999</v>
      </c>
      <c r="L442" s="108">
        <v>42450</v>
      </c>
      <c r="M442" s="11">
        <f t="shared" ca="1" si="14"/>
        <v>11</v>
      </c>
      <c r="N442" s="108">
        <v>42451</v>
      </c>
      <c r="O442" s="108"/>
      <c r="Q442" s="44"/>
      <c r="R442" s="138" t="s">
        <v>3057</v>
      </c>
      <c r="T442" s="108"/>
      <c r="W442" s="103" t="s">
        <v>156</v>
      </c>
      <c r="X442" s="108">
        <v>42461</v>
      </c>
      <c r="AA442" s="101" t="s">
        <v>2350</v>
      </c>
    </row>
    <row r="443" spans="1:27" s="103" customFormat="1" x14ac:dyDescent="0.25">
      <c r="A443" s="101" t="s">
        <v>2972</v>
      </c>
      <c r="B443" s="103" t="s">
        <v>2924</v>
      </c>
      <c r="C443" s="103" t="s">
        <v>3025</v>
      </c>
      <c r="D443" s="103" t="s">
        <v>119</v>
      </c>
      <c r="E443" s="103" t="s">
        <v>1430</v>
      </c>
      <c r="H443" s="103" t="s">
        <v>2360</v>
      </c>
      <c r="I443" s="111" t="s">
        <v>2939</v>
      </c>
      <c r="J443" s="103" t="s">
        <v>2388</v>
      </c>
      <c r="K443" s="103" t="s">
        <v>2999</v>
      </c>
      <c r="L443" s="108">
        <v>42450</v>
      </c>
      <c r="M443" s="11">
        <f t="shared" ca="1" si="14"/>
        <v>11</v>
      </c>
      <c r="N443" s="108">
        <v>42451</v>
      </c>
      <c r="O443" s="108"/>
      <c r="Q443" s="44"/>
      <c r="R443" s="138" t="s">
        <v>3057</v>
      </c>
      <c r="T443" s="108"/>
      <c r="W443" s="103" t="s">
        <v>156</v>
      </c>
      <c r="X443" s="108">
        <v>42461</v>
      </c>
      <c r="AA443" s="101" t="s">
        <v>2350</v>
      </c>
    </row>
    <row r="444" spans="1:27" s="103" customFormat="1" x14ac:dyDescent="0.25">
      <c r="A444" s="101" t="s">
        <v>2973</v>
      </c>
      <c r="B444" s="103" t="s">
        <v>2924</v>
      </c>
      <c r="C444" s="103" t="s">
        <v>3025</v>
      </c>
      <c r="D444" s="103" t="s">
        <v>119</v>
      </c>
      <c r="E444" s="103" t="s">
        <v>1430</v>
      </c>
      <c r="H444" s="103" t="s">
        <v>2360</v>
      </c>
      <c r="I444" s="111" t="s">
        <v>2939</v>
      </c>
      <c r="J444" s="103" t="s">
        <v>2388</v>
      </c>
      <c r="K444" s="103" t="s">
        <v>3001</v>
      </c>
      <c r="L444" s="108">
        <v>42450</v>
      </c>
      <c r="M444" s="11">
        <f t="shared" ca="1" si="14"/>
        <v>11</v>
      </c>
      <c r="N444" s="108">
        <v>42451</v>
      </c>
      <c r="O444" s="108"/>
      <c r="Q444" s="44"/>
      <c r="R444" s="138" t="s">
        <v>3066</v>
      </c>
      <c r="T444" s="108"/>
      <c r="W444" s="103" t="s">
        <v>156</v>
      </c>
      <c r="X444" s="108">
        <v>42461</v>
      </c>
      <c r="AA444" s="101" t="s">
        <v>2350</v>
      </c>
    </row>
    <row r="445" spans="1:27" s="103" customFormat="1" x14ac:dyDescent="0.25">
      <c r="A445" s="101" t="s">
        <v>2975</v>
      </c>
      <c r="B445" s="103" t="s">
        <v>2996</v>
      </c>
      <c r="C445" s="103" t="s">
        <v>3025</v>
      </c>
      <c r="D445" s="103" t="s">
        <v>119</v>
      </c>
      <c r="E445" s="103" t="s">
        <v>1430</v>
      </c>
      <c r="H445" s="103" t="s">
        <v>2360</v>
      </c>
      <c r="I445" s="111" t="s">
        <v>2939</v>
      </c>
      <c r="J445" s="103" t="s">
        <v>2388</v>
      </c>
      <c r="K445" s="103" t="s">
        <v>2999</v>
      </c>
      <c r="L445" s="108">
        <v>42450</v>
      </c>
      <c r="M445" s="11">
        <f t="shared" ca="1" si="14"/>
        <v>11</v>
      </c>
      <c r="N445" s="108">
        <v>42451</v>
      </c>
      <c r="O445" s="108"/>
      <c r="Q445" s="44"/>
      <c r="R445" s="138" t="s">
        <v>3067</v>
      </c>
      <c r="T445" s="108"/>
      <c r="W445" s="103" t="s">
        <v>156</v>
      </c>
      <c r="X445" s="108">
        <v>42461</v>
      </c>
      <c r="AA445" s="101" t="s">
        <v>2350</v>
      </c>
    </row>
    <row r="446" spans="1:27" s="103" customFormat="1" x14ac:dyDescent="0.25">
      <c r="A446" s="101" t="s">
        <v>2977</v>
      </c>
      <c r="B446" s="103" t="s">
        <v>2998</v>
      </c>
      <c r="C446" s="103" t="s">
        <v>3025</v>
      </c>
      <c r="D446" s="103" t="s">
        <v>119</v>
      </c>
      <c r="E446" s="103" t="s">
        <v>1430</v>
      </c>
      <c r="H446" s="103" t="s">
        <v>2360</v>
      </c>
      <c r="I446" s="111" t="s">
        <v>2939</v>
      </c>
      <c r="J446" s="103" t="s">
        <v>2388</v>
      </c>
      <c r="K446" s="103" t="s">
        <v>3000</v>
      </c>
      <c r="L446" s="108">
        <v>42450</v>
      </c>
      <c r="M446" s="11">
        <f t="shared" ca="1" si="14"/>
        <v>11</v>
      </c>
      <c r="N446" s="108">
        <v>42451</v>
      </c>
      <c r="O446" s="108"/>
      <c r="Q446" s="44"/>
      <c r="R446" s="138" t="s">
        <v>3067</v>
      </c>
      <c r="T446" s="108"/>
      <c r="W446" s="103" t="s">
        <v>156</v>
      </c>
      <c r="X446" s="108">
        <v>42461</v>
      </c>
      <c r="AA446" s="101" t="s">
        <v>2350</v>
      </c>
    </row>
    <row r="447" spans="1:27" s="103" customFormat="1" x14ac:dyDescent="0.25">
      <c r="A447" s="101" t="s">
        <v>2748</v>
      </c>
      <c r="B447" s="103" t="s">
        <v>2749</v>
      </c>
      <c r="C447" s="103" t="s">
        <v>3025</v>
      </c>
      <c r="D447" s="103" t="s">
        <v>119</v>
      </c>
      <c r="E447" s="103" t="s">
        <v>1430</v>
      </c>
      <c r="H447" s="103" t="s">
        <v>2360</v>
      </c>
      <c r="I447" s="111" t="s">
        <v>2451</v>
      </c>
      <c r="J447" s="103" t="s">
        <v>2388</v>
      </c>
      <c r="K447" s="103" t="s">
        <v>343</v>
      </c>
      <c r="L447" s="108">
        <v>42416</v>
      </c>
      <c r="M447" s="11">
        <f t="shared" ca="1" si="14"/>
        <v>45</v>
      </c>
      <c r="N447" s="108">
        <v>42425</v>
      </c>
      <c r="O447" s="108"/>
      <c r="Q447" s="46"/>
      <c r="R447" s="103" t="s">
        <v>3056</v>
      </c>
      <c r="S447" s="103" t="s">
        <v>2782</v>
      </c>
      <c r="T447" s="108" t="s">
        <v>2395</v>
      </c>
      <c r="U447" s="133">
        <v>42458</v>
      </c>
      <c r="W447" s="103" t="s">
        <v>156</v>
      </c>
      <c r="X447" s="108">
        <v>42461</v>
      </c>
      <c r="Y447" s="103">
        <v>23</v>
      </c>
      <c r="AA447" s="101" t="s">
        <v>2350</v>
      </c>
    </row>
    <row r="448" spans="1:27" s="103" customFormat="1" x14ac:dyDescent="0.25">
      <c r="A448" s="40" t="s">
        <v>137</v>
      </c>
      <c r="B448" s="7" t="s">
        <v>357</v>
      </c>
      <c r="C448" s="103" t="s">
        <v>3087</v>
      </c>
      <c r="D448" s="103" t="s">
        <v>118</v>
      </c>
      <c r="E448" s="103" t="s">
        <v>106</v>
      </c>
      <c r="H448" s="103" t="s">
        <v>2320</v>
      </c>
      <c r="I448" s="111" t="s">
        <v>2407</v>
      </c>
      <c r="J448" s="103" t="s">
        <v>2310</v>
      </c>
      <c r="K448" s="103" t="s">
        <v>2320</v>
      </c>
      <c r="L448" s="108">
        <v>42236.530555555553</v>
      </c>
      <c r="M448" s="11">
        <f t="shared" ca="1" si="14"/>
        <v>224.46944444444671</v>
      </c>
      <c r="N448" s="108">
        <v>42217</v>
      </c>
      <c r="O448" s="108"/>
      <c r="Q448" s="46"/>
      <c r="R448" s="103" t="s">
        <v>3088</v>
      </c>
      <c r="S448" s="103" t="s">
        <v>2782</v>
      </c>
      <c r="T448" s="108" t="s">
        <v>2885</v>
      </c>
      <c r="U448" s="133">
        <v>42444</v>
      </c>
      <c r="W448" s="103" t="s">
        <v>188</v>
      </c>
      <c r="X448" s="108">
        <v>42461</v>
      </c>
      <c r="AA448" s="101" t="s">
        <v>2350</v>
      </c>
    </row>
    <row r="449" spans="1:28" s="103" customFormat="1" x14ac:dyDescent="0.25">
      <c r="A449" s="40" t="s">
        <v>2790</v>
      </c>
      <c r="B449" s="7" t="s">
        <v>2791</v>
      </c>
      <c r="C449" s="103" t="s">
        <v>3087</v>
      </c>
      <c r="D449" s="103" t="s">
        <v>118</v>
      </c>
      <c r="E449" s="103" t="s">
        <v>106</v>
      </c>
      <c r="H449" s="103" t="s">
        <v>2320</v>
      </c>
      <c r="I449" s="111" t="s">
        <v>2407</v>
      </c>
      <c r="J449" s="103" t="s">
        <v>2310</v>
      </c>
      <c r="K449" s="103" t="s">
        <v>2320</v>
      </c>
      <c r="L449" s="108">
        <v>42425</v>
      </c>
      <c r="M449" s="103">
        <f t="shared" ca="1" si="14"/>
        <v>36</v>
      </c>
      <c r="N449" s="108">
        <v>42423</v>
      </c>
      <c r="O449" s="108"/>
      <c r="Q449" s="46"/>
      <c r="R449" s="103" t="s">
        <v>3092</v>
      </c>
      <c r="S449" s="103" t="s">
        <v>2782</v>
      </c>
      <c r="T449" s="108" t="s">
        <v>2885</v>
      </c>
      <c r="U449" s="133" t="s">
        <v>2525</v>
      </c>
      <c r="W449" s="103" t="s">
        <v>188</v>
      </c>
      <c r="X449" s="108">
        <v>42461</v>
      </c>
      <c r="AA449" s="101" t="s">
        <v>2350</v>
      </c>
    </row>
    <row r="450" spans="1:28" ht="39.950000000000003" customHeight="1" x14ac:dyDescent="0.25">
      <c r="A450" s="40" t="s">
        <v>2869</v>
      </c>
      <c r="B450" s="5" t="s">
        <v>471</v>
      </c>
      <c r="C450" s="5" t="s">
        <v>3087</v>
      </c>
      <c r="D450" s="43" t="s">
        <v>118</v>
      </c>
      <c r="E450" s="43" t="s">
        <v>106</v>
      </c>
      <c r="H450" s="43" t="s">
        <v>97</v>
      </c>
      <c r="I450" s="111" t="s">
        <v>2407</v>
      </c>
      <c r="J450" s="5" t="s">
        <v>2310</v>
      </c>
      <c r="K450" s="5" t="s">
        <v>2320</v>
      </c>
      <c r="L450" s="49">
        <v>42151</v>
      </c>
      <c r="M450" s="11">
        <f t="shared" ca="1" si="14"/>
        <v>310</v>
      </c>
      <c r="N450" s="86">
        <v>42284</v>
      </c>
      <c r="O450" s="14"/>
      <c r="P450" s="14"/>
      <c r="Q450" s="17"/>
      <c r="R450" s="43" t="s">
        <v>3093</v>
      </c>
      <c r="W450" s="103" t="s">
        <v>188</v>
      </c>
      <c r="X450" s="108">
        <v>42461</v>
      </c>
      <c r="Y450" s="40" t="s">
        <v>363</v>
      </c>
      <c r="Z450" s="40"/>
      <c r="AA450" s="40" t="s">
        <v>2350</v>
      </c>
      <c r="AB450" s="40"/>
    </row>
    <row r="451" spans="1:28" s="103" customFormat="1" x14ac:dyDescent="0.25">
      <c r="A451" s="101" t="s">
        <v>2868</v>
      </c>
      <c r="B451" s="103" t="s">
        <v>386</v>
      </c>
      <c r="C451" s="103" t="s">
        <v>3025</v>
      </c>
      <c r="D451" s="103" t="s">
        <v>119</v>
      </c>
      <c r="E451" s="103" t="s">
        <v>1430</v>
      </c>
      <c r="H451" s="103" t="s">
        <v>2360</v>
      </c>
      <c r="I451" s="111" t="s">
        <v>280</v>
      </c>
      <c r="J451" s="103" t="s">
        <v>2388</v>
      </c>
      <c r="K451" s="103" t="s">
        <v>343</v>
      </c>
      <c r="L451" s="108">
        <v>42436</v>
      </c>
      <c r="M451" s="11">
        <f t="shared" ca="1" si="14"/>
        <v>25</v>
      </c>
      <c r="N451" s="108">
        <v>42438</v>
      </c>
      <c r="O451" s="108">
        <v>42461</v>
      </c>
      <c r="P451" s="103" t="s">
        <v>2350</v>
      </c>
      <c r="Q451" s="44"/>
      <c r="R451" s="103" t="s">
        <v>3168</v>
      </c>
      <c r="T451" s="108"/>
      <c r="U451" s="133"/>
      <c r="W451" s="103" t="s">
        <v>156</v>
      </c>
      <c r="X451" s="108">
        <v>42461</v>
      </c>
      <c r="Y451" s="101">
        <v>32</v>
      </c>
      <c r="AA451" s="101" t="s">
        <v>2350</v>
      </c>
    </row>
    <row r="452" spans="1:28" s="103" customFormat="1" x14ac:dyDescent="0.25">
      <c r="A452" s="101" t="s">
        <v>3163</v>
      </c>
      <c r="B452" s="103" t="s">
        <v>3164</v>
      </c>
      <c r="C452" s="103" t="s">
        <v>3025</v>
      </c>
      <c r="D452" s="103" t="s">
        <v>119</v>
      </c>
      <c r="E452" s="103" t="s">
        <v>1430</v>
      </c>
      <c r="H452" s="103" t="s">
        <v>2360</v>
      </c>
      <c r="I452" s="111" t="s">
        <v>1411</v>
      </c>
      <c r="J452" s="103" t="s">
        <v>2388</v>
      </c>
      <c r="K452" s="103" t="s">
        <v>343</v>
      </c>
      <c r="L452" s="108">
        <v>42464</v>
      </c>
      <c r="M452" s="103">
        <f t="shared" ca="1" si="14"/>
        <v>3</v>
      </c>
      <c r="N452" s="108">
        <v>42464</v>
      </c>
      <c r="O452" s="108"/>
      <c r="Q452" s="46"/>
      <c r="R452" s="103" t="s">
        <v>3175</v>
      </c>
      <c r="S452" s="103" t="s">
        <v>2851</v>
      </c>
      <c r="T452" s="108" t="s">
        <v>2388</v>
      </c>
      <c r="U452" s="103" t="s">
        <v>348</v>
      </c>
      <c r="W452" s="103" t="s">
        <v>156</v>
      </c>
      <c r="X452" s="108">
        <v>42467</v>
      </c>
      <c r="AA452" s="101" t="s">
        <v>2350</v>
      </c>
    </row>
    <row r="453" spans="1:28" s="103" customFormat="1" x14ac:dyDescent="0.25">
      <c r="A453" s="101" t="s">
        <v>3153</v>
      </c>
      <c r="B453" s="103" t="s">
        <v>3154</v>
      </c>
      <c r="C453" s="103" t="s">
        <v>3155</v>
      </c>
      <c r="D453" s="103" t="s">
        <v>119</v>
      </c>
      <c r="E453" s="103" t="s">
        <v>106</v>
      </c>
      <c r="H453" s="103" t="s">
        <v>2360</v>
      </c>
      <c r="I453" s="111" t="s">
        <v>1411</v>
      </c>
      <c r="J453" s="103" t="s">
        <v>2388</v>
      </c>
      <c r="K453" s="103" t="s">
        <v>343</v>
      </c>
      <c r="L453" s="108">
        <v>42458</v>
      </c>
      <c r="M453" s="103">
        <f t="shared" ca="1" si="14"/>
        <v>9</v>
      </c>
      <c r="N453" s="108">
        <v>42464</v>
      </c>
      <c r="O453" s="108"/>
      <c r="Q453" s="46"/>
      <c r="R453" s="133" t="s">
        <v>3176</v>
      </c>
      <c r="T453" s="108"/>
      <c r="W453" s="103" t="s">
        <v>156</v>
      </c>
      <c r="X453" s="108">
        <v>42467</v>
      </c>
      <c r="AA453" s="101" t="s">
        <v>2350</v>
      </c>
    </row>
    <row r="454" spans="1:28" s="103" customFormat="1" x14ac:dyDescent="0.25">
      <c r="A454" s="101" t="s">
        <v>1757</v>
      </c>
      <c r="B454" s="103" t="s">
        <v>290</v>
      </c>
      <c r="C454" s="103" t="s">
        <v>3022</v>
      </c>
      <c r="D454" s="103" t="s">
        <v>2288</v>
      </c>
      <c r="E454" s="103" t="s">
        <v>174</v>
      </c>
      <c r="H454" s="103" t="s">
        <v>97</v>
      </c>
      <c r="I454" s="111" t="s">
        <v>1411</v>
      </c>
      <c r="K454" s="103" t="s">
        <v>97</v>
      </c>
      <c r="L454" s="108">
        <v>42261</v>
      </c>
      <c r="M454" s="11">
        <f t="shared" ca="1" si="14"/>
        <v>206</v>
      </c>
      <c r="N454" s="108">
        <v>42217</v>
      </c>
      <c r="O454" s="108"/>
      <c r="Q454" s="45"/>
      <c r="R454" s="103" t="s">
        <v>3177</v>
      </c>
      <c r="T454" s="108"/>
      <c r="U454" s="133"/>
      <c r="W454" s="103" t="s">
        <v>156</v>
      </c>
      <c r="X454" s="108">
        <v>42467</v>
      </c>
      <c r="AA454" s="101" t="s">
        <v>273</v>
      </c>
    </row>
    <row r="455" spans="1:28" s="103" customFormat="1" x14ac:dyDescent="0.25">
      <c r="A455" s="101" t="s">
        <v>3102</v>
      </c>
      <c r="B455" s="103" t="s">
        <v>3103</v>
      </c>
      <c r="C455" s="103" t="s">
        <v>3104</v>
      </c>
      <c r="D455" s="103" t="s">
        <v>2288</v>
      </c>
      <c r="E455" s="103" t="s">
        <v>161</v>
      </c>
      <c r="H455" s="103" t="s">
        <v>2358</v>
      </c>
      <c r="I455" s="111" t="s">
        <v>1411</v>
      </c>
      <c r="J455" s="103" t="s">
        <v>2766</v>
      </c>
      <c r="K455" s="103" t="s">
        <v>176</v>
      </c>
      <c r="L455" s="108">
        <v>42430</v>
      </c>
      <c r="M455" s="103" t="s">
        <v>348</v>
      </c>
      <c r="N455" s="108">
        <v>42388</v>
      </c>
      <c r="O455" s="108"/>
      <c r="Q455" s="44"/>
      <c r="R455" s="103" t="s">
        <v>3178</v>
      </c>
      <c r="S455" s="103" t="s">
        <v>2781</v>
      </c>
      <c r="T455" s="108" t="s">
        <v>3105</v>
      </c>
      <c r="W455" s="103" t="s">
        <v>156</v>
      </c>
      <c r="X455" s="108">
        <v>42468</v>
      </c>
      <c r="AA455" s="101" t="s">
        <v>273</v>
      </c>
    </row>
    <row r="456" spans="1:28" s="103" customFormat="1" x14ac:dyDescent="0.25">
      <c r="A456" s="40" t="s">
        <v>300</v>
      </c>
      <c r="B456" s="7" t="s">
        <v>421</v>
      </c>
      <c r="C456" s="103" t="s">
        <v>3087</v>
      </c>
      <c r="D456" s="103" t="s">
        <v>118</v>
      </c>
      <c r="E456" s="103" t="s">
        <v>106</v>
      </c>
      <c r="H456" s="103" t="s">
        <v>2320</v>
      </c>
      <c r="I456" s="111" t="s">
        <v>2407</v>
      </c>
      <c r="J456" s="103" t="s">
        <v>3160</v>
      </c>
      <c r="K456" s="103" t="s">
        <v>2320</v>
      </c>
      <c r="L456" s="108">
        <v>42151</v>
      </c>
      <c r="M456" s="11">
        <f t="shared" ref="M456:M488" ca="1" si="15">IFERROR(IF(AND(W456&lt;&gt;"Concluído",W456&lt;&gt;"Cancelado"),TODAY()-L456+1,X456-L456),"")</f>
        <v>321</v>
      </c>
      <c r="N456" s="108">
        <v>42272</v>
      </c>
      <c r="O456" s="108"/>
      <c r="Q456" s="46"/>
      <c r="R456" s="103" t="s">
        <v>3213</v>
      </c>
      <c r="S456" s="103" t="s">
        <v>2782</v>
      </c>
      <c r="T456" s="108" t="s">
        <v>3160</v>
      </c>
      <c r="U456" s="103" t="s">
        <v>2525</v>
      </c>
      <c r="W456" s="103" t="s">
        <v>188</v>
      </c>
      <c r="X456" s="108">
        <v>42472</v>
      </c>
      <c r="AA456" s="101" t="s">
        <v>2350</v>
      </c>
    </row>
    <row r="457" spans="1:28" s="103" customFormat="1" x14ac:dyDescent="0.25">
      <c r="A457" s="101" t="s">
        <v>465</v>
      </c>
      <c r="B457" s="103" t="s">
        <v>466</v>
      </c>
      <c r="D457" s="103" t="s">
        <v>2289</v>
      </c>
      <c r="E457" s="103" t="s">
        <v>108</v>
      </c>
      <c r="H457" s="103" t="s">
        <v>2358</v>
      </c>
      <c r="I457" s="111" t="s">
        <v>2130</v>
      </c>
      <c r="J457" s="103" t="s">
        <v>2674</v>
      </c>
      <c r="K457" s="103" t="s">
        <v>343</v>
      </c>
      <c r="L457" s="108" t="s">
        <v>348</v>
      </c>
      <c r="M457" s="11" t="str">
        <f t="shared" ca="1" si="15"/>
        <v/>
      </c>
      <c r="N457" s="108">
        <v>42284</v>
      </c>
      <c r="O457" s="129" t="s">
        <v>2676</v>
      </c>
      <c r="Q457" s="139"/>
      <c r="R457" s="143" t="s">
        <v>3159</v>
      </c>
      <c r="S457" s="128"/>
      <c r="T457" s="108"/>
      <c r="W457" s="103" t="s">
        <v>188</v>
      </c>
      <c r="X457" s="108">
        <v>42472</v>
      </c>
      <c r="Z457" s="108"/>
      <c r="AA457" s="101" t="s">
        <v>273</v>
      </c>
    </row>
    <row r="458" spans="1:28" s="103" customFormat="1" x14ac:dyDescent="0.25">
      <c r="A458" s="101" t="s">
        <v>2512</v>
      </c>
      <c r="B458" s="103" t="s">
        <v>2386</v>
      </c>
      <c r="C458" s="103" t="s">
        <v>3039</v>
      </c>
      <c r="D458" s="103" t="s">
        <v>2288</v>
      </c>
      <c r="E458" s="103" t="s">
        <v>1430</v>
      </c>
      <c r="H458" s="103" t="s">
        <v>97</v>
      </c>
      <c r="I458" s="111" t="s">
        <v>245</v>
      </c>
      <c r="K458" s="103" t="s">
        <v>97</v>
      </c>
      <c r="L458" s="108">
        <v>42257.736111111109</v>
      </c>
      <c r="M458" s="11">
        <f t="shared" ca="1" si="15"/>
        <v>215.26388888889051</v>
      </c>
      <c r="N458" s="108">
        <v>42272</v>
      </c>
      <c r="O458" s="108"/>
      <c r="Q458" s="45"/>
      <c r="R458" s="103" t="s">
        <v>3226</v>
      </c>
      <c r="S458" s="103" t="s">
        <v>3030</v>
      </c>
      <c r="T458" s="103" t="s">
        <v>3031</v>
      </c>
      <c r="U458" s="133">
        <v>42440</v>
      </c>
      <c r="W458" s="103" t="s">
        <v>188</v>
      </c>
      <c r="X458" s="108">
        <v>42473</v>
      </c>
      <c r="Y458" s="103">
        <v>220</v>
      </c>
      <c r="Z458" s="108" t="s">
        <v>2282</v>
      </c>
      <c r="AA458" s="101" t="s">
        <v>273</v>
      </c>
    </row>
    <row r="459" spans="1:28" s="103" customFormat="1" x14ac:dyDescent="0.25">
      <c r="A459" s="40" t="s">
        <v>1476</v>
      </c>
      <c r="B459" s="7" t="s">
        <v>1480</v>
      </c>
      <c r="C459" s="103" t="s">
        <v>3089</v>
      </c>
      <c r="D459" s="103" t="s">
        <v>118</v>
      </c>
      <c r="E459" s="103" t="s">
        <v>159</v>
      </c>
      <c r="H459" s="103" t="s">
        <v>2320</v>
      </c>
      <c r="I459" s="111" t="s">
        <v>2407</v>
      </c>
      <c r="J459" s="103" t="s">
        <v>2310</v>
      </c>
      <c r="K459" s="103" t="s">
        <v>2320</v>
      </c>
      <c r="L459" s="108">
        <v>42298</v>
      </c>
      <c r="M459" s="11">
        <f t="shared" ca="1" si="15"/>
        <v>174</v>
      </c>
      <c r="N459" s="108">
        <v>42299</v>
      </c>
      <c r="O459" s="108"/>
      <c r="Q459" s="44"/>
      <c r="R459" s="103" t="s">
        <v>3223</v>
      </c>
      <c r="S459" s="103" t="s">
        <v>2782</v>
      </c>
      <c r="T459" s="108" t="s">
        <v>2885</v>
      </c>
      <c r="U459" s="133">
        <v>42473</v>
      </c>
      <c r="W459" s="103" t="s">
        <v>156</v>
      </c>
      <c r="X459" s="108">
        <v>42472</v>
      </c>
      <c r="Z459" s="103">
        <v>37.24</v>
      </c>
      <c r="AA459" s="101" t="s">
        <v>2350</v>
      </c>
    </row>
    <row r="460" spans="1:28" s="103" customFormat="1" x14ac:dyDescent="0.25">
      <c r="A460" s="40" t="s">
        <v>1478</v>
      </c>
      <c r="B460" s="7" t="s">
        <v>1482</v>
      </c>
      <c r="C460" s="103" t="s">
        <v>3089</v>
      </c>
      <c r="D460" s="103" t="s">
        <v>118</v>
      </c>
      <c r="E460" s="103" t="s">
        <v>159</v>
      </c>
      <c r="H460" s="103" t="s">
        <v>2320</v>
      </c>
      <c r="I460" s="111" t="s">
        <v>2407</v>
      </c>
      <c r="J460" s="103" t="s">
        <v>2310</v>
      </c>
      <c r="K460" s="103" t="s">
        <v>2320</v>
      </c>
      <c r="L460" s="108">
        <v>42299</v>
      </c>
      <c r="M460" s="11">
        <f t="shared" ca="1" si="15"/>
        <v>173</v>
      </c>
      <c r="N460" s="108">
        <v>42299</v>
      </c>
      <c r="O460" s="108"/>
      <c r="Q460" s="44"/>
      <c r="R460" s="103" t="s">
        <v>3222</v>
      </c>
      <c r="S460" s="103" t="s">
        <v>3002</v>
      </c>
      <c r="T460" s="108"/>
      <c r="U460" s="133">
        <v>42468</v>
      </c>
      <c r="W460" s="103" t="s">
        <v>156</v>
      </c>
      <c r="X460" s="108">
        <v>42472</v>
      </c>
      <c r="Z460" s="103">
        <v>3.15189778952382</v>
      </c>
      <c r="AA460" s="101" t="s">
        <v>2350</v>
      </c>
    </row>
    <row r="461" spans="1:28" s="103" customFormat="1" x14ac:dyDescent="0.25">
      <c r="A461" s="40" t="s">
        <v>1352</v>
      </c>
      <c r="B461" s="103" t="s">
        <v>1353</v>
      </c>
      <c r="D461" s="103" t="s">
        <v>2288</v>
      </c>
      <c r="E461" s="103" t="s">
        <v>161</v>
      </c>
      <c r="H461" s="103" t="s">
        <v>2344</v>
      </c>
      <c r="I461" s="111" t="s">
        <v>2407</v>
      </c>
      <c r="J461" s="103" t="s">
        <v>2766</v>
      </c>
      <c r="K461" s="103" t="s">
        <v>97</v>
      </c>
      <c r="L461" s="108">
        <v>42256</v>
      </c>
      <c r="M461" s="11">
        <f t="shared" ca="1" si="15"/>
        <v>216</v>
      </c>
      <c r="N461" s="108">
        <v>42304</v>
      </c>
      <c r="O461" s="108"/>
      <c r="Q461" s="125"/>
      <c r="R461" s="103" t="s">
        <v>3214</v>
      </c>
      <c r="S461" s="103" t="s">
        <v>2758</v>
      </c>
      <c r="T461" s="108" t="s">
        <v>2766</v>
      </c>
      <c r="U461" s="103" t="s">
        <v>348</v>
      </c>
      <c r="W461" s="103" t="s">
        <v>188</v>
      </c>
      <c r="X461" s="108">
        <v>42472</v>
      </c>
      <c r="Z461" s="108" t="s">
        <v>2282</v>
      </c>
      <c r="AA461" s="101" t="s">
        <v>273</v>
      </c>
    </row>
    <row r="462" spans="1:28" s="103" customFormat="1" x14ac:dyDescent="0.25">
      <c r="A462" s="101" t="s">
        <v>2648</v>
      </c>
      <c r="B462" s="103" t="s">
        <v>2649</v>
      </c>
      <c r="C462" s="103" t="s">
        <v>3086</v>
      </c>
      <c r="D462" s="103" t="s">
        <v>119</v>
      </c>
      <c r="E462" s="103" t="s">
        <v>161</v>
      </c>
      <c r="H462" s="103" t="s">
        <v>2360</v>
      </c>
      <c r="I462" s="111" t="s">
        <v>177</v>
      </c>
      <c r="K462" s="103" t="s">
        <v>96</v>
      </c>
      <c r="L462" s="108">
        <v>42398</v>
      </c>
      <c r="M462" s="11">
        <f t="shared" ca="1" si="15"/>
        <v>125</v>
      </c>
      <c r="N462" s="108">
        <v>42403</v>
      </c>
      <c r="O462" s="108"/>
      <c r="P462" s="103" t="s">
        <v>2350</v>
      </c>
      <c r="Q462" s="44"/>
      <c r="R462" s="103" t="s">
        <v>3209</v>
      </c>
      <c r="S462" s="103" t="s">
        <v>3014</v>
      </c>
      <c r="T462" s="108" t="s">
        <v>2375</v>
      </c>
      <c r="U462" s="108">
        <v>42465</v>
      </c>
      <c r="W462" s="103" t="s">
        <v>189</v>
      </c>
      <c r="X462" s="108">
        <v>42465</v>
      </c>
      <c r="Y462" s="103">
        <v>53</v>
      </c>
      <c r="AA462" s="101" t="s">
        <v>2350</v>
      </c>
    </row>
    <row r="463" spans="1:28" s="103" customFormat="1" x14ac:dyDescent="0.25">
      <c r="A463" s="101" t="s">
        <v>2650</v>
      </c>
      <c r="B463" s="103" t="s">
        <v>2651</v>
      </c>
      <c r="C463" s="103" t="s">
        <v>3086</v>
      </c>
      <c r="D463" s="103" t="s">
        <v>119</v>
      </c>
      <c r="E463" s="103" t="s">
        <v>161</v>
      </c>
      <c r="H463" s="103" t="s">
        <v>2360</v>
      </c>
      <c r="I463" s="111" t="s">
        <v>177</v>
      </c>
      <c r="K463" s="103" t="s">
        <v>96</v>
      </c>
      <c r="L463" s="108">
        <v>42398</v>
      </c>
      <c r="M463" s="11">
        <f t="shared" ca="1" si="15"/>
        <v>125</v>
      </c>
      <c r="N463" s="108">
        <v>42403</v>
      </c>
      <c r="O463" s="108"/>
      <c r="P463" s="103" t="s">
        <v>2350</v>
      </c>
      <c r="Q463" s="44"/>
      <c r="R463" s="103" t="s">
        <v>3221</v>
      </c>
      <c r="S463" s="103" t="s">
        <v>3014</v>
      </c>
      <c r="T463" s="108" t="s">
        <v>2375</v>
      </c>
      <c r="U463" s="108">
        <v>42465</v>
      </c>
      <c r="W463" s="103" t="s">
        <v>189</v>
      </c>
      <c r="X463" s="108">
        <v>42465</v>
      </c>
      <c r="Y463" s="103">
        <v>87</v>
      </c>
      <c r="AA463" s="101" t="s">
        <v>2350</v>
      </c>
    </row>
    <row r="464" spans="1:28" s="103" customFormat="1" x14ac:dyDescent="0.25">
      <c r="A464" s="101" t="s">
        <v>2750</v>
      </c>
      <c r="B464" s="103" t="s">
        <v>2751</v>
      </c>
      <c r="C464" s="103" t="s">
        <v>3078</v>
      </c>
      <c r="D464" s="103" t="s">
        <v>118</v>
      </c>
      <c r="E464" s="103" t="s">
        <v>106</v>
      </c>
      <c r="H464" s="103" t="s">
        <v>97</v>
      </c>
      <c r="I464" s="111" t="s">
        <v>246</v>
      </c>
      <c r="K464" s="103" t="s">
        <v>97</v>
      </c>
      <c r="L464" s="108">
        <v>42373</v>
      </c>
      <c r="M464" s="11">
        <f t="shared" ca="1" si="15"/>
        <v>94</v>
      </c>
      <c r="N464" s="108">
        <v>42433</v>
      </c>
      <c r="O464" s="108">
        <v>42460</v>
      </c>
      <c r="P464" s="103" t="s">
        <v>2530</v>
      </c>
      <c r="Q464" s="46"/>
      <c r="R464" s="144" t="s">
        <v>3204</v>
      </c>
      <c r="S464" s="103" t="s">
        <v>2781</v>
      </c>
      <c r="T464" s="108" t="s">
        <v>2878</v>
      </c>
      <c r="U464" s="103" t="s">
        <v>348</v>
      </c>
      <c r="W464" s="103" t="s">
        <v>156</v>
      </c>
      <c r="X464" s="108">
        <v>42467</v>
      </c>
      <c r="Y464" s="103" t="s">
        <v>348</v>
      </c>
      <c r="AA464" s="101" t="s">
        <v>273</v>
      </c>
    </row>
    <row r="465" spans="1:27" s="103" customFormat="1" x14ac:dyDescent="0.25">
      <c r="A465" s="101" t="s">
        <v>2752</v>
      </c>
      <c r="B465" s="103" t="s">
        <v>2753</v>
      </c>
      <c r="C465" s="103" t="s">
        <v>3079</v>
      </c>
      <c r="D465" s="103" t="s">
        <v>118</v>
      </c>
      <c r="E465" s="103" t="s">
        <v>159</v>
      </c>
      <c r="H465" s="103" t="s">
        <v>97</v>
      </c>
      <c r="I465" s="111" t="s">
        <v>246</v>
      </c>
      <c r="J465" s="103" t="s">
        <v>2606</v>
      </c>
      <c r="K465" s="103" t="s">
        <v>97</v>
      </c>
      <c r="L465" s="108">
        <v>42415</v>
      </c>
      <c r="M465" s="11">
        <f t="shared" ca="1" si="15"/>
        <v>53</v>
      </c>
      <c r="N465" s="108">
        <v>42426</v>
      </c>
      <c r="O465" s="108"/>
      <c r="Q465" s="46"/>
      <c r="R465" s="115" t="s">
        <v>3205</v>
      </c>
      <c r="S465" s="103" t="s">
        <v>2781</v>
      </c>
      <c r="T465" s="108" t="s">
        <v>2781</v>
      </c>
      <c r="W465" s="103" t="s">
        <v>156</v>
      </c>
      <c r="X465" s="108">
        <v>42468</v>
      </c>
      <c r="Y465" s="103">
        <v>10</v>
      </c>
      <c r="AA465" s="101" t="s">
        <v>273</v>
      </c>
    </row>
    <row r="466" spans="1:27" s="103" customFormat="1" x14ac:dyDescent="0.25">
      <c r="A466" s="140" t="s">
        <v>2943</v>
      </c>
      <c r="B466" s="45" t="s">
        <v>2944</v>
      </c>
      <c r="C466" s="45" t="s">
        <v>3111</v>
      </c>
      <c r="D466" s="45" t="s">
        <v>2288</v>
      </c>
      <c r="E466" s="45" t="s">
        <v>159</v>
      </c>
      <c r="F466" s="45"/>
      <c r="G466" s="45"/>
      <c r="H466" s="45" t="s">
        <v>97</v>
      </c>
      <c r="I466" s="45" t="s">
        <v>2130</v>
      </c>
      <c r="J466" s="45" t="s">
        <v>562</v>
      </c>
      <c r="K466" s="45" t="s">
        <v>97</v>
      </c>
      <c r="L466" s="141">
        <v>42445</v>
      </c>
      <c r="M466" s="142">
        <f t="shared" ca="1" si="15"/>
        <v>27</v>
      </c>
      <c r="N466" s="141">
        <v>42451</v>
      </c>
      <c r="O466" s="141"/>
      <c r="P466" s="45"/>
      <c r="Q466" s="46"/>
      <c r="R466" s="115" t="s">
        <v>3216</v>
      </c>
      <c r="S466" s="83"/>
      <c r="T466" s="108"/>
      <c r="W466" s="128" t="s">
        <v>2882</v>
      </c>
      <c r="X466" s="108">
        <v>42472</v>
      </c>
      <c r="AA466" s="101" t="s">
        <v>273</v>
      </c>
    </row>
    <row r="467" spans="1:27" s="103" customFormat="1" x14ac:dyDescent="0.25">
      <c r="A467" s="101" t="s">
        <v>3145</v>
      </c>
      <c r="B467" s="103" t="s">
        <v>3146</v>
      </c>
      <c r="C467" s="103" t="s">
        <v>3147</v>
      </c>
      <c r="D467" s="103" t="s">
        <v>119</v>
      </c>
      <c r="E467" s="103" t="s">
        <v>1430</v>
      </c>
      <c r="H467" s="103" t="s">
        <v>2360</v>
      </c>
      <c r="I467" s="111" t="s">
        <v>1411</v>
      </c>
      <c r="J467" s="103" t="s">
        <v>2388</v>
      </c>
      <c r="K467" s="103" t="s">
        <v>343</v>
      </c>
      <c r="L467" s="108">
        <v>42460</v>
      </c>
      <c r="M467" s="103">
        <f t="shared" ca="1" si="15"/>
        <v>14</v>
      </c>
      <c r="N467" s="108">
        <v>42460</v>
      </c>
      <c r="O467" s="108"/>
      <c r="Q467" s="46"/>
      <c r="R467" s="103" t="s">
        <v>3230</v>
      </c>
      <c r="T467" s="108"/>
      <c r="W467" s="103" t="s">
        <v>156</v>
      </c>
      <c r="X467" s="108">
        <v>42474</v>
      </c>
      <c r="AA467" s="101" t="s">
        <v>2350</v>
      </c>
    </row>
    <row r="468" spans="1:27" s="103" customFormat="1" x14ac:dyDescent="0.25">
      <c r="A468" s="101" t="s">
        <v>1401</v>
      </c>
      <c r="B468" s="103" t="s">
        <v>1500</v>
      </c>
      <c r="C468" s="103" t="s">
        <v>3086</v>
      </c>
      <c r="D468" s="103" t="s">
        <v>119</v>
      </c>
      <c r="E468" s="103" t="s">
        <v>161</v>
      </c>
      <c r="H468" s="103" t="s">
        <v>2360</v>
      </c>
      <c r="I468" s="111" t="s">
        <v>177</v>
      </c>
      <c r="J468" s="103" t="s">
        <v>2375</v>
      </c>
      <c r="K468" s="103" t="s">
        <v>343</v>
      </c>
      <c r="L468" s="108">
        <v>42284</v>
      </c>
      <c r="M468" s="11">
        <f t="shared" ca="1" si="15"/>
        <v>239</v>
      </c>
      <c r="N468" s="108">
        <v>42304</v>
      </c>
      <c r="O468" s="108" t="s">
        <v>348</v>
      </c>
      <c r="P468" s="103" t="s">
        <v>2389</v>
      </c>
      <c r="Q468" s="44"/>
      <c r="R468" s="103" t="s">
        <v>3292</v>
      </c>
      <c r="S468" s="103" t="s">
        <v>2781</v>
      </c>
      <c r="T468" s="108" t="s">
        <v>2781</v>
      </c>
      <c r="U468" s="103" t="s">
        <v>348</v>
      </c>
      <c r="W468" s="103" t="s">
        <v>189</v>
      </c>
      <c r="X468" s="108">
        <v>42479</v>
      </c>
      <c r="Y468" s="103">
        <v>4</v>
      </c>
      <c r="AA468" s="101" t="s">
        <v>2350</v>
      </c>
    </row>
    <row r="469" spans="1:27" s="103" customFormat="1" x14ac:dyDescent="0.25">
      <c r="A469" s="101" t="s">
        <v>1923</v>
      </c>
      <c r="B469" s="103" t="s">
        <v>2027</v>
      </c>
      <c r="C469" s="103" t="s">
        <v>3025</v>
      </c>
      <c r="D469" s="103" t="s">
        <v>2288</v>
      </c>
      <c r="E469" s="103" t="s">
        <v>1430</v>
      </c>
      <c r="H469" s="103" t="s">
        <v>97</v>
      </c>
      <c r="I469" s="111" t="s">
        <v>2451</v>
      </c>
      <c r="K469" s="103" t="s">
        <v>97</v>
      </c>
      <c r="L469" s="108">
        <v>42314</v>
      </c>
      <c r="M469" s="11">
        <f t="shared" ca="1" si="15"/>
        <v>209</v>
      </c>
      <c r="N469" s="108">
        <v>42383</v>
      </c>
      <c r="O469" s="108"/>
      <c r="Q469" s="125"/>
      <c r="R469" s="103" t="s">
        <v>3291</v>
      </c>
      <c r="S469" s="103" t="s">
        <v>2781</v>
      </c>
      <c r="T469" s="108" t="s">
        <v>2821</v>
      </c>
      <c r="U469" s="103" t="s">
        <v>2819</v>
      </c>
      <c r="W469" s="103" t="s">
        <v>189</v>
      </c>
      <c r="X469" s="108">
        <v>42478</v>
      </c>
      <c r="AA469" s="101" t="s">
        <v>273</v>
      </c>
    </row>
    <row r="470" spans="1:27" s="103" customFormat="1" x14ac:dyDescent="0.25">
      <c r="A470" s="40" t="s">
        <v>2728</v>
      </c>
      <c r="B470" s="7" t="s">
        <v>2729</v>
      </c>
      <c r="C470" s="103" t="s">
        <v>3022</v>
      </c>
      <c r="D470" s="103" t="s">
        <v>118</v>
      </c>
      <c r="E470" s="103" t="s">
        <v>155</v>
      </c>
      <c r="H470" s="103" t="s">
        <v>2320</v>
      </c>
      <c r="I470" s="111" t="s">
        <v>2407</v>
      </c>
      <c r="J470" s="103" t="s">
        <v>2310</v>
      </c>
      <c r="K470" s="103" t="s">
        <v>2320</v>
      </c>
      <c r="L470" s="108">
        <v>42417</v>
      </c>
      <c r="M470" s="11">
        <f t="shared" ca="1" si="15"/>
        <v>62</v>
      </c>
      <c r="N470" s="108">
        <v>42417</v>
      </c>
      <c r="O470" s="108"/>
      <c r="Q470" s="46"/>
      <c r="R470" s="103" t="s">
        <v>3287</v>
      </c>
      <c r="S470" s="103" t="s">
        <v>2782</v>
      </c>
      <c r="T470" s="108" t="s">
        <v>2885</v>
      </c>
      <c r="U470" s="133">
        <v>42471</v>
      </c>
      <c r="W470" s="103" t="s">
        <v>188</v>
      </c>
      <c r="X470" s="108">
        <v>42479</v>
      </c>
      <c r="AA470" s="101" t="s">
        <v>2350</v>
      </c>
    </row>
    <row r="471" spans="1:27" s="103" customFormat="1" x14ac:dyDescent="0.25">
      <c r="A471" s="101" t="s">
        <v>2898</v>
      </c>
      <c r="B471" s="103" t="s">
        <v>2899</v>
      </c>
      <c r="C471" s="103" t="s">
        <v>3085</v>
      </c>
      <c r="D471" s="103" t="s">
        <v>119</v>
      </c>
      <c r="E471" s="103" t="s">
        <v>1430</v>
      </c>
      <c r="H471" s="103" t="s">
        <v>2360</v>
      </c>
      <c r="I471" s="111" t="s">
        <v>177</v>
      </c>
      <c r="J471" s="103" t="s">
        <v>2388</v>
      </c>
      <c r="K471" s="103" t="s">
        <v>343</v>
      </c>
      <c r="L471" s="108">
        <v>42444</v>
      </c>
      <c r="M471" s="11">
        <f t="shared" ca="1" si="15"/>
        <v>79</v>
      </c>
      <c r="N471" s="108">
        <v>42445</v>
      </c>
      <c r="O471" s="108"/>
      <c r="P471" s="103" t="s">
        <v>2350</v>
      </c>
      <c r="Q471" s="44"/>
      <c r="R471" s="103" t="s">
        <v>3210</v>
      </c>
      <c r="S471" s="103" t="s">
        <v>3014</v>
      </c>
      <c r="T471" s="108" t="s">
        <v>2388</v>
      </c>
      <c r="U471" s="108">
        <v>42467</v>
      </c>
      <c r="W471" s="103" t="s">
        <v>189</v>
      </c>
      <c r="X471" s="108">
        <v>42479</v>
      </c>
      <c r="Y471" s="103">
        <v>27</v>
      </c>
      <c r="AA471" s="101" t="s">
        <v>2350</v>
      </c>
    </row>
    <row r="472" spans="1:27" s="103" customFormat="1" x14ac:dyDescent="0.25">
      <c r="A472" s="101" t="s">
        <v>2900</v>
      </c>
      <c r="B472" s="103" t="s">
        <v>2901</v>
      </c>
      <c r="C472" s="103" t="s">
        <v>3085</v>
      </c>
      <c r="D472" s="103" t="s">
        <v>119</v>
      </c>
      <c r="E472" s="103" t="s">
        <v>1430</v>
      </c>
      <c r="H472" s="103" t="s">
        <v>2360</v>
      </c>
      <c r="I472" s="111" t="s">
        <v>177</v>
      </c>
      <c r="J472" s="103" t="s">
        <v>2388</v>
      </c>
      <c r="K472" s="103" t="s">
        <v>343</v>
      </c>
      <c r="L472" s="108">
        <v>42444</v>
      </c>
      <c r="M472" s="11">
        <f t="shared" ca="1" si="15"/>
        <v>79</v>
      </c>
      <c r="N472" s="108">
        <v>42445</v>
      </c>
      <c r="O472" s="108"/>
      <c r="P472" s="103" t="s">
        <v>2350</v>
      </c>
      <c r="Q472" s="44"/>
      <c r="R472" s="103" t="s">
        <v>3211</v>
      </c>
      <c r="S472" s="103" t="s">
        <v>3014</v>
      </c>
      <c r="T472" s="108" t="s">
        <v>2388</v>
      </c>
      <c r="U472" s="108">
        <v>42467</v>
      </c>
      <c r="W472" s="103" t="s">
        <v>189</v>
      </c>
      <c r="X472" s="108">
        <v>42479</v>
      </c>
      <c r="Y472" s="103">
        <v>20</v>
      </c>
      <c r="AA472" s="101" t="s">
        <v>2350</v>
      </c>
    </row>
    <row r="473" spans="1:27" s="103" customFormat="1" x14ac:dyDescent="0.25">
      <c r="A473" s="101" t="s">
        <v>3152</v>
      </c>
      <c r="B473" s="103" t="s">
        <v>3151</v>
      </c>
      <c r="D473" s="103" t="s">
        <v>2288</v>
      </c>
      <c r="E473" s="103" t="s">
        <v>174</v>
      </c>
      <c r="H473" s="103" t="s">
        <v>2256</v>
      </c>
      <c r="I473" s="111" t="s">
        <v>1411</v>
      </c>
      <c r="J473" s="103" t="s">
        <v>2394</v>
      </c>
      <c r="K473" s="103" t="s">
        <v>176</v>
      </c>
      <c r="L473" s="108">
        <v>42333</v>
      </c>
      <c r="M473" s="103">
        <f t="shared" ca="1" si="15"/>
        <v>147</v>
      </c>
      <c r="N473" s="108">
        <v>42371</v>
      </c>
      <c r="O473" s="108"/>
      <c r="Q473" s="46"/>
      <c r="R473" s="103" t="s">
        <v>3296</v>
      </c>
      <c r="S473" s="103" t="s">
        <v>2781</v>
      </c>
      <c r="T473" s="108" t="s">
        <v>174</v>
      </c>
      <c r="U473" s="103" t="s">
        <v>348</v>
      </c>
      <c r="W473" s="103" t="s">
        <v>188</v>
      </c>
      <c r="X473" s="108">
        <v>42480</v>
      </c>
      <c r="AA473" s="101" t="s">
        <v>273</v>
      </c>
    </row>
    <row r="474" spans="1:27" s="103" customFormat="1" x14ac:dyDescent="0.25">
      <c r="A474" s="101" t="s">
        <v>3224</v>
      </c>
      <c r="B474" s="103" t="s">
        <v>3225</v>
      </c>
      <c r="C474" s="103" t="s">
        <v>3293</v>
      </c>
      <c r="D474" s="103" t="s">
        <v>119</v>
      </c>
      <c r="E474" s="103" t="s">
        <v>1430</v>
      </c>
      <c r="H474" s="103" t="s">
        <v>2360</v>
      </c>
      <c r="I474" s="111" t="s">
        <v>246</v>
      </c>
      <c r="K474" s="103" t="s">
        <v>343</v>
      </c>
      <c r="L474" s="108">
        <v>42333</v>
      </c>
      <c r="M474" s="103">
        <f t="shared" ca="1" si="15"/>
        <v>147</v>
      </c>
      <c r="N474" s="108">
        <v>42402</v>
      </c>
      <c r="O474" s="108">
        <v>42480</v>
      </c>
      <c r="P474" s="103" t="s">
        <v>2282</v>
      </c>
      <c r="Q474" s="44"/>
      <c r="R474" s="103" t="s">
        <v>3294</v>
      </c>
      <c r="T474" s="108"/>
      <c r="W474" s="103" t="s">
        <v>156</v>
      </c>
      <c r="X474" s="108">
        <v>42480</v>
      </c>
      <c r="Y474" s="103" t="s">
        <v>2282</v>
      </c>
      <c r="Z474" s="103" t="s">
        <v>2282</v>
      </c>
      <c r="AA474" s="101" t="s">
        <v>273</v>
      </c>
    </row>
    <row r="475" spans="1:27" s="103" customFormat="1" x14ac:dyDescent="0.25">
      <c r="A475" s="101" t="s">
        <v>3228</v>
      </c>
      <c r="B475" s="103" t="s">
        <v>3229</v>
      </c>
      <c r="D475" s="103" t="s">
        <v>119</v>
      </c>
      <c r="E475" s="103" t="s">
        <v>1430</v>
      </c>
      <c r="H475" s="103" t="s">
        <v>2360</v>
      </c>
      <c r="I475" s="111" t="s">
        <v>280</v>
      </c>
      <c r="J475" s="103" t="s">
        <v>2388</v>
      </c>
      <c r="K475" s="103" t="s">
        <v>343</v>
      </c>
      <c r="L475" s="108">
        <v>42471</v>
      </c>
      <c r="M475" s="103">
        <f t="shared" ca="1" si="15"/>
        <v>3</v>
      </c>
      <c r="N475" s="108">
        <v>42473</v>
      </c>
      <c r="O475" s="108"/>
      <c r="Q475" s="46"/>
      <c r="R475" s="103" t="s">
        <v>3297</v>
      </c>
      <c r="S475" s="103" t="s">
        <v>2859</v>
      </c>
      <c r="T475" s="108" t="s">
        <v>3084</v>
      </c>
      <c r="U475" s="103" t="s">
        <v>2306</v>
      </c>
      <c r="W475" s="103" t="s">
        <v>188</v>
      </c>
      <c r="X475" s="108">
        <v>42474</v>
      </c>
      <c r="Y475" s="103">
        <v>490</v>
      </c>
      <c r="AA475" s="101" t="s">
        <v>2350</v>
      </c>
    </row>
    <row r="476" spans="1:27" s="103" customFormat="1" x14ac:dyDescent="0.25">
      <c r="A476" s="101" t="s">
        <v>1824</v>
      </c>
      <c r="B476" s="7" t="s">
        <v>1938</v>
      </c>
      <c r="C476" s="7" t="s">
        <v>3043</v>
      </c>
      <c r="D476" s="103" t="s">
        <v>118</v>
      </c>
      <c r="E476" s="103" t="s">
        <v>161</v>
      </c>
      <c r="H476" s="103" t="s">
        <v>2344</v>
      </c>
      <c r="I476" s="111" t="s">
        <v>245</v>
      </c>
      <c r="J476" s="103" t="s">
        <v>3020</v>
      </c>
      <c r="K476" s="103" t="s">
        <v>97</v>
      </c>
      <c r="L476" s="108">
        <v>42326.660416666666</v>
      </c>
      <c r="M476" s="11">
        <f t="shared" ca="1" si="15"/>
        <v>196.3395833333343</v>
      </c>
      <c r="N476" s="108">
        <v>42340</v>
      </c>
      <c r="O476" s="108"/>
      <c r="Q476" s="44"/>
      <c r="R476" s="103" t="s">
        <v>3302</v>
      </c>
      <c r="S476" s="103" t="s">
        <v>348</v>
      </c>
      <c r="T476" s="103" t="s">
        <v>348</v>
      </c>
      <c r="U476" s="133">
        <v>42485</v>
      </c>
      <c r="W476" s="103" t="s">
        <v>3303</v>
      </c>
      <c r="X476" s="108">
        <v>42485</v>
      </c>
      <c r="Y476" s="103">
        <v>6</v>
      </c>
      <c r="Z476" s="108" t="s">
        <v>2282</v>
      </c>
      <c r="AA476" s="101" t="s">
        <v>2350</v>
      </c>
    </row>
    <row r="477" spans="1:27" s="103" customFormat="1" x14ac:dyDescent="0.25">
      <c r="A477" s="101" t="s">
        <v>2862</v>
      </c>
      <c r="B477" s="99" t="s">
        <v>2863</v>
      </c>
      <c r="C477" s="99" t="s">
        <v>3085</v>
      </c>
      <c r="D477" s="103" t="s">
        <v>119</v>
      </c>
      <c r="E477" s="103" t="s">
        <v>3167</v>
      </c>
      <c r="H477" s="103" t="s">
        <v>2360</v>
      </c>
      <c r="I477" s="111" t="s">
        <v>280</v>
      </c>
      <c r="J477" s="103" t="s">
        <v>2375</v>
      </c>
      <c r="K477" s="103" t="s">
        <v>343</v>
      </c>
      <c r="L477" s="108">
        <v>42412</v>
      </c>
      <c r="M477" s="11">
        <f t="shared" ca="1" si="15"/>
        <v>67</v>
      </c>
      <c r="N477" s="108">
        <v>42438</v>
      </c>
      <c r="O477" s="108"/>
      <c r="Q477" s="44"/>
      <c r="R477" s="103" t="s">
        <v>3318</v>
      </c>
      <c r="S477" s="103" t="s">
        <v>2849</v>
      </c>
      <c r="T477" s="108" t="s">
        <v>3207</v>
      </c>
      <c r="U477" s="133">
        <v>42473</v>
      </c>
      <c r="W477" s="103" t="s">
        <v>156</v>
      </c>
      <c r="X477" s="108">
        <v>42479</v>
      </c>
      <c r="Y477" s="101">
        <v>49</v>
      </c>
      <c r="AA477" s="101" t="s">
        <v>2350</v>
      </c>
    </row>
    <row r="478" spans="1:27" s="103" customFormat="1" x14ac:dyDescent="0.25">
      <c r="A478" s="101" t="s">
        <v>2870</v>
      </c>
      <c r="B478" s="103" t="s">
        <v>2871</v>
      </c>
      <c r="C478" s="103" t="s">
        <v>3085</v>
      </c>
      <c r="D478" s="103" t="s">
        <v>118</v>
      </c>
      <c r="E478" s="103" t="s">
        <v>106</v>
      </c>
      <c r="H478" s="103" t="s">
        <v>97</v>
      </c>
      <c r="I478" s="111" t="s">
        <v>280</v>
      </c>
      <c r="J478" s="103" t="s">
        <v>2313</v>
      </c>
      <c r="K478" s="103" t="s">
        <v>97</v>
      </c>
      <c r="L478" s="108">
        <v>42348</v>
      </c>
      <c r="M478" s="11">
        <f t="shared" ca="1" si="15"/>
        <v>132</v>
      </c>
      <c r="N478" s="86">
        <v>42440</v>
      </c>
      <c r="O478" s="108"/>
      <c r="Q478" s="44"/>
      <c r="R478" s="103" t="s">
        <v>3319</v>
      </c>
      <c r="S478" s="103" t="s">
        <v>3169</v>
      </c>
      <c r="T478" s="108" t="s">
        <v>2576</v>
      </c>
      <c r="U478" s="133">
        <v>42472</v>
      </c>
      <c r="W478" s="103" t="s">
        <v>156</v>
      </c>
      <c r="X478" s="108">
        <v>42480</v>
      </c>
      <c r="AA478" s="101" t="s">
        <v>2350</v>
      </c>
    </row>
    <row r="479" spans="1:27" s="103" customFormat="1" x14ac:dyDescent="0.25">
      <c r="A479" s="101" t="s">
        <v>3129</v>
      </c>
      <c r="B479" s="103" t="s">
        <v>3304</v>
      </c>
      <c r="C479" s="103" t="s">
        <v>3039</v>
      </c>
      <c r="D479" s="103" t="s">
        <v>2288</v>
      </c>
      <c r="E479" s="103" t="s">
        <v>1430</v>
      </c>
      <c r="H479" s="103" t="s">
        <v>97</v>
      </c>
      <c r="I479" s="111" t="s">
        <v>245</v>
      </c>
      <c r="J479" s="103" t="s">
        <v>3130</v>
      </c>
      <c r="K479" s="103" t="s">
        <v>97</v>
      </c>
      <c r="L479" s="108">
        <v>42412</v>
      </c>
      <c r="M479" s="103">
        <f t="shared" ca="1" si="15"/>
        <v>111</v>
      </c>
      <c r="N479" s="108">
        <v>42459</v>
      </c>
      <c r="O479" s="108"/>
      <c r="Q479" s="46"/>
      <c r="R479" s="103" t="s">
        <v>3306</v>
      </c>
      <c r="S479" s="103" t="s">
        <v>3284</v>
      </c>
      <c r="T479" s="108" t="s">
        <v>3285</v>
      </c>
      <c r="U479" s="103" t="s">
        <v>2306</v>
      </c>
      <c r="W479" s="103" t="s">
        <v>3305</v>
      </c>
      <c r="X479" s="108">
        <v>42486</v>
      </c>
      <c r="AA479" s="101" t="s">
        <v>273</v>
      </c>
    </row>
    <row r="480" spans="1:27" s="103" customFormat="1" x14ac:dyDescent="0.25">
      <c r="A480" s="101" t="s">
        <v>3236</v>
      </c>
      <c r="B480" s="103" t="s">
        <v>2995</v>
      </c>
      <c r="C480" s="103" t="s">
        <v>3025</v>
      </c>
      <c r="D480" s="103" t="s">
        <v>119</v>
      </c>
      <c r="E480" s="103" t="s">
        <v>1430</v>
      </c>
      <c r="H480" s="103" t="s">
        <v>2360</v>
      </c>
      <c r="I480" s="111" t="s">
        <v>3255</v>
      </c>
      <c r="J480" s="103" t="s">
        <v>2388</v>
      </c>
      <c r="K480" s="103" t="s">
        <v>3001</v>
      </c>
      <c r="L480" s="108">
        <v>42475</v>
      </c>
      <c r="M480" s="103">
        <f t="shared" ca="1" si="15"/>
        <v>10</v>
      </c>
      <c r="N480" s="108">
        <v>42475</v>
      </c>
      <c r="O480" s="108"/>
      <c r="Q480" s="44"/>
      <c r="R480" s="103" t="s">
        <v>3322</v>
      </c>
      <c r="T480" s="108"/>
      <c r="W480" s="103" t="s">
        <v>156</v>
      </c>
      <c r="X480" s="108">
        <v>42485</v>
      </c>
      <c r="AA480" s="101" t="s">
        <v>2350</v>
      </c>
    </row>
    <row r="481" spans="1:28" s="103" customFormat="1" x14ac:dyDescent="0.25">
      <c r="A481" s="101" t="s">
        <v>3238</v>
      </c>
      <c r="B481" s="103" t="s">
        <v>2985</v>
      </c>
      <c r="C481" s="103" t="s">
        <v>3025</v>
      </c>
      <c r="D481" s="103" t="s">
        <v>119</v>
      </c>
      <c r="E481" s="103" t="s">
        <v>1430</v>
      </c>
      <c r="H481" s="103" t="s">
        <v>2360</v>
      </c>
      <c r="I481" s="111" t="s">
        <v>3255</v>
      </c>
      <c r="J481" s="103" t="s">
        <v>2388</v>
      </c>
      <c r="K481" s="103" t="s">
        <v>3001</v>
      </c>
      <c r="L481" s="108">
        <v>42475</v>
      </c>
      <c r="M481" s="103">
        <f t="shared" ca="1" si="15"/>
        <v>10</v>
      </c>
      <c r="N481" s="108">
        <v>42475</v>
      </c>
      <c r="O481" s="108"/>
      <c r="Q481" s="44"/>
      <c r="R481" s="103" t="s">
        <v>3322</v>
      </c>
      <c r="T481" s="108"/>
      <c r="W481" s="103" t="s">
        <v>156</v>
      </c>
      <c r="X481" s="108">
        <v>42485</v>
      </c>
      <c r="AA481" s="101" t="s">
        <v>2350</v>
      </c>
    </row>
    <row r="482" spans="1:28" s="103" customFormat="1" x14ac:dyDescent="0.25">
      <c r="A482" s="101" t="s">
        <v>3239</v>
      </c>
      <c r="B482" s="103" t="s">
        <v>2922</v>
      </c>
      <c r="C482" s="103" t="s">
        <v>3025</v>
      </c>
      <c r="D482" s="103" t="s">
        <v>119</v>
      </c>
      <c r="E482" s="103" t="s">
        <v>1430</v>
      </c>
      <c r="H482" s="103" t="s">
        <v>2360</v>
      </c>
      <c r="I482" s="111" t="s">
        <v>3255</v>
      </c>
      <c r="J482" s="103" t="s">
        <v>2388</v>
      </c>
      <c r="K482" s="103" t="s">
        <v>3000</v>
      </c>
      <c r="L482" s="108">
        <v>42475</v>
      </c>
      <c r="M482" s="103">
        <f t="shared" ca="1" si="15"/>
        <v>10</v>
      </c>
      <c r="N482" s="108">
        <v>42475</v>
      </c>
      <c r="O482" s="108"/>
      <c r="Q482" s="44"/>
      <c r="R482" s="103" t="s">
        <v>3322</v>
      </c>
      <c r="T482" s="108"/>
      <c r="W482" s="103" t="s">
        <v>156</v>
      </c>
      <c r="X482" s="108">
        <v>42485</v>
      </c>
      <c r="AA482" s="101" t="s">
        <v>2350</v>
      </c>
    </row>
    <row r="483" spans="1:28" s="103" customFormat="1" x14ac:dyDescent="0.25">
      <c r="A483" s="101" t="s">
        <v>3240</v>
      </c>
      <c r="B483" s="103" t="s">
        <v>3252</v>
      </c>
      <c r="C483" s="103" t="s">
        <v>3025</v>
      </c>
      <c r="D483" s="103" t="s">
        <v>119</v>
      </c>
      <c r="E483" s="103" t="s">
        <v>1430</v>
      </c>
      <c r="H483" s="103" t="s">
        <v>2360</v>
      </c>
      <c r="I483" s="111" t="s">
        <v>3255</v>
      </c>
      <c r="J483" s="103" t="s">
        <v>2388</v>
      </c>
      <c r="K483" s="103" t="s">
        <v>3001</v>
      </c>
      <c r="L483" s="108">
        <v>42475</v>
      </c>
      <c r="M483" s="103">
        <f t="shared" ca="1" si="15"/>
        <v>10</v>
      </c>
      <c r="N483" s="108">
        <v>42475</v>
      </c>
      <c r="O483" s="108"/>
      <c r="Q483" s="44"/>
      <c r="R483" s="103" t="s">
        <v>3322</v>
      </c>
      <c r="T483" s="108"/>
      <c r="W483" s="103" t="s">
        <v>156</v>
      </c>
      <c r="X483" s="108">
        <v>42485</v>
      </c>
      <c r="AA483" s="101" t="s">
        <v>2350</v>
      </c>
    </row>
    <row r="484" spans="1:28" s="103" customFormat="1" x14ac:dyDescent="0.25">
      <c r="A484" s="101" t="s">
        <v>3241</v>
      </c>
      <c r="B484" s="103" t="s">
        <v>3253</v>
      </c>
      <c r="C484" s="103" t="s">
        <v>3025</v>
      </c>
      <c r="D484" s="103" t="s">
        <v>119</v>
      </c>
      <c r="E484" s="103" t="s">
        <v>1430</v>
      </c>
      <c r="H484" s="103" t="s">
        <v>2360</v>
      </c>
      <c r="I484" s="111" t="s">
        <v>3255</v>
      </c>
      <c r="J484" s="103" t="s">
        <v>2388</v>
      </c>
      <c r="K484" s="103" t="s">
        <v>3000</v>
      </c>
      <c r="L484" s="108">
        <v>42475</v>
      </c>
      <c r="M484" s="103">
        <f t="shared" ca="1" si="15"/>
        <v>10</v>
      </c>
      <c r="N484" s="108">
        <v>42475</v>
      </c>
      <c r="O484" s="108"/>
      <c r="Q484" s="44"/>
      <c r="R484" s="103" t="s">
        <v>3322</v>
      </c>
      <c r="T484" s="108"/>
      <c r="W484" s="103" t="s">
        <v>156</v>
      </c>
      <c r="X484" s="108">
        <v>42485</v>
      </c>
      <c r="AA484" s="101" t="s">
        <v>2350</v>
      </c>
    </row>
    <row r="485" spans="1:28" s="103" customFormat="1" x14ac:dyDescent="0.25">
      <c r="A485" s="101" t="s">
        <v>3245</v>
      </c>
      <c r="B485" s="103" t="s">
        <v>2920</v>
      </c>
      <c r="C485" s="103" t="s">
        <v>3025</v>
      </c>
      <c r="D485" s="103" t="s">
        <v>119</v>
      </c>
      <c r="E485" s="103" t="s">
        <v>1430</v>
      </c>
      <c r="H485" s="103" t="s">
        <v>2360</v>
      </c>
      <c r="I485" s="111" t="s">
        <v>3255</v>
      </c>
      <c r="J485" s="103" t="s">
        <v>2388</v>
      </c>
      <c r="K485" s="103" t="s">
        <v>3001</v>
      </c>
      <c r="L485" s="108">
        <v>42475</v>
      </c>
      <c r="M485" s="103">
        <f t="shared" ca="1" si="15"/>
        <v>10</v>
      </c>
      <c r="N485" s="108">
        <v>42475</v>
      </c>
      <c r="O485" s="108"/>
      <c r="Q485" s="44"/>
      <c r="R485" s="103" t="s">
        <v>3322</v>
      </c>
      <c r="T485" s="108"/>
      <c r="W485" s="103" t="s">
        <v>156</v>
      </c>
      <c r="X485" s="108">
        <v>42485</v>
      </c>
      <c r="AA485" s="101" t="s">
        <v>2350</v>
      </c>
    </row>
    <row r="486" spans="1:28" s="103" customFormat="1" x14ac:dyDescent="0.25">
      <c r="A486" s="101" t="s">
        <v>3246</v>
      </c>
      <c r="B486" s="103" t="s">
        <v>3254</v>
      </c>
      <c r="C486" s="103" t="s">
        <v>3025</v>
      </c>
      <c r="D486" s="103" t="s">
        <v>119</v>
      </c>
      <c r="E486" s="103" t="s">
        <v>1430</v>
      </c>
      <c r="H486" s="103" t="s">
        <v>2360</v>
      </c>
      <c r="I486" s="111" t="s">
        <v>3255</v>
      </c>
      <c r="J486" s="103" t="s">
        <v>2388</v>
      </c>
      <c r="K486" s="103" t="s">
        <v>3001</v>
      </c>
      <c r="L486" s="108">
        <v>42475</v>
      </c>
      <c r="M486" s="103">
        <f t="shared" ca="1" si="15"/>
        <v>10</v>
      </c>
      <c r="N486" s="108">
        <v>42475</v>
      </c>
      <c r="O486" s="108"/>
      <c r="Q486" s="44"/>
      <c r="R486" s="103" t="s">
        <v>3322</v>
      </c>
      <c r="T486" s="108"/>
      <c r="W486" s="103" t="s">
        <v>156</v>
      </c>
      <c r="X486" s="108">
        <v>42485</v>
      </c>
      <c r="AA486" s="101" t="s">
        <v>2350</v>
      </c>
    </row>
    <row r="487" spans="1:28" s="103" customFormat="1" x14ac:dyDescent="0.25">
      <c r="A487" s="101" t="s">
        <v>3247</v>
      </c>
      <c r="B487" s="103" t="s">
        <v>2987</v>
      </c>
      <c r="C487" s="103" t="s">
        <v>3025</v>
      </c>
      <c r="D487" s="103" t="s">
        <v>119</v>
      </c>
      <c r="E487" s="103" t="s">
        <v>1430</v>
      </c>
      <c r="H487" s="103" t="s">
        <v>2360</v>
      </c>
      <c r="I487" s="111" t="s">
        <v>3255</v>
      </c>
      <c r="J487" s="103" t="s">
        <v>2388</v>
      </c>
      <c r="K487" s="103" t="s">
        <v>3000</v>
      </c>
      <c r="L487" s="108">
        <v>42475</v>
      </c>
      <c r="M487" s="103">
        <f t="shared" ca="1" si="15"/>
        <v>10</v>
      </c>
      <c r="N487" s="108">
        <v>42475</v>
      </c>
      <c r="O487" s="108"/>
      <c r="Q487" s="44"/>
      <c r="R487" s="103" t="s">
        <v>3322</v>
      </c>
      <c r="T487" s="108"/>
      <c r="W487" s="103" t="s">
        <v>156</v>
      </c>
      <c r="X487" s="108">
        <v>42485</v>
      </c>
      <c r="AA487" s="101" t="s">
        <v>2350</v>
      </c>
    </row>
    <row r="488" spans="1:28" s="103" customFormat="1" x14ac:dyDescent="0.25">
      <c r="A488" s="101" t="s">
        <v>3316</v>
      </c>
      <c r="B488" s="103" t="s">
        <v>386</v>
      </c>
      <c r="C488" s="103" t="s">
        <v>3054</v>
      </c>
      <c r="D488" s="103" t="s">
        <v>119</v>
      </c>
      <c r="E488" s="103" t="s">
        <v>203</v>
      </c>
      <c r="H488" s="103" t="s">
        <v>2360</v>
      </c>
      <c r="I488" s="111" t="s">
        <v>1411</v>
      </c>
      <c r="J488" s="103" t="s">
        <v>2388</v>
      </c>
      <c r="K488" s="103" t="s">
        <v>343</v>
      </c>
      <c r="L488" s="108">
        <v>42485</v>
      </c>
      <c r="M488" s="103">
        <f t="shared" ca="1" si="15"/>
        <v>1</v>
      </c>
      <c r="N488" s="108">
        <v>42485</v>
      </c>
      <c r="O488" s="108"/>
      <c r="Q488" s="44"/>
      <c r="R488" s="103" t="s">
        <v>3317</v>
      </c>
      <c r="T488" s="108"/>
      <c r="W488" s="103" t="s">
        <v>156</v>
      </c>
      <c r="X488" s="108">
        <v>42486</v>
      </c>
      <c r="AA488" s="101" t="s">
        <v>2350</v>
      </c>
    </row>
    <row r="489" spans="1:28" s="103" customFormat="1" x14ac:dyDescent="0.25">
      <c r="A489" s="101" t="s">
        <v>2585</v>
      </c>
      <c r="B489" s="103" t="s">
        <v>2586</v>
      </c>
      <c r="C489" s="103" t="s">
        <v>3023</v>
      </c>
      <c r="D489" s="103" t="s">
        <v>119</v>
      </c>
      <c r="E489" s="103" t="s">
        <v>161</v>
      </c>
      <c r="J489" s="103" t="s">
        <v>2361</v>
      </c>
      <c r="K489" s="111" t="s">
        <v>177</v>
      </c>
      <c r="L489" s="103" t="s">
        <v>2365</v>
      </c>
      <c r="M489" s="103" t="s">
        <v>343</v>
      </c>
      <c r="N489" s="108">
        <v>42395</v>
      </c>
      <c r="O489" s="11">
        <f ca="1">IFERROR(IF(AND(X489&lt;&gt;"Concluído",X489&lt;&gt;"Cancelado"),TODAY()-N489+1,Y489-N489),"")</f>
        <v>128</v>
      </c>
      <c r="P489" s="108">
        <v>42397</v>
      </c>
      <c r="Q489" s="103" t="s">
        <v>2350</v>
      </c>
      <c r="R489" s="44"/>
      <c r="S489" s="103" t="s">
        <v>3208</v>
      </c>
      <c r="T489" s="103" t="s">
        <v>3014</v>
      </c>
      <c r="U489" s="108" t="s">
        <v>2375</v>
      </c>
      <c r="W489" s="103" t="s">
        <v>156</v>
      </c>
      <c r="X489" s="108">
        <v>42472</v>
      </c>
      <c r="Y489" s="108"/>
      <c r="AB489" s="101" t="s">
        <v>2350</v>
      </c>
    </row>
    <row r="490" spans="1:28" s="103" customFormat="1" x14ac:dyDescent="0.25">
      <c r="A490" s="101" t="s">
        <v>3236</v>
      </c>
      <c r="B490" s="103" t="s">
        <v>3250</v>
      </c>
      <c r="C490" s="103" t="s">
        <v>3025</v>
      </c>
      <c r="D490" s="103" t="s">
        <v>119</v>
      </c>
      <c r="E490" s="103" t="s">
        <v>1430</v>
      </c>
      <c r="F490" s="103" t="s">
        <v>3337</v>
      </c>
      <c r="H490" s="111" t="s">
        <v>3255</v>
      </c>
      <c r="I490" s="103" t="s">
        <v>2388</v>
      </c>
      <c r="J490" s="103" t="s">
        <v>3346</v>
      </c>
      <c r="K490" s="108">
        <v>42475</v>
      </c>
      <c r="L490" s="103">
        <f t="shared" ref="L490:L532" ca="1" si="16">IFERROR(IF(AND(W490&lt;&gt;"Concluído",W490&lt;&gt;"Cancelado"),TODAY()-K490+1,X490-K490),"")</f>
        <v>15</v>
      </c>
      <c r="M490" s="108">
        <v>42475</v>
      </c>
      <c r="N490" s="108"/>
      <c r="O490" s="108"/>
      <c r="P490" s="108"/>
      <c r="R490" s="44"/>
      <c r="S490" s="103" t="s">
        <v>3295</v>
      </c>
      <c r="T490" s="103" t="s">
        <v>2758</v>
      </c>
      <c r="U490" s="108" t="s">
        <v>2388</v>
      </c>
      <c r="V490" s="133">
        <v>42480</v>
      </c>
      <c r="W490" s="103" t="s">
        <v>156</v>
      </c>
      <c r="X490" s="108">
        <v>42490</v>
      </c>
      <c r="AB490" s="101" t="s">
        <v>2350</v>
      </c>
    </row>
    <row r="491" spans="1:28" s="103" customFormat="1" x14ac:dyDescent="0.25">
      <c r="A491" s="101" t="s">
        <v>3237</v>
      </c>
      <c r="B491" s="103" t="s">
        <v>2995</v>
      </c>
      <c r="C491" s="103" t="s">
        <v>3025</v>
      </c>
      <c r="D491" s="103" t="s">
        <v>119</v>
      </c>
      <c r="E491" s="103" t="s">
        <v>1430</v>
      </c>
      <c r="F491" s="103" t="s">
        <v>3337</v>
      </c>
      <c r="H491" s="111" t="s">
        <v>3255</v>
      </c>
      <c r="I491" s="103" t="s">
        <v>2388</v>
      </c>
      <c r="J491" s="103" t="s">
        <v>3346</v>
      </c>
      <c r="K491" s="108">
        <v>42475</v>
      </c>
      <c r="L491" s="103">
        <f t="shared" ca="1" si="16"/>
        <v>15</v>
      </c>
      <c r="M491" s="108">
        <v>42475</v>
      </c>
      <c r="N491" s="108"/>
      <c r="O491" s="108"/>
      <c r="P491" s="108"/>
      <c r="R491" s="44"/>
      <c r="S491" s="103" t="s">
        <v>3256</v>
      </c>
      <c r="U491" s="108"/>
      <c r="W491" s="103" t="s">
        <v>156</v>
      </c>
      <c r="X491" s="108">
        <v>42490</v>
      </c>
      <c r="AB491" s="101" t="s">
        <v>2350</v>
      </c>
    </row>
    <row r="492" spans="1:28" s="103" customFormat="1" x14ac:dyDescent="0.25">
      <c r="A492" s="101" t="s">
        <v>3238</v>
      </c>
      <c r="B492" s="103" t="s">
        <v>2985</v>
      </c>
      <c r="C492" s="103" t="s">
        <v>3025</v>
      </c>
      <c r="D492" s="103" t="s">
        <v>119</v>
      </c>
      <c r="E492" s="103" t="s">
        <v>1430</v>
      </c>
      <c r="F492" s="103" t="s">
        <v>3337</v>
      </c>
      <c r="H492" s="111" t="s">
        <v>3255</v>
      </c>
      <c r="I492" s="103" t="s">
        <v>2388</v>
      </c>
      <c r="J492" s="103" t="s">
        <v>3346</v>
      </c>
      <c r="K492" s="108">
        <v>42475</v>
      </c>
      <c r="L492" s="103">
        <f t="shared" ca="1" si="16"/>
        <v>15</v>
      </c>
      <c r="M492" s="108">
        <v>42475</v>
      </c>
      <c r="N492" s="108"/>
      <c r="O492" s="108"/>
      <c r="P492" s="108"/>
      <c r="R492" s="44"/>
      <c r="S492" s="103" t="s">
        <v>3256</v>
      </c>
      <c r="U492" s="108"/>
      <c r="W492" s="103" t="s">
        <v>156</v>
      </c>
      <c r="X492" s="108">
        <v>42490</v>
      </c>
      <c r="AB492" s="101" t="s">
        <v>2350</v>
      </c>
    </row>
    <row r="493" spans="1:28" s="103" customFormat="1" x14ac:dyDescent="0.25">
      <c r="A493" s="101" t="s">
        <v>2282</v>
      </c>
      <c r="B493" s="103" t="s">
        <v>2908</v>
      </c>
      <c r="C493" s="103" t="s">
        <v>3025</v>
      </c>
      <c r="D493" s="103" t="s">
        <v>119</v>
      </c>
      <c r="E493" s="103" t="s">
        <v>1430</v>
      </c>
      <c r="F493" s="103" t="s">
        <v>3337</v>
      </c>
      <c r="H493" s="111" t="s">
        <v>3255</v>
      </c>
      <c r="I493" s="103" t="s">
        <v>2388</v>
      </c>
      <c r="J493" s="103" t="s">
        <v>3346</v>
      </c>
      <c r="K493" s="108">
        <v>42475</v>
      </c>
      <c r="L493" s="103">
        <f t="shared" ca="1" si="16"/>
        <v>15</v>
      </c>
      <c r="M493" s="108">
        <v>42475</v>
      </c>
      <c r="N493" s="108"/>
      <c r="O493" s="108"/>
      <c r="P493" s="108"/>
      <c r="R493" s="44"/>
      <c r="S493" s="103" t="s">
        <v>3256</v>
      </c>
      <c r="U493" s="108"/>
      <c r="W493" s="103" t="s">
        <v>156</v>
      </c>
      <c r="X493" s="108">
        <v>42490</v>
      </c>
      <c r="AB493" s="101" t="s">
        <v>2350</v>
      </c>
    </row>
    <row r="494" spans="1:28" s="103" customFormat="1" x14ac:dyDescent="0.25">
      <c r="A494" s="101" t="s">
        <v>2282</v>
      </c>
      <c r="B494" s="103" t="s">
        <v>3251</v>
      </c>
      <c r="C494" s="103" t="s">
        <v>3025</v>
      </c>
      <c r="D494" s="103" t="s">
        <v>119</v>
      </c>
      <c r="E494" s="103" t="s">
        <v>1430</v>
      </c>
      <c r="F494" s="103" t="s">
        <v>3337</v>
      </c>
      <c r="H494" s="111" t="s">
        <v>3255</v>
      </c>
      <c r="I494" s="103" t="s">
        <v>2388</v>
      </c>
      <c r="J494" s="103" t="s">
        <v>3346</v>
      </c>
      <c r="K494" s="108">
        <v>42475</v>
      </c>
      <c r="L494" s="103">
        <f t="shared" ca="1" si="16"/>
        <v>15</v>
      </c>
      <c r="M494" s="108">
        <v>42475</v>
      </c>
      <c r="N494" s="108"/>
      <c r="O494" s="108"/>
      <c r="P494" s="108"/>
      <c r="R494" s="44"/>
      <c r="S494" s="103" t="s">
        <v>3256</v>
      </c>
      <c r="U494" s="108"/>
      <c r="W494" s="103" t="s">
        <v>156</v>
      </c>
      <c r="X494" s="108">
        <v>42490</v>
      </c>
      <c r="AB494" s="101" t="s">
        <v>2350</v>
      </c>
    </row>
    <row r="495" spans="1:28" s="103" customFormat="1" x14ac:dyDescent="0.25">
      <c r="A495" s="101" t="s">
        <v>3242</v>
      </c>
      <c r="B495" s="103" t="s">
        <v>2924</v>
      </c>
      <c r="C495" s="103" t="s">
        <v>3025</v>
      </c>
      <c r="D495" s="103" t="s">
        <v>119</v>
      </c>
      <c r="E495" s="103" t="s">
        <v>1430</v>
      </c>
      <c r="F495" s="103" t="s">
        <v>3337</v>
      </c>
      <c r="H495" s="111" t="s">
        <v>3255</v>
      </c>
      <c r="I495" s="103" t="s">
        <v>2388</v>
      </c>
      <c r="J495" s="103" t="s">
        <v>3346</v>
      </c>
      <c r="K495" s="108">
        <v>42475</v>
      </c>
      <c r="L495" s="103">
        <f t="shared" ca="1" si="16"/>
        <v>15</v>
      </c>
      <c r="M495" s="108">
        <v>42475</v>
      </c>
      <c r="N495" s="108"/>
      <c r="O495" s="108"/>
      <c r="P495" s="108"/>
      <c r="R495" s="44"/>
      <c r="S495" s="103" t="s">
        <v>3256</v>
      </c>
      <c r="U495" s="108"/>
      <c r="W495" s="103" t="s">
        <v>156</v>
      </c>
      <c r="X495" s="108">
        <v>42490</v>
      </c>
      <c r="AB495" s="101" t="s">
        <v>2350</v>
      </c>
    </row>
    <row r="496" spans="1:28" s="103" customFormat="1" x14ac:dyDescent="0.25">
      <c r="A496" s="101" t="s">
        <v>3243</v>
      </c>
      <c r="B496" s="103" t="s">
        <v>2996</v>
      </c>
      <c r="C496" s="103" t="s">
        <v>3025</v>
      </c>
      <c r="D496" s="103" t="s">
        <v>119</v>
      </c>
      <c r="E496" s="103" t="s">
        <v>1430</v>
      </c>
      <c r="F496" s="103" t="s">
        <v>3337</v>
      </c>
      <c r="H496" s="111" t="s">
        <v>3255</v>
      </c>
      <c r="I496" s="103" t="s">
        <v>2388</v>
      </c>
      <c r="J496" s="103" t="s">
        <v>3346</v>
      </c>
      <c r="K496" s="108">
        <v>42475</v>
      </c>
      <c r="L496" s="103">
        <f t="shared" ca="1" si="16"/>
        <v>15</v>
      </c>
      <c r="M496" s="108">
        <v>42475</v>
      </c>
      <c r="N496" s="108"/>
      <c r="O496" s="108"/>
      <c r="P496" s="108"/>
      <c r="R496" s="44"/>
      <c r="S496" s="103" t="s">
        <v>3256</v>
      </c>
      <c r="U496" s="108"/>
      <c r="W496" s="103" t="s">
        <v>156</v>
      </c>
      <c r="X496" s="108">
        <v>42490</v>
      </c>
      <c r="AB496" s="101" t="s">
        <v>2350</v>
      </c>
    </row>
    <row r="497" spans="1:28" s="103" customFormat="1" x14ac:dyDescent="0.25">
      <c r="A497" s="101" t="s">
        <v>3244</v>
      </c>
      <c r="B497" s="103" t="s">
        <v>2922</v>
      </c>
      <c r="C497" s="103" t="s">
        <v>3025</v>
      </c>
      <c r="D497" s="103" t="s">
        <v>119</v>
      </c>
      <c r="E497" s="103" t="s">
        <v>1430</v>
      </c>
      <c r="F497" s="103" t="s">
        <v>3337</v>
      </c>
      <c r="H497" s="111" t="s">
        <v>3255</v>
      </c>
      <c r="I497" s="103" t="s">
        <v>2388</v>
      </c>
      <c r="J497" s="103" t="s">
        <v>3346</v>
      </c>
      <c r="K497" s="108">
        <v>42475</v>
      </c>
      <c r="L497" s="103">
        <f t="shared" ca="1" si="16"/>
        <v>15</v>
      </c>
      <c r="M497" s="108">
        <v>42475</v>
      </c>
      <c r="N497" s="108"/>
      <c r="O497" s="108"/>
      <c r="P497" s="108"/>
      <c r="R497" s="44"/>
      <c r="S497" s="103" t="s">
        <v>3295</v>
      </c>
      <c r="T497" s="103" t="s">
        <v>2758</v>
      </c>
      <c r="U497" s="108" t="s">
        <v>2388</v>
      </c>
      <c r="V497" s="133">
        <v>42480</v>
      </c>
      <c r="W497" s="103" t="s">
        <v>156</v>
      </c>
      <c r="X497" s="108">
        <v>42490</v>
      </c>
      <c r="AB497" s="101" t="s">
        <v>2350</v>
      </c>
    </row>
    <row r="498" spans="1:28" s="103" customFormat="1" x14ac:dyDescent="0.25">
      <c r="A498" s="101" t="s">
        <v>3248</v>
      </c>
      <c r="B498" s="103" t="s">
        <v>2993</v>
      </c>
      <c r="C498" s="103" t="s">
        <v>3025</v>
      </c>
      <c r="D498" s="103" t="s">
        <v>119</v>
      </c>
      <c r="E498" s="103" t="s">
        <v>1430</v>
      </c>
      <c r="F498" s="103" t="s">
        <v>3337</v>
      </c>
      <c r="H498" s="111" t="s">
        <v>3255</v>
      </c>
      <c r="I498" s="103" t="s">
        <v>2388</v>
      </c>
      <c r="J498" s="103" t="s">
        <v>3346</v>
      </c>
      <c r="K498" s="108">
        <v>42475</v>
      </c>
      <c r="L498" s="103">
        <f t="shared" ca="1" si="16"/>
        <v>15</v>
      </c>
      <c r="M498" s="108">
        <v>42475</v>
      </c>
      <c r="N498" s="108"/>
      <c r="O498" s="108"/>
      <c r="P498" s="108"/>
      <c r="R498" s="44"/>
      <c r="S498" s="103" t="s">
        <v>3256</v>
      </c>
      <c r="U498" s="108"/>
      <c r="W498" s="103" t="s">
        <v>156</v>
      </c>
      <c r="X498" s="108">
        <v>42490</v>
      </c>
      <c r="AB498" s="101" t="s">
        <v>2350</v>
      </c>
    </row>
    <row r="499" spans="1:28" s="103" customFormat="1" x14ac:dyDescent="0.25">
      <c r="A499" s="101" t="s">
        <v>3237</v>
      </c>
      <c r="B499" s="103" t="s">
        <v>2995</v>
      </c>
      <c r="C499" s="103" t="s">
        <v>3025</v>
      </c>
      <c r="D499" s="103" t="s">
        <v>119</v>
      </c>
      <c r="E499" s="103" t="s">
        <v>1430</v>
      </c>
      <c r="F499" s="103" t="s">
        <v>3337</v>
      </c>
      <c r="H499" s="111" t="s">
        <v>3255</v>
      </c>
      <c r="I499" s="103" t="s">
        <v>2388</v>
      </c>
      <c r="J499" s="103" t="s">
        <v>3346</v>
      </c>
      <c r="K499" s="108">
        <v>42475</v>
      </c>
      <c r="L499" s="103">
        <f t="shared" ca="1" si="16"/>
        <v>15</v>
      </c>
      <c r="M499" s="108">
        <v>42475</v>
      </c>
      <c r="N499" s="108"/>
      <c r="O499" s="108"/>
      <c r="P499" s="108"/>
      <c r="R499" s="44"/>
      <c r="S499" s="103" t="s">
        <v>3256</v>
      </c>
      <c r="U499" s="108"/>
      <c r="W499" s="103" t="s">
        <v>156</v>
      </c>
      <c r="X499" s="108">
        <v>42490</v>
      </c>
      <c r="AB499" s="101" t="s">
        <v>2350</v>
      </c>
    </row>
    <row r="500" spans="1:28" s="103" customFormat="1" x14ac:dyDescent="0.25">
      <c r="A500" s="101" t="s">
        <v>3242</v>
      </c>
      <c r="B500" s="103" t="s">
        <v>2924</v>
      </c>
      <c r="C500" s="103" t="s">
        <v>3025</v>
      </c>
      <c r="D500" s="103" t="s">
        <v>119</v>
      </c>
      <c r="E500" s="103" t="s">
        <v>1430</v>
      </c>
      <c r="F500" s="103" t="s">
        <v>3337</v>
      </c>
      <c r="H500" s="111" t="s">
        <v>3255</v>
      </c>
      <c r="I500" s="103" t="s">
        <v>2388</v>
      </c>
      <c r="J500" s="103" t="s">
        <v>3346</v>
      </c>
      <c r="K500" s="108">
        <v>42475</v>
      </c>
      <c r="L500" s="103">
        <f t="shared" ca="1" si="16"/>
        <v>15</v>
      </c>
      <c r="M500" s="108">
        <v>42475</v>
      </c>
      <c r="N500" s="108"/>
      <c r="O500" s="108"/>
      <c r="P500" s="108"/>
      <c r="R500" s="44"/>
      <c r="S500" s="103" t="s">
        <v>3256</v>
      </c>
      <c r="U500" s="108"/>
      <c r="W500" s="103" t="s">
        <v>156</v>
      </c>
      <c r="X500" s="108">
        <v>42490</v>
      </c>
      <c r="AB500" s="101" t="s">
        <v>2350</v>
      </c>
    </row>
    <row r="501" spans="1:28" s="103" customFormat="1" x14ac:dyDescent="0.25">
      <c r="A501" s="101" t="s">
        <v>3249</v>
      </c>
      <c r="B501" s="103" t="s">
        <v>2990</v>
      </c>
      <c r="C501" s="103" t="s">
        <v>3025</v>
      </c>
      <c r="D501" s="103" t="s">
        <v>119</v>
      </c>
      <c r="E501" s="103" t="s">
        <v>1430</v>
      </c>
      <c r="F501" s="103" t="s">
        <v>3337</v>
      </c>
      <c r="H501" s="111" t="s">
        <v>3255</v>
      </c>
      <c r="I501" s="103" t="s">
        <v>2388</v>
      </c>
      <c r="J501" s="103" t="s">
        <v>3346</v>
      </c>
      <c r="K501" s="108">
        <v>42475</v>
      </c>
      <c r="L501" s="103">
        <f t="shared" ca="1" si="16"/>
        <v>15</v>
      </c>
      <c r="M501" s="108">
        <v>42475</v>
      </c>
      <c r="N501" s="108"/>
      <c r="O501" s="108"/>
      <c r="P501" s="108"/>
      <c r="R501" s="44"/>
      <c r="S501" s="103" t="s">
        <v>3256</v>
      </c>
      <c r="U501" s="108"/>
      <c r="W501" s="103" t="s">
        <v>156</v>
      </c>
      <c r="X501" s="108">
        <v>42490</v>
      </c>
      <c r="AB501" s="101" t="s">
        <v>2350</v>
      </c>
    </row>
    <row r="502" spans="1:28" s="103" customFormat="1" x14ac:dyDescent="0.25">
      <c r="A502" s="101" t="s">
        <v>3257</v>
      </c>
      <c r="B502" s="103" t="s">
        <v>2909</v>
      </c>
      <c r="C502" s="103" t="s">
        <v>3025</v>
      </c>
      <c r="D502" s="103" t="s">
        <v>119</v>
      </c>
      <c r="E502" s="103" t="s">
        <v>1430</v>
      </c>
      <c r="F502" s="103" t="s">
        <v>3337</v>
      </c>
      <c r="H502" s="111" t="s">
        <v>3255</v>
      </c>
      <c r="I502" s="103" t="s">
        <v>2388</v>
      </c>
      <c r="J502" s="103" t="s">
        <v>3346</v>
      </c>
      <c r="K502" s="108">
        <v>42475</v>
      </c>
      <c r="L502" s="103">
        <f t="shared" ca="1" si="16"/>
        <v>15</v>
      </c>
      <c r="M502" s="108">
        <v>42475</v>
      </c>
      <c r="N502" s="108"/>
      <c r="O502" s="108"/>
      <c r="P502" s="108"/>
      <c r="R502" s="44"/>
      <c r="S502" s="103" t="s">
        <v>3256</v>
      </c>
      <c r="U502" s="108"/>
      <c r="W502" s="103" t="s">
        <v>156</v>
      </c>
      <c r="X502" s="108">
        <v>42490</v>
      </c>
      <c r="AB502" s="101" t="s">
        <v>2350</v>
      </c>
    </row>
    <row r="503" spans="1:28" s="103" customFormat="1" x14ac:dyDescent="0.25">
      <c r="A503" s="101" t="s">
        <v>2282</v>
      </c>
      <c r="B503" s="103" t="s">
        <v>2984</v>
      </c>
      <c r="C503" s="103" t="s">
        <v>3025</v>
      </c>
      <c r="D503" s="103" t="s">
        <v>119</v>
      </c>
      <c r="E503" s="103" t="s">
        <v>1430</v>
      </c>
      <c r="F503" s="103" t="s">
        <v>3337</v>
      </c>
      <c r="H503" s="111" t="s">
        <v>3255</v>
      </c>
      <c r="I503" s="103" t="s">
        <v>2388</v>
      </c>
      <c r="J503" s="103" t="s">
        <v>3346</v>
      </c>
      <c r="K503" s="108">
        <v>42475</v>
      </c>
      <c r="L503" s="103">
        <f t="shared" ca="1" si="16"/>
        <v>15</v>
      </c>
      <c r="M503" s="108">
        <v>42475</v>
      </c>
      <c r="N503" s="108"/>
      <c r="O503" s="108"/>
      <c r="P503" s="108"/>
      <c r="R503" s="44"/>
      <c r="S503" s="103" t="s">
        <v>3256</v>
      </c>
      <c r="U503" s="108"/>
      <c r="W503" s="103" t="s">
        <v>156</v>
      </c>
      <c r="X503" s="108">
        <v>42490</v>
      </c>
      <c r="AB503" s="101" t="s">
        <v>2350</v>
      </c>
    </row>
    <row r="504" spans="1:28" s="103" customFormat="1" x14ac:dyDescent="0.25">
      <c r="A504" s="101" t="s">
        <v>2282</v>
      </c>
      <c r="B504" s="103" t="s">
        <v>2906</v>
      </c>
      <c r="C504" s="103" t="s">
        <v>3025</v>
      </c>
      <c r="D504" s="103" t="s">
        <v>119</v>
      </c>
      <c r="E504" s="103" t="s">
        <v>1430</v>
      </c>
      <c r="F504" s="103" t="s">
        <v>3337</v>
      </c>
      <c r="H504" s="111" t="s">
        <v>3255</v>
      </c>
      <c r="I504" s="103" t="s">
        <v>2388</v>
      </c>
      <c r="J504" s="103" t="s">
        <v>3346</v>
      </c>
      <c r="K504" s="108">
        <v>42475</v>
      </c>
      <c r="L504" s="103">
        <f t="shared" ca="1" si="16"/>
        <v>15</v>
      </c>
      <c r="M504" s="108">
        <v>42475</v>
      </c>
      <c r="N504" s="108"/>
      <c r="O504" s="108"/>
      <c r="P504" s="108"/>
      <c r="R504" s="44"/>
      <c r="S504" s="103" t="s">
        <v>3256</v>
      </c>
      <c r="U504" s="108"/>
      <c r="W504" s="103" t="s">
        <v>156</v>
      </c>
      <c r="X504" s="108">
        <v>42490</v>
      </c>
      <c r="AB504" s="101" t="s">
        <v>2350</v>
      </c>
    </row>
    <row r="505" spans="1:28" s="103" customFormat="1" x14ac:dyDescent="0.25">
      <c r="A505" s="101" t="s">
        <v>3258</v>
      </c>
      <c r="B505" s="103" t="s">
        <v>3264</v>
      </c>
      <c r="C505" s="103" t="s">
        <v>3025</v>
      </c>
      <c r="D505" s="103" t="s">
        <v>119</v>
      </c>
      <c r="E505" s="103" t="s">
        <v>1430</v>
      </c>
      <c r="F505" s="103" t="s">
        <v>3337</v>
      </c>
      <c r="H505" s="111" t="s">
        <v>3255</v>
      </c>
      <c r="I505" s="103" t="s">
        <v>2388</v>
      </c>
      <c r="J505" s="103" t="s">
        <v>3346</v>
      </c>
      <c r="K505" s="108">
        <v>42475</v>
      </c>
      <c r="L505" s="103">
        <f t="shared" ca="1" si="16"/>
        <v>15</v>
      </c>
      <c r="M505" s="108">
        <v>42475</v>
      </c>
      <c r="N505" s="108"/>
      <c r="O505" s="108"/>
      <c r="P505" s="108"/>
      <c r="R505" s="44"/>
      <c r="S505" s="103" t="s">
        <v>3256</v>
      </c>
      <c r="U505" s="108"/>
      <c r="W505" s="103" t="s">
        <v>156</v>
      </c>
      <c r="X505" s="108">
        <v>42490</v>
      </c>
      <c r="AB505" s="101" t="s">
        <v>2350</v>
      </c>
    </row>
    <row r="506" spans="1:28" s="103" customFormat="1" x14ac:dyDescent="0.25">
      <c r="A506" s="101" t="s">
        <v>3259</v>
      </c>
      <c r="B506" s="103" t="s">
        <v>2985</v>
      </c>
      <c r="C506" s="103" t="s">
        <v>3025</v>
      </c>
      <c r="D506" s="103" t="s">
        <v>119</v>
      </c>
      <c r="E506" s="103" t="s">
        <v>1430</v>
      </c>
      <c r="F506" s="103" t="s">
        <v>3337</v>
      </c>
      <c r="H506" s="111" t="s">
        <v>3255</v>
      </c>
      <c r="I506" s="103" t="s">
        <v>2388</v>
      </c>
      <c r="J506" s="103" t="s">
        <v>3346</v>
      </c>
      <c r="K506" s="108">
        <v>42475</v>
      </c>
      <c r="L506" s="103">
        <f t="shared" ca="1" si="16"/>
        <v>15</v>
      </c>
      <c r="M506" s="108">
        <v>42475</v>
      </c>
      <c r="N506" s="108"/>
      <c r="O506" s="108"/>
      <c r="P506" s="108"/>
      <c r="R506" s="44"/>
      <c r="S506" s="103" t="s">
        <v>3256</v>
      </c>
      <c r="U506" s="108"/>
      <c r="W506" s="103" t="s">
        <v>156</v>
      </c>
      <c r="X506" s="108">
        <v>42490</v>
      </c>
      <c r="AB506" s="101" t="s">
        <v>2350</v>
      </c>
    </row>
    <row r="507" spans="1:28" s="103" customFormat="1" x14ac:dyDescent="0.25">
      <c r="A507" s="101" t="s">
        <v>3260</v>
      </c>
      <c r="B507" s="103" t="s">
        <v>3265</v>
      </c>
      <c r="C507" s="103" t="s">
        <v>3025</v>
      </c>
      <c r="D507" s="103" t="s">
        <v>119</v>
      </c>
      <c r="E507" s="103" t="s">
        <v>1430</v>
      </c>
      <c r="F507" s="103" t="s">
        <v>3337</v>
      </c>
      <c r="H507" s="111" t="s">
        <v>3255</v>
      </c>
      <c r="I507" s="103" t="s">
        <v>2388</v>
      </c>
      <c r="J507" s="103" t="s">
        <v>3346</v>
      </c>
      <c r="K507" s="108">
        <v>42475</v>
      </c>
      <c r="L507" s="103">
        <f t="shared" ca="1" si="16"/>
        <v>15</v>
      </c>
      <c r="M507" s="108">
        <v>42475</v>
      </c>
      <c r="N507" s="108"/>
      <c r="O507" s="108"/>
      <c r="P507" s="108"/>
      <c r="R507" s="44"/>
      <c r="S507" s="103" t="s">
        <v>3256</v>
      </c>
      <c r="U507" s="108"/>
      <c r="W507" s="103" t="s">
        <v>156</v>
      </c>
      <c r="X507" s="108">
        <v>42490</v>
      </c>
      <c r="AB507" s="101" t="s">
        <v>2350</v>
      </c>
    </row>
    <row r="508" spans="1:28" s="103" customFormat="1" x14ac:dyDescent="0.25">
      <c r="A508" s="101" t="s">
        <v>2282</v>
      </c>
      <c r="B508" s="103" t="s">
        <v>2995</v>
      </c>
      <c r="C508" s="103" t="s">
        <v>3025</v>
      </c>
      <c r="D508" s="103" t="s">
        <v>119</v>
      </c>
      <c r="E508" s="103" t="s">
        <v>1430</v>
      </c>
      <c r="F508" s="103" t="s">
        <v>3337</v>
      </c>
      <c r="H508" s="111" t="s">
        <v>3255</v>
      </c>
      <c r="I508" s="103" t="s">
        <v>2388</v>
      </c>
      <c r="J508" s="103" t="s">
        <v>3346</v>
      </c>
      <c r="K508" s="108">
        <v>42475</v>
      </c>
      <c r="L508" s="103">
        <f t="shared" ca="1" si="16"/>
        <v>15</v>
      </c>
      <c r="M508" s="108">
        <v>42475</v>
      </c>
      <c r="N508" s="108"/>
      <c r="O508" s="108"/>
      <c r="P508" s="108"/>
      <c r="R508" s="44"/>
      <c r="S508" s="103" t="s">
        <v>3256</v>
      </c>
      <c r="U508" s="108"/>
      <c r="W508" s="103" t="s">
        <v>156</v>
      </c>
      <c r="X508" s="108">
        <v>42490</v>
      </c>
      <c r="AB508" s="101" t="s">
        <v>2350</v>
      </c>
    </row>
    <row r="509" spans="1:28" s="103" customFormat="1" x14ac:dyDescent="0.25">
      <c r="A509" s="101" t="s">
        <v>3238</v>
      </c>
      <c r="B509" s="103" t="s">
        <v>2985</v>
      </c>
      <c r="C509" s="103" t="s">
        <v>3025</v>
      </c>
      <c r="D509" s="103" t="s">
        <v>119</v>
      </c>
      <c r="E509" s="103" t="s">
        <v>1430</v>
      </c>
      <c r="F509" s="103" t="s">
        <v>3337</v>
      </c>
      <c r="H509" s="111" t="s">
        <v>3255</v>
      </c>
      <c r="I509" s="103" t="s">
        <v>2388</v>
      </c>
      <c r="J509" s="103" t="s">
        <v>3346</v>
      </c>
      <c r="K509" s="108">
        <v>42475</v>
      </c>
      <c r="L509" s="103">
        <f t="shared" ca="1" si="16"/>
        <v>15</v>
      </c>
      <c r="M509" s="108">
        <v>42475</v>
      </c>
      <c r="N509" s="108"/>
      <c r="O509" s="108"/>
      <c r="P509" s="108"/>
      <c r="R509" s="44"/>
      <c r="S509" s="103" t="s">
        <v>3256</v>
      </c>
      <c r="U509" s="108"/>
      <c r="W509" s="103" t="s">
        <v>156</v>
      </c>
      <c r="X509" s="108">
        <v>42490</v>
      </c>
      <c r="AB509" s="101" t="s">
        <v>2350</v>
      </c>
    </row>
    <row r="510" spans="1:28" s="103" customFormat="1" x14ac:dyDescent="0.25">
      <c r="A510" s="101" t="s">
        <v>2282</v>
      </c>
      <c r="B510" s="103" t="s">
        <v>2924</v>
      </c>
      <c r="C510" s="103" t="s">
        <v>3025</v>
      </c>
      <c r="D510" s="103" t="s">
        <v>119</v>
      </c>
      <c r="E510" s="103" t="s">
        <v>1430</v>
      </c>
      <c r="F510" s="103" t="s">
        <v>3337</v>
      </c>
      <c r="H510" s="111" t="s">
        <v>3255</v>
      </c>
      <c r="I510" s="103" t="s">
        <v>2388</v>
      </c>
      <c r="J510" s="103" t="s">
        <v>3346</v>
      </c>
      <c r="K510" s="108">
        <v>42475</v>
      </c>
      <c r="L510" s="103">
        <f t="shared" ca="1" si="16"/>
        <v>15</v>
      </c>
      <c r="M510" s="108">
        <v>42475</v>
      </c>
      <c r="N510" s="108"/>
      <c r="O510" s="108"/>
      <c r="P510" s="108"/>
      <c r="R510" s="44"/>
      <c r="S510" s="103" t="s">
        <v>3256</v>
      </c>
      <c r="U510" s="108"/>
      <c r="W510" s="103" t="s">
        <v>156</v>
      </c>
      <c r="X510" s="108">
        <v>42490</v>
      </c>
      <c r="AB510" s="101" t="s">
        <v>2350</v>
      </c>
    </row>
    <row r="511" spans="1:28" s="103" customFormat="1" x14ac:dyDescent="0.25">
      <c r="A511" s="101" t="s">
        <v>3249</v>
      </c>
      <c r="B511" s="103" t="s">
        <v>2990</v>
      </c>
      <c r="C511" s="103" t="s">
        <v>3025</v>
      </c>
      <c r="D511" s="103" t="s">
        <v>119</v>
      </c>
      <c r="E511" s="103" t="s">
        <v>1430</v>
      </c>
      <c r="F511" s="103" t="s">
        <v>3337</v>
      </c>
      <c r="H511" s="111" t="s">
        <v>3255</v>
      </c>
      <c r="I511" s="103" t="s">
        <v>2388</v>
      </c>
      <c r="J511" s="103" t="s">
        <v>3346</v>
      </c>
      <c r="K511" s="108">
        <v>42475</v>
      </c>
      <c r="L511" s="103">
        <f t="shared" ca="1" si="16"/>
        <v>15</v>
      </c>
      <c r="M511" s="108">
        <v>42475</v>
      </c>
      <c r="N511" s="108"/>
      <c r="O511" s="108"/>
      <c r="P511" s="108"/>
      <c r="R511" s="44"/>
      <c r="S511" s="103" t="s">
        <v>3256</v>
      </c>
      <c r="U511" s="108"/>
      <c r="W511" s="103" t="s">
        <v>156</v>
      </c>
      <c r="X511" s="108">
        <v>42490</v>
      </c>
      <c r="AB511" s="101" t="s">
        <v>2350</v>
      </c>
    </row>
    <row r="512" spans="1:28" s="103" customFormat="1" x14ac:dyDescent="0.25">
      <c r="A512" s="101" t="s">
        <v>2282</v>
      </c>
      <c r="B512" s="103" t="s">
        <v>3266</v>
      </c>
      <c r="C512" s="103" t="s">
        <v>3025</v>
      </c>
      <c r="D512" s="103" t="s">
        <v>119</v>
      </c>
      <c r="E512" s="103" t="s">
        <v>1430</v>
      </c>
      <c r="F512" s="103" t="s">
        <v>3337</v>
      </c>
      <c r="H512" s="111" t="s">
        <v>3255</v>
      </c>
      <c r="I512" s="103" t="s">
        <v>2388</v>
      </c>
      <c r="J512" s="103" t="s">
        <v>3346</v>
      </c>
      <c r="K512" s="108">
        <v>42475</v>
      </c>
      <c r="L512" s="103">
        <f t="shared" ca="1" si="16"/>
        <v>15</v>
      </c>
      <c r="M512" s="108">
        <v>42475</v>
      </c>
      <c r="N512" s="108"/>
      <c r="O512" s="108"/>
      <c r="P512" s="108"/>
      <c r="R512" s="44"/>
      <c r="S512" s="103" t="s">
        <v>3256</v>
      </c>
      <c r="U512" s="108"/>
      <c r="W512" s="103" t="s">
        <v>156</v>
      </c>
      <c r="X512" s="108">
        <v>42490</v>
      </c>
      <c r="AB512" s="101" t="s">
        <v>2350</v>
      </c>
    </row>
    <row r="513" spans="1:28" s="103" customFormat="1" x14ac:dyDescent="0.25">
      <c r="A513" s="101" t="s">
        <v>2282</v>
      </c>
      <c r="B513" s="103" t="s">
        <v>2998</v>
      </c>
      <c r="C513" s="103" t="s">
        <v>3025</v>
      </c>
      <c r="D513" s="103" t="s">
        <v>119</v>
      </c>
      <c r="E513" s="103" t="s">
        <v>1430</v>
      </c>
      <c r="F513" s="103" t="s">
        <v>3337</v>
      </c>
      <c r="H513" s="111" t="s">
        <v>3255</v>
      </c>
      <c r="I513" s="103" t="s">
        <v>2388</v>
      </c>
      <c r="J513" s="103" t="s">
        <v>3346</v>
      </c>
      <c r="K513" s="108">
        <v>42475</v>
      </c>
      <c r="L513" s="103">
        <f t="shared" ca="1" si="16"/>
        <v>15</v>
      </c>
      <c r="M513" s="108">
        <v>42475</v>
      </c>
      <c r="N513" s="108"/>
      <c r="O513" s="108"/>
      <c r="P513" s="108"/>
      <c r="R513" s="44"/>
      <c r="S513" s="103" t="s">
        <v>3256</v>
      </c>
      <c r="U513" s="108"/>
      <c r="W513" s="103" t="s">
        <v>156</v>
      </c>
      <c r="X513" s="108">
        <v>42490</v>
      </c>
      <c r="AB513" s="101" t="s">
        <v>2350</v>
      </c>
    </row>
    <row r="514" spans="1:28" s="103" customFormat="1" x14ac:dyDescent="0.25">
      <c r="A514" s="101" t="s">
        <v>2282</v>
      </c>
      <c r="B514" s="103" t="s">
        <v>3267</v>
      </c>
      <c r="C514" s="103" t="s">
        <v>3025</v>
      </c>
      <c r="D514" s="103" t="s">
        <v>119</v>
      </c>
      <c r="E514" s="103" t="s">
        <v>1430</v>
      </c>
      <c r="F514" s="103" t="s">
        <v>3337</v>
      </c>
      <c r="H514" s="111" t="s">
        <v>3255</v>
      </c>
      <c r="I514" s="103" t="s">
        <v>2388</v>
      </c>
      <c r="J514" s="103" t="s">
        <v>3346</v>
      </c>
      <c r="K514" s="108">
        <v>42475</v>
      </c>
      <c r="L514" s="103">
        <f t="shared" ca="1" si="16"/>
        <v>15</v>
      </c>
      <c r="M514" s="108">
        <v>42475</v>
      </c>
      <c r="N514" s="108"/>
      <c r="O514" s="108"/>
      <c r="P514" s="108"/>
      <c r="R514" s="44"/>
      <c r="S514" s="103" t="s">
        <v>3256</v>
      </c>
      <c r="U514" s="108"/>
      <c r="W514" s="103" t="s">
        <v>156</v>
      </c>
      <c r="X514" s="108">
        <v>42490</v>
      </c>
      <c r="AB514" s="101" t="s">
        <v>2350</v>
      </c>
    </row>
    <row r="515" spans="1:28" s="103" customFormat="1" x14ac:dyDescent="0.25">
      <c r="A515" s="101" t="s">
        <v>2282</v>
      </c>
      <c r="B515" s="103" t="s">
        <v>3268</v>
      </c>
      <c r="C515" s="103" t="s">
        <v>3025</v>
      </c>
      <c r="D515" s="103" t="s">
        <v>119</v>
      </c>
      <c r="E515" s="103" t="s">
        <v>1430</v>
      </c>
      <c r="F515" s="103" t="s">
        <v>3337</v>
      </c>
      <c r="H515" s="111" t="s">
        <v>3255</v>
      </c>
      <c r="I515" s="103" t="s">
        <v>2388</v>
      </c>
      <c r="J515" s="103" t="s">
        <v>3346</v>
      </c>
      <c r="K515" s="108">
        <v>42475</v>
      </c>
      <c r="L515" s="103">
        <f t="shared" ca="1" si="16"/>
        <v>15</v>
      </c>
      <c r="M515" s="108">
        <v>42475</v>
      </c>
      <c r="N515" s="108"/>
      <c r="O515" s="108"/>
      <c r="P515" s="108"/>
      <c r="R515" s="44"/>
      <c r="S515" s="103" t="s">
        <v>3256</v>
      </c>
      <c r="U515" s="108"/>
      <c r="W515" s="103" t="s">
        <v>156</v>
      </c>
      <c r="X515" s="108">
        <v>42490</v>
      </c>
      <c r="AB515" s="101" t="s">
        <v>2350</v>
      </c>
    </row>
    <row r="516" spans="1:28" s="103" customFormat="1" x14ac:dyDescent="0.25">
      <c r="A516" s="101" t="s">
        <v>3261</v>
      </c>
      <c r="B516" s="103" t="s">
        <v>2997</v>
      </c>
      <c r="C516" s="103" t="s">
        <v>3025</v>
      </c>
      <c r="D516" s="103" t="s">
        <v>119</v>
      </c>
      <c r="E516" s="103" t="s">
        <v>1430</v>
      </c>
      <c r="F516" s="103" t="s">
        <v>3337</v>
      </c>
      <c r="H516" s="111" t="s">
        <v>3255</v>
      </c>
      <c r="I516" s="103" t="s">
        <v>2388</v>
      </c>
      <c r="J516" s="103" t="s">
        <v>3346</v>
      </c>
      <c r="K516" s="108">
        <v>42475</v>
      </c>
      <c r="L516" s="103">
        <f t="shared" ca="1" si="16"/>
        <v>15</v>
      </c>
      <c r="M516" s="108">
        <v>42475</v>
      </c>
      <c r="N516" s="108"/>
      <c r="O516" s="108"/>
      <c r="P516" s="108"/>
      <c r="R516" s="44"/>
      <c r="S516" s="103" t="s">
        <v>3256</v>
      </c>
      <c r="U516" s="108"/>
      <c r="W516" s="103" t="s">
        <v>156</v>
      </c>
      <c r="X516" s="108">
        <v>42490</v>
      </c>
      <c r="AB516" s="101" t="s">
        <v>2350</v>
      </c>
    </row>
    <row r="517" spans="1:28" s="103" customFormat="1" x14ac:dyDescent="0.25">
      <c r="A517" s="101" t="s">
        <v>3262</v>
      </c>
      <c r="B517" s="103" t="s">
        <v>3269</v>
      </c>
      <c r="C517" s="103" t="s">
        <v>3025</v>
      </c>
      <c r="D517" s="103" t="s">
        <v>119</v>
      </c>
      <c r="E517" s="103" t="s">
        <v>1430</v>
      </c>
      <c r="F517" s="103" t="s">
        <v>3337</v>
      </c>
      <c r="H517" s="111" t="s">
        <v>3255</v>
      </c>
      <c r="I517" s="103" t="s">
        <v>2388</v>
      </c>
      <c r="J517" s="103" t="s">
        <v>3346</v>
      </c>
      <c r="K517" s="108">
        <v>42475</v>
      </c>
      <c r="L517" s="103">
        <f t="shared" ca="1" si="16"/>
        <v>15</v>
      </c>
      <c r="M517" s="108">
        <v>42475</v>
      </c>
      <c r="N517" s="108"/>
      <c r="O517" s="108"/>
      <c r="P517" s="108"/>
      <c r="R517" s="44"/>
      <c r="S517" s="103" t="s">
        <v>3256</v>
      </c>
      <c r="U517" s="108"/>
      <c r="W517" s="103" t="s">
        <v>156</v>
      </c>
      <c r="X517" s="108">
        <v>42490</v>
      </c>
      <c r="AB517" s="101" t="s">
        <v>2350</v>
      </c>
    </row>
    <row r="518" spans="1:28" s="103" customFormat="1" x14ac:dyDescent="0.25">
      <c r="A518" s="101" t="s">
        <v>3263</v>
      </c>
      <c r="B518" s="103" t="s">
        <v>3267</v>
      </c>
      <c r="C518" s="103" t="s">
        <v>3025</v>
      </c>
      <c r="D518" s="103" t="s">
        <v>119</v>
      </c>
      <c r="E518" s="103" t="s">
        <v>1430</v>
      </c>
      <c r="F518" s="103" t="s">
        <v>3337</v>
      </c>
      <c r="H518" s="111" t="s">
        <v>3255</v>
      </c>
      <c r="I518" s="103" t="s">
        <v>2388</v>
      </c>
      <c r="J518" s="103" t="s">
        <v>3346</v>
      </c>
      <c r="K518" s="108">
        <v>42475</v>
      </c>
      <c r="L518" s="103">
        <f t="shared" ca="1" si="16"/>
        <v>15</v>
      </c>
      <c r="M518" s="108">
        <v>42475</v>
      </c>
      <c r="N518" s="108"/>
      <c r="O518" s="108"/>
      <c r="P518" s="108"/>
      <c r="R518" s="44"/>
      <c r="S518" s="103" t="s">
        <v>3256</v>
      </c>
      <c r="U518" s="108"/>
      <c r="W518" s="103" t="s">
        <v>156</v>
      </c>
      <c r="X518" s="108">
        <v>42490</v>
      </c>
      <c r="AB518" s="101" t="s">
        <v>2350</v>
      </c>
    </row>
    <row r="519" spans="1:28" s="103" customFormat="1" x14ac:dyDescent="0.25">
      <c r="A519" s="101" t="s">
        <v>2481</v>
      </c>
      <c r="B519" s="103" t="s">
        <v>3282</v>
      </c>
      <c r="C519" s="103" t="s">
        <v>3025</v>
      </c>
      <c r="D519" s="103" t="s">
        <v>119</v>
      </c>
      <c r="E519" s="103" t="s">
        <v>1430</v>
      </c>
      <c r="F519" s="103" t="s">
        <v>3337</v>
      </c>
      <c r="H519" s="111" t="s">
        <v>3255</v>
      </c>
      <c r="I519" s="103" t="s">
        <v>2388</v>
      </c>
      <c r="J519" s="103" t="s">
        <v>3346</v>
      </c>
      <c r="K519" s="108">
        <v>42475</v>
      </c>
      <c r="L519" s="103">
        <f t="shared" ca="1" si="16"/>
        <v>15</v>
      </c>
      <c r="M519" s="108">
        <v>42475</v>
      </c>
      <c r="N519" s="108"/>
      <c r="O519" s="108"/>
      <c r="P519" s="108"/>
      <c r="R519" s="44"/>
      <c r="S519" s="103" t="s">
        <v>3256</v>
      </c>
      <c r="U519" s="108"/>
      <c r="W519" s="103" t="s">
        <v>156</v>
      </c>
      <c r="X519" s="108">
        <v>42490</v>
      </c>
      <c r="AB519" s="101" t="s">
        <v>2350</v>
      </c>
    </row>
    <row r="520" spans="1:28" s="103" customFormat="1" x14ac:dyDescent="0.25">
      <c r="A520" s="101" t="s">
        <v>3270</v>
      </c>
      <c r="B520" s="103" t="s">
        <v>2980</v>
      </c>
      <c r="C520" s="103" t="s">
        <v>3025</v>
      </c>
      <c r="D520" s="103" t="s">
        <v>119</v>
      </c>
      <c r="E520" s="103" t="s">
        <v>1430</v>
      </c>
      <c r="F520" s="103" t="s">
        <v>3337</v>
      </c>
      <c r="H520" s="111" t="s">
        <v>3255</v>
      </c>
      <c r="I520" s="103" t="s">
        <v>2388</v>
      </c>
      <c r="J520" s="103" t="s">
        <v>3346</v>
      </c>
      <c r="K520" s="108">
        <v>42475</v>
      </c>
      <c r="L520" s="103">
        <f t="shared" ca="1" si="16"/>
        <v>15</v>
      </c>
      <c r="M520" s="108">
        <v>42475</v>
      </c>
      <c r="N520" s="108"/>
      <c r="O520" s="108"/>
      <c r="P520" s="108"/>
      <c r="R520" s="44"/>
      <c r="S520" s="103" t="s">
        <v>3256</v>
      </c>
      <c r="U520" s="108"/>
      <c r="W520" s="103" t="s">
        <v>156</v>
      </c>
      <c r="X520" s="108">
        <v>42490</v>
      </c>
      <c r="AB520" s="101" t="s">
        <v>2350</v>
      </c>
    </row>
    <row r="521" spans="1:28" s="103" customFormat="1" x14ac:dyDescent="0.25">
      <c r="A521" s="101" t="s">
        <v>3271</v>
      </c>
      <c r="B521" s="103" t="s">
        <v>2909</v>
      </c>
      <c r="C521" s="103" t="s">
        <v>3025</v>
      </c>
      <c r="D521" s="103" t="s">
        <v>119</v>
      </c>
      <c r="E521" s="103" t="s">
        <v>1430</v>
      </c>
      <c r="F521" s="103" t="s">
        <v>3337</v>
      </c>
      <c r="H521" s="111" t="s">
        <v>3255</v>
      </c>
      <c r="I521" s="103" t="s">
        <v>2388</v>
      </c>
      <c r="J521" s="103" t="s">
        <v>3346</v>
      </c>
      <c r="K521" s="108">
        <v>42475</v>
      </c>
      <c r="L521" s="103">
        <f t="shared" ca="1" si="16"/>
        <v>15</v>
      </c>
      <c r="M521" s="108">
        <v>42475</v>
      </c>
      <c r="N521" s="108"/>
      <c r="O521" s="108"/>
      <c r="P521" s="108"/>
      <c r="R521" s="44"/>
      <c r="S521" s="103" t="s">
        <v>3256</v>
      </c>
      <c r="U521" s="108"/>
      <c r="W521" s="103" t="s">
        <v>156</v>
      </c>
      <c r="X521" s="108">
        <v>42490</v>
      </c>
      <c r="AB521" s="101" t="s">
        <v>2350</v>
      </c>
    </row>
    <row r="522" spans="1:28" s="103" customFormat="1" x14ac:dyDescent="0.25">
      <c r="A522" s="101" t="s">
        <v>3272</v>
      </c>
      <c r="B522" s="103" t="s">
        <v>2993</v>
      </c>
      <c r="C522" s="103" t="s">
        <v>3025</v>
      </c>
      <c r="D522" s="103" t="s">
        <v>119</v>
      </c>
      <c r="E522" s="103" t="s">
        <v>1430</v>
      </c>
      <c r="F522" s="103" t="s">
        <v>3337</v>
      </c>
      <c r="H522" s="111" t="s">
        <v>3255</v>
      </c>
      <c r="I522" s="103" t="s">
        <v>2388</v>
      </c>
      <c r="J522" s="103" t="s">
        <v>3346</v>
      </c>
      <c r="K522" s="108">
        <v>42475</v>
      </c>
      <c r="L522" s="103">
        <f t="shared" ca="1" si="16"/>
        <v>15</v>
      </c>
      <c r="M522" s="108">
        <v>42475</v>
      </c>
      <c r="N522" s="108"/>
      <c r="O522" s="108"/>
      <c r="P522" s="108"/>
      <c r="R522" s="44"/>
      <c r="S522" s="103" t="s">
        <v>3256</v>
      </c>
      <c r="U522" s="108"/>
      <c r="W522" s="103" t="s">
        <v>156</v>
      </c>
      <c r="X522" s="108">
        <v>42490</v>
      </c>
      <c r="AB522" s="101" t="s">
        <v>2350</v>
      </c>
    </row>
    <row r="523" spans="1:28" s="103" customFormat="1" x14ac:dyDescent="0.25">
      <c r="A523" s="101" t="s">
        <v>3273</v>
      </c>
      <c r="B523" s="103" t="s">
        <v>2998</v>
      </c>
      <c r="C523" s="103" t="s">
        <v>3025</v>
      </c>
      <c r="D523" s="103" t="s">
        <v>119</v>
      </c>
      <c r="E523" s="103" t="s">
        <v>1430</v>
      </c>
      <c r="F523" s="103" t="s">
        <v>3337</v>
      </c>
      <c r="H523" s="111" t="s">
        <v>3255</v>
      </c>
      <c r="I523" s="103" t="s">
        <v>2388</v>
      </c>
      <c r="J523" s="103" t="s">
        <v>3346</v>
      </c>
      <c r="K523" s="108">
        <v>42475</v>
      </c>
      <c r="L523" s="103">
        <f t="shared" ca="1" si="16"/>
        <v>15</v>
      </c>
      <c r="M523" s="108">
        <v>42475</v>
      </c>
      <c r="N523" s="108"/>
      <c r="O523" s="108"/>
      <c r="P523" s="108"/>
      <c r="R523" s="44"/>
      <c r="S523" s="103" t="s">
        <v>3256</v>
      </c>
      <c r="U523" s="108"/>
      <c r="W523" s="103" t="s">
        <v>156</v>
      </c>
      <c r="X523" s="108">
        <v>42490</v>
      </c>
      <c r="AB523" s="101" t="s">
        <v>2350</v>
      </c>
    </row>
    <row r="524" spans="1:28" s="103" customFormat="1" x14ac:dyDescent="0.25">
      <c r="A524" s="101" t="s">
        <v>3274</v>
      </c>
      <c r="B524" s="103" t="s">
        <v>3266</v>
      </c>
      <c r="C524" s="103" t="s">
        <v>3025</v>
      </c>
      <c r="D524" s="103" t="s">
        <v>119</v>
      </c>
      <c r="E524" s="103" t="s">
        <v>1430</v>
      </c>
      <c r="F524" s="103" t="s">
        <v>3337</v>
      </c>
      <c r="H524" s="111" t="s">
        <v>3255</v>
      </c>
      <c r="I524" s="103" t="s">
        <v>2388</v>
      </c>
      <c r="J524" s="103" t="s">
        <v>3346</v>
      </c>
      <c r="K524" s="108">
        <v>42475</v>
      </c>
      <c r="L524" s="103">
        <f t="shared" ca="1" si="16"/>
        <v>15</v>
      </c>
      <c r="M524" s="108">
        <v>42475</v>
      </c>
      <c r="N524" s="108"/>
      <c r="O524" s="108"/>
      <c r="P524" s="108"/>
      <c r="R524" s="44"/>
      <c r="S524" s="103" t="s">
        <v>3256</v>
      </c>
      <c r="U524" s="108"/>
      <c r="W524" s="103" t="s">
        <v>156</v>
      </c>
      <c r="X524" s="108">
        <v>42490</v>
      </c>
      <c r="AB524" s="101" t="s">
        <v>2350</v>
      </c>
    </row>
    <row r="525" spans="1:28" s="103" customFormat="1" x14ac:dyDescent="0.25">
      <c r="A525" s="101" t="s">
        <v>3275</v>
      </c>
      <c r="B525" s="103" t="s">
        <v>2991</v>
      </c>
      <c r="C525" s="103" t="s">
        <v>3025</v>
      </c>
      <c r="D525" s="103" t="s">
        <v>119</v>
      </c>
      <c r="E525" s="103" t="s">
        <v>1430</v>
      </c>
      <c r="F525" s="103" t="s">
        <v>3337</v>
      </c>
      <c r="H525" s="111" t="s">
        <v>3255</v>
      </c>
      <c r="I525" s="103" t="s">
        <v>2388</v>
      </c>
      <c r="J525" s="103" t="s">
        <v>3346</v>
      </c>
      <c r="K525" s="108">
        <v>42475</v>
      </c>
      <c r="L525" s="103">
        <f t="shared" ca="1" si="16"/>
        <v>15</v>
      </c>
      <c r="M525" s="108">
        <v>42475</v>
      </c>
      <c r="N525" s="108"/>
      <c r="O525" s="108"/>
      <c r="P525" s="108"/>
      <c r="R525" s="44"/>
      <c r="S525" s="103" t="s">
        <v>3256</v>
      </c>
      <c r="U525" s="108"/>
      <c r="W525" s="103" t="s">
        <v>156</v>
      </c>
      <c r="X525" s="108">
        <v>42490</v>
      </c>
      <c r="AB525" s="101" t="s">
        <v>2350</v>
      </c>
    </row>
    <row r="526" spans="1:28" s="103" customFormat="1" x14ac:dyDescent="0.25">
      <c r="A526" s="101" t="s">
        <v>3276</v>
      </c>
      <c r="B526" s="103" t="s">
        <v>2991</v>
      </c>
      <c r="C526" s="103" t="s">
        <v>3025</v>
      </c>
      <c r="D526" s="103" t="s">
        <v>119</v>
      </c>
      <c r="E526" s="103" t="s">
        <v>1430</v>
      </c>
      <c r="F526" s="103" t="s">
        <v>3337</v>
      </c>
      <c r="H526" s="111" t="s">
        <v>3255</v>
      </c>
      <c r="I526" s="103" t="s">
        <v>2388</v>
      </c>
      <c r="J526" s="103" t="s">
        <v>3346</v>
      </c>
      <c r="K526" s="108">
        <v>42475</v>
      </c>
      <c r="L526" s="103">
        <f t="shared" ca="1" si="16"/>
        <v>15</v>
      </c>
      <c r="M526" s="108">
        <v>42475</v>
      </c>
      <c r="N526" s="108"/>
      <c r="O526" s="108"/>
      <c r="P526" s="108"/>
      <c r="R526" s="44"/>
      <c r="S526" s="103" t="s">
        <v>3256</v>
      </c>
      <c r="U526" s="108"/>
      <c r="W526" s="103" t="s">
        <v>156</v>
      </c>
      <c r="X526" s="108">
        <v>42490</v>
      </c>
      <c r="AB526" s="101" t="s">
        <v>2350</v>
      </c>
    </row>
    <row r="527" spans="1:28" s="103" customFormat="1" x14ac:dyDescent="0.25">
      <c r="A527" s="101" t="s">
        <v>3277</v>
      </c>
      <c r="B527" s="103" t="s">
        <v>2916</v>
      </c>
      <c r="C527" s="103" t="s">
        <v>3025</v>
      </c>
      <c r="D527" s="103" t="s">
        <v>119</v>
      </c>
      <c r="E527" s="103" t="s">
        <v>1430</v>
      </c>
      <c r="F527" s="103" t="s">
        <v>3337</v>
      </c>
      <c r="H527" s="111" t="s">
        <v>3255</v>
      </c>
      <c r="I527" s="103" t="s">
        <v>2388</v>
      </c>
      <c r="J527" s="103" t="s">
        <v>3346</v>
      </c>
      <c r="K527" s="108">
        <v>42475</v>
      </c>
      <c r="L527" s="103">
        <f t="shared" ca="1" si="16"/>
        <v>15</v>
      </c>
      <c r="M527" s="108">
        <v>42475</v>
      </c>
      <c r="N527" s="108"/>
      <c r="O527" s="108"/>
      <c r="P527" s="108"/>
      <c r="R527" s="44"/>
      <c r="S527" s="103" t="s">
        <v>3256</v>
      </c>
      <c r="U527" s="108"/>
      <c r="W527" s="103" t="s">
        <v>156</v>
      </c>
      <c r="X527" s="108">
        <v>42490</v>
      </c>
      <c r="AB527" s="101" t="s">
        <v>2350</v>
      </c>
    </row>
    <row r="528" spans="1:28" s="103" customFormat="1" x14ac:dyDescent="0.25">
      <c r="A528" s="101" t="s">
        <v>3278</v>
      </c>
      <c r="B528" s="103" t="s">
        <v>3283</v>
      </c>
      <c r="C528" s="103" t="s">
        <v>3025</v>
      </c>
      <c r="D528" s="103" t="s">
        <v>119</v>
      </c>
      <c r="E528" s="103" t="s">
        <v>1430</v>
      </c>
      <c r="F528" s="103" t="s">
        <v>3337</v>
      </c>
      <c r="H528" s="111" t="s">
        <v>3255</v>
      </c>
      <c r="I528" s="103" t="s">
        <v>2388</v>
      </c>
      <c r="J528" s="103" t="s">
        <v>3346</v>
      </c>
      <c r="K528" s="108">
        <v>42475</v>
      </c>
      <c r="L528" s="103">
        <f t="shared" ca="1" si="16"/>
        <v>15</v>
      </c>
      <c r="M528" s="108">
        <v>42475</v>
      </c>
      <c r="N528" s="108"/>
      <c r="O528" s="108"/>
      <c r="P528" s="108"/>
      <c r="R528" s="44"/>
      <c r="S528" s="103" t="s">
        <v>3256</v>
      </c>
      <c r="U528" s="108"/>
      <c r="W528" s="103" t="s">
        <v>156</v>
      </c>
      <c r="X528" s="108">
        <v>42490</v>
      </c>
      <c r="AB528" s="101" t="s">
        <v>2350</v>
      </c>
    </row>
    <row r="529" spans="1:28" s="103" customFormat="1" x14ac:dyDescent="0.25">
      <c r="A529" s="101" t="s">
        <v>3279</v>
      </c>
      <c r="B529" s="103" t="s">
        <v>2916</v>
      </c>
      <c r="C529" s="103" t="s">
        <v>3025</v>
      </c>
      <c r="D529" s="103" t="s">
        <v>119</v>
      </c>
      <c r="E529" s="103" t="s">
        <v>1430</v>
      </c>
      <c r="F529" s="103" t="s">
        <v>3337</v>
      </c>
      <c r="H529" s="111" t="s">
        <v>3255</v>
      </c>
      <c r="I529" s="103" t="s">
        <v>2388</v>
      </c>
      <c r="J529" s="103" t="s">
        <v>3346</v>
      </c>
      <c r="K529" s="108">
        <v>42475</v>
      </c>
      <c r="L529" s="103">
        <f t="shared" ca="1" si="16"/>
        <v>15</v>
      </c>
      <c r="M529" s="108">
        <v>42475</v>
      </c>
      <c r="N529" s="108"/>
      <c r="O529" s="108"/>
      <c r="P529" s="108"/>
      <c r="R529" s="44"/>
      <c r="S529" s="103" t="s">
        <v>3256</v>
      </c>
      <c r="U529" s="108"/>
      <c r="W529" s="103" t="s">
        <v>156</v>
      </c>
      <c r="X529" s="108">
        <v>42490</v>
      </c>
      <c r="AB529" s="101" t="s">
        <v>2350</v>
      </c>
    </row>
    <row r="530" spans="1:28" s="103" customFormat="1" x14ac:dyDescent="0.25">
      <c r="A530" s="101" t="s">
        <v>3280</v>
      </c>
      <c r="B530" s="103" t="s">
        <v>2918</v>
      </c>
      <c r="C530" s="103" t="s">
        <v>3025</v>
      </c>
      <c r="D530" s="103" t="s">
        <v>119</v>
      </c>
      <c r="E530" s="103" t="s">
        <v>1430</v>
      </c>
      <c r="F530" s="103" t="s">
        <v>3337</v>
      </c>
      <c r="H530" s="111" t="s">
        <v>3255</v>
      </c>
      <c r="I530" s="103" t="s">
        <v>2388</v>
      </c>
      <c r="J530" s="103" t="s">
        <v>3346</v>
      </c>
      <c r="K530" s="108">
        <v>42475</v>
      </c>
      <c r="L530" s="103">
        <f t="shared" ca="1" si="16"/>
        <v>15</v>
      </c>
      <c r="M530" s="108">
        <v>42475</v>
      </c>
      <c r="N530" s="108"/>
      <c r="O530" s="108"/>
      <c r="P530" s="108"/>
      <c r="R530" s="44"/>
      <c r="S530" s="103" t="s">
        <v>3256</v>
      </c>
      <c r="U530" s="108"/>
      <c r="W530" s="103" t="s">
        <v>156</v>
      </c>
      <c r="X530" s="108">
        <v>42490</v>
      </c>
      <c r="AB530" s="101" t="s">
        <v>2350</v>
      </c>
    </row>
    <row r="531" spans="1:28" s="103" customFormat="1" x14ac:dyDescent="0.25">
      <c r="A531" s="101" t="s">
        <v>3281</v>
      </c>
      <c r="B531" s="103" t="s">
        <v>3283</v>
      </c>
      <c r="C531" s="103" t="s">
        <v>3025</v>
      </c>
      <c r="D531" s="103" t="s">
        <v>119</v>
      </c>
      <c r="E531" s="103" t="s">
        <v>1430</v>
      </c>
      <c r="F531" s="103" t="s">
        <v>3337</v>
      </c>
      <c r="H531" s="111" t="s">
        <v>3255</v>
      </c>
      <c r="I531" s="103" t="s">
        <v>2388</v>
      </c>
      <c r="J531" s="103" t="s">
        <v>3346</v>
      </c>
      <c r="K531" s="108">
        <v>42475</v>
      </c>
      <c r="L531" s="103">
        <f t="shared" ca="1" si="16"/>
        <v>15</v>
      </c>
      <c r="M531" s="108">
        <v>42475</v>
      </c>
      <c r="N531" s="108"/>
      <c r="O531" s="108"/>
      <c r="P531" s="108"/>
      <c r="R531" s="44"/>
      <c r="S531" s="103" t="s">
        <v>3256</v>
      </c>
      <c r="U531" s="108"/>
      <c r="W531" s="103" t="s">
        <v>156</v>
      </c>
      <c r="X531" s="108">
        <v>42490</v>
      </c>
      <c r="AB531" s="101" t="s">
        <v>2350</v>
      </c>
    </row>
    <row r="532" spans="1:28" s="103" customFormat="1" x14ac:dyDescent="0.25">
      <c r="A532" s="101" t="s">
        <v>3242</v>
      </c>
      <c r="B532" s="103" t="s">
        <v>2924</v>
      </c>
      <c r="C532" s="103" t="s">
        <v>3025</v>
      </c>
      <c r="D532" s="103" t="s">
        <v>119</v>
      </c>
      <c r="E532" s="103" t="s">
        <v>1430</v>
      </c>
      <c r="F532" s="103" t="s">
        <v>3337</v>
      </c>
      <c r="H532" s="111" t="s">
        <v>3255</v>
      </c>
      <c r="I532" s="103" t="s">
        <v>2388</v>
      </c>
      <c r="J532" s="103" t="s">
        <v>3346</v>
      </c>
      <c r="K532" s="108">
        <v>42475</v>
      </c>
      <c r="L532" s="103">
        <f t="shared" ca="1" si="16"/>
        <v>15</v>
      </c>
      <c r="M532" s="108">
        <v>42475</v>
      </c>
      <c r="N532" s="108"/>
      <c r="O532" s="108"/>
      <c r="P532" s="108"/>
      <c r="R532" s="44"/>
      <c r="S532" s="103" t="s">
        <v>3256</v>
      </c>
      <c r="U532" s="108"/>
      <c r="W532" s="103" t="s">
        <v>156</v>
      </c>
      <c r="X532" s="108">
        <v>42490</v>
      </c>
      <c r="AB532" s="101" t="s">
        <v>2350</v>
      </c>
    </row>
    <row r="533" spans="1:28" s="103" customFormat="1" x14ac:dyDescent="0.25">
      <c r="A533" s="140" t="s">
        <v>1882</v>
      </c>
      <c r="B533" s="45" t="s">
        <v>2484</v>
      </c>
      <c r="C533" s="45" t="s">
        <v>3054</v>
      </c>
      <c r="D533" s="103" t="s">
        <v>2288</v>
      </c>
      <c r="E533" s="103" t="s">
        <v>1430</v>
      </c>
      <c r="F533" s="103" t="s">
        <v>3337</v>
      </c>
      <c r="G533" s="103" t="s">
        <v>3345</v>
      </c>
      <c r="H533" s="111" t="s">
        <v>2451</v>
      </c>
      <c r="I533" s="103" t="s">
        <v>2949</v>
      </c>
      <c r="J533" s="103" t="s">
        <v>97</v>
      </c>
      <c r="K533" s="108">
        <v>42320</v>
      </c>
      <c r="L533" s="11">
        <f t="shared" ref="L533:L538" ca="1" si="17">IFERROR(IF(AND(W533&lt;&gt;"Concluído",W533&lt;&gt;"Cancelado"),TODAY()-K533+1,X533-K533),"")</f>
        <v>203</v>
      </c>
      <c r="M533" s="108">
        <v>42383</v>
      </c>
      <c r="N533" s="108" t="s">
        <v>2350</v>
      </c>
      <c r="O533" s="108" t="s">
        <v>156</v>
      </c>
      <c r="P533" s="108" t="s">
        <v>156</v>
      </c>
      <c r="Q533" s="108" t="s">
        <v>156</v>
      </c>
      <c r="R533" s="44"/>
      <c r="S533" s="103" t="s">
        <v>3355</v>
      </c>
      <c r="T533" s="103" t="s">
        <v>2758</v>
      </c>
      <c r="U533" s="108" t="s">
        <v>2821</v>
      </c>
      <c r="V533" s="103" t="s">
        <v>2819</v>
      </c>
      <c r="W533" s="103" t="s">
        <v>189</v>
      </c>
      <c r="X533" s="108">
        <v>42494</v>
      </c>
      <c r="Y533" s="103">
        <v>100</v>
      </c>
      <c r="Z533" s="108" t="s">
        <v>273</v>
      </c>
      <c r="AA533" s="108" t="s">
        <v>2282</v>
      </c>
      <c r="AB533" s="101" t="s">
        <v>273</v>
      </c>
    </row>
    <row r="534" spans="1:28" s="103" customFormat="1" x14ac:dyDescent="0.25">
      <c r="A534" s="101" t="s">
        <v>2667</v>
      </c>
      <c r="B534" s="103" t="s">
        <v>2668</v>
      </c>
      <c r="C534" s="103" t="s">
        <v>3051</v>
      </c>
      <c r="D534" s="103" t="s">
        <v>2288</v>
      </c>
      <c r="E534" s="103" t="s">
        <v>1430</v>
      </c>
      <c r="F534" s="103" t="s">
        <v>3337</v>
      </c>
      <c r="G534" s="103" t="s">
        <v>3345</v>
      </c>
      <c r="H534" s="111" t="s">
        <v>2451</v>
      </c>
      <c r="J534" s="103" t="s">
        <v>97</v>
      </c>
      <c r="K534" s="108">
        <v>42394</v>
      </c>
      <c r="L534" s="11">
        <f t="shared" ca="1" si="17"/>
        <v>129</v>
      </c>
      <c r="M534" s="108">
        <v>42404</v>
      </c>
      <c r="N534" s="108" t="s">
        <v>273</v>
      </c>
      <c r="O534" s="108" t="s">
        <v>2306</v>
      </c>
      <c r="P534" s="108" t="s">
        <v>2306</v>
      </c>
      <c r="Q534" s="108" t="s">
        <v>2306</v>
      </c>
      <c r="R534" s="145"/>
      <c r="S534" s="103" t="s">
        <v>3356</v>
      </c>
      <c r="T534" s="103" t="s">
        <v>2758</v>
      </c>
      <c r="U534" s="108" t="s">
        <v>2761</v>
      </c>
      <c r="V534" s="133">
        <v>42438</v>
      </c>
      <c r="W534" s="103" t="s">
        <v>189</v>
      </c>
      <c r="X534" s="108">
        <v>42486</v>
      </c>
      <c r="Y534" s="103">
        <v>1200</v>
      </c>
      <c r="AB534" s="101" t="s">
        <v>273</v>
      </c>
    </row>
    <row r="535" spans="1:28" s="103" customFormat="1" x14ac:dyDescent="0.25">
      <c r="A535" s="40" t="s">
        <v>2681</v>
      </c>
      <c r="B535" s="7" t="s">
        <v>2682</v>
      </c>
      <c r="C535" s="103" t="s">
        <v>3161</v>
      </c>
      <c r="D535" s="103" t="s">
        <v>118</v>
      </c>
      <c r="E535" s="103" t="s">
        <v>1430</v>
      </c>
      <c r="F535" s="103" t="s">
        <v>3337</v>
      </c>
      <c r="G535" s="103" t="s">
        <v>3345</v>
      </c>
      <c r="H535" s="111" t="s">
        <v>2407</v>
      </c>
      <c r="I535" s="103" t="s">
        <v>3160</v>
      </c>
      <c r="J535" s="103" t="s">
        <v>2320</v>
      </c>
      <c r="K535" s="108">
        <v>42411</v>
      </c>
      <c r="L535" s="11">
        <f t="shared" ca="1" si="17"/>
        <v>77</v>
      </c>
      <c r="M535" s="108">
        <v>42411</v>
      </c>
      <c r="N535" s="108" t="s">
        <v>2350</v>
      </c>
      <c r="O535" s="108">
        <v>42445</v>
      </c>
      <c r="P535" s="108">
        <v>42488</v>
      </c>
      <c r="Q535" s="103" t="s">
        <v>2350</v>
      </c>
      <c r="R535" s="44"/>
      <c r="S535" s="7" t="s">
        <v>3366</v>
      </c>
      <c r="T535" s="103" t="s">
        <v>2758</v>
      </c>
      <c r="U535" s="108" t="s">
        <v>3160</v>
      </c>
      <c r="V535" s="133">
        <v>42486</v>
      </c>
      <c r="W535" s="103" t="s">
        <v>156</v>
      </c>
      <c r="X535" s="108">
        <v>42488</v>
      </c>
      <c r="Y535" s="103">
        <v>30</v>
      </c>
      <c r="AB535" s="101" t="s">
        <v>2350</v>
      </c>
    </row>
    <row r="536" spans="1:28" s="103" customFormat="1" x14ac:dyDescent="0.25">
      <c r="A536" s="101" t="s">
        <v>1889</v>
      </c>
      <c r="B536" s="103" t="s">
        <v>1995</v>
      </c>
      <c r="C536" s="103" t="s">
        <v>3076</v>
      </c>
      <c r="D536" s="103" t="s">
        <v>2288</v>
      </c>
      <c r="E536" s="103" t="s">
        <v>106</v>
      </c>
      <c r="F536" s="103" t="s">
        <v>3336</v>
      </c>
      <c r="G536" s="103" t="s">
        <v>3342</v>
      </c>
      <c r="H536" s="111" t="s">
        <v>246</v>
      </c>
      <c r="I536" s="103" t="s">
        <v>2576</v>
      </c>
      <c r="J536" s="103" t="s">
        <v>97</v>
      </c>
      <c r="K536" s="108">
        <v>42321</v>
      </c>
      <c r="L536" s="11">
        <f t="shared" ca="1" si="17"/>
        <v>166</v>
      </c>
      <c r="M536" s="108">
        <v>42433</v>
      </c>
      <c r="N536" s="108" t="s">
        <v>273</v>
      </c>
      <c r="O536" s="108" t="s">
        <v>2306</v>
      </c>
      <c r="P536" s="108" t="s">
        <v>2306</v>
      </c>
      <c r="Q536" s="108" t="s">
        <v>2306</v>
      </c>
      <c r="R536" s="50"/>
      <c r="S536" s="103" t="s">
        <v>3369</v>
      </c>
      <c r="T536" s="103" t="s">
        <v>2844</v>
      </c>
      <c r="U536" s="108" t="s">
        <v>2784</v>
      </c>
      <c r="V536" s="108">
        <v>42458</v>
      </c>
      <c r="W536" s="103" t="s">
        <v>156</v>
      </c>
      <c r="X536" s="108">
        <v>42487</v>
      </c>
      <c r="Y536" s="103" t="s">
        <v>2282</v>
      </c>
      <c r="AB536" s="101" t="s">
        <v>273</v>
      </c>
    </row>
    <row r="537" spans="1:28" s="103" customFormat="1" x14ac:dyDescent="0.25">
      <c r="A537" s="101" t="s">
        <v>3312</v>
      </c>
      <c r="B537" s="103" t="s">
        <v>3313</v>
      </c>
      <c r="C537" s="103" t="s">
        <v>3085</v>
      </c>
      <c r="D537" s="103" t="s">
        <v>119</v>
      </c>
      <c r="E537" s="103" t="s">
        <v>203</v>
      </c>
      <c r="F537" s="103" t="s">
        <v>3337</v>
      </c>
      <c r="G537" s="103" t="s">
        <v>3345</v>
      </c>
      <c r="H537" s="111" t="s">
        <v>177</v>
      </c>
      <c r="I537" s="103" t="s">
        <v>2388</v>
      </c>
      <c r="J537" s="103" t="s">
        <v>3346</v>
      </c>
      <c r="K537" s="108">
        <v>42480</v>
      </c>
      <c r="L537" s="103">
        <f t="shared" ca="1" si="17"/>
        <v>12</v>
      </c>
      <c r="M537" s="108">
        <v>42486</v>
      </c>
      <c r="N537" s="108" t="s">
        <v>2350</v>
      </c>
      <c r="O537" s="108" t="s">
        <v>2282</v>
      </c>
      <c r="P537" s="108">
        <v>42492</v>
      </c>
      <c r="Q537" s="103" t="s">
        <v>2350</v>
      </c>
      <c r="R537" s="44"/>
      <c r="S537" s="103" t="s">
        <v>3372</v>
      </c>
      <c r="T537" s="103" t="s">
        <v>3220</v>
      </c>
      <c r="U537" s="108" t="s">
        <v>3314</v>
      </c>
      <c r="V537" s="108">
        <v>42494</v>
      </c>
      <c r="W537" s="103" t="s">
        <v>156</v>
      </c>
      <c r="X537" s="108">
        <v>42492</v>
      </c>
      <c r="Y537" s="103">
        <v>21</v>
      </c>
      <c r="AB537" s="101" t="s">
        <v>2350</v>
      </c>
    </row>
    <row r="538" spans="1:28" s="103" customFormat="1" x14ac:dyDescent="0.25">
      <c r="A538" s="101" t="s">
        <v>3315</v>
      </c>
      <c r="B538" s="103" t="s">
        <v>3313</v>
      </c>
      <c r="C538" s="103" t="s">
        <v>3085</v>
      </c>
      <c r="D538" s="103" t="s">
        <v>119</v>
      </c>
      <c r="E538" s="103" t="s">
        <v>203</v>
      </c>
      <c r="F538" s="103" t="s">
        <v>3337</v>
      </c>
      <c r="G538" s="103" t="s">
        <v>3345</v>
      </c>
      <c r="H538" s="111" t="s">
        <v>177</v>
      </c>
      <c r="I538" s="103" t="s">
        <v>2388</v>
      </c>
      <c r="J538" s="103" t="s">
        <v>3346</v>
      </c>
      <c r="K538" s="108">
        <v>42480</v>
      </c>
      <c r="L538" s="103">
        <f t="shared" ca="1" si="17"/>
        <v>12</v>
      </c>
      <c r="M538" s="108">
        <v>42486</v>
      </c>
      <c r="N538" s="108" t="s">
        <v>2350</v>
      </c>
      <c r="O538" s="108" t="s">
        <v>2282</v>
      </c>
      <c r="P538" s="108">
        <v>42492</v>
      </c>
      <c r="Q538" s="103" t="s">
        <v>2350</v>
      </c>
      <c r="R538" s="44"/>
      <c r="S538" s="103" t="s">
        <v>3372</v>
      </c>
      <c r="T538" s="103" t="s">
        <v>3220</v>
      </c>
      <c r="U538" s="108" t="s">
        <v>3314</v>
      </c>
      <c r="V538" s="108">
        <v>42494</v>
      </c>
      <c r="W538" s="103" t="s">
        <v>156</v>
      </c>
      <c r="X538" s="108">
        <v>42492</v>
      </c>
      <c r="Y538" s="103">
        <v>44</v>
      </c>
      <c r="AB538" s="101" t="s">
        <v>2350</v>
      </c>
    </row>
    <row r="539" spans="1:28" s="103" customFormat="1" x14ac:dyDescent="0.25">
      <c r="A539" s="101" t="s">
        <v>314</v>
      </c>
      <c r="B539" s="103" t="s">
        <v>315</v>
      </c>
      <c r="C539" s="103" t="s">
        <v>3076</v>
      </c>
      <c r="D539" s="103" t="s">
        <v>2288</v>
      </c>
      <c r="E539" s="103" t="s">
        <v>1430</v>
      </c>
      <c r="F539" s="103" t="s">
        <v>3337</v>
      </c>
      <c r="G539" s="103" t="s">
        <v>3345</v>
      </c>
      <c r="H539" s="111" t="s">
        <v>246</v>
      </c>
      <c r="I539" s="103" t="s">
        <v>2282</v>
      </c>
      <c r="J539" s="103" t="s">
        <v>98</v>
      </c>
      <c r="K539" s="108">
        <v>42156.440972222219</v>
      </c>
      <c r="L539" s="11">
        <f t="shared" ref="L539:L545" ca="1" si="18">IFERROR(IF(AND(W539&lt;&gt;"Concluído",W539&lt;&gt;"Cancelado"),TODAY()-K539+1,X539-K539),"")</f>
        <v>343.55902777778101</v>
      </c>
      <c r="M539" s="108">
        <v>42272</v>
      </c>
      <c r="N539" s="108" t="s">
        <v>273</v>
      </c>
      <c r="O539" s="108" t="s">
        <v>2306</v>
      </c>
      <c r="P539" s="108" t="s">
        <v>2306</v>
      </c>
      <c r="Q539" s="108" t="s">
        <v>2306</v>
      </c>
      <c r="R539" s="45"/>
      <c r="S539" s="115" t="s">
        <v>3132</v>
      </c>
      <c r="T539" s="103" t="s">
        <v>3457</v>
      </c>
      <c r="U539" s="108"/>
      <c r="W539" s="103" t="s">
        <v>156</v>
      </c>
      <c r="X539" s="108">
        <v>42500</v>
      </c>
      <c r="Y539" s="103" t="s">
        <v>348</v>
      </c>
      <c r="AB539" s="101" t="s">
        <v>273</v>
      </c>
    </row>
    <row r="540" spans="1:28" s="103" customFormat="1" x14ac:dyDescent="0.25">
      <c r="A540" s="101" t="s">
        <v>329</v>
      </c>
      <c r="B540" s="7" t="s">
        <v>3201</v>
      </c>
      <c r="C540" s="7" t="s">
        <v>3042</v>
      </c>
      <c r="D540" s="103" t="s">
        <v>118</v>
      </c>
      <c r="E540" s="103" t="s">
        <v>161</v>
      </c>
      <c r="F540" s="103" t="s">
        <v>3338</v>
      </c>
      <c r="G540" s="103" t="s">
        <v>3349</v>
      </c>
      <c r="H540" s="111" t="s">
        <v>245</v>
      </c>
      <c r="J540" s="103" t="s">
        <v>97</v>
      </c>
      <c r="K540" s="108">
        <v>42172</v>
      </c>
      <c r="L540" s="11">
        <f t="shared" ca="1" si="18"/>
        <v>328</v>
      </c>
      <c r="M540" s="108">
        <v>42272</v>
      </c>
      <c r="N540" s="108" t="s">
        <v>2350</v>
      </c>
      <c r="O540" s="108"/>
      <c r="P540" s="108">
        <v>42496</v>
      </c>
      <c r="Q540" s="103" t="s">
        <v>273</v>
      </c>
      <c r="R540" s="44"/>
      <c r="S540" s="103" t="s">
        <v>3436</v>
      </c>
      <c r="T540" s="103" t="s">
        <v>2755</v>
      </c>
      <c r="U540" s="103" t="s">
        <v>2888</v>
      </c>
      <c r="V540" s="133">
        <v>42496</v>
      </c>
      <c r="W540" s="103" t="s">
        <v>156</v>
      </c>
      <c r="X540" s="108">
        <v>42500</v>
      </c>
      <c r="Y540" s="103">
        <v>50</v>
      </c>
      <c r="Z540" s="108" t="s">
        <v>273</v>
      </c>
      <c r="AA540" s="108" t="s">
        <v>2282</v>
      </c>
      <c r="AB540" s="101" t="s">
        <v>2350</v>
      </c>
    </row>
    <row r="541" spans="1:28" s="103" customFormat="1" x14ac:dyDescent="0.25">
      <c r="A541" s="101" t="s">
        <v>2808</v>
      </c>
      <c r="B541" s="103" t="s">
        <v>2809</v>
      </c>
      <c r="C541" s="103" t="s">
        <v>3082</v>
      </c>
      <c r="D541" s="103" t="s">
        <v>118</v>
      </c>
      <c r="E541" s="103" t="s">
        <v>159</v>
      </c>
      <c r="F541" s="103" t="s">
        <v>3339</v>
      </c>
      <c r="G541" s="103" t="s">
        <v>3373</v>
      </c>
      <c r="H541" s="111" t="s">
        <v>280</v>
      </c>
      <c r="I541" s="103" t="s">
        <v>2606</v>
      </c>
      <c r="J541" s="103" t="s">
        <v>97</v>
      </c>
      <c r="K541" s="108">
        <v>42431</v>
      </c>
      <c r="L541" s="103">
        <f t="shared" ca="1" si="18"/>
        <v>68</v>
      </c>
      <c r="M541" s="108">
        <v>42432</v>
      </c>
      <c r="N541" s="108" t="s">
        <v>273</v>
      </c>
      <c r="O541" s="108" t="s">
        <v>2306</v>
      </c>
      <c r="P541" s="108" t="s">
        <v>2306</v>
      </c>
      <c r="Q541" s="108" t="s">
        <v>2306</v>
      </c>
      <c r="R541" s="145"/>
      <c r="S541" s="103" t="s">
        <v>3463</v>
      </c>
      <c r="T541" s="103" t="s">
        <v>2758</v>
      </c>
      <c r="U541" s="108" t="s">
        <v>2606</v>
      </c>
      <c r="V541" s="86" t="s">
        <v>2306</v>
      </c>
      <c r="W541" s="103" t="s">
        <v>156</v>
      </c>
      <c r="X541" s="108">
        <v>42499</v>
      </c>
      <c r="Y541" s="101">
        <v>798</v>
      </c>
      <c r="AB541" s="101" t="s">
        <v>273</v>
      </c>
    </row>
    <row r="542" spans="1:28" s="103" customFormat="1" x14ac:dyDescent="0.25">
      <c r="A542" s="101" t="s">
        <v>3015</v>
      </c>
      <c r="B542" s="103" t="s">
        <v>3016</v>
      </c>
      <c r="C542" s="103" t="s">
        <v>3133</v>
      </c>
      <c r="D542" s="103" t="s">
        <v>119</v>
      </c>
      <c r="E542" s="103" t="s">
        <v>159</v>
      </c>
      <c r="F542" s="103" t="s">
        <v>3339</v>
      </c>
      <c r="G542" s="103" t="s">
        <v>3373</v>
      </c>
      <c r="H542" s="111" t="s">
        <v>177</v>
      </c>
      <c r="I542" s="103" t="s">
        <v>2315</v>
      </c>
      <c r="J542" s="103" t="s">
        <v>3346</v>
      </c>
      <c r="K542" s="108">
        <v>42437</v>
      </c>
      <c r="L542" s="103">
        <f t="shared" ca="1" si="18"/>
        <v>62</v>
      </c>
      <c r="M542" s="108">
        <v>42437</v>
      </c>
      <c r="N542" s="108" t="s">
        <v>2350</v>
      </c>
      <c r="O542" s="108" t="s">
        <v>2282</v>
      </c>
      <c r="P542" s="108">
        <v>42499</v>
      </c>
      <c r="Q542" s="103" t="s">
        <v>2350</v>
      </c>
      <c r="R542" s="44"/>
      <c r="S542" s="103" t="s">
        <v>3475</v>
      </c>
      <c r="T542" s="103" t="s">
        <v>2760</v>
      </c>
      <c r="U542" s="103" t="s">
        <v>2315</v>
      </c>
      <c r="V542" s="108">
        <v>42495</v>
      </c>
      <c r="W542" s="103" t="s">
        <v>156</v>
      </c>
      <c r="X542" s="108">
        <v>42499</v>
      </c>
      <c r="Y542" s="103">
        <v>50</v>
      </c>
      <c r="AB542" s="101" t="s">
        <v>2350</v>
      </c>
    </row>
    <row r="543" spans="1:28" s="103" customFormat="1" x14ac:dyDescent="0.25">
      <c r="A543" s="101" t="s">
        <v>3124</v>
      </c>
      <c r="B543" s="103" t="s">
        <v>3125</v>
      </c>
      <c r="C543" s="103" t="s">
        <v>3114</v>
      </c>
      <c r="D543" s="103" t="s">
        <v>2288</v>
      </c>
      <c r="E543" s="103" t="s">
        <v>174</v>
      </c>
      <c r="F543" s="103" t="s">
        <v>3338</v>
      </c>
      <c r="G543" s="103" t="s">
        <v>2872</v>
      </c>
      <c r="H543" s="111" t="s">
        <v>280</v>
      </c>
      <c r="I543" s="103" t="s">
        <v>2394</v>
      </c>
      <c r="J543" s="103" t="s">
        <v>98</v>
      </c>
      <c r="K543" s="108">
        <v>42429</v>
      </c>
      <c r="L543" s="103">
        <f t="shared" ca="1" si="18"/>
        <v>72</v>
      </c>
      <c r="M543" s="108">
        <v>42459</v>
      </c>
      <c r="N543" s="108" t="s">
        <v>273</v>
      </c>
      <c r="O543" s="108" t="s">
        <v>2306</v>
      </c>
      <c r="P543" s="108" t="s">
        <v>2306</v>
      </c>
      <c r="R543" s="145"/>
      <c r="S543" s="155" t="s">
        <v>3483</v>
      </c>
      <c r="T543" s="103" t="s">
        <v>2859</v>
      </c>
      <c r="U543" s="108" t="s">
        <v>3084</v>
      </c>
      <c r="V543" s="133" t="s">
        <v>2306</v>
      </c>
      <c r="W543" s="103" t="s">
        <v>156</v>
      </c>
      <c r="X543" s="108">
        <v>42501</v>
      </c>
      <c r="AB543" s="101" t="s">
        <v>273</v>
      </c>
    </row>
    <row r="544" spans="1:28" s="103" customFormat="1" x14ac:dyDescent="0.25">
      <c r="A544" s="101" t="s">
        <v>3165</v>
      </c>
      <c r="B544" s="103" t="s">
        <v>3166</v>
      </c>
      <c r="C544" s="103" t="s">
        <v>3049</v>
      </c>
      <c r="D544" s="103" t="s">
        <v>119</v>
      </c>
      <c r="E544" s="103" t="s">
        <v>174</v>
      </c>
      <c r="F544" s="103" t="s">
        <v>3338</v>
      </c>
      <c r="G544" s="103" t="s">
        <v>3349</v>
      </c>
      <c r="H544" s="111" t="s">
        <v>1411</v>
      </c>
      <c r="I544" s="103" t="s">
        <v>2375</v>
      </c>
      <c r="J544" s="103" t="s">
        <v>3346</v>
      </c>
      <c r="K544" s="108">
        <v>42465</v>
      </c>
      <c r="L544" s="103">
        <f t="shared" ca="1" si="18"/>
        <v>27</v>
      </c>
      <c r="M544" s="108">
        <v>42465</v>
      </c>
      <c r="N544" s="108" t="s">
        <v>2350</v>
      </c>
      <c r="O544" s="108" t="s">
        <v>2282</v>
      </c>
      <c r="P544" s="108">
        <v>42493</v>
      </c>
      <c r="Q544" s="103" t="s">
        <v>2350</v>
      </c>
      <c r="R544" s="44"/>
      <c r="S544" s="103" t="s">
        <v>3474</v>
      </c>
      <c r="T544" s="103" t="s">
        <v>2758</v>
      </c>
      <c r="U544" s="108" t="s">
        <v>2872</v>
      </c>
      <c r="V544" s="133">
        <v>42493</v>
      </c>
      <c r="W544" s="103" t="s">
        <v>156</v>
      </c>
      <c r="X544" s="108">
        <v>42492</v>
      </c>
      <c r="Y544" s="103">
        <v>20</v>
      </c>
      <c r="AB544" s="101" t="s">
        <v>2350</v>
      </c>
    </row>
    <row r="545" spans="1:28" s="103" customFormat="1" x14ac:dyDescent="0.25">
      <c r="A545" s="101" t="s">
        <v>3186</v>
      </c>
      <c r="B545" s="103" t="s">
        <v>3185</v>
      </c>
      <c r="C545" s="103" t="s">
        <v>3049</v>
      </c>
      <c r="D545" s="103" t="s">
        <v>2288</v>
      </c>
      <c r="E545" s="103" t="s">
        <v>1430</v>
      </c>
      <c r="F545" s="103" t="s">
        <v>3337</v>
      </c>
      <c r="G545" s="103" t="s">
        <v>3345</v>
      </c>
      <c r="H545" s="111" t="s">
        <v>1411</v>
      </c>
      <c r="I545" s="103" t="s">
        <v>2824</v>
      </c>
      <c r="J545" s="103" t="s">
        <v>97</v>
      </c>
      <c r="K545" s="108">
        <v>42466</v>
      </c>
      <c r="L545" s="103">
        <f t="shared" ca="1" si="18"/>
        <v>35</v>
      </c>
      <c r="M545" s="108">
        <v>42468</v>
      </c>
      <c r="N545" s="108" t="s">
        <v>2350</v>
      </c>
      <c r="O545" s="108" t="s">
        <v>2282</v>
      </c>
      <c r="P545" s="108">
        <v>42496</v>
      </c>
      <c r="Q545" s="103" t="s">
        <v>2350</v>
      </c>
      <c r="R545" s="44"/>
      <c r="S545" s="103" t="s">
        <v>3476</v>
      </c>
      <c r="T545" s="103" t="s">
        <v>2758</v>
      </c>
      <c r="U545" s="108" t="s">
        <v>2824</v>
      </c>
      <c r="V545" s="133" t="s">
        <v>2306</v>
      </c>
      <c r="W545" s="103" t="s">
        <v>156</v>
      </c>
      <c r="X545" s="108">
        <v>42501</v>
      </c>
      <c r="AB545" s="101" t="s">
        <v>273</v>
      </c>
    </row>
    <row r="546" spans="1:28" s="103" customFormat="1" x14ac:dyDescent="0.25">
      <c r="A546" s="101" t="s">
        <v>3135</v>
      </c>
      <c r="B546" s="103" t="s">
        <v>3136</v>
      </c>
      <c r="C546" s="103" t="s">
        <v>3049</v>
      </c>
      <c r="D546" s="103" t="s">
        <v>119</v>
      </c>
      <c r="E546" s="103" t="s">
        <v>1430</v>
      </c>
      <c r="F546" s="103" t="s">
        <v>3337</v>
      </c>
      <c r="G546" s="103" t="s">
        <v>3345</v>
      </c>
      <c r="H546" s="111" t="s">
        <v>1411</v>
      </c>
      <c r="I546" s="103" t="s">
        <v>2388</v>
      </c>
      <c r="J546" s="103" t="s">
        <v>3346</v>
      </c>
      <c r="K546" s="108">
        <v>42454</v>
      </c>
      <c r="L546" s="103">
        <f t="shared" ref="L546:L551" ca="1" si="19">IFERROR(IF(AND(W546&lt;&gt;"Concluído",W546&lt;&gt;"Cancelado"),TODAY()-K546+1,X546-K546),"")</f>
        <v>52</v>
      </c>
      <c r="M546" s="108">
        <v>42458</v>
      </c>
      <c r="N546" s="108" t="s">
        <v>2350</v>
      </c>
      <c r="O546" s="108" t="s">
        <v>2282</v>
      </c>
      <c r="P546" s="108">
        <v>42492</v>
      </c>
      <c r="Q546" s="103" t="s">
        <v>2350</v>
      </c>
      <c r="R546" s="44"/>
      <c r="S546" s="103" t="s">
        <v>3486</v>
      </c>
      <c r="T546" s="103" t="s">
        <v>2760</v>
      </c>
      <c r="U546" s="108" t="s">
        <v>2388</v>
      </c>
      <c r="V546" s="133">
        <v>42493</v>
      </c>
      <c r="W546" s="103" t="s">
        <v>156</v>
      </c>
      <c r="X546" s="108">
        <v>42506</v>
      </c>
      <c r="AB546" s="101" t="s">
        <v>2350</v>
      </c>
    </row>
    <row r="547" spans="1:28" s="103" customFormat="1" x14ac:dyDescent="0.25">
      <c r="A547" s="101" t="s">
        <v>2941</v>
      </c>
      <c r="B547" s="103" t="s">
        <v>2942</v>
      </c>
      <c r="C547" s="103" t="s">
        <v>3046</v>
      </c>
      <c r="D547" s="103" t="s">
        <v>2288</v>
      </c>
      <c r="E547" s="101" t="s">
        <v>1430</v>
      </c>
      <c r="F547" s="103" t="s">
        <v>3337</v>
      </c>
      <c r="G547" s="101" t="s">
        <v>3345</v>
      </c>
      <c r="H547" s="111" t="s">
        <v>245</v>
      </c>
      <c r="I547" s="103" t="s">
        <v>3360</v>
      </c>
      <c r="J547" s="103" t="s">
        <v>97</v>
      </c>
      <c r="K547" s="108">
        <v>42436</v>
      </c>
      <c r="L547" s="11">
        <f t="shared" ca="1" si="19"/>
        <v>71</v>
      </c>
      <c r="M547" s="108">
        <v>42451</v>
      </c>
      <c r="N547" s="108" t="s">
        <v>2350</v>
      </c>
      <c r="O547" s="108"/>
      <c r="P547" s="108">
        <v>42503</v>
      </c>
      <c r="Q547" s="103" t="s">
        <v>273</v>
      </c>
      <c r="R547" s="145"/>
      <c r="S547" s="103" t="s">
        <v>3492</v>
      </c>
      <c r="T547" s="103" t="s">
        <v>2851</v>
      </c>
      <c r="U547" s="103" t="s">
        <v>3360</v>
      </c>
      <c r="V547" s="108">
        <v>42503</v>
      </c>
      <c r="W547" s="103" t="s">
        <v>156</v>
      </c>
      <c r="X547" s="108">
        <v>42507</v>
      </c>
      <c r="Y547" s="103">
        <v>20</v>
      </c>
      <c r="AB547" s="101" t="s">
        <v>273</v>
      </c>
    </row>
    <row r="548" spans="1:28" s="103" customFormat="1" x14ac:dyDescent="0.25">
      <c r="A548" s="101" t="s">
        <v>1828</v>
      </c>
      <c r="B548" s="103" t="s">
        <v>3148</v>
      </c>
      <c r="C548" s="103" t="s">
        <v>3022</v>
      </c>
      <c r="D548" s="103" t="s">
        <v>2288</v>
      </c>
      <c r="E548" s="103" t="s">
        <v>174</v>
      </c>
      <c r="F548" s="103" t="s">
        <v>3338</v>
      </c>
      <c r="G548" s="103" t="s">
        <v>3349</v>
      </c>
      <c r="H548" s="111" t="s">
        <v>1411</v>
      </c>
      <c r="I548" s="103" t="s">
        <v>2394</v>
      </c>
      <c r="J548" s="103" t="s">
        <v>2256</v>
      </c>
      <c r="K548" s="108">
        <v>42321</v>
      </c>
      <c r="L548" s="103">
        <f t="shared" ca="1" si="19"/>
        <v>187</v>
      </c>
      <c r="M548" s="108">
        <v>42382</v>
      </c>
      <c r="N548" s="108" t="s">
        <v>273</v>
      </c>
      <c r="O548" s="108" t="s">
        <v>2306</v>
      </c>
      <c r="P548" s="108" t="s">
        <v>2306</v>
      </c>
      <c r="Q548" s="108" t="s">
        <v>2306</v>
      </c>
      <c r="R548" s="149"/>
      <c r="S548" s="103" t="s">
        <v>3511</v>
      </c>
      <c r="T548" s="103" t="s">
        <v>2758</v>
      </c>
      <c r="U548" s="108" t="s">
        <v>174</v>
      </c>
      <c r="V548" s="103" t="s">
        <v>348</v>
      </c>
      <c r="W548" s="103" t="s">
        <v>188</v>
      </c>
      <c r="X548" s="108">
        <v>42508</v>
      </c>
      <c r="AB548" s="101" t="s">
        <v>273</v>
      </c>
    </row>
    <row r="549" spans="1:28" s="103" customFormat="1" x14ac:dyDescent="0.25">
      <c r="A549" s="101" t="s">
        <v>3389</v>
      </c>
      <c r="B549" s="103" t="s">
        <v>3401</v>
      </c>
      <c r="C549" s="103" t="s">
        <v>3495</v>
      </c>
      <c r="D549" s="103" t="s">
        <v>2288</v>
      </c>
      <c r="E549" s="103" t="s">
        <v>1430</v>
      </c>
      <c r="F549" s="103" t="s">
        <v>3337</v>
      </c>
      <c r="G549" s="103" t="s">
        <v>3345</v>
      </c>
      <c r="H549" s="111" t="s">
        <v>245</v>
      </c>
      <c r="I549" s="103" t="s">
        <v>3345</v>
      </c>
      <c r="J549" s="103" t="s">
        <v>97</v>
      </c>
      <c r="K549" s="108">
        <v>42472</v>
      </c>
      <c r="L549" s="103">
        <f t="shared" ca="1" si="19"/>
        <v>36</v>
      </c>
      <c r="M549" s="108">
        <v>42496</v>
      </c>
      <c r="N549" s="108" t="s">
        <v>2306</v>
      </c>
      <c r="O549" s="108" t="s">
        <v>2306</v>
      </c>
      <c r="P549" s="108" t="s">
        <v>2306</v>
      </c>
      <c r="Q549" s="108" t="s">
        <v>2306</v>
      </c>
      <c r="R549" s="145"/>
      <c r="S549" s="162" t="s">
        <v>3510</v>
      </c>
      <c r="T549" s="103" t="s">
        <v>3496</v>
      </c>
      <c r="U549" s="108" t="s">
        <v>3497</v>
      </c>
      <c r="V549" s="103" t="s">
        <v>2306</v>
      </c>
      <c r="W549" s="103" t="s">
        <v>188</v>
      </c>
      <c r="X549" s="108">
        <v>42508</v>
      </c>
      <c r="Y549" s="103">
        <v>15</v>
      </c>
      <c r="AB549" s="101"/>
    </row>
    <row r="550" spans="1:28" s="103" customFormat="1" x14ac:dyDescent="0.25">
      <c r="A550" s="101" t="s">
        <v>3419</v>
      </c>
      <c r="B550" s="103" t="s">
        <v>3420</v>
      </c>
      <c r="C550" s="103" t="s">
        <v>3421</v>
      </c>
      <c r="D550" s="103" t="s">
        <v>2288</v>
      </c>
      <c r="E550" s="103" t="s">
        <v>1430</v>
      </c>
      <c r="F550" s="103" t="s">
        <v>3337</v>
      </c>
      <c r="G550" s="103" t="s">
        <v>3345</v>
      </c>
      <c r="H550" s="111" t="s">
        <v>280</v>
      </c>
      <c r="I550" s="103" t="s">
        <v>3345</v>
      </c>
      <c r="J550" s="103" t="s">
        <v>97</v>
      </c>
      <c r="K550" s="108">
        <v>42496</v>
      </c>
      <c r="L550" s="103">
        <f t="shared" ca="1" si="19"/>
        <v>4</v>
      </c>
      <c r="M550" s="108">
        <v>42496</v>
      </c>
      <c r="N550" s="108" t="s">
        <v>2306</v>
      </c>
      <c r="O550" s="108" t="s">
        <v>2306</v>
      </c>
      <c r="P550" s="108" t="s">
        <v>2306</v>
      </c>
      <c r="Q550" s="108" t="s">
        <v>2306</v>
      </c>
      <c r="R550" s="161"/>
      <c r="S550" s="43" t="s">
        <v>3504</v>
      </c>
      <c r="T550" s="103" t="s">
        <v>3452</v>
      </c>
      <c r="U550" s="103" t="s">
        <v>3203</v>
      </c>
      <c r="W550" s="103" t="s">
        <v>156</v>
      </c>
      <c r="X550" s="108">
        <v>42500</v>
      </c>
      <c r="AB550" s="101"/>
    </row>
    <row r="551" spans="1:28" s="103" customFormat="1" x14ac:dyDescent="0.25">
      <c r="A551" s="101" t="s">
        <v>2587</v>
      </c>
      <c r="B551" s="103" t="s">
        <v>2589</v>
      </c>
      <c r="C551" s="103" t="s">
        <v>3107</v>
      </c>
      <c r="D551" s="103" t="s">
        <v>2288</v>
      </c>
      <c r="E551" s="103" t="s">
        <v>1430</v>
      </c>
      <c r="F551" s="103" t="s">
        <v>3337</v>
      </c>
      <c r="G551" s="103" t="s">
        <v>3378</v>
      </c>
      <c r="H551" s="111" t="s">
        <v>2130</v>
      </c>
      <c r="I551" s="103" t="s">
        <v>2677</v>
      </c>
      <c r="J551" s="103" t="s">
        <v>97</v>
      </c>
      <c r="K551" s="108">
        <v>42389</v>
      </c>
      <c r="L551" s="11">
        <f t="shared" ca="1" si="19"/>
        <v>104</v>
      </c>
      <c r="M551" s="108">
        <v>42397</v>
      </c>
      <c r="N551" s="108" t="s">
        <v>273</v>
      </c>
      <c r="O551" s="108" t="s">
        <v>3379</v>
      </c>
      <c r="P551" s="108" t="s">
        <v>3379</v>
      </c>
      <c r="Q551" s="108" t="s">
        <v>3379</v>
      </c>
      <c r="R551" s="50"/>
      <c r="S551" s="155" t="s">
        <v>3451</v>
      </c>
      <c r="T551" s="103" t="s">
        <v>2755</v>
      </c>
      <c r="U551" s="108" t="s">
        <v>2888</v>
      </c>
      <c r="W551" s="103" t="s">
        <v>156</v>
      </c>
      <c r="X551" s="108">
        <v>42493</v>
      </c>
      <c r="Z551" s="101" t="s">
        <v>273</v>
      </c>
      <c r="AA551" s="108" t="s">
        <v>1356</v>
      </c>
      <c r="AB551" s="101" t="s">
        <v>273</v>
      </c>
    </row>
    <row r="552" spans="1:28" s="103" customFormat="1" x14ac:dyDescent="0.25">
      <c r="A552" s="101" t="s">
        <v>2516</v>
      </c>
      <c r="B552" s="103" t="s">
        <v>1298</v>
      </c>
      <c r="C552" s="103" t="s">
        <v>3023</v>
      </c>
      <c r="D552" s="103" t="s">
        <v>118</v>
      </c>
      <c r="E552" s="103" t="s">
        <v>317</v>
      </c>
      <c r="F552" s="103" t="s">
        <v>3338</v>
      </c>
      <c r="G552" s="103" t="s">
        <v>3349</v>
      </c>
      <c r="H552" s="111" t="s">
        <v>1411</v>
      </c>
      <c r="I552" s="103" t="s">
        <v>2872</v>
      </c>
      <c r="J552" s="103" t="s">
        <v>97</v>
      </c>
      <c r="K552" s="108">
        <v>42269</v>
      </c>
      <c r="L552" s="11">
        <f ca="1">IFERROR(IF(AND(W552&lt;&gt;"Concluído",W552&lt;&gt;"Cancelado"),TODAY()-K552+1,X552-K552),"")</f>
        <v>245</v>
      </c>
      <c r="M552" s="108">
        <v>42326</v>
      </c>
      <c r="N552" s="108" t="s">
        <v>273</v>
      </c>
      <c r="O552" s="108">
        <v>42503</v>
      </c>
      <c r="P552" s="108">
        <v>42510</v>
      </c>
      <c r="Q552" s="103" t="s">
        <v>2306</v>
      </c>
      <c r="R552" s="44"/>
      <c r="S552" s="103" t="s">
        <v>3601</v>
      </c>
      <c r="T552" s="103" t="s">
        <v>2758</v>
      </c>
      <c r="U552" s="108" t="s">
        <v>2872</v>
      </c>
      <c r="V552" s="133" t="s">
        <v>2306</v>
      </c>
      <c r="W552" s="103" t="s">
        <v>156</v>
      </c>
      <c r="X552" s="108">
        <v>42514</v>
      </c>
      <c r="AB552" s="101" t="s">
        <v>2350</v>
      </c>
    </row>
    <row r="553" spans="1:28" s="103" customFormat="1" x14ac:dyDescent="0.25">
      <c r="A553" s="101" t="s">
        <v>984</v>
      </c>
      <c r="B553" s="103" t="s">
        <v>985</v>
      </c>
      <c r="C553" s="103" t="s">
        <v>3048</v>
      </c>
      <c r="D553" s="103" t="s">
        <v>118</v>
      </c>
      <c r="E553" s="103" t="s">
        <v>161</v>
      </c>
      <c r="F553" s="103" t="s">
        <v>3339</v>
      </c>
      <c r="G553" s="103" t="s">
        <v>3352</v>
      </c>
      <c r="H553" s="111" t="s">
        <v>2451</v>
      </c>
      <c r="I553" s="103" t="s">
        <v>3020</v>
      </c>
      <c r="J553" s="103" t="s">
        <v>97</v>
      </c>
      <c r="K553" s="108">
        <v>42214</v>
      </c>
      <c r="L553" s="11">
        <f ca="1">IFERROR(IF(AND(W553&lt;&gt;"Concluído",W553&lt;&gt;"Cancelado"),TODAY()-K553+1,X553-K553),"")</f>
        <v>301</v>
      </c>
      <c r="M553" s="108">
        <v>42361</v>
      </c>
      <c r="N553" s="108" t="s">
        <v>2350</v>
      </c>
      <c r="O553" s="108">
        <v>42388</v>
      </c>
      <c r="P553" s="108">
        <v>42495</v>
      </c>
      <c r="Q553" s="103" t="s">
        <v>2350</v>
      </c>
      <c r="R553" s="44"/>
      <c r="S553" s="103" t="s">
        <v>3614</v>
      </c>
      <c r="T553" s="103" t="s">
        <v>2345</v>
      </c>
      <c r="U553" s="108" t="s">
        <v>2816</v>
      </c>
      <c r="V553" s="133">
        <v>42476</v>
      </c>
      <c r="W553" s="103" t="s">
        <v>156</v>
      </c>
      <c r="X553" s="108">
        <v>42515</v>
      </c>
      <c r="Y553" s="103">
        <v>75</v>
      </c>
      <c r="Z553" s="108" t="s">
        <v>273</v>
      </c>
      <c r="AA553" s="108" t="s">
        <v>2282</v>
      </c>
      <c r="AB553" s="101" t="s">
        <v>273</v>
      </c>
    </row>
    <row r="554" spans="1:28" s="103" customFormat="1" x14ac:dyDescent="0.25">
      <c r="A554" s="101" t="s">
        <v>2613</v>
      </c>
      <c r="B554" s="103" t="s">
        <v>2614</v>
      </c>
      <c r="C554" s="103" t="s">
        <v>3040</v>
      </c>
      <c r="D554" s="103" t="s">
        <v>2288</v>
      </c>
      <c r="E554" s="103" t="s">
        <v>1430</v>
      </c>
      <c r="F554" s="103" t="s">
        <v>3337</v>
      </c>
      <c r="G554" s="103" t="s">
        <v>3345</v>
      </c>
      <c r="H554" s="111" t="s">
        <v>245</v>
      </c>
      <c r="J554" s="103" t="s">
        <v>97</v>
      </c>
      <c r="K554" s="108">
        <v>42395</v>
      </c>
      <c r="L554" s="11">
        <f ca="1">IFERROR(IF(AND(W554&lt;&gt;"Concluído",W554&lt;&gt;"Cancelado"),TODAY()-K554+1,X554-K554),"")</f>
        <v>128</v>
      </c>
      <c r="M554" s="108">
        <v>42401</v>
      </c>
      <c r="N554" s="108" t="s">
        <v>3358</v>
      </c>
      <c r="O554" s="108">
        <v>42505</v>
      </c>
      <c r="P554" s="108" t="s">
        <v>2306</v>
      </c>
      <c r="Q554" s="103" t="s">
        <v>2306</v>
      </c>
      <c r="R554" s="45"/>
      <c r="S554" s="103" t="s">
        <v>3602</v>
      </c>
      <c r="T554" s="103" t="s">
        <v>3434</v>
      </c>
      <c r="U554" s="103" t="s">
        <v>2761</v>
      </c>
      <c r="V554" s="133">
        <v>42510</v>
      </c>
      <c r="W554" s="103" t="s">
        <v>3305</v>
      </c>
      <c r="X554" s="108">
        <v>42515</v>
      </c>
      <c r="Y554" s="103">
        <v>240</v>
      </c>
      <c r="Z554" s="108" t="s">
        <v>273</v>
      </c>
      <c r="AA554" s="108" t="s">
        <v>2282</v>
      </c>
      <c r="AB554" s="101" t="s">
        <v>273</v>
      </c>
    </row>
    <row r="555" spans="1:28" s="103" customFormat="1" x14ac:dyDescent="0.25">
      <c r="A555" s="101" t="s">
        <v>1329</v>
      </c>
      <c r="B555" s="103" t="s">
        <v>1330</v>
      </c>
      <c r="C555" s="103" t="s">
        <v>3022</v>
      </c>
      <c r="D555" s="103" t="s">
        <v>2288</v>
      </c>
      <c r="E555" s="103" t="s">
        <v>174</v>
      </c>
      <c r="F555" s="103" t="s">
        <v>3338</v>
      </c>
      <c r="G555" s="103" t="s">
        <v>3349</v>
      </c>
      <c r="H555" s="111" t="s">
        <v>1411</v>
      </c>
      <c r="I555" s="103" t="s">
        <v>3080</v>
      </c>
      <c r="J555" s="103" t="s">
        <v>97</v>
      </c>
      <c r="K555" s="108">
        <v>42643</v>
      </c>
      <c r="L555" s="103" t="s">
        <v>348</v>
      </c>
      <c r="M555" s="108">
        <v>42388</v>
      </c>
      <c r="N555" s="108" t="s">
        <v>2350</v>
      </c>
      <c r="O555" s="108" t="s">
        <v>2282</v>
      </c>
      <c r="P555" s="108">
        <v>42510</v>
      </c>
      <c r="Q555" s="103" t="s">
        <v>2350</v>
      </c>
      <c r="R555" s="44"/>
      <c r="S555" s="103" t="s">
        <v>3600</v>
      </c>
      <c r="T555" s="103" t="s">
        <v>2755</v>
      </c>
      <c r="U555" s="108" t="s">
        <v>3473</v>
      </c>
      <c r="V555" s="133">
        <v>42509</v>
      </c>
      <c r="W555" s="103" t="s">
        <v>156</v>
      </c>
      <c r="X555" s="108">
        <v>42514</v>
      </c>
      <c r="AB555" s="101" t="s">
        <v>273</v>
      </c>
    </row>
    <row r="556" spans="1:28" s="103" customFormat="1" x14ac:dyDescent="0.25">
      <c r="A556" s="101" t="s">
        <v>3171</v>
      </c>
      <c r="B556" s="103" t="s">
        <v>3172</v>
      </c>
      <c r="C556" s="103" t="s">
        <v>3022</v>
      </c>
      <c r="D556" s="103" t="s">
        <v>2288</v>
      </c>
      <c r="E556" s="103" t="s">
        <v>174</v>
      </c>
      <c r="F556" s="103" t="s">
        <v>3338</v>
      </c>
      <c r="G556" s="103" t="s">
        <v>3349</v>
      </c>
      <c r="H556" s="111" t="s">
        <v>1411</v>
      </c>
      <c r="I556" s="103" t="s">
        <v>2394</v>
      </c>
      <c r="J556" s="103" t="s">
        <v>2256</v>
      </c>
      <c r="K556" s="108">
        <v>42461</v>
      </c>
      <c r="L556" s="103">
        <f t="shared" ref="L556:L562" ca="1" si="20">IFERROR(IF(AND(W556&lt;&gt;"Concluído",W556&lt;&gt;"Cancelado"),TODAY()-K556+1,X556-K556),"")</f>
        <v>52</v>
      </c>
      <c r="M556" s="108">
        <v>42466</v>
      </c>
      <c r="N556" s="108" t="s">
        <v>2306</v>
      </c>
      <c r="O556" s="108" t="s">
        <v>2306</v>
      </c>
      <c r="P556" s="108" t="s">
        <v>2306</v>
      </c>
      <c r="Q556" s="103" t="s">
        <v>2306</v>
      </c>
      <c r="R556" s="44"/>
      <c r="S556" s="103" t="s">
        <v>3591</v>
      </c>
      <c r="T556" s="103" t="s">
        <v>2758</v>
      </c>
      <c r="U556" s="108" t="s">
        <v>2394</v>
      </c>
      <c r="V556" s="103" t="s">
        <v>348</v>
      </c>
      <c r="W556" s="103" t="s">
        <v>188</v>
      </c>
      <c r="X556" s="108">
        <v>42513</v>
      </c>
      <c r="AB556" s="101" t="s">
        <v>273</v>
      </c>
    </row>
    <row r="557" spans="1:28" s="103" customFormat="1" x14ac:dyDescent="0.25">
      <c r="A557" s="101" t="s">
        <v>3179</v>
      </c>
      <c r="B557" s="7" t="s">
        <v>3182</v>
      </c>
      <c r="D557" s="103" t="s">
        <v>118</v>
      </c>
      <c r="E557" s="103" t="s">
        <v>1430</v>
      </c>
      <c r="F557" s="103" t="s">
        <v>3337</v>
      </c>
      <c r="G557" s="103" t="s">
        <v>3345</v>
      </c>
      <c r="H557" s="111" t="s">
        <v>280</v>
      </c>
      <c r="I557" s="103" t="s">
        <v>2773</v>
      </c>
      <c r="J557" s="103" t="s">
        <v>97</v>
      </c>
      <c r="K557" s="108">
        <v>42466</v>
      </c>
      <c r="L557" s="103">
        <f t="shared" ca="1" si="20"/>
        <v>43</v>
      </c>
      <c r="M557" s="108">
        <v>42468</v>
      </c>
      <c r="N557" s="108" t="s">
        <v>2350</v>
      </c>
      <c r="O557" s="108">
        <v>42492</v>
      </c>
      <c r="P557" s="108">
        <v>42513</v>
      </c>
      <c r="Q557" s="108" t="s">
        <v>2350</v>
      </c>
      <c r="R557" s="44"/>
      <c r="S557" s="103" t="s">
        <v>3615</v>
      </c>
      <c r="T557" s="103" t="s">
        <v>2758</v>
      </c>
      <c r="U557" s="108" t="s">
        <v>2402</v>
      </c>
      <c r="V557" s="133">
        <v>42501</v>
      </c>
      <c r="W557" s="103" t="s">
        <v>156</v>
      </c>
      <c r="X557" s="108">
        <v>42509</v>
      </c>
      <c r="Y557" s="101">
        <v>247</v>
      </c>
      <c r="AB557" s="101" t="s">
        <v>2350</v>
      </c>
    </row>
    <row r="558" spans="1:28" s="103" customFormat="1" x14ac:dyDescent="0.25">
      <c r="A558" s="101" t="s">
        <v>3192</v>
      </c>
      <c r="B558" s="7" t="s">
        <v>3371</v>
      </c>
      <c r="D558" s="103" t="s">
        <v>2288</v>
      </c>
      <c r="E558" s="103" t="s">
        <v>1430</v>
      </c>
      <c r="F558" s="103" t="s">
        <v>3337</v>
      </c>
      <c r="G558" s="103" t="s">
        <v>3345</v>
      </c>
      <c r="H558" s="111" t="s">
        <v>280</v>
      </c>
      <c r="I558" s="103" t="s">
        <v>3191</v>
      </c>
      <c r="J558" s="103" t="s">
        <v>97</v>
      </c>
      <c r="K558" s="108">
        <v>42466</v>
      </c>
      <c r="L558" s="103">
        <f t="shared" ca="1" si="20"/>
        <v>44</v>
      </c>
      <c r="M558" s="108">
        <v>42468</v>
      </c>
      <c r="N558" s="108" t="s">
        <v>273</v>
      </c>
      <c r="O558" s="108" t="s">
        <v>2306</v>
      </c>
      <c r="P558" s="108" t="s">
        <v>2306</v>
      </c>
      <c r="Q558" s="108" t="s">
        <v>2306</v>
      </c>
      <c r="R558" s="46"/>
      <c r="S558" s="103" t="s">
        <v>3563</v>
      </c>
      <c r="T558" s="103" t="s">
        <v>2758</v>
      </c>
      <c r="U558" s="108" t="s">
        <v>3191</v>
      </c>
      <c r="V558" s="103" t="s">
        <v>2306</v>
      </c>
      <c r="W558" s="103" t="s">
        <v>188</v>
      </c>
      <c r="X558" s="108">
        <v>42510</v>
      </c>
      <c r="AB558" s="101" t="s">
        <v>273</v>
      </c>
    </row>
    <row r="559" spans="1:28" s="103" customFormat="1" x14ac:dyDescent="0.25">
      <c r="A559" s="101" t="s">
        <v>3309</v>
      </c>
      <c r="B559" s="103" t="s">
        <v>3310</v>
      </c>
      <c r="C559" s="103" t="s">
        <v>3311</v>
      </c>
      <c r="D559" s="103" t="s">
        <v>118</v>
      </c>
      <c r="E559" s="103" t="s">
        <v>106</v>
      </c>
      <c r="F559" s="103" t="s">
        <v>3336</v>
      </c>
      <c r="G559" s="103" t="s">
        <v>3342</v>
      </c>
      <c r="H559" s="111" t="s">
        <v>2407</v>
      </c>
      <c r="I559" s="103" t="s">
        <v>2576</v>
      </c>
      <c r="J559" s="103" t="s">
        <v>3346</v>
      </c>
      <c r="K559" s="108">
        <v>42471</v>
      </c>
      <c r="L559" s="103">
        <f t="shared" ca="1" si="20"/>
        <v>42</v>
      </c>
      <c r="M559" s="108">
        <v>42474</v>
      </c>
      <c r="N559" s="108" t="s">
        <v>273</v>
      </c>
      <c r="O559" s="108" t="s">
        <v>2306</v>
      </c>
      <c r="P559" s="108" t="s">
        <v>2306</v>
      </c>
      <c r="Q559" s="108" t="s">
        <v>2306</v>
      </c>
      <c r="R559" s="146"/>
      <c r="S559" s="103" t="s">
        <v>3613</v>
      </c>
      <c r="T559" s="103" t="s">
        <v>2758</v>
      </c>
      <c r="U559" s="108" t="s">
        <v>2950</v>
      </c>
      <c r="V559" s="103" t="s">
        <v>2525</v>
      </c>
      <c r="W559" s="103" t="s">
        <v>188</v>
      </c>
      <c r="X559" s="108">
        <v>42513</v>
      </c>
      <c r="AB559" s="101" t="s">
        <v>273</v>
      </c>
    </row>
    <row r="560" spans="1:28" s="103" customFormat="1" x14ac:dyDescent="0.25">
      <c r="A560" s="101" t="s">
        <v>3550</v>
      </c>
      <c r="B560" s="103" t="s">
        <v>3556</v>
      </c>
      <c r="C560" s="103" t="s">
        <v>3560</v>
      </c>
      <c r="D560" s="103" t="s">
        <v>119</v>
      </c>
      <c r="E560" s="103" t="s">
        <v>1430</v>
      </c>
      <c r="H560" s="111" t="s">
        <v>3418</v>
      </c>
      <c r="I560" s="103" t="s">
        <v>2388</v>
      </c>
      <c r="J560" s="103" t="s">
        <v>3346</v>
      </c>
      <c r="K560" s="108">
        <v>42509</v>
      </c>
      <c r="L560" s="11">
        <f t="shared" ca="1" si="20"/>
        <v>4</v>
      </c>
      <c r="M560" s="108">
        <v>42510</v>
      </c>
      <c r="N560" s="108" t="s">
        <v>2306</v>
      </c>
      <c r="O560" s="108" t="s">
        <v>2306</v>
      </c>
      <c r="P560" s="108">
        <v>42522</v>
      </c>
      <c r="Q560" s="103" t="s">
        <v>2389</v>
      </c>
      <c r="R560" s="145"/>
      <c r="S560" s="109" t="s">
        <v>3562</v>
      </c>
      <c r="T560" s="109"/>
      <c r="U560" s="110"/>
      <c r="V560" s="109"/>
      <c r="W560" s="109" t="s">
        <v>156</v>
      </c>
      <c r="X560" s="110">
        <v>42513</v>
      </c>
      <c r="Y560" s="109">
        <v>6</v>
      </c>
      <c r="Z560" s="109"/>
      <c r="AA560" s="109"/>
      <c r="AB560" s="101"/>
    </row>
    <row r="561" spans="1:28" s="103" customFormat="1" x14ac:dyDescent="0.25">
      <c r="A561" s="101" t="s">
        <v>3340</v>
      </c>
      <c r="B561" s="103" t="s">
        <v>3341</v>
      </c>
      <c r="C561" s="103" t="s">
        <v>3023</v>
      </c>
      <c r="D561" s="103" t="s">
        <v>2288</v>
      </c>
      <c r="E561" s="103" t="s">
        <v>161</v>
      </c>
      <c r="F561" s="103" t="s">
        <v>3336</v>
      </c>
      <c r="G561" s="103" t="s">
        <v>3342</v>
      </c>
      <c r="H561" s="111" t="s">
        <v>1411</v>
      </c>
      <c r="I561" s="103" t="s">
        <v>2766</v>
      </c>
      <c r="J561" s="103" t="s">
        <v>2256</v>
      </c>
      <c r="K561" s="108">
        <v>42489</v>
      </c>
      <c r="L561" s="103">
        <f t="shared" ca="1" si="20"/>
        <v>32</v>
      </c>
      <c r="M561" s="108">
        <v>42489</v>
      </c>
      <c r="N561" s="108" t="s">
        <v>273</v>
      </c>
      <c r="O561" s="108" t="s">
        <v>2306</v>
      </c>
      <c r="P561" s="108" t="s">
        <v>2306</v>
      </c>
      <c r="Q561" s="103" t="s">
        <v>2306</v>
      </c>
      <c r="R561" s="145"/>
      <c r="S561" s="103" t="s">
        <v>3509</v>
      </c>
      <c r="T561" s="103" t="s">
        <v>2844</v>
      </c>
      <c r="U561" s="108"/>
      <c r="W561" s="103" t="s">
        <v>188</v>
      </c>
      <c r="X561" s="108">
        <v>42521</v>
      </c>
      <c r="AB561" s="101" t="s">
        <v>273</v>
      </c>
    </row>
    <row r="562" spans="1:28" s="103" customFormat="1" x14ac:dyDescent="0.25">
      <c r="A562" s="101" t="s">
        <v>3512</v>
      </c>
      <c r="B562" s="103" t="s">
        <v>386</v>
      </c>
      <c r="C562" s="103" t="s">
        <v>3049</v>
      </c>
      <c r="D562" s="103" t="s">
        <v>119</v>
      </c>
      <c r="E562" s="103" t="s">
        <v>1430</v>
      </c>
      <c r="F562" s="103" t="s">
        <v>3337</v>
      </c>
      <c r="G562" s="103" t="s">
        <v>3345</v>
      </c>
      <c r="H562" s="111" t="s">
        <v>1411</v>
      </c>
      <c r="I562" s="103" t="s">
        <v>2388</v>
      </c>
      <c r="J562" s="103" t="s">
        <v>3346</v>
      </c>
      <c r="K562" s="108">
        <v>42486</v>
      </c>
      <c r="L562" s="11">
        <f t="shared" ca="1" si="20"/>
        <v>29</v>
      </c>
      <c r="M562" s="108">
        <v>42494</v>
      </c>
      <c r="N562" s="108" t="s">
        <v>2350</v>
      </c>
      <c r="O562" s="108">
        <v>42501</v>
      </c>
      <c r="P562" s="108">
        <v>42513</v>
      </c>
      <c r="Q562" s="103" t="s">
        <v>2350</v>
      </c>
      <c r="R562" s="50"/>
      <c r="S562" s="162" t="s">
        <v>3663</v>
      </c>
      <c r="T562" s="103" t="s">
        <v>2758</v>
      </c>
      <c r="U562" s="108" t="s">
        <v>2388</v>
      </c>
      <c r="V562" s="133">
        <v>42515</v>
      </c>
      <c r="W562" s="103" t="s">
        <v>156</v>
      </c>
      <c r="X562" s="108">
        <v>42515</v>
      </c>
      <c r="Y562" s="103">
        <v>20</v>
      </c>
      <c r="AB562" s="101"/>
    </row>
    <row r="563" spans="1:28" s="103" customFormat="1" x14ac:dyDescent="0.25">
      <c r="A563" s="101" t="s">
        <v>306</v>
      </c>
      <c r="B563" s="103" t="s">
        <v>307</v>
      </c>
      <c r="C563" s="103" t="s">
        <v>3074</v>
      </c>
      <c r="D563" s="103" t="s">
        <v>2288</v>
      </c>
      <c r="E563" s="103" t="s">
        <v>1430</v>
      </c>
      <c r="F563" s="103" t="s">
        <v>3337</v>
      </c>
      <c r="G563" s="103" t="s">
        <v>3345</v>
      </c>
      <c r="H563" s="111" t="s">
        <v>246</v>
      </c>
      <c r="I563" s="103" t="s">
        <v>2400</v>
      </c>
      <c r="J563" s="103" t="s">
        <v>3346</v>
      </c>
      <c r="K563" s="108">
        <v>42187.679166666669</v>
      </c>
      <c r="L563" s="11">
        <f ca="1">IFERROR(IF(AND(W563&lt;&gt;"Concluído",W563&lt;&gt;"Cancelado"),TODAY()-K563+1,X563-K563),"")</f>
        <v>327.32083333333139</v>
      </c>
      <c r="M563" s="108">
        <v>42272</v>
      </c>
      <c r="N563" s="108" t="s">
        <v>273</v>
      </c>
      <c r="O563" s="108" t="s">
        <v>2306</v>
      </c>
      <c r="P563" s="108" t="s">
        <v>2306</v>
      </c>
      <c r="Q563" s="108" t="s">
        <v>2306</v>
      </c>
      <c r="R563" s="45"/>
      <c r="S563" s="115" t="s">
        <v>3836</v>
      </c>
      <c r="T563" s="103" t="s">
        <v>2782</v>
      </c>
      <c r="U563" s="108" t="s">
        <v>2400</v>
      </c>
      <c r="V563" s="103" t="s">
        <v>2306</v>
      </c>
      <c r="W563" s="103" t="s">
        <v>188</v>
      </c>
      <c r="X563" s="108">
        <v>42515</v>
      </c>
      <c r="Y563" s="103">
        <v>10</v>
      </c>
      <c r="Z563" s="108" t="s">
        <v>2350</v>
      </c>
      <c r="AA563" s="108" t="s">
        <v>1356</v>
      </c>
      <c r="AB563" s="101" t="s">
        <v>273</v>
      </c>
    </row>
    <row r="564" spans="1:28" s="103" customFormat="1" x14ac:dyDescent="0.25">
      <c r="A564" s="101" t="s">
        <v>2669</v>
      </c>
      <c r="B564" s="169" t="s">
        <v>2670</v>
      </c>
      <c r="C564" s="103" t="s">
        <v>3108</v>
      </c>
      <c r="D564" s="103" t="s">
        <v>2288</v>
      </c>
      <c r="E564" s="103" t="s">
        <v>1430</v>
      </c>
      <c r="F564" s="103" t="s">
        <v>3337</v>
      </c>
      <c r="G564" s="103" t="s">
        <v>3360</v>
      </c>
      <c r="H564" s="111" t="s">
        <v>2130</v>
      </c>
      <c r="I564" s="103" t="s">
        <v>2620</v>
      </c>
      <c r="J564" s="103" t="s">
        <v>97</v>
      </c>
      <c r="K564" s="108">
        <v>42397</v>
      </c>
      <c r="L564" s="11">
        <f ca="1">IFERROR(IF(AND(W564&lt;&gt;"Concluído",W564&lt;&gt;"Cancelado"),TODAY()-K564+1,X564-K564),"")</f>
        <v>117</v>
      </c>
      <c r="M564" s="108">
        <v>42404</v>
      </c>
      <c r="N564" s="108" t="s">
        <v>273</v>
      </c>
      <c r="O564" s="108" t="s">
        <v>2306</v>
      </c>
      <c r="P564" s="108" t="s">
        <v>2306</v>
      </c>
      <c r="Q564" s="103" t="s">
        <v>3795</v>
      </c>
      <c r="R564" s="148" t="s">
        <v>282</v>
      </c>
      <c r="S564" s="115" t="s">
        <v>3796</v>
      </c>
      <c r="U564" s="108"/>
      <c r="V564" s="133"/>
      <c r="W564" s="162" t="s">
        <v>156</v>
      </c>
      <c r="X564" s="108">
        <v>42514</v>
      </c>
      <c r="Z564" s="101" t="s">
        <v>273</v>
      </c>
      <c r="AB564" s="101" t="s">
        <v>273</v>
      </c>
    </row>
    <row r="565" spans="1:28" s="103" customFormat="1" x14ac:dyDescent="0.25">
      <c r="A565" s="101" t="s">
        <v>3027</v>
      </c>
      <c r="B565" s="103" t="s">
        <v>3028</v>
      </c>
      <c r="C565" s="103" t="s">
        <v>3023</v>
      </c>
      <c r="D565" s="103" t="s">
        <v>2288</v>
      </c>
      <c r="E565" s="103" t="s">
        <v>159</v>
      </c>
      <c r="F565" s="103" t="s">
        <v>3339</v>
      </c>
      <c r="G565" s="103" t="s">
        <v>3373</v>
      </c>
      <c r="H565" s="111" t="s">
        <v>2130</v>
      </c>
      <c r="I565" s="103" t="s">
        <v>2606</v>
      </c>
      <c r="J565" s="103" t="s">
        <v>2256</v>
      </c>
      <c r="K565" s="108">
        <v>42450</v>
      </c>
      <c r="L565" s="103">
        <f ca="1">IFERROR(IF(AND(W565&lt;&gt;"Concluído",W565&lt;&gt;"Cancelado"),TODAY()-K565+1,X565-K565),"")</f>
        <v>71</v>
      </c>
      <c r="M565" s="108">
        <v>42457</v>
      </c>
      <c r="N565" s="108" t="s">
        <v>2350</v>
      </c>
      <c r="O565" s="108" t="s">
        <v>2306</v>
      </c>
      <c r="P565" s="108">
        <v>42497</v>
      </c>
      <c r="Q565" s="103" t="s">
        <v>273</v>
      </c>
      <c r="R565" s="148" t="s">
        <v>282</v>
      </c>
      <c r="S565" s="155" t="s">
        <v>3803</v>
      </c>
      <c r="U565" s="108"/>
      <c r="W565" s="162" t="s">
        <v>156</v>
      </c>
      <c r="X565" s="108">
        <v>42521</v>
      </c>
      <c r="AB565" s="101" t="s">
        <v>273</v>
      </c>
    </row>
    <row r="566" spans="1:28" s="103" customFormat="1" x14ac:dyDescent="0.25">
      <c r="A566" s="101" t="s">
        <v>3424</v>
      </c>
      <c r="B566" s="103" t="s">
        <v>3425</v>
      </c>
      <c r="C566" s="103" t="s">
        <v>3426</v>
      </c>
      <c r="D566" s="103" t="s">
        <v>119</v>
      </c>
      <c r="E566" s="103" t="s">
        <v>1430</v>
      </c>
      <c r="F566" s="103" t="s">
        <v>3337</v>
      </c>
      <c r="G566" s="103" t="s">
        <v>3345</v>
      </c>
      <c r="H566" s="111" t="s">
        <v>3418</v>
      </c>
      <c r="I566" s="103" t="s">
        <v>3345</v>
      </c>
      <c r="J566" s="103" t="s">
        <v>3346</v>
      </c>
      <c r="K566" s="108">
        <v>42493</v>
      </c>
      <c r="L566" s="103">
        <f ca="1">IFERROR(IF(AND(W566&lt;&gt;"Concluído",W566&lt;&gt;"Cancelado"),TODAY()-K566+1,X566-K566),"")</f>
        <v>28</v>
      </c>
      <c r="M566" s="108">
        <v>42499</v>
      </c>
      <c r="N566" s="108" t="s">
        <v>2306</v>
      </c>
      <c r="O566" s="108" t="s">
        <v>2306</v>
      </c>
      <c r="P566" s="108" t="s">
        <v>2306</v>
      </c>
      <c r="Q566" s="108" t="s">
        <v>2306</v>
      </c>
      <c r="R566" s="145"/>
      <c r="S566" s="162" t="s">
        <v>3827</v>
      </c>
      <c r="T566" s="103" t="s">
        <v>2859</v>
      </c>
      <c r="U566" s="108" t="s">
        <v>3418</v>
      </c>
      <c r="V566" s="103" t="s">
        <v>2306</v>
      </c>
      <c r="W566" s="103" t="s">
        <v>156</v>
      </c>
      <c r="X566" s="108">
        <v>42521</v>
      </c>
      <c r="Y566" s="103">
        <v>60</v>
      </c>
      <c r="AB566" s="101"/>
    </row>
    <row r="567" spans="1:28" s="103" customFormat="1" x14ac:dyDescent="0.25">
      <c r="A567" s="101" t="s">
        <v>3427</v>
      </c>
      <c r="B567" s="103" t="s">
        <v>3428</v>
      </c>
      <c r="C567" s="103" t="s">
        <v>3426</v>
      </c>
      <c r="D567" s="103" t="s">
        <v>119</v>
      </c>
      <c r="E567" s="103" t="s">
        <v>1430</v>
      </c>
      <c r="F567" s="103" t="s">
        <v>3337</v>
      </c>
      <c r="G567" s="103" t="s">
        <v>3345</v>
      </c>
      <c r="H567" s="111" t="s">
        <v>3418</v>
      </c>
      <c r="I567" s="103" t="s">
        <v>3345</v>
      </c>
      <c r="J567" s="103" t="s">
        <v>3346</v>
      </c>
      <c r="K567" s="108">
        <v>42493</v>
      </c>
      <c r="L567" s="103">
        <f ca="1">IFERROR(IF(AND(W567&lt;&gt;"Concluído",W567&lt;&gt;"Cancelado"),TODAY()-K567+1,X567-K567),"")</f>
        <v>28</v>
      </c>
      <c r="M567" s="108">
        <v>42499</v>
      </c>
      <c r="N567" s="108" t="s">
        <v>2306</v>
      </c>
      <c r="O567" s="108" t="s">
        <v>2306</v>
      </c>
      <c r="P567" s="108" t="s">
        <v>2306</v>
      </c>
      <c r="Q567" s="108" t="s">
        <v>2306</v>
      </c>
      <c r="R567" s="145"/>
      <c r="S567" s="162" t="s">
        <v>3828</v>
      </c>
      <c r="T567" s="103" t="s">
        <v>2859</v>
      </c>
      <c r="U567" s="108" t="s">
        <v>3418</v>
      </c>
      <c r="V567" s="103" t="s">
        <v>2306</v>
      </c>
      <c r="W567" s="103" t="s">
        <v>156</v>
      </c>
      <c r="X567" s="108">
        <v>42521</v>
      </c>
      <c r="Y567" s="103">
        <v>4</v>
      </c>
      <c r="AB567" s="101"/>
    </row>
    <row r="568" spans="1:28" s="103" customFormat="1" x14ac:dyDescent="0.25">
      <c r="A568" s="101" t="s">
        <v>3542</v>
      </c>
      <c r="B568" s="103" t="s">
        <v>3543</v>
      </c>
      <c r="D568" s="103" t="s">
        <v>119</v>
      </c>
      <c r="H568" s="111" t="s">
        <v>3418</v>
      </c>
      <c r="J568" s="103" t="s">
        <v>3346</v>
      </c>
      <c r="K568" s="108">
        <v>42510</v>
      </c>
      <c r="L568" s="11">
        <f ca="1">IFERROR(IF(AND(W568&lt;&gt;"Concluído",W568&lt;&gt;"Cancelado"),TODAY()-K568+1,X568-K568),"")</f>
        <v>11</v>
      </c>
      <c r="M568" s="108">
        <v>42510</v>
      </c>
      <c r="N568" s="108" t="s">
        <v>2306</v>
      </c>
      <c r="O568" s="108" t="s">
        <v>2306</v>
      </c>
      <c r="P568" s="108" t="s">
        <v>2306</v>
      </c>
      <c r="Q568" s="108" t="s">
        <v>2306</v>
      </c>
      <c r="R568" s="145"/>
      <c r="S568" s="103" t="s">
        <v>3831</v>
      </c>
      <c r="U568" s="108"/>
      <c r="W568" s="103" t="s">
        <v>156</v>
      </c>
      <c r="X568" s="108">
        <v>42521</v>
      </c>
      <c r="AB568" s="101"/>
    </row>
    <row r="569" spans="1:28" s="103" customFormat="1" x14ac:dyDescent="0.25">
      <c r="A569" s="101" t="s">
        <v>3546</v>
      </c>
      <c r="B569" s="103" t="s">
        <v>3552</v>
      </c>
      <c r="C569" s="103" t="s">
        <v>3558</v>
      </c>
      <c r="D569" s="103" t="s">
        <v>119</v>
      </c>
      <c r="E569" s="103" t="s">
        <v>1430</v>
      </c>
      <c r="H569" s="111" t="s">
        <v>3418</v>
      </c>
      <c r="I569" s="103" t="s">
        <v>2388</v>
      </c>
      <c r="J569" s="103" t="s">
        <v>3346</v>
      </c>
      <c r="K569" s="108">
        <v>42509</v>
      </c>
      <c r="L569" s="11">
        <f ca="1">IFERROR(IF(AND(W569&lt;&gt;"Concluído",W569&lt;&gt;"Cancelado"),TODAY()-K569+1,X569-K569),"")</f>
        <v>12</v>
      </c>
      <c r="M569" s="108">
        <v>42510</v>
      </c>
      <c r="N569" s="108" t="s">
        <v>2306</v>
      </c>
      <c r="O569" s="108" t="s">
        <v>2306</v>
      </c>
      <c r="P569" s="108">
        <v>42522</v>
      </c>
      <c r="Q569" s="103" t="s">
        <v>2389</v>
      </c>
      <c r="R569" s="145"/>
      <c r="S569" s="109" t="s">
        <v>3562</v>
      </c>
      <c r="T569" s="109"/>
      <c r="U569" s="110"/>
      <c r="V569" s="109"/>
      <c r="W569" s="109" t="s">
        <v>188</v>
      </c>
      <c r="X569" s="110">
        <v>42521</v>
      </c>
      <c r="Y569" s="109">
        <v>16</v>
      </c>
      <c r="Z569" s="109"/>
      <c r="AA569" s="109"/>
      <c r="AB569" s="101"/>
    </row>
    <row r="570" spans="1:28" s="103" customFormat="1" x14ac:dyDescent="0.25">
      <c r="A570" s="101" t="s">
        <v>3548</v>
      </c>
      <c r="B570" s="103" t="s">
        <v>3554</v>
      </c>
      <c r="C570" s="103" t="s">
        <v>3558</v>
      </c>
      <c r="D570" s="103" t="s">
        <v>119</v>
      </c>
      <c r="E570" s="103" t="s">
        <v>1430</v>
      </c>
      <c r="H570" s="111" t="s">
        <v>3418</v>
      </c>
      <c r="I570" s="103" t="s">
        <v>2388</v>
      </c>
      <c r="J570" s="103" t="s">
        <v>3346</v>
      </c>
      <c r="K570" s="108">
        <v>42509</v>
      </c>
      <c r="L570" s="11">
        <f ca="1">IFERROR(IF(AND(W570&lt;&gt;"Concluído",W570&lt;&gt;"Cancelado"),TODAY()-K570+1,X570-K570),"")</f>
        <v>12</v>
      </c>
      <c r="M570" s="108">
        <v>42510</v>
      </c>
      <c r="N570" s="108" t="s">
        <v>2306</v>
      </c>
      <c r="O570" s="108" t="s">
        <v>2306</v>
      </c>
      <c r="P570" s="108">
        <v>42522</v>
      </c>
      <c r="Q570" s="103" t="s">
        <v>2389</v>
      </c>
      <c r="R570" s="145"/>
      <c r="S570" s="109" t="s">
        <v>3562</v>
      </c>
      <c r="T570" s="109"/>
      <c r="U570" s="110"/>
      <c r="V570" s="109"/>
      <c r="W570" s="109" t="s">
        <v>188</v>
      </c>
      <c r="X570" s="110">
        <v>42521</v>
      </c>
      <c r="Y570" s="109">
        <v>30</v>
      </c>
      <c r="Z570" s="109"/>
      <c r="AA570" s="109"/>
      <c r="AB570" s="101"/>
    </row>
    <row r="571" spans="1:28" s="103" customFormat="1" x14ac:dyDescent="0.25">
      <c r="A571" s="101" t="s">
        <v>3568</v>
      </c>
      <c r="B571" s="103" t="s">
        <v>3569</v>
      </c>
      <c r="C571" s="103" t="s">
        <v>3219</v>
      </c>
      <c r="D571" s="103" t="s">
        <v>119</v>
      </c>
      <c r="E571" s="103" t="s">
        <v>161</v>
      </c>
      <c r="F571" s="103" t="s">
        <v>3336</v>
      </c>
      <c r="G571" s="103" t="s">
        <v>3380</v>
      </c>
      <c r="H571" s="111" t="s">
        <v>3418</v>
      </c>
      <c r="I571" s="103" t="s">
        <v>3380</v>
      </c>
      <c r="J571" s="103" t="s">
        <v>3346</v>
      </c>
      <c r="K571" s="108">
        <v>42501</v>
      </c>
      <c r="L571" s="11">
        <f ca="1">IFERROR(IF(AND(W571&lt;&gt;"Concluído",W571&lt;&gt;"Cancelado"),TODAY()-K571+1,X571-K571),"")</f>
        <v>20</v>
      </c>
      <c r="M571" s="108">
        <v>42510</v>
      </c>
      <c r="N571" s="108" t="s">
        <v>2306</v>
      </c>
      <c r="O571" s="108" t="s">
        <v>2306</v>
      </c>
      <c r="P571" s="108" t="s">
        <v>2306</v>
      </c>
      <c r="Q571" s="103" t="s">
        <v>2306</v>
      </c>
      <c r="R571" s="145"/>
      <c r="S571" s="103" t="s">
        <v>3831</v>
      </c>
      <c r="U571" s="108"/>
      <c r="W571" s="103" t="s">
        <v>156</v>
      </c>
      <c r="X571" s="108">
        <v>42521</v>
      </c>
      <c r="Y571" s="103">
        <v>25</v>
      </c>
      <c r="AB571" s="101"/>
    </row>
  </sheetData>
  <autoFilter ref="A2:AB475"/>
  <conditionalFormatting sqref="A25">
    <cfRule type="duplicateValues" dxfId="110" priority="6398"/>
  </conditionalFormatting>
  <conditionalFormatting sqref="A22">
    <cfRule type="duplicateValues" dxfId="109" priority="6399"/>
  </conditionalFormatting>
  <conditionalFormatting sqref="A33">
    <cfRule type="duplicateValues" dxfId="108" priority="6400"/>
  </conditionalFormatting>
  <conditionalFormatting sqref="A13">
    <cfRule type="duplicateValues" dxfId="107" priority="6401"/>
  </conditionalFormatting>
  <conditionalFormatting sqref="A34">
    <cfRule type="duplicateValues" dxfId="106" priority="6402"/>
  </conditionalFormatting>
  <conditionalFormatting sqref="A35">
    <cfRule type="duplicateValues" dxfId="105" priority="6403"/>
  </conditionalFormatting>
  <conditionalFormatting sqref="A36">
    <cfRule type="duplicateValues" dxfId="104" priority="6404"/>
  </conditionalFormatting>
  <conditionalFormatting sqref="A9">
    <cfRule type="duplicateValues" dxfId="103" priority="6405"/>
  </conditionalFormatting>
  <conditionalFormatting sqref="A56">
    <cfRule type="duplicateValues" dxfId="102" priority="6406"/>
  </conditionalFormatting>
  <conditionalFormatting sqref="A66">
    <cfRule type="duplicateValues" dxfId="101" priority="6407"/>
  </conditionalFormatting>
  <conditionalFormatting sqref="A67">
    <cfRule type="duplicateValues" dxfId="100" priority="6408"/>
  </conditionalFormatting>
  <conditionalFormatting sqref="A73">
    <cfRule type="duplicateValues" dxfId="99" priority="6409"/>
  </conditionalFormatting>
  <conditionalFormatting sqref="A47">
    <cfRule type="duplicateValues" dxfId="98" priority="6410"/>
  </conditionalFormatting>
  <conditionalFormatting sqref="A48">
    <cfRule type="duplicateValues" dxfId="97" priority="6411"/>
  </conditionalFormatting>
  <conditionalFormatting sqref="A46">
    <cfRule type="duplicateValues" dxfId="96" priority="6412"/>
  </conditionalFormatting>
  <conditionalFormatting sqref="A49">
    <cfRule type="duplicateValues" dxfId="95" priority="6413"/>
  </conditionalFormatting>
  <conditionalFormatting sqref="A38">
    <cfRule type="duplicateValues" dxfId="94" priority="6414"/>
  </conditionalFormatting>
  <conditionalFormatting sqref="A68">
    <cfRule type="duplicateValues" dxfId="93" priority="6415"/>
  </conditionalFormatting>
  <conditionalFormatting sqref="A69">
    <cfRule type="duplicateValues" dxfId="92" priority="6416"/>
  </conditionalFormatting>
  <conditionalFormatting sqref="A19">
    <cfRule type="duplicateValues" dxfId="91" priority="6417"/>
  </conditionalFormatting>
  <conditionalFormatting sqref="A16">
    <cfRule type="duplicateValues" dxfId="90" priority="6418"/>
  </conditionalFormatting>
  <conditionalFormatting sqref="A15">
    <cfRule type="duplicateValues" dxfId="89" priority="6419"/>
  </conditionalFormatting>
  <conditionalFormatting sqref="A11">
    <cfRule type="duplicateValues" dxfId="88" priority="6420"/>
  </conditionalFormatting>
  <conditionalFormatting sqref="A20">
    <cfRule type="duplicateValues" dxfId="87" priority="6421"/>
  </conditionalFormatting>
  <conditionalFormatting sqref="A21">
    <cfRule type="duplicateValues" dxfId="86" priority="6422"/>
  </conditionalFormatting>
  <conditionalFormatting sqref="A30">
    <cfRule type="duplicateValues" dxfId="85" priority="6423"/>
  </conditionalFormatting>
  <conditionalFormatting sqref="A46:A55">
    <cfRule type="duplicateValues" dxfId="84" priority="6424"/>
  </conditionalFormatting>
  <conditionalFormatting sqref="A113">
    <cfRule type="duplicateValues" dxfId="83" priority="6425"/>
  </conditionalFormatting>
  <conditionalFormatting sqref="A114">
    <cfRule type="duplicateValues" dxfId="82" priority="6428"/>
  </conditionalFormatting>
  <conditionalFormatting sqref="A115">
    <cfRule type="duplicateValues" dxfId="81" priority="6431"/>
  </conditionalFormatting>
  <conditionalFormatting sqref="A116">
    <cfRule type="duplicateValues" dxfId="80" priority="6434"/>
  </conditionalFormatting>
  <conditionalFormatting sqref="A117">
    <cfRule type="duplicateValues" dxfId="79" priority="6437"/>
  </conditionalFormatting>
  <conditionalFormatting sqref="A118">
    <cfRule type="duplicateValues" dxfId="78" priority="6440"/>
  </conditionalFormatting>
  <conditionalFormatting sqref="A119">
    <cfRule type="duplicateValues" dxfId="77" priority="6443"/>
  </conditionalFormatting>
  <conditionalFormatting sqref="A120">
    <cfRule type="duplicateValues" dxfId="76" priority="6446"/>
  </conditionalFormatting>
  <conditionalFormatting sqref="A121">
    <cfRule type="duplicateValues" dxfId="75" priority="6449"/>
  </conditionalFormatting>
  <conditionalFormatting sqref="A122">
    <cfRule type="duplicateValues" dxfId="74" priority="6452"/>
  </conditionalFormatting>
  <conditionalFormatting sqref="A8">
    <cfRule type="duplicateValues" dxfId="73" priority="6455"/>
  </conditionalFormatting>
  <conditionalFormatting sqref="A132">
    <cfRule type="duplicateValues" dxfId="72" priority="6461"/>
  </conditionalFormatting>
  <conditionalFormatting sqref="A133">
    <cfRule type="duplicateValues" dxfId="71" priority="6470"/>
  </conditionalFormatting>
  <conditionalFormatting sqref="A174">
    <cfRule type="duplicateValues" dxfId="70" priority="6481"/>
  </conditionalFormatting>
  <conditionalFormatting sqref="A176">
    <cfRule type="duplicateValues" dxfId="69" priority="6482"/>
  </conditionalFormatting>
  <conditionalFormatting sqref="A177">
    <cfRule type="duplicateValues" dxfId="68" priority="6483"/>
  </conditionalFormatting>
  <conditionalFormatting sqref="A185">
    <cfRule type="duplicateValues" dxfId="67" priority="6484"/>
  </conditionalFormatting>
  <conditionalFormatting sqref="A184">
    <cfRule type="duplicateValues" dxfId="66" priority="6485"/>
  </conditionalFormatting>
  <conditionalFormatting sqref="A193">
    <cfRule type="duplicateValues" dxfId="65" priority="6486"/>
  </conditionalFormatting>
  <conditionalFormatting sqref="A190:A192">
    <cfRule type="duplicateValues" dxfId="64" priority="6487"/>
  </conditionalFormatting>
  <conditionalFormatting sqref="A187:A189">
    <cfRule type="duplicateValues" dxfId="63" priority="6488"/>
  </conditionalFormatting>
  <conditionalFormatting sqref="A186:A195">
    <cfRule type="duplicateValues" dxfId="62" priority="6489"/>
  </conditionalFormatting>
  <conditionalFormatting sqref="A186">
    <cfRule type="duplicateValues" dxfId="61" priority="6490"/>
  </conditionalFormatting>
  <conditionalFormatting sqref="A186:A194">
    <cfRule type="duplicateValues" dxfId="60" priority="6491"/>
  </conditionalFormatting>
  <conditionalFormatting sqref="A144">
    <cfRule type="duplicateValues" dxfId="59" priority="6492"/>
  </conditionalFormatting>
  <conditionalFormatting sqref="A145">
    <cfRule type="duplicateValues" dxfId="58" priority="6495"/>
  </conditionalFormatting>
  <conditionalFormatting sqref="A146">
    <cfRule type="duplicateValues" dxfId="57" priority="6498"/>
  </conditionalFormatting>
  <conditionalFormatting sqref="A147">
    <cfRule type="duplicateValues" dxfId="56" priority="6501"/>
  </conditionalFormatting>
  <conditionalFormatting sqref="A148">
    <cfRule type="duplicateValues" dxfId="55" priority="6504"/>
  </conditionalFormatting>
  <conditionalFormatting sqref="A149">
    <cfRule type="duplicateValues" dxfId="54" priority="6507"/>
  </conditionalFormatting>
  <conditionalFormatting sqref="A150">
    <cfRule type="duplicateValues" dxfId="53" priority="6510"/>
  </conditionalFormatting>
  <conditionalFormatting sqref="A151">
    <cfRule type="duplicateValues" dxfId="52" priority="6513"/>
  </conditionalFormatting>
  <conditionalFormatting sqref="A162">
    <cfRule type="duplicateValues" dxfId="51" priority="6516"/>
  </conditionalFormatting>
  <conditionalFormatting sqref="A39:A40">
    <cfRule type="duplicateValues" dxfId="50" priority="6525"/>
  </conditionalFormatting>
  <conditionalFormatting sqref="A30:A33">
    <cfRule type="duplicateValues" dxfId="49" priority="6526"/>
  </conditionalFormatting>
  <conditionalFormatting sqref="A27">
    <cfRule type="duplicateValues" dxfId="48" priority="6527"/>
  </conditionalFormatting>
  <conditionalFormatting sqref="A11:A33">
    <cfRule type="duplicateValues" dxfId="47" priority="6528"/>
  </conditionalFormatting>
  <conditionalFormatting sqref="A39:A45">
    <cfRule type="duplicateValues" dxfId="46" priority="6529"/>
  </conditionalFormatting>
  <conditionalFormatting sqref="A59:A69">
    <cfRule type="duplicateValues" dxfId="45" priority="6530"/>
  </conditionalFormatting>
  <conditionalFormatting sqref="A71">
    <cfRule type="duplicateValues" dxfId="44" priority="6531"/>
  </conditionalFormatting>
  <conditionalFormatting sqref="A59:A71">
    <cfRule type="duplicateValues" dxfId="43" priority="6532"/>
  </conditionalFormatting>
  <conditionalFormatting sqref="A56:A71">
    <cfRule type="duplicateValues" dxfId="42" priority="6533"/>
  </conditionalFormatting>
  <conditionalFormatting sqref="A72">
    <cfRule type="duplicateValues" dxfId="41" priority="6534"/>
  </conditionalFormatting>
  <conditionalFormatting sqref="A74">
    <cfRule type="duplicateValues" dxfId="40" priority="6535"/>
  </conditionalFormatting>
  <conditionalFormatting sqref="A75:A76">
    <cfRule type="duplicateValues" dxfId="39" priority="6536"/>
  </conditionalFormatting>
  <conditionalFormatting sqref="A77:A81">
    <cfRule type="duplicateValues" dxfId="38" priority="6537"/>
  </conditionalFormatting>
  <conditionalFormatting sqref="A72 A74:A76">
    <cfRule type="duplicateValues" dxfId="37" priority="6538"/>
  </conditionalFormatting>
  <conditionalFormatting sqref="A101:A124 A8:A99">
    <cfRule type="duplicateValues" dxfId="36" priority="6540"/>
  </conditionalFormatting>
  <conditionalFormatting sqref="A140:A143">
    <cfRule type="duplicateValues" dxfId="35" priority="6542"/>
    <cfRule type="duplicateValues" dxfId="34" priority="6543"/>
  </conditionalFormatting>
  <conditionalFormatting sqref="A144:A153">
    <cfRule type="duplicateValues" dxfId="33" priority="6544"/>
  </conditionalFormatting>
  <conditionalFormatting sqref="A144:A161">
    <cfRule type="duplicateValues" dxfId="32" priority="6545"/>
  </conditionalFormatting>
  <conditionalFormatting sqref="A163:A170">
    <cfRule type="duplicateValues" dxfId="31" priority="6546"/>
    <cfRule type="duplicateValues" dxfId="30" priority="6547"/>
  </conditionalFormatting>
  <conditionalFormatting sqref="A163:A170 A140:A143">
    <cfRule type="duplicateValues" dxfId="29" priority="6548"/>
  </conditionalFormatting>
  <conditionalFormatting sqref="A173:A176">
    <cfRule type="duplicateValues" dxfId="28" priority="6550"/>
  </conditionalFormatting>
  <conditionalFormatting sqref="A171:A177">
    <cfRule type="duplicateValues" dxfId="27" priority="6551"/>
  </conditionalFormatting>
  <conditionalFormatting sqref="A172:A177">
    <cfRule type="duplicateValues" dxfId="26" priority="6552"/>
  </conditionalFormatting>
  <conditionalFormatting sqref="A182:A183 A178:A180">
    <cfRule type="duplicateValues" dxfId="25" priority="6553"/>
  </conditionalFormatting>
  <conditionalFormatting sqref="A182 A178:A180">
    <cfRule type="duplicateValues" dxfId="24" priority="6555"/>
  </conditionalFormatting>
  <conditionalFormatting sqref="A182:A183">
    <cfRule type="duplicateValues" dxfId="23" priority="6557"/>
  </conditionalFormatting>
  <conditionalFormatting sqref="A184:A199">
    <cfRule type="duplicateValues" dxfId="22" priority="6558"/>
  </conditionalFormatting>
  <conditionalFormatting sqref="A3:A204">
    <cfRule type="duplicateValues" dxfId="21" priority="6559"/>
  </conditionalFormatting>
  <conditionalFormatting sqref="A572:A65234 A3:A323">
    <cfRule type="duplicateValues" dxfId="20" priority="6560"/>
  </conditionalFormatting>
  <conditionalFormatting sqref="A364">
    <cfRule type="duplicateValues" dxfId="19" priority="6562"/>
  </conditionalFormatting>
  <dataValidations disablePrompts="1" count="5">
    <dataValidation type="list" allowBlank="1" showInputMessage="1" showErrorMessage="1" sqref="E187:G194 E68:H70 E72:H73 E123:H123 E199:H199 H185:H194 E158:H158 E152:H152 E3:H41 E43:H45 E171:H177">
      <formula1>ValoresDiretoria</formula1>
    </dataValidation>
    <dataValidation type="list" allowBlank="1" showInputMessage="1" showErrorMessage="1" sqref="J490:J532 J537:J538">
      <mc:AlternateContent xmlns:x12ac="http://schemas.microsoft.com/office/spreadsheetml/2011/1/ac" xmlns:mc="http://schemas.openxmlformats.org/markup-compatibility/2006">
        <mc:Choice Requires="x12ac">
          <x12ac:list>"Implantação de PA (crescimento, migração ou nova operação)", URA, Desenvolvimento, Infraestrutura, RTI, Estruturantes, Upgrade de Tecnologia</x12ac:list>
        </mc:Choice>
        <mc:Fallback>
          <formula1>"Implantação de PA (crescimento, migração ou nova operação), URA, Desenvolvimento, Infraestrutura, RTI, Estruturantes, Upgrade de Tecnologia"</formula1>
        </mc:Fallback>
      </mc:AlternateContent>
    </dataValidation>
    <dataValidation type="list" allowBlank="1" showInputMessage="1" showErrorMessage="1" sqref="J533:J536 J539:J541 J543 J547 J551 J553:J554 J557:J559 J563:J565">
      <formula1>"Implantação de PA (crescimento, migração ou nova operação), URA, Desenvolvimento, Infraestrutura, RTI, Estruturantes, Upgrade de Tecnologia"</formula1>
    </dataValidation>
    <dataValidation type="list" allowBlank="1" showInputMessage="1" showErrorMessage="1" sqref="J542 J544:J546 J548 J552 J555:J556 J560:J562 J566:J567 J569:J571">
      <mc:AlternateContent xmlns:x12ac="http://schemas.microsoft.com/office/spreadsheetml/2011/1/ac" xmlns:mc="http://schemas.openxmlformats.org/markup-compatibility/2006">
        <mc:Choice Requires="x12ac">
          <x12ac:list>"Implantação de PA (crescimento, migração ou nova operação)", URA, Desenvolvimento, Infraestrutura,RTI,Upgrade de Tecnologia</x12ac:list>
        </mc:Choice>
        <mc:Fallback>
          <formula1>"Implantação de PA (crescimento, migração ou nova operação), URA, Desenvolvimento, Infraestrutura,RTI,Upgrade de Tecnologia"</formula1>
        </mc:Fallback>
      </mc:AlternateContent>
    </dataValidation>
    <dataValidation type="list" allowBlank="1" showInputMessage="1" showErrorMessage="1" sqref="J549:J550 J568">
      <formula1>"Implantação de PA (crescimento, migração ou nova operação), URA, Desenvolvimento, Infraestrutura,RTI,Upgrade de Tecnologia"</formula1>
    </dataValidation>
  </dataValidations>
  <hyperlinks>
    <hyperlink ref="A3" r:id="rId1" display="http://tprocess-contax/browse/CTXBHZRI-88913"/>
    <hyperlink ref="A76" r:id="rId2" display="http://tprocess-contax/browse/CTXSPOBF-128691"/>
    <hyperlink ref="A75" r:id="rId3" display="http://tprocess-contax/browse/CTXSPOBF-128690"/>
    <hyperlink ref="A74" r:id="rId4" display="http://tprocess-contax/browse/CTXSPOBF-128686"/>
    <hyperlink ref="A55" r:id="rId5" display="http://tprocess-contax/browse/CTXLONLA-28251"/>
    <hyperlink ref="A54" r:id="rId6" display="http://tprocess-contax/browse/CTXLONLA-28211"/>
    <hyperlink ref="A53" r:id="rId7" display="http://tprocess-contax/browse/CTXLONLA-28210"/>
    <hyperlink ref="A52" r:id="rId8" display="http://tprocess-contax/browse/CTXLONLA-28201"/>
    <hyperlink ref="A51" r:id="rId9" display="http://tprocess-contax/browse/CTXLONLA-28200"/>
    <hyperlink ref="A50" r:id="rId10" display="http://tprocess-contax/browse/CTXLONLA-28199"/>
    <hyperlink ref="A49" r:id="rId11" display="http://tprocess-contax/browse/CTXLONLA-28170"/>
  </hyperlinks>
  <pageMargins left="0.511811024" right="0.511811024" top="0.78740157499999996" bottom="0.78740157499999996" header="0.31496062000000002" footer="0.31496062000000002"/>
  <pageSetup paperSize="9" orientation="portrait" r:id="rId12"/>
  <legacy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topLeftCell="L1" zoomScale="70" zoomScaleNormal="70" workbookViewId="0">
      <pane ySplit="2" topLeftCell="A5" activePane="bottomLeft" state="frozenSplit"/>
      <selection activeCell="A17" sqref="A17"/>
      <selection pane="bottomLeft" activeCell="A17" sqref="A17"/>
    </sheetView>
  </sheetViews>
  <sheetFormatPr defaultRowHeight="15" x14ac:dyDescent="0.25"/>
  <cols>
    <col min="1" max="1" width="21.85546875" style="101" customWidth="1"/>
    <col min="2" max="2" width="89" style="103" customWidth="1"/>
    <col min="3" max="3" width="28.85546875" style="103" customWidth="1"/>
    <col min="4" max="4" width="28.42578125" style="103" bestFit="1" customWidth="1"/>
    <col min="5" max="5" width="33.42578125" style="103" bestFit="1" customWidth="1"/>
    <col min="6" max="6" width="25.28515625" style="103" bestFit="1" customWidth="1"/>
    <col min="7" max="7" width="26" style="103" bestFit="1" customWidth="1"/>
    <col min="8" max="8" width="34.140625" style="103" bestFit="1" customWidth="1"/>
    <col min="9" max="9" width="20.7109375" style="108" bestFit="1" customWidth="1"/>
    <col min="10" max="10" width="20.7109375" style="103" bestFit="1" customWidth="1"/>
    <col min="11" max="11" width="20.140625" style="108" bestFit="1" customWidth="1"/>
    <col min="12" max="12" width="20.140625" style="108" customWidth="1"/>
    <col min="13" max="13" width="29.42578125" style="103" bestFit="1" customWidth="1"/>
    <col min="14" max="14" width="22.28515625" style="108" bestFit="1" customWidth="1"/>
    <col min="15" max="15" width="40.7109375" style="103" customWidth="1"/>
    <col min="16" max="16" width="70.7109375" style="109" customWidth="1"/>
    <col min="17" max="17" width="25.7109375" style="109" customWidth="1"/>
    <col min="18" max="18" width="25.7109375" style="110" customWidth="1"/>
    <col min="19" max="20" width="25.7109375" style="109" customWidth="1"/>
    <col min="21" max="21" width="15" style="110" bestFit="1" customWidth="1"/>
    <col min="22" max="22" width="30.5703125" style="109" bestFit="1" customWidth="1"/>
    <col min="23" max="23" width="22.28515625" style="109" customWidth="1"/>
    <col min="24" max="24" width="27.140625" style="109" customWidth="1"/>
    <col min="25" max="25" width="19.140625" style="101" customWidth="1"/>
    <col min="26" max="16384" width="9.140625" style="103"/>
  </cols>
  <sheetData>
    <row r="1" spans="1:25" ht="18.75" x14ac:dyDescent="0.25">
      <c r="B1" s="101"/>
      <c r="Q1" s="167" t="s">
        <v>2745</v>
      </c>
      <c r="R1" s="167"/>
      <c r="S1" s="167"/>
    </row>
    <row r="2" spans="1:25" s="101" customFormat="1" ht="60" x14ac:dyDescent="0.25">
      <c r="A2" s="2" t="s">
        <v>0</v>
      </c>
      <c r="B2" s="2" t="s">
        <v>180</v>
      </c>
      <c r="C2" s="2" t="s">
        <v>2278</v>
      </c>
      <c r="D2" s="2" t="s">
        <v>105</v>
      </c>
      <c r="E2" s="2" t="s">
        <v>2343</v>
      </c>
      <c r="F2" s="98" t="s">
        <v>2533</v>
      </c>
      <c r="G2" s="2" t="s">
        <v>2279</v>
      </c>
      <c r="H2" s="2" t="s">
        <v>1</v>
      </c>
      <c r="I2" s="97" t="s">
        <v>247</v>
      </c>
      <c r="J2" s="2" t="s">
        <v>178</v>
      </c>
      <c r="K2" s="97" t="s">
        <v>346</v>
      </c>
      <c r="L2" s="97" t="s">
        <v>2280</v>
      </c>
      <c r="M2" s="2" t="s">
        <v>2281</v>
      </c>
      <c r="N2" s="97" t="s">
        <v>2351</v>
      </c>
      <c r="O2" s="2" t="s">
        <v>296</v>
      </c>
      <c r="P2" s="2" t="s">
        <v>2283</v>
      </c>
      <c r="Q2" s="130" t="s">
        <v>2740</v>
      </c>
      <c r="R2" s="130" t="s">
        <v>2741</v>
      </c>
      <c r="S2" s="130" t="s">
        <v>2742</v>
      </c>
      <c r="T2" s="2" t="s">
        <v>248</v>
      </c>
      <c r="U2" s="97" t="s">
        <v>249</v>
      </c>
      <c r="V2" s="2" t="s">
        <v>2284</v>
      </c>
      <c r="W2" s="2" t="s">
        <v>2285</v>
      </c>
      <c r="X2" s="2" t="s">
        <v>1425</v>
      </c>
      <c r="Y2" s="2" t="s">
        <v>2688</v>
      </c>
    </row>
    <row r="3" spans="1:25" ht="240" x14ac:dyDescent="0.25">
      <c r="A3" s="103" t="s">
        <v>2452</v>
      </c>
      <c r="B3" s="103" t="s">
        <v>2453</v>
      </c>
      <c r="C3" s="103" t="s">
        <v>2288</v>
      </c>
      <c r="D3" s="103" t="s">
        <v>94</v>
      </c>
      <c r="E3" s="103" t="s">
        <v>97</v>
      </c>
      <c r="F3" s="111" t="s">
        <v>2451</v>
      </c>
      <c r="H3" s="103" t="s">
        <v>97</v>
      </c>
      <c r="I3" s="108">
        <v>42367</v>
      </c>
      <c r="J3" s="11">
        <f t="shared" ref="J3:J6" ca="1" si="0">IFERROR(IF(AND(T3&lt;&gt;"Concluído",T3&lt;&gt;"Cancelado"),TODAY()-I3+1,U3-I3),"")</f>
        <v>156</v>
      </c>
      <c r="K3" s="108">
        <v>42376</v>
      </c>
      <c r="L3" s="108" t="s">
        <v>2524</v>
      </c>
      <c r="M3" s="103" t="s">
        <v>454</v>
      </c>
      <c r="N3" s="108" t="s">
        <v>454</v>
      </c>
      <c r="O3" s="45"/>
      <c r="P3" s="109" t="s">
        <v>2747</v>
      </c>
      <c r="T3" s="109" t="s">
        <v>107</v>
      </c>
      <c r="W3" s="108" t="s">
        <v>273</v>
      </c>
      <c r="X3" s="108" t="s">
        <v>2282</v>
      </c>
      <c r="Y3" s="101" t="s">
        <v>273</v>
      </c>
    </row>
    <row r="4" spans="1:25" ht="165" x14ac:dyDescent="0.25">
      <c r="A4" s="103" t="s">
        <v>2588</v>
      </c>
      <c r="B4" s="103" t="s">
        <v>2590</v>
      </c>
      <c r="C4" s="103" t="s">
        <v>2288</v>
      </c>
      <c r="D4" s="103" t="s">
        <v>1430</v>
      </c>
      <c r="E4" s="103" t="s">
        <v>97</v>
      </c>
      <c r="F4" s="111" t="s">
        <v>2130</v>
      </c>
      <c r="G4" s="103" t="s">
        <v>2677</v>
      </c>
      <c r="H4" s="103" t="s">
        <v>97</v>
      </c>
      <c r="I4" s="108">
        <v>42389</v>
      </c>
      <c r="J4" s="11">
        <f t="shared" ca="1" si="0"/>
        <v>134</v>
      </c>
      <c r="K4" s="108">
        <v>42397</v>
      </c>
      <c r="O4" s="46"/>
      <c r="P4" s="114" t="s">
        <v>2744</v>
      </c>
      <c r="T4" s="109" t="s">
        <v>107</v>
      </c>
      <c r="W4" s="101" t="s">
        <v>273</v>
      </c>
      <c r="X4" s="108" t="s">
        <v>1356</v>
      </c>
      <c r="Y4" s="101" t="s">
        <v>273</v>
      </c>
    </row>
    <row r="5" spans="1:25" ht="105" x14ac:dyDescent="0.25">
      <c r="A5" s="103" t="s">
        <v>2598</v>
      </c>
      <c r="B5" s="103" t="s">
        <v>2599</v>
      </c>
      <c r="C5" s="103" t="s">
        <v>2288</v>
      </c>
      <c r="D5" s="103" t="s">
        <v>1430</v>
      </c>
      <c r="E5" s="103" t="s">
        <v>97</v>
      </c>
      <c r="F5" s="111" t="s">
        <v>1411</v>
      </c>
      <c r="H5" s="103" t="s">
        <v>97</v>
      </c>
      <c r="I5" s="108">
        <v>42383</v>
      </c>
      <c r="J5" s="11">
        <f t="shared" ca="1" si="0"/>
        <v>140</v>
      </c>
      <c r="K5" s="108">
        <v>42391</v>
      </c>
      <c r="O5" s="45"/>
      <c r="P5" s="109" t="s">
        <v>2746</v>
      </c>
      <c r="T5" s="109" t="s">
        <v>107</v>
      </c>
      <c r="Y5" s="101" t="s">
        <v>273</v>
      </c>
    </row>
    <row r="6" spans="1:25" ht="30" x14ac:dyDescent="0.25">
      <c r="A6" s="103" t="s">
        <v>1925</v>
      </c>
      <c r="B6" s="103" t="s">
        <v>2608</v>
      </c>
      <c r="C6" s="103" t="s">
        <v>2288</v>
      </c>
      <c r="D6" s="103" t="s">
        <v>1430</v>
      </c>
      <c r="E6" s="103" t="s">
        <v>2344</v>
      </c>
      <c r="F6" s="111" t="s">
        <v>2451</v>
      </c>
      <c r="H6" s="103" t="s">
        <v>98</v>
      </c>
      <c r="I6" s="108">
        <v>42398</v>
      </c>
      <c r="J6" s="11">
        <f t="shared" ca="1" si="0"/>
        <v>125</v>
      </c>
      <c r="K6" s="108">
        <v>42398</v>
      </c>
      <c r="O6" s="46"/>
      <c r="P6" s="109" t="s">
        <v>2641</v>
      </c>
      <c r="T6" s="109" t="s">
        <v>107</v>
      </c>
      <c r="Y6" s="101" t="s">
        <v>273</v>
      </c>
    </row>
  </sheetData>
  <autoFilter ref="A2:Y6"/>
  <mergeCells count="1">
    <mergeCell ref="Q1:S1"/>
  </mergeCells>
  <pageMargins left="0.511811024" right="0.511811024" top="0.78740157499999996" bottom="0.78740157499999996" header="0.31496062000000002" footer="0.31496062000000002"/>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6"/>
  <dimension ref="A1:AE497"/>
  <sheetViews>
    <sheetView showGridLines="0" zoomScale="85" zoomScaleNormal="85" workbookViewId="0">
      <pane ySplit="1" topLeftCell="A237" activePane="bottomLeft" state="frozen"/>
      <selection activeCell="C10" sqref="C10"/>
      <selection pane="bottomLeft" activeCell="C10" sqref="C10"/>
    </sheetView>
  </sheetViews>
  <sheetFormatPr defaultColWidth="20.42578125" defaultRowHeight="15" x14ac:dyDescent="0.25"/>
  <cols>
    <col min="1" max="1" width="20.42578125" style="16"/>
    <col min="2" max="2" width="44.42578125" style="16" customWidth="1"/>
    <col min="3" max="3" width="14.28515625" style="16" hidden="1" customWidth="1"/>
    <col min="4" max="4" width="19" style="16" hidden="1" customWidth="1"/>
    <col min="5" max="5" width="16" style="16" hidden="1" customWidth="1"/>
    <col min="6" max="6" width="16.85546875" style="16" hidden="1" customWidth="1"/>
    <col min="7" max="7" width="16" style="16" customWidth="1"/>
    <col min="8" max="8" width="17.85546875" style="16" hidden="1" customWidth="1"/>
    <col min="9" max="10" width="20.42578125" style="16" hidden="1" customWidth="1"/>
    <col min="11" max="11" width="20.42578125" style="16"/>
    <col min="12" max="15" width="0" style="16" hidden="1" customWidth="1"/>
    <col min="16" max="20" width="18.140625" style="16" hidden="1" customWidth="1"/>
    <col min="21" max="21" width="20.42578125" style="16"/>
    <col min="22" max="22" width="53" style="16" customWidth="1"/>
    <col min="23" max="16384" width="20.42578125" style="1"/>
  </cols>
  <sheetData>
    <row r="1" spans="1:31" ht="30" x14ac:dyDescent="0.25">
      <c r="A1" s="18" t="s">
        <v>0</v>
      </c>
      <c r="B1" s="18" t="s">
        <v>180</v>
      </c>
      <c r="C1" s="18" t="s">
        <v>103</v>
      </c>
      <c r="D1" s="18" t="s">
        <v>105</v>
      </c>
      <c r="E1" s="18" t="s">
        <v>503</v>
      </c>
      <c r="F1" s="18" t="s">
        <v>1</v>
      </c>
      <c r="G1" s="18" t="s">
        <v>504</v>
      </c>
      <c r="H1" s="19" t="s">
        <v>414</v>
      </c>
      <c r="I1" s="18" t="s">
        <v>415</v>
      </c>
      <c r="J1" s="18" t="s">
        <v>416</v>
      </c>
      <c r="K1" s="18" t="s">
        <v>505</v>
      </c>
      <c r="L1" s="51"/>
      <c r="M1" s="51"/>
      <c r="N1" s="51"/>
      <c r="O1" s="51"/>
      <c r="P1" s="20" t="s">
        <v>419</v>
      </c>
      <c r="Q1" s="18" t="s">
        <v>417</v>
      </c>
      <c r="R1" s="18" t="s">
        <v>420</v>
      </c>
      <c r="S1" s="18" t="s">
        <v>506</v>
      </c>
      <c r="T1" s="18" t="s">
        <v>507</v>
      </c>
      <c r="U1" s="18" t="s">
        <v>418</v>
      </c>
      <c r="V1" s="21" t="s">
        <v>2</v>
      </c>
    </row>
    <row r="2" spans="1:31" s="12" customFormat="1" ht="30" x14ac:dyDescent="0.25">
      <c r="A2" s="22" t="s">
        <v>508</v>
      </c>
      <c r="B2" s="23" t="s">
        <v>358</v>
      </c>
      <c r="C2" s="24" t="s">
        <v>509</v>
      </c>
      <c r="D2" s="24" t="s">
        <v>510</v>
      </c>
      <c r="E2" s="24" t="s">
        <v>511</v>
      </c>
      <c r="F2" s="24" t="s">
        <v>512</v>
      </c>
      <c r="G2" s="24" t="s">
        <v>188</v>
      </c>
      <c r="H2" s="25">
        <v>41774.525000000001</v>
      </c>
      <c r="I2" s="26" t="s">
        <v>514</v>
      </c>
      <c r="J2" s="24"/>
      <c r="K2" s="24" t="s">
        <v>515</v>
      </c>
      <c r="L2" s="52" t="s">
        <v>1533</v>
      </c>
      <c r="M2" s="52"/>
      <c r="N2" s="52" t="s">
        <v>2182</v>
      </c>
      <c r="O2" s="52"/>
      <c r="P2" s="25"/>
      <c r="Q2" s="25"/>
      <c r="R2" s="25"/>
      <c r="S2" s="25"/>
      <c r="T2" s="25"/>
      <c r="U2" s="25">
        <v>42247</v>
      </c>
      <c r="V2" s="27" t="s">
        <v>516</v>
      </c>
      <c r="W2" s="6"/>
      <c r="X2" s="5"/>
      <c r="Y2" s="8"/>
      <c r="Z2" s="9"/>
      <c r="AA2" s="7"/>
      <c r="AB2" s="7"/>
      <c r="AC2" s="15"/>
      <c r="AD2" s="3"/>
      <c r="AE2" s="4"/>
    </row>
    <row r="3" spans="1:31" ht="30" x14ac:dyDescent="0.25">
      <c r="A3" s="23" t="s">
        <v>517</v>
      </c>
      <c r="B3" s="23" t="s">
        <v>358</v>
      </c>
      <c r="C3" s="24" t="s">
        <v>509</v>
      </c>
      <c r="D3" s="24" t="s">
        <v>518</v>
      </c>
      <c r="E3" s="24" t="s">
        <v>511</v>
      </c>
      <c r="F3" s="24" t="s">
        <v>512</v>
      </c>
      <c r="G3" s="24" t="s">
        <v>513</v>
      </c>
      <c r="H3" s="25">
        <v>41774.526388888888</v>
      </c>
      <c r="I3" s="29" t="s">
        <v>514</v>
      </c>
      <c r="J3" s="24"/>
      <c r="K3" s="24" t="s">
        <v>515</v>
      </c>
      <c r="L3" s="52" t="s">
        <v>1533</v>
      </c>
      <c r="M3" s="52"/>
      <c r="N3" s="52" t="s">
        <v>1707</v>
      </c>
      <c r="O3" s="52"/>
      <c r="P3" s="25"/>
      <c r="Q3" s="25"/>
      <c r="R3" s="25"/>
      <c r="S3" s="25"/>
      <c r="T3" s="25"/>
      <c r="U3" s="25"/>
      <c r="V3" s="29"/>
    </row>
    <row r="4" spans="1:31" ht="30" x14ac:dyDescent="0.25">
      <c r="A4" s="23" t="s">
        <v>519</v>
      </c>
      <c r="B4" s="23" t="s">
        <v>520</v>
      </c>
      <c r="C4" s="24" t="s">
        <v>521</v>
      </c>
      <c r="D4" s="24" t="s">
        <v>522</v>
      </c>
      <c r="E4" s="24" t="s">
        <v>511</v>
      </c>
      <c r="F4" s="30" t="s">
        <v>512</v>
      </c>
      <c r="G4" s="31" t="s">
        <v>513</v>
      </c>
      <c r="H4" s="25">
        <v>41866.427777777775</v>
      </c>
      <c r="I4" s="32" t="s">
        <v>523</v>
      </c>
      <c r="J4" s="24" t="s">
        <v>524</v>
      </c>
      <c r="K4" s="24" t="s">
        <v>525</v>
      </c>
      <c r="L4" s="52" t="s">
        <v>1534</v>
      </c>
      <c r="M4" s="52"/>
      <c r="N4" s="52" t="s">
        <v>1707</v>
      </c>
      <c r="O4" s="52"/>
      <c r="P4" s="25"/>
      <c r="Q4" s="25">
        <v>42066</v>
      </c>
      <c r="R4" s="25"/>
      <c r="S4" s="25"/>
      <c r="T4" s="25"/>
      <c r="U4" s="25"/>
      <c r="V4" s="32" t="s">
        <v>526</v>
      </c>
    </row>
    <row r="5" spans="1:31" ht="22.5" x14ac:dyDescent="0.25">
      <c r="A5" s="22" t="s">
        <v>527</v>
      </c>
      <c r="B5" s="23" t="s">
        <v>528</v>
      </c>
      <c r="C5" s="24" t="s">
        <v>529</v>
      </c>
      <c r="D5" s="24" t="s">
        <v>530</v>
      </c>
      <c r="E5" s="24" t="s">
        <v>531</v>
      </c>
      <c r="F5" s="24" t="s">
        <v>180</v>
      </c>
      <c r="G5" s="24" t="s">
        <v>189</v>
      </c>
      <c r="H5" s="25">
        <v>42020.679861111108</v>
      </c>
      <c r="I5" s="29" t="s">
        <v>242</v>
      </c>
      <c r="J5" s="24" t="s">
        <v>449</v>
      </c>
      <c r="K5" s="24" t="s">
        <v>532</v>
      </c>
      <c r="L5" s="24"/>
      <c r="M5" s="24"/>
      <c r="N5" s="52" t="s">
        <v>2182</v>
      </c>
      <c r="O5" s="24"/>
      <c r="P5" s="25"/>
      <c r="Q5" s="25"/>
      <c r="R5" s="25"/>
      <c r="S5" s="25"/>
      <c r="T5" s="25"/>
      <c r="U5" s="25">
        <v>42268</v>
      </c>
      <c r="V5" s="29" t="s">
        <v>533</v>
      </c>
    </row>
    <row r="6" spans="1:31" ht="56.25" x14ac:dyDescent="0.25">
      <c r="A6" s="23" t="s">
        <v>534</v>
      </c>
      <c r="B6" s="23" t="s">
        <v>535</v>
      </c>
      <c r="C6" s="24" t="s">
        <v>203</v>
      </c>
      <c r="D6" s="24" t="s">
        <v>536</v>
      </c>
      <c r="E6" s="24" t="s">
        <v>537</v>
      </c>
      <c r="F6" s="24" t="s">
        <v>512</v>
      </c>
      <c r="G6" s="24" t="s">
        <v>189</v>
      </c>
      <c r="H6" s="25">
        <v>42053.419444444444</v>
      </c>
      <c r="I6" s="32" t="s">
        <v>523</v>
      </c>
      <c r="J6" s="24" t="s">
        <v>524</v>
      </c>
      <c r="K6" s="24" t="s">
        <v>538</v>
      </c>
      <c r="L6" s="52" t="s">
        <v>1706</v>
      </c>
      <c r="M6" s="24" t="s">
        <v>1535</v>
      </c>
      <c r="N6" s="24" t="s">
        <v>1707</v>
      </c>
      <c r="O6" s="24" t="s">
        <v>2190</v>
      </c>
      <c r="P6" s="25">
        <v>42073</v>
      </c>
      <c r="Q6" s="25">
        <v>42083</v>
      </c>
      <c r="R6" s="25">
        <v>42171</v>
      </c>
      <c r="S6" s="25"/>
      <c r="T6" s="25"/>
      <c r="U6" s="25"/>
      <c r="V6" s="32" t="s">
        <v>539</v>
      </c>
    </row>
    <row r="7" spans="1:31" ht="78.75" x14ac:dyDescent="0.25">
      <c r="A7" s="23" t="s">
        <v>540</v>
      </c>
      <c r="B7" s="23" t="s">
        <v>541</v>
      </c>
      <c r="C7" s="24" t="s">
        <v>321</v>
      </c>
      <c r="D7" s="24" t="s">
        <v>542</v>
      </c>
      <c r="E7" s="24" t="s">
        <v>531</v>
      </c>
      <c r="F7" s="24" t="s">
        <v>180</v>
      </c>
      <c r="G7" s="24" t="s">
        <v>188</v>
      </c>
      <c r="H7" s="25">
        <v>42065.612500000003</v>
      </c>
      <c r="I7" s="32" t="s">
        <v>543</v>
      </c>
      <c r="J7" s="24"/>
      <c r="K7" s="24" t="s">
        <v>515</v>
      </c>
      <c r="L7" s="24"/>
      <c r="M7" s="24"/>
      <c r="N7" s="52" t="s">
        <v>2182</v>
      </c>
      <c r="O7" s="24"/>
      <c r="P7" s="25"/>
      <c r="Q7" s="25"/>
      <c r="R7" s="25"/>
      <c r="S7" s="25"/>
      <c r="T7" s="25"/>
      <c r="U7" s="25">
        <v>42206</v>
      </c>
      <c r="V7" s="32" t="s">
        <v>543</v>
      </c>
    </row>
    <row r="8" spans="1:31" ht="112.5" x14ac:dyDescent="0.25">
      <c r="A8" s="23" t="s">
        <v>544</v>
      </c>
      <c r="B8" s="23" t="s">
        <v>545</v>
      </c>
      <c r="C8" s="24" t="s">
        <v>529</v>
      </c>
      <c r="D8" s="24" t="s">
        <v>546</v>
      </c>
      <c r="E8" s="24" t="s">
        <v>495</v>
      </c>
      <c r="F8" s="24" t="s">
        <v>180</v>
      </c>
      <c r="G8" s="24" t="s">
        <v>188</v>
      </c>
      <c r="H8" s="25">
        <v>42072.685416666667</v>
      </c>
      <c r="I8" s="32" t="s">
        <v>547</v>
      </c>
      <c r="J8" s="24"/>
      <c r="K8" s="24" t="s">
        <v>92</v>
      </c>
      <c r="L8" s="24"/>
      <c r="M8" s="24"/>
      <c r="N8" s="52" t="s">
        <v>2182</v>
      </c>
      <c r="O8" s="24"/>
      <c r="P8" s="25"/>
      <c r="Q8" s="25"/>
      <c r="R8" s="25"/>
      <c r="S8" s="25"/>
      <c r="T8" s="25"/>
      <c r="U8" s="25">
        <v>42283</v>
      </c>
      <c r="V8" s="32" t="s">
        <v>547</v>
      </c>
    </row>
    <row r="9" spans="1:31" ht="90" x14ac:dyDescent="0.25">
      <c r="A9" s="22" t="s">
        <v>548</v>
      </c>
      <c r="B9" s="23" t="s">
        <v>549</v>
      </c>
      <c r="C9" s="24" t="s">
        <v>174</v>
      </c>
      <c r="D9" s="24" t="s">
        <v>174</v>
      </c>
      <c r="E9" s="24" t="s">
        <v>531</v>
      </c>
      <c r="F9" s="24" t="s">
        <v>180</v>
      </c>
      <c r="G9" s="24" t="s">
        <v>513</v>
      </c>
      <c r="H9" s="25">
        <v>42072.802777777775</v>
      </c>
      <c r="I9" s="32" t="s">
        <v>242</v>
      </c>
      <c r="J9" s="24" t="s">
        <v>501</v>
      </c>
      <c r="K9" s="24" t="s">
        <v>550</v>
      </c>
      <c r="L9" s="52" t="s">
        <v>1536</v>
      </c>
      <c r="M9" s="24" t="s">
        <v>1537</v>
      </c>
      <c r="N9" s="24" t="s">
        <v>1707</v>
      </c>
      <c r="O9" s="24"/>
      <c r="P9" s="25">
        <v>42077</v>
      </c>
      <c r="Q9" s="25">
        <v>42089</v>
      </c>
      <c r="R9" s="25">
        <v>42091</v>
      </c>
      <c r="S9" s="25">
        <v>42096</v>
      </c>
      <c r="T9" s="25">
        <v>42108</v>
      </c>
      <c r="U9" s="25">
        <v>42174</v>
      </c>
      <c r="V9" s="32" t="s">
        <v>551</v>
      </c>
    </row>
    <row r="10" spans="1:31" ht="67.5" x14ac:dyDescent="0.25">
      <c r="A10" s="24" t="s">
        <v>552</v>
      </c>
      <c r="B10" s="23" t="s">
        <v>553</v>
      </c>
      <c r="C10" s="24"/>
      <c r="D10" s="24"/>
      <c r="E10" s="24" t="s">
        <v>511</v>
      </c>
      <c r="F10" s="24" t="s">
        <v>512</v>
      </c>
      <c r="G10" s="24" t="s">
        <v>188</v>
      </c>
      <c r="H10" s="25">
        <v>42074.380555555559</v>
      </c>
      <c r="I10" s="32" t="s">
        <v>554</v>
      </c>
      <c r="J10" s="24"/>
      <c r="K10" s="24" t="s">
        <v>555</v>
      </c>
      <c r="L10" s="52" t="s">
        <v>1538</v>
      </c>
      <c r="M10" s="24" t="s">
        <v>1535</v>
      </c>
      <c r="N10" s="24" t="s">
        <v>1707</v>
      </c>
      <c r="O10" s="24" t="s">
        <v>1710</v>
      </c>
      <c r="P10" s="25"/>
      <c r="Q10" s="25"/>
      <c r="R10" s="25"/>
      <c r="S10" s="25"/>
      <c r="T10" s="25"/>
      <c r="U10" s="25"/>
      <c r="V10" s="32" t="s">
        <v>554</v>
      </c>
    </row>
    <row r="11" spans="1:31" ht="33.75" x14ac:dyDescent="0.25">
      <c r="A11" s="23" t="s">
        <v>556</v>
      </c>
      <c r="B11" s="23" t="s">
        <v>557</v>
      </c>
      <c r="C11" s="24"/>
      <c r="D11" s="24"/>
      <c r="E11" s="24" t="s">
        <v>511</v>
      </c>
      <c r="F11" s="24" t="s">
        <v>512</v>
      </c>
      <c r="G11" s="24" t="s">
        <v>188</v>
      </c>
      <c r="H11" s="25">
        <v>42074.394444444442</v>
      </c>
      <c r="I11" s="32" t="s">
        <v>558</v>
      </c>
      <c r="J11" s="24"/>
      <c r="K11" s="24" t="s">
        <v>555</v>
      </c>
      <c r="L11" s="24"/>
      <c r="M11" s="24"/>
      <c r="N11" s="52" t="s">
        <v>2182</v>
      </c>
      <c r="O11" s="24"/>
      <c r="P11" s="25"/>
      <c r="Q11" s="25"/>
      <c r="R11" s="25"/>
      <c r="S11" s="25"/>
      <c r="T11" s="25"/>
      <c r="U11" s="25"/>
      <c r="V11" s="32" t="s">
        <v>558</v>
      </c>
    </row>
    <row r="12" spans="1:31" ht="90" x14ac:dyDescent="0.25">
      <c r="A12" s="23" t="s">
        <v>559</v>
      </c>
      <c r="B12" s="23" t="s">
        <v>358</v>
      </c>
      <c r="C12" s="24"/>
      <c r="D12" s="24"/>
      <c r="E12" s="24" t="s">
        <v>537</v>
      </c>
      <c r="F12" s="24" t="s">
        <v>512</v>
      </c>
      <c r="G12" s="24" t="s">
        <v>188</v>
      </c>
      <c r="H12" s="25">
        <v>42075.435416666667</v>
      </c>
      <c r="I12" s="32" t="s">
        <v>560</v>
      </c>
      <c r="J12" s="24"/>
      <c r="K12" s="24" t="s">
        <v>561</v>
      </c>
      <c r="L12" s="52" t="s">
        <v>1539</v>
      </c>
      <c r="M12" s="24" t="s">
        <v>1540</v>
      </c>
      <c r="N12" s="24" t="s">
        <v>1707</v>
      </c>
      <c r="O12" s="24" t="s">
        <v>1721</v>
      </c>
      <c r="P12" s="25"/>
      <c r="Q12" s="25"/>
      <c r="R12" s="25"/>
      <c r="S12" s="25"/>
      <c r="T12" s="25"/>
      <c r="U12" s="25"/>
      <c r="V12" s="32" t="s">
        <v>560</v>
      </c>
    </row>
    <row r="13" spans="1:31" ht="101.25" x14ac:dyDescent="0.25">
      <c r="A13" s="23" t="s">
        <v>563</v>
      </c>
      <c r="B13" s="23" t="s">
        <v>358</v>
      </c>
      <c r="C13" s="24"/>
      <c r="D13" s="24"/>
      <c r="E13" s="24" t="s">
        <v>511</v>
      </c>
      <c r="F13" s="24" t="s">
        <v>512</v>
      </c>
      <c r="G13" s="24" t="s">
        <v>513</v>
      </c>
      <c r="H13" s="25">
        <v>42076.447916666664</v>
      </c>
      <c r="I13" s="32" t="s">
        <v>564</v>
      </c>
      <c r="J13" s="24"/>
      <c r="K13" s="24" t="s">
        <v>565</v>
      </c>
      <c r="L13" s="52" t="s">
        <v>1543</v>
      </c>
      <c r="M13" s="24" t="s">
        <v>1542</v>
      </c>
      <c r="N13" s="24" t="s">
        <v>1707</v>
      </c>
      <c r="O13" s="24"/>
      <c r="P13" s="25"/>
      <c r="Q13" s="25"/>
      <c r="R13" s="25"/>
      <c r="S13" s="25"/>
      <c r="T13" s="25"/>
      <c r="U13" s="25"/>
      <c r="V13" s="32" t="s">
        <v>564</v>
      </c>
    </row>
    <row r="14" spans="1:31" ht="409.5" x14ac:dyDescent="0.25">
      <c r="A14" s="23" t="s">
        <v>566</v>
      </c>
      <c r="B14" s="23" t="s">
        <v>567</v>
      </c>
      <c r="C14" s="24"/>
      <c r="D14" s="24"/>
      <c r="E14" s="24" t="s">
        <v>511</v>
      </c>
      <c r="F14" s="24" t="s">
        <v>512</v>
      </c>
      <c r="G14" s="24" t="s">
        <v>513</v>
      </c>
      <c r="H14" s="25">
        <v>42076.466666666667</v>
      </c>
      <c r="I14" s="32" t="s">
        <v>568</v>
      </c>
      <c r="J14" s="24"/>
      <c r="K14" s="24" t="s">
        <v>569</v>
      </c>
      <c r="L14" s="52" t="s">
        <v>1544</v>
      </c>
      <c r="M14" s="24" t="s">
        <v>1540</v>
      </c>
      <c r="N14" s="24" t="s">
        <v>1707</v>
      </c>
      <c r="O14" s="24"/>
      <c r="P14" s="25"/>
      <c r="Q14" s="25"/>
      <c r="R14" s="25"/>
      <c r="S14" s="25"/>
      <c r="T14" s="25"/>
      <c r="U14" s="25"/>
      <c r="V14" s="32" t="s">
        <v>568</v>
      </c>
    </row>
    <row r="15" spans="1:31" ht="22.5" x14ac:dyDescent="0.25">
      <c r="A15" s="22" t="s">
        <v>570</v>
      </c>
      <c r="B15" s="23" t="s">
        <v>571</v>
      </c>
      <c r="C15" s="24" t="s">
        <v>572</v>
      </c>
      <c r="D15" s="24" t="s">
        <v>573</v>
      </c>
      <c r="E15" s="24" t="s">
        <v>531</v>
      </c>
      <c r="F15" s="24" t="s">
        <v>180</v>
      </c>
      <c r="G15" s="24" t="s">
        <v>189</v>
      </c>
      <c r="H15" s="25">
        <v>42079.760416666664</v>
      </c>
      <c r="I15" s="29" t="s">
        <v>242</v>
      </c>
      <c r="J15" s="24" t="s">
        <v>449</v>
      </c>
      <c r="K15" s="24" t="s">
        <v>574</v>
      </c>
      <c r="L15" s="24"/>
      <c r="M15" s="24"/>
      <c r="N15" s="52" t="s">
        <v>2182</v>
      </c>
      <c r="O15" s="24"/>
      <c r="P15" s="25">
        <v>42082</v>
      </c>
      <c r="Q15" s="25"/>
      <c r="R15" s="25"/>
      <c r="S15" s="25"/>
      <c r="T15" s="25">
        <v>42256</v>
      </c>
      <c r="U15" s="25">
        <v>42260</v>
      </c>
      <c r="V15" s="29" t="s">
        <v>575</v>
      </c>
    </row>
    <row r="16" spans="1:31" ht="33.75" x14ac:dyDescent="0.25">
      <c r="A16" s="23" t="s">
        <v>576</v>
      </c>
      <c r="B16" s="23" t="s">
        <v>577</v>
      </c>
      <c r="C16" s="24"/>
      <c r="D16" s="24"/>
      <c r="E16" s="24" t="s">
        <v>537</v>
      </c>
      <c r="F16" s="24" t="s">
        <v>180</v>
      </c>
      <c r="G16" s="24" t="s">
        <v>513</v>
      </c>
      <c r="H16" s="25">
        <v>42080.756249999999</v>
      </c>
      <c r="I16" s="29" t="s">
        <v>578</v>
      </c>
      <c r="J16" s="24"/>
      <c r="K16" s="24" t="s">
        <v>550</v>
      </c>
      <c r="L16" s="52" t="s">
        <v>1536</v>
      </c>
      <c r="M16" s="24" t="s">
        <v>1537</v>
      </c>
      <c r="N16" s="24" t="s">
        <v>1707</v>
      </c>
      <c r="O16" s="24"/>
      <c r="P16" s="25"/>
      <c r="Q16" s="25"/>
      <c r="R16" s="25"/>
      <c r="S16" s="25"/>
      <c r="T16" s="25"/>
      <c r="U16" s="25"/>
      <c r="V16" s="29" t="s">
        <v>578</v>
      </c>
    </row>
    <row r="17" spans="1:22" ht="30" x14ac:dyDescent="0.25">
      <c r="A17" s="23" t="s">
        <v>579</v>
      </c>
      <c r="B17" s="23" t="s">
        <v>580</v>
      </c>
      <c r="C17" s="24"/>
      <c r="D17" s="24"/>
      <c r="E17" s="24"/>
      <c r="F17" s="24"/>
      <c r="G17" s="24"/>
      <c r="H17" s="25">
        <v>42080.780555555553</v>
      </c>
      <c r="I17" s="29"/>
      <c r="J17" s="24"/>
      <c r="K17" s="24" t="s">
        <v>550</v>
      </c>
      <c r="L17" s="52" t="s">
        <v>1536</v>
      </c>
      <c r="M17" s="24" t="s">
        <v>1537</v>
      </c>
      <c r="N17" s="24" t="s">
        <v>1707</v>
      </c>
      <c r="O17" s="24"/>
      <c r="P17" s="25"/>
      <c r="Q17" s="25"/>
      <c r="R17" s="25"/>
      <c r="S17" s="25"/>
      <c r="T17" s="25"/>
      <c r="U17" s="25"/>
      <c r="V17" s="29"/>
    </row>
    <row r="18" spans="1:22" ht="45" x14ac:dyDescent="0.25">
      <c r="A18" s="23" t="s">
        <v>581</v>
      </c>
      <c r="B18" s="23" t="s">
        <v>582</v>
      </c>
      <c r="C18" s="24" t="s">
        <v>203</v>
      </c>
      <c r="D18" s="24" t="s">
        <v>583</v>
      </c>
      <c r="E18" s="24" t="s">
        <v>261</v>
      </c>
      <c r="F18" s="24" t="s">
        <v>180</v>
      </c>
      <c r="G18" s="24" t="s">
        <v>513</v>
      </c>
      <c r="H18" s="25">
        <v>42081.438888888886</v>
      </c>
      <c r="I18" s="29" t="s">
        <v>242</v>
      </c>
      <c r="J18" s="24" t="s">
        <v>502</v>
      </c>
      <c r="K18" s="24" t="s">
        <v>584</v>
      </c>
      <c r="L18" s="52" t="s">
        <v>1545</v>
      </c>
      <c r="M18" s="24" t="s">
        <v>1540</v>
      </c>
      <c r="N18" s="24" t="s">
        <v>1707</v>
      </c>
      <c r="O18" s="24"/>
      <c r="P18" s="25">
        <v>42089</v>
      </c>
      <c r="Q18" s="25">
        <v>42093</v>
      </c>
      <c r="R18" s="25">
        <v>42250</v>
      </c>
      <c r="S18" s="25">
        <v>42250</v>
      </c>
      <c r="T18" s="25"/>
      <c r="U18" s="25"/>
      <c r="V18" s="29" t="s">
        <v>585</v>
      </c>
    </row>
    <row r="19" spans="1:22" ht="67.5" x14ac:dyDescent="0.25">
      <c r="A19" s="22" t="s">
        <v>586</v>
      </c>
      <c r="B19" s="23" t="s">
        <v>587</v>
      </c>
      <c r="C19" s="24" t="s">
        <v>572</v>
      </c>
      <c r="D19" s="24" t="s">
        <v>588</v>
      </c>
      <c r="E19" s="24" t="s">
        <v>261</v>
      </c>
      <c r="F19" s="24" t="s">
        <v>180</v>
      </c>
      <c r="G19" s="24" t="s">
        <v>189</v>
      </c>
      <c r="H19" s="25">
        <v>42081.716666666667</v>
      </c>
      <c r="I19" s="29" t="s">
        <v>242</v>
      </c>
      <c r="J19" s="24" t="s">
        <v>589</v>
      </c>
      <c r="K19" s="24" t="s">
        <v>574</v>
      </c>
      <c r="L19" s="24"/>
      <c r="M19" s="24"/>
      <c r="N19" s="52" t="s">
        <v>2182</v>
      </c>
      <c r="O19" s="24"/>
      <c r="P19" s="25">
        <v>42082</v>
      </c>
      <c r="Q19" s="25"/>
      <c r="R19" s="25"/>
      <c r="S19" s="25"/>
      <c r="T19" s="25">
        <v>42256</v>
      </c>
      <c r="U19" s="25">
        <v>42260</v>
      </c>
      <c r="V19" s="29" t="s">
        <v>590</v>
      </c>
    </row>
    <row r="20" spans="1:22" x14ac:dyDescent="0.25">
      <c r="A20" s="23" t="s">
        <v>591</v>
      </c>
      <c r="B20" s="23" t="s">
        <v>592</v>
      </c>
      <c r="C20" s="24" t="s">
        <v>203</v>
      </c>
      <c r="D20" s="24" t="s">
        <v>593</v>
      </c>
      <c r="E20" s="24" t="s">
        <v>537</v>
      </c>
      <c r="F20" s="24" t="s">
        <v>512</v>
      </c>
      <c r="G20" s="24" t="s">
        <v>188</v>
      </c>
      <c r="H20" s="25">
        <v>42082.442361111112</v>
      </c>
      <c r="I20" s="24" t="s">
        <v>523</v>
      </c>
      <c r="J20" s="24" t="s">
        <v>524</v>
      </c>
      <c r="K20" s="24" t="s">
        <v>594</v>
      </c>
      <c r="L20" s="24"/>
      <c r="M20" s="24"/>
      <c r="N20" s="52" t="s">
        <v>2182</v>
      </c>
      <c r="O20" s="24"/>
      <c r="P20" s="25"/>
      <c r="Q20" s="25"/>
      <c r="R20" s="25"/>
      <c r="S20" s="25"/>
      <c r="T20" s="25"/>
      <c r="U20" s="25"/>
      <c r="V20" s="29" t="s">
        <v>595</v>
      </c>
    </row>
    <row r="21" spans="1:22" ht="45" x14ac:dyDescent="0.25">
      <c r="A21" s="23" t="s">
        <v>596</v>
      </c>
      <c r="B21" s="23" t="s">
        <v>597</v>
      </c>
      <c r="C21" s="24"/>
      <c r="D21" s="24"/>
      <c r="E21" s="24" t="s">
        <v>261</v>
      </c>
      <c r="F21" s="24" t="s">
        <v>180</v>
      </c>
      <c r="G21" s="24" t="s">
        <v>188</v>
      </c>
      <c r="H21" s="25">
        <v>42082.486111111109</v>
      </c>
      <c r="I21" s="29" t="s">
        <v>598</v>
      </c>
      <c r="J21" s="24"/>
      <c r="K21" s="24" t="s">
        <v>594</v>
      </c>
      <c r="L21" s="24"/>
      <c r="M21" s="24"/>
      <c r="N21" s="52" t="s">
        <v>2182</v>
      </c>
      <c r="O21" s="24"/>
      <c r="P21" s="25"/>
      <c r="Q21" s="25"/>
      <c r="R21" s="25"/>
      <c r="S21" s="25"/>
      <c r="T21" s="25"/>
      <c r="U21" s="25"/>
      <c r="V21" s="29" t="s">
        <v>598</v>
      </c>
    </row>
    <row r="22" spans="1:22" ht="33.75" x14ac:dyDescent="0.25">
      <c r="A22" s="23" t="s">
        <v>599</v>
      </c>
      <c r="B22" s="23" t="s">
        <v>600</v>
      </c>
      <c r="C22" s="24"/>
      <c r="D22" s="24"/>
      <c r="E22" s="24" t="s">
        <v>495</v>
      </c>
      <c r="F22" s="24" t="s">
        <v>180</v>
      </c>
      <c r="G22" s="24" t="s">
        <v>189</v>
      </c>
      <c r="H22" s="25">
        <v>42082.507638888892</v>
      </c>
      <c r="I22" s="29" t="s">
        <v>601</v>
      </c>
      <c r="J22" s="24"/>
      <c r="K22" s="24" t="s">
        <v>594</v>
      </c>
      <c r="L22" s="52" t="s">
        <v>1549</v>
      </c>
      <c r="M22" s="24" t="s">
        <v>1537</v>
      </c>
      <c r="N22" s="24" t="s">
        <v>1707</v>
      </c>
      <c r="O22" s="24"/>
      <c r="P22" s="25"/>
      <c r="Q22" s="25"/>
      <c r="R22" s="25"/>
      <c r="S22" s="25"/>
      <c r="T22" s="25"/>
      <c r="U22" s="25">
        <v>42383</v>
      </c>
      <c r="V22" s="29" t="s">
        <v>601</v>
      </c>
    </row>
    <row r="23" spans="1:22" ht="45" x14ac:dyDescent="0.25">
      <c r="A23" s="23" t="s">
        <v>602</v>
      </c>
      <c r="B23" s="23" t="s">
        <v>603</v>
      </c>
      <c r="C23" s="24"/>
      <c r="D23" s="24"/>
      <c r="E23" s="24" t="s">
        <v>511</v>
      </c>
      <c r="F23" s="24" t="s">
        <v>512</v>
      </c>
      <c r="G23" s="24" t="s">
        <v>188</v>
      </c>
      <c r="H23" s="25">
        <v>42082.757638888892</v>
      </c>
      <c r="I23" s="29" t="s">
        <v>604</v>
      </c>
      <c r="J23" s="24"/>
      <c r="K23" s="24" t="s">
        <v>605</v>
      </c>
      <c r="L23" s="24"/>
      <c r="M23" s="24"/>
      <c r="N23" s="52" t="s">
        <v>2182</v>
      </c>
      <c r="O23" s="24"/>
      <c r="P23" s="25"/>
      <c r="Q23" s="25"/>
      <c r="R23" s="25"/>
      <c r="S23" s="25"/>
      <c r="T23" s="25"/>
      <c r="U23" s="25"/>
      <c r="V23" s="29" t="s">
        <v>604</v>
      </c>
    </row>
    <row r="24" spans="1:22" ht="45" x14ac:dyDescent="0.25">
      <c r="A24" s="23" t="s">
        <v>606</v>
      </c>
      <c r="B24" s="23" t="s">
        <v>358</v>
      </c>
      <c r="C24" s="24"/>
      <c r="D24" s="24"/>
      <c r="E24" s="24" t="s">
        <v>537</v>
      </c>
      <c r="F24" s="24" t="s">
        <v>512</v>
      </c>
      <c r="G24" s="24" t="s">
        <v>513</v>
      </c>
      <c r="H24" s="25">
        <v>42088.557638888888</v>
      </c>
      <c r="I24" s="29" t="s">
        <v>607</v>
      </c>
      <c r="J24" s="24"/>
      <c r="K24" s="24" t="s">
        <v>608</v>
      </c>
      <c r="L24" s="52" t="s">
        <v>1548</v>
      </c>
      <c r="M24" s="24" t="s">
        <v>1546</v>
      </c>
      <c r="N24" s="24" t="s">
        <v>1707</v>
      </c>
      <c r="O24" s="24"/>
      <c r="P24" s="25"/>
      <c r="Q24" s="25"/>
      <c r="R24" s="25"/>
      <c r="S24" s="25"/>
      <c r="T24" s="25"/>
      <c r="U24" s="25"/>
      <c r="V24" s="29" t="s">
        <v>2186</v>
      </c>
    </row>
    <row r="25" spans="1:22" ht="22.5" x14ac:dyDescent="0.25">
      <c r="A25" s="22" t="s">
        <v>609</v>
      </c>
      <c r="B25" s="23" t="s">
        <v>358</v>
      </c>
      <c r="C25" s="24" t="s">
        <v>203</v>
      </c>
      <c r="D25" s="24" t="s">
        <v>610</v>
      </c>
      <c r="E25" s="24" t="s">
        <v>261</v>
      </c>
      <c r="F25" s="24" t="s">
        <v>180</v>
      </c>
      <c r="G25" s="24" t="s">
        <v>189</v>
      </c>
      <c r="H25" s="25">
        <v>42089.570833333331</v>
      </c>
      <c r="I25" s="29" t="s">
        <v>242</v>
      </c>
      <c r="J25" s="24" t="s">
        <v>611</v>
      </c>
      <c r="K25" s="24" t="s">
        <v>612</v>
      </c>
      <c r="L25" s="24"/>
      <c r="M25" s="24"/>
      <c r="N25" s="52" t="s">
        <v>2182</v>
      </c>
      <c r="O25" s="24"/>
      <c r="P25" s="25">
        <v>42152</v>
      </c>
      <c r="Q25" s="25">
        <v>42155</v>
      </c>
      <c r="R25" s="25"/>
      <c r="S25" s="25"/>
      <c r="T25" s="25">
        <v>42223</v>
      </c>
      <c r="U25" s="25">
        <v>42248</v>
      </c>
      <c r="V25" s="29" t="s">
        <v>613</v>
      </c>
    </row>
    <row r="26" spans="1:22" ht="30" x14ac:dyDescent="0.25">
      <c r="A26" s="23" t="s">
        <v>614</v>
      </c>
      <c r="B26" s="23" t="s">
        <v>358</v>
      </c>
      <c r="C26" s="24"/>
      <c r="D26" s="24"/>
      <c r="E26" s="24" t="s">
        <v>511</v>
      </c>
      <c r="F26" s="24" t="s">
        <v>512</v>
      </c>
      <c r="G26" s="24" t="s">
        <v>189</v>
      </c>
      <c r="H26" s="25">
        <v>42089.635416666664</v>
      </c>
      <c r="I26" s="29"/>
      <c r="J26" s="24"/>
      <c r="K26" s="24" t="s">
        <v>615</v>
      </c>
      <c r="L26" s="52" t="s">
        <v>1547</v>
      </c>
      <c r="M26" s="24" t="s">
        <v>1537</v>
      </c>
      <c r="N26" s="24" t="s">
        <v>1707</v>
      </c>
      <c r="O26" s="24" t="s">
        <v>1710</v>
      </c>
      <c r="P26" s="25"/>
      <c r="Q26" s="25"/>
      <c r="R26" s="25"/>
      <c r="S26" s="25"/>
      <c r="T26" s="25"/>
      <c r="U26" s="25"/>
      <c r="V26" s="29"/>
    </row>
    <row r="27" spans="1:22" x14ac:dyDescent="0.25">
      <c r="A27" s="23" t="s">
        <v>616</v>
      </c>
      <c r="B27" s="23" t="s">
        <v>617</v>
      </c>
      <c r="C27" s="24"/>
      <c r="D27" s="24"/>
      <c r="E27" s="24"/>
      <c r="F27" s="24"/>
      <c r="G27" s="24" t="s">
        <v>188</v>
      </c>
      <c r="H27" s="25">
        <v>42090.492361111108</v>
      </c>
      <c r="I27" s="29"/>
      <c r="J27" s="24"/>
      <c r="K27" s="24" t="s">
        <v>562</v>
      </c>
      <c r="L27" s="24"/>
      <c r="M27" s="24"/>
      <c r="N27" s="52" t="s">
        <v>2182</v>
      </c>
      <c r="O27" s="24"/>
      <c r="P27" s="25"/>
      <c r="Q27" s="25"/>
      <c r="R27" s="25"/>
      <c r="S27" s="25"/>
      <c r="T27" s="25"/>
      <c r="U27" s="25"/>
      <c r="V27" s="29"/>
    </row>
    <row r="28" spans="1:22" ht="30" x14ac:dyDescent="0.25">
      <c r="A28" s="23" t="s">
        <v>618</v>
      </c>
      <c r="B28" s="23" t="s">
        <v>619</v>
      </c>
      <c r="C28" s="24"/>
      <c r="D28" s="24"/>
      <c r="E28" s="24"/>
      <c r="F28" s="24"/>
      <c r="G28" s="24" t="s">
        <v>513</v>
      </c>
      <c r="H28" s="25">
        <v>42093.758333333331</v>
      </c>
      <c r="I28" s="29"/>
      <c r="J28" s="24"/>
      <c r="K28" s="24" t="s">
        <v>550</v>
      </c>
      <c r="L28" s="52" t="s">
        <v>1536</v>
      </c>
      <c r="M28" s="24" t="s">
        <v>1537</v>
      </c>
      <c r="N28" s="24" t="s">
        <v>1707</v>
      </c>
      <c r="O28" s="24"/>
      <c r="P28" s="25"/>
      <c r="Q28" s="25"/>
      <c r="R28" s="25"/>
      <c r="S28" s="25"/>
      <c r="T28" s="25"/>
      <c r="U28" s="25"/>
      <c r="V28" s="29"/>
    </row>
    <row r="29" spans="1:22" ht="22.5" x14ac:dyDescent="0.25">
      <c r="A29" s="23" t="s">
        <v>620</v>
      </c>
      <c r="B29" s="23" t="s">
        <v>621</v>
      </c>
      <c r="C29" s="24"/>
      <c r="D29" s="24"/>
      <c r="E29" s="24"/>
      <c r="F29" s="24"/>
      <c r="G29" s="24" t="s">
        <v>188</v>
      </c>
      <c r="H29" s="25">
        <v>42093.777083333334</v>
      </c>
      <c r="I29" s="29"/>
      <c r="J29" s="24"/>
      <c r="K29" s="24" t="s">
        <v>574</v>
      </c>
      <c r="L29" s="24"/>
      <c r="M29" s="24"/>
      <c r="N29" s="52" t="s">
        <v>2182</v>
      </c>
      <c r="O29" s="24"/>
      <c r="P29" s="25"/>
      <c r="Q29" s="25"/>
      <c r="R29" s="25"/>
      <c r="S29" s="25"/>
      <c r="T29" s="25"/>
      <c r="U29" s="25"/>
      <c r="V29" s="29"/>
    </row>
    <row r="30" spans="1:22" ht="22.5" x14ac:dyDescent="0.25">
      <c r="A30" s="22" t="s">
        <v>622</v>
      </c>
      <c r="B30" s="23" t="s">
        <v>623</v>
      </c>
      <c r="C30" s="24" t="s">
        <v>203</v>
      </c>
      <c r="D30" s="24" t="s">
        <v>624</v>
      </c>
      <c r="E30" s="24" t="s">
        <v>511</v>
      </c>
      <c r="F30" s="24" t="s">
        <v>512</v>
      </c>
      <c r="G30" s="24" t="s">
        <v>188</v>
      </c>
      <c r="H30" s="25">
        <v>42094.601388888892</v>
      </c>
      <c r="I30" s="29" t="s">
        <v>625</v>
      </c>
      <c r="J30" s="33" t="s">
        <v>626</v>
      </c>
      <c r="K30" s="24" t="s">
        <v>584</v>
      </c>
      <c r="L30" s="24"/>
      <c r="M30" s="24"/>
      <c r="N30" s="52" t="s">
        <v>2182</v>
      </c>
      <c r="O30" s="24"/>
      <c r="P30" s="25">
        <v>42115</v>
      </c>
      <c r="Q30" s="25"/>
      <c r="R30" s="25"/>
      <c r="S30" s="25"/>
      <c r="T30" s="25"/>
      <c r="U30" s="25">
        <v>42257</v>
      </c>
      <c r="V30" s="29" t="s">
        <v>627</v>
      </c>
    </row>
    <row r="31" spans="1:22" ht="30" x14ac:dyDescent="0.25">
      <c r="A31" s="23" t="s">
        <v>628</v>
      </c>
      <c r="B31" s="23" t="s">
        <v>358</v>
      </c>
      <c r="C31" s="24"/>
      <c r="D31" s="24"/>
      <c r="E31" s="24"/>
      <c r="F31" s="24"/>
      <c r="G31" s="24" t="s">
        <v>513</v>
      </c>
      <c r="H31" s="25">
        <v>42095.65347222222</v>
      </c>
      <c r="I31" s="29"/>
      <c r="J31" s="24"/>
      <c r="K31" s="24" t="s">
        <v>629</v>
      </c>
      <c r="L31" s="52" t="s">
        <v>1550</v>
      </c>
      <c r="M31" s="24" t="s">
        <v>1537</v>
      </c>
      <c r="N31" s="24" t="s">
        <v>1707</v>
      </c>
      <c r="O31" s="24"/>
      <c r="P31" s="25"/>
      <c r="Q31" s="25"/>
      <c r="R31" s="25"/>
      <c r="S31" s="25"/>
      <c r="T31" s="25"/>
      <c r="U31" s="25"/>
      <c r="V31" s="29"/>
    </row>
    <row r="32" spans="1:22" ht="30" x14ac:dyDescent="0.25">
      <c r="A32" s="23" t="s">
        <v>630</v>
      </c>
      <c r="B32" s="23" t="s">
        <v>358</v>
      </c>
      <c r="C32" s="24"/>
      <c r="D32" s="24"/>
      <c r="E32" s="24"/>
      <c r="F32" s="24"/>
      <c r="G32" s="24" t="s">
        <v>513</v>
      </c>
      <c r="H32" s="25">
        <v>42100.466666666667</v>
      </c>
      <c r="I32" s="29"/>
      <c r="J32" s="24"/>
      <c r="K32" s="24" t="s">
        <v>608</v>
      </c>
      <c r="L32" s="52" t="s">
        <v>1548</v>
      </c>
      <c r="M32" s="24" t="s">
        <v>1537</v>
      </c>
      <c r="N32" s="24" t="s">
        <v>1728</v>
      </c>
      <c r="O32" s="24"/>
      <c r="P32" s="25"/>
      <c r="Q32" s="25"/>
      <c r="R32" s="25"/>
      <c r="S32" s="25"/>
      <c r="T32" s="25"/>
      <c r="U32" s="25"/>
      <c r="V32" s="29" t="s">
        <v>2187</v>
      </c>
    </row>
    <row r="33" spans="1:22" ht="45" x14ac:dyDescent="0.25">
      <c r="A33" s="23" t="s">
        <v>631</v>
      </c>
      <c r="B33" s="23" t="s">
        <v>632</v>
      </c>
      <c r="C33" s="24"/>
      <c r="D33" s="24"/>
      <c r="E33" s="24"/>
      <c r="F33" s="24"/>
      <c r="G33" s="24" t="s">
        <v>513</v>
      </c>
      <c r="H33" s="25">
        <v>42101.479166666664</v>
      </c>
      <c r="I33" s="29"/>
      <c r="J33" s="24"/>
      <c r="K33" s="24" t="s">
        <v>633</v>
      </c>
      <c r="L33" s="52" t="s">
        <v>1551</v>
      </c>
      <c r="M33" s="24" t="s">
        <v>1540</v>
      </c>
      <c r="N33" s="24" t="s">
        <v>1707</v>
      </c>
      <c r="O33" s="24"/>
      <c r="P33" s="25"/>
      <c r="Q33" s="25"/>
      <c r="R33" s="25"/>
      <c r="S33" s="25"/>
      <c r="T33" s="25"/>
      <c r="U33" s="25"/>
      <c r="V33" s="29"/>
    </row>
    <row r="34" spans="1:22" ht="22.5" x14ac:dyDescent="0.25">
      <c r="A34" s="23" t="s">
        <v>634</v>
      </c>
      <c r="B34" s="23" t="s">
        <v>635</v>
      </c>
      <c r="C34" s="24"/>
      <c r="D34" s="24"/>
      <c r="E34" s="24"/>
      <c r="F34" s="24"/>
      <c r="G34" s="24" t="s">
        <v>189</v>
      </c>
      <c r="H34" s="25">
        <v>42102.4375</v>
      </c>
      <c r="I34" s="29"/>
      <c r="J34" s="24"/>
      <c r="K34" s="24" t="s">
        <v>636</v>
      </c>
      <c r="L34" s="24"/>
      <c r="M34" s="24"/>
      <c r="N34" s="52" t="s">
        <v>2182</v>
      </c>
      <c r="O34" s="24"/>
      <c r="P34" s="25"/>
      <c r="Q34" s="25"/>
      <c r="R34" s="25"/>
      <c r="S34" s="25"/>
      <c r="T34" s="25"/>
      <c r="U34" s="25"/>
      <c r="V34" s="29"/>
    </row>
    <row r="35" spans="1:22" x14ac:dyDescent="0.25">
      <c r="A35" s="23" t="s">
        <v>637</v>
      </c>
      <c r="B35" s="23" t="s">
        <v>638</v>
      </c>
      <c r="C35" s="24"/>
      <c r="D35" s="24"/>
      <c r="E35" s="24"/>
      <c r="F35" s="24"/>
      <c r="G35" s="24" t="s">
        <v>188</v>
      </c>
      <c r="H35" s="25">
        <v>42102.663888888892</v>
      </c>
      <c r="I35" s="29"/>
      <c r="J35" s="24"/>
      <c r="K35" s="24" t="s">
        <v>639</v>
      </c>
      <c r="L35" s="24"/>
      <c r="M35" s="24"/>
      <c r="N35" s="52" t="s">
        <v>2182</v>
      </c>
      <c r="O35" s="24"/>
      <c r="P35" s="25"/>
      <c r="Q35" s="25"/>
      <c r="R35" s="25"/>
      <c r="S35" s="25"/>
      <c r="T35" s="25"/>
      <c r="U35" s="25"/>
      <c r="V35" s="29"/>
    </row>
    <row r="36" spans="1:22" ht="33.75" x14ac:dyDescent="0.25">
      <c r="A36" s="23" t="s">
        <v>640</v>
      </c>
      <c r="B36" s="23" t="s">
        <v>641</v>
      </c>
      <c r="C36" s="24"/>
      <c r="D36" s="24"/>
      <c r="E36" s="24"/>
      <c r="F36" s="24"/>
      <c r="G36" s="24" t="s">
        <v>189</v>
      </c>
      <c r="H36" s="25">
        <v>42102.731249999997</v>
      </c>
      <c r="I36" s="29"/>
      <c r="J36" s="24"/>
      <c r="K36" s="24" t="s">
        <v>594</v>
      </c>
      <c r="L36" s="24"/>
      <c r="M36" s="24"/>
      <c r="N36" s="52" t="s">
        <v>2182</v>
      </c>
      <c r="O36" s="24"/>
      <c r="P36" s="25"/>
      <c r="Q36" s="25"/>
      <c r="R36" s="25"/>
      <c r="S36" s="25"/>
      <c r="T36" s="25"/>
      <c r="U36" s="25"/>
      <c r="V36" s="29"/>
    </row>
    <row r="37" spans="1:22" ht="30" x14ac:dyDescent="0.25">
      <c r="A37" s="23" t="s">
        <v>642</v>
      </c>
      <c r="B37" s="23" t="s">
        <v>643</v>
      </c>
      <c r="C37" s="24"/>
      <c r="D37" s="24"/>
      <c r="E37" s="24"/>
      <c r="F37" s="24"/>
      <c r="G37" s="24" t="s">
        <v>513</v>
      </c>
      <c r="H37" s="25">
        <v>42102.748611111114</v>
      </c>
      <c r="I37" s="29"/>
      <c r="J37" s="24"/>
      <c r="K37" s="24" t="s">
        <v>550</v>
      </c>
      <c r="L37" s="52" t="s">
        <v>1536</v>
      </c>
      <c r="M37" s="24" t="s">
        <v>1537</v>
      </c>
      <c r="N37" s="24" t="s">
        <v>1707</v>
      </c>
      <c r="O37" s="24"/>
      <c r="P37" s="25"/>
      <c r="Q37" s="25"/>
      <c r="R37" s="25"/>
      <c r="S37" s="25"/>
      <c r="T37" s="25"/>
      <c r="U37" s="25"/>
      <c r="V37" s="29"/>
    </row>
    <row r="38" spans="1:22" ht="56.25" x14ac:dyDescent="0.25">
      <c r="A38" s="23" t="s">
        <v>644</v>
      </c>
      <c r="B38" s="23" t="s">
        <v>645</v>
      </c>
      <c r="C38" s="24"/>
      <c r="D38" s="24"/>
      <c r="E38" s="24"/>
      <c r="F38" s="24"/>
      <c r="G38" s="24" t="s">
        <v>513</v>
      </c>
      <c r="H38" s="25">
        <v>42103.656944444447</v>
      </c>
      <c r="I38" s="29"/>
      <c r="J38" s="24"/>
      <c r="K38" s="24" t="s">
        <v>646</v>
      </c>
      <c r="L38" s="52" t="s">
        <v>1553</v>
      </c>
      <c r="M38" s="24" t="s">
        <v>1554</v>
      </c>
      <c r="N38" s="24" t="s">
        <v>1707</v>
      </c>
      <c r="O38" s="24"/>
      <c r="P38" s="25"/>
      <c r="Q38" s="25"/>
      <c r="R38" s="25"/>
      <c r="S38" s="25"/>
      <c r="T38" s="25"/>
      <c r="U38" s="25"/>
      <c r="V38" s="29"/>
    </row>
    <row r="39" spans="1:22" x14ac:dyDescent="0.25">
      <c r="A39" s="22" t="s">
        <v>647</v>
      </c>
      <c r="B39" s="23" t="s">
        <v>648</v>
      </c>
      <c r="C39" s="24" t="s">
        <v>649</v>
      </c>
      <c r="D39" s="24" t="s">
        <v>649</v>
      </c>
      <c r="E39" s="24" t="s">
        <v>531</v>
      </c>
      <c r="F39" s="24" t="s">
        <v>180</v>
      </c>
      <c r="G39" s="24" t="s">
        <v>189</v>
      </c>
      <c r="H39" s="25">
        <v>42103.736805555556</v>
      </c>
      <c r="I39" s="29" t="s">
        <v>242</v>
      </c>
      <c r="J39" s="33" t="s">
        <v>501</v>
      </c>
      <c r="K39" s="24" t="s">
        <v>650</v>
      </c>
      <c r="L39" s="24"/>
      <c r="M39" s="24"/>
      <c r="N39" s="52" t="s">
        <v>2182</v>
      </c>
      <c r="O39" s="24"/>
      <c r="P39" s="33">
        <v>42104</v>
      </c>
      <c r="Q39" s="25"/>
      <c r="R39" s="25"/>
      <c r="S39" s="25"/>
      <c r="T39" s="25"/>
      <c r="U39" s="25">
        <v>42271</v>
      </c>
      <c r="V39" s="29" t="s">
        <v>651</v>
      </c>
    </row>
    <row r="40" spans="1:22" ht="30" x14ac:dyDescent="0.25">
      <c r="A40" s="23" t="s">
        <v>652</v>
      </c>
      <c r="B40" s="23" t="s">
        <v>358</v>
      </c>
      <c r="C40" s="24"/>
      <c r="D40" s="24"/>
      <c r="E40" s="24"/>
      <c r="F40" s="24"/>
      <c r="G40" s="24" t="s">
        <v>513</v>
      </c>
      <c r="H40" s="25">
        <v>42104.640277777777</v>
      </c>
      <c r="I40" s="29"/>
      <c r="J40" s="24"/>
      <c r="K40" s="24" t="s">
        <v>653</v>
      </c>
      <c r="L40" s="52" t="s">
        <v>1555</v>
      </c>
      <c r="M40" s="24" t="s">
        <v>1537</v>
      </c>
      <c r="N40" s="24" t="s">
        <v>1707</v>
      </c>
      <c r="O40" s="24" t="s">
        <v>2190</v>
      </c>
      <c r="P40" s="25"/>
      <c r="Q40" s="25"/>
      <c r="R40" s="25"/>
      <c r="S40" s="25"/>
      <c r="T40" s="25"/>
      <c r="U40" s="25"/>
      <c r="V40" s="29" t="s">
        <v>2192</v>
      </c>
    </row>
    <row r="41" spans="1:22" ht="22.5" x14ac:dyDescent="0.25">
      <c r="A41" s="22" t="s">
        <v>654</v>
      </c>
      <c r="B41" s="23" t="s">
        <v>358</v>
      </c>
      <c r="C41" s="24" t="s">
        <v>203</v>
      </c>
      <c r="D41" s="24" t="s">
        <v>655</v>
      </c>
      <c r="E41" s="24" t="s">
        <v>261</v>
      </c>
      <c r="F41" s="24" t="s">
        <v>656</v>
      </c>
      <c r="G41" s="24" t="s">
        <v>189</v>
      </c>
      <c r="H41" s="25">
        <v>42104.645833333336</v>
      </c>
      <c r="I41" s="29" t="s">
        <v>242</v>
      </c>
      <c r="J41" s="24" t="s">
        <v>589</v>
      </c>
      <c r="K41" s="24" t="s">
        <v>657</v>
      </c>
      <c r="L41" s="24"/>
      <c r="M41" s="24"/>
      <c r="N41" s="52" t="s">
        <v>2182</v>
      </c>
      <c r="O41" s="24"/>
      <c r="P41" s="25">
        <v>42148</v>
      </c>
      <c r="Q41" s="25">
        <v>42151</v>
      </c>
      <c r="R41" s="25"/>
      <c r="S41" s="25"/>
      <c r="T41" s="25"/>
      <c r="U41" s="25">
        <v>42249</v>
      </c>
      <c r="V41" s="29" t="s">
        <v>658</v>
      </c>
    </row>
    <row r="42" spans="1:22" ht="22.5" x14ac:dyDescent="0.25">
      <c r="A42" s="23" t="s">
        <v>659</v>
      </c>
      <c r="B42" s="23" t="s">
        <v>660</v>
      </c>
      <c r="C42" s="24"/>
      <c r="D42" s="24"/>
      <c r="E42" s="24"/>
      <c r="F42" s="24"/>
      <c r="G42" s="24" t="s">
        <v>189</v>
      </c>
      <c r="H42" s="25">
        <v>42107.767361111109</v>
      </c>
      <c r="I42" s="29"/>
      <c r="J42" s="24"/>
      <c r="K42" s="24" t="s">
        <v>661</v>
      </c>
      <c r="L42" s="24"/>
      <c r="M42" s="24"/>
      <c r="N42" s="52" t="s">
        <v>2182</v>
      </c>
      <c r="O42" s="24"/>
      <c r="P42" s="25"/>
      <c r="Q42" s="25"/>
      <c r="R42" s="25"/>
      <c r="S42" s="25"/>
      <c r="T42" s="25"/>
      <c r="U42" s="25"/>
      <c r="V42" s="29"/>
    </row>
    <row r="43" spans="1:22" ht="22.5" x14ac:dyDescent="0.25">
      <c r="A43" s="28" t="s">
        <v>662</v>
      </c>
      <c r="B43" s="28" t="s">
        <v>663</v>
      </c>
      <c r="C43" s="53"/>
      <c r="D43" s="53"/>
      <c r="E43" s="53"/>
      <c r="F43" s="53"/>
      <c r="G43" s="53" t="s">
        <v>513</v>
      </c>
      <c r="H43" s="54">
        <v>42107.836111111108</v>
      </c>
      <c r="I43" s="55"/>
      <c r="J43" s="53"/>
      <c r="K43" s="53" t="s">
        <v>664</v>
      </c>
      <c r="L43" s="24"/>
      <c r="M43" s="24"/>
      <c r="N43" s="24"/>
      <c r="O43" s="24"/>
      <c r="P43" s="25"/>
      <c r="Q43" s="25"/>
      <c r="R43" s="25"/>
      <c r="S43" s="25"/>
      <c r="T43" s="25"/>
      <c r="U43" s="25"/>
      <c r="V43" s="29"/>
    </row>
    <row r="44" spans="1:22" ht="33.75" x14ac:dyDescent="0.25">
      <c r="A44" s="23" t="s">
        <v>665</v>
      </c>
      <c r="B44" s="23" t="s">
        <v>666</v>
      </c>
      <c r="C44" s="24"/>
      <c r="D44" s="24"/>
      <c r="E44" s="24"/>
      <c r="F44" s="24"/>
      <c r="G44" s="24" t="s">
        <v>188</v>
      </c>
      <c r="H44" s="25">
        <v>42109.686805555553</v>
      </c>
      <c r="I44" s="29"/>
      <c r="J44" s="24"/>
      <c r="K44" s="24" t="s">
        <v>657</v>
      </c>
      <c r="L44" s="52" t="s">
        <v>1556</v>
      </c>
      <c r="M44" s="24" t="s">
        <v>1557</v>
      </c>
      <c r="N44" s="24" t="s">
        <v>1707</v>
      </c>
      <c r="O44" s="24" t="s">
        <v>2216</v>
      </c>
      <c r="P44" s="25"/>
      <c r="Q44" s="25"/>
      <c r="R44" s="25"/>
      <c r="S44" s="25"/>
      <c r="T44" s="25"/>
      <c r="U44" s="25"/>
      <c r="V44" s="29"/>
    </row>
    <row r="45" spans="1:22" x14ac:dyDescent="0.25">
      <c r="A45" s="23" t="s">
        <v>667</v>
      </c>
      <c r="B45" s="23" t="s">
        <v>668</v>
      </c>
      <c r="C45" s="24"/>
      <c r="D45" s="24"/>
      <c r="E45" s="24"/>
      <c r="F45" s="24"/>
      <c r="G45" s="24" t="s">
        <v>189</v>
      </c>
      <c r="H45" s="25">
        <v>42110.478472222225</v>
      </c>
      <c r="I45" s="29"/>
      <c r="J45" s="24"/>
      <c r="K45" s="24" t="s">
        <v>669</v>
      </c>
      <c r="L45" s="24"/>
      <c r="M45" s="24"/>
      <c r="N45" s="52" t="s">
        <v>2182</v>
      </c>
      <c r="O45" s="24"/>
      <c r="P45" s="25"/>
      <c r="Q45" s="25"/>
      <c r="R45" s="25"/>
      <c r="S45" s="25"/>
      <c r="T45" s="25"/>
      <c r="U45" s="25"/>
      <c r="V45" s="29"/>
    </row>
    <row r="46" spans="1:22" ht="22.5" x14ac:dyDescent="0.25">
      <c r="A46" s="23" t="s">
        <v>670</v>
      </c>
      <c r="B46" s="23" t="s">
        <v>671</v>
      </c>
      <c r="C46" s="24"/>
      <c r="D46" s="24"/>
      <c r="E46" s="24" t="s">
        <v>537</v>
      </c>
      <c r="F46" s="24" t="s">
        <v>180</v>
      </c>
      <c r="G46" s="24" t="s">
        <v>188</v>
      </c>
      <c r="H46" s="25">
        <v>42116.448611111111</v>
      </c>
      <c r="I46" s="29" t="s">
        <v>672</v>
      </c>
      <c r="J46" s="24"/>
      <c r="K46" s="24" t="s">
        <v>673</v>
      </c>
      <c r="L46" s="24"/>
      <c r="M46" s="24"/>
      <c r="N46" s="52" t="s">
        <v>2182</v>
      </c>
      <c r="O46" s="24"/>
      <c r="P46" s="25"/>
      <c r="Q46" s="25"/>
      <c r="R46" s="25"/>
      <c r="S46" s="25"/>
      <c r="T46" s="25"/>
      <c r="U46" s="25"/>
      <c r="V46" s="29" t="s">
        <v>672</v>
      </c>
    </row>
    <row r="47" spans="1:22" ht="30" x14ac:dyDescent="0.25">
      <c r="A47" s="23" t="s">
        <v>674</v>
      </c>
      <c r="B47" s="23" t="s">
        <v>358</v>
      </c>
      <c r="C47" s="24"/>
      <c r="D47" s="24"/>
      <c r="E47" s="24"/>
      <c r="F47" s="24"/>
      <c r="G47" s="24" t="s">
        <v>189</v>
      </c>
      <c r="H47" s="25">
        <v>42116.57708333333</v>
      </c>
      <c r="I47" s="29"/>
      <c r="J47" s="24"/>
      <c r="K47" s="24" t="s">
        <v>538</v>
      </c>
      <c r="L47" s="52" t="s">
        <v>1558</v>
      </c>
      <c r="M47" s="24" t="s">
        <v>1537</v>
      </c>
      <c r="N47" s="24" t="s">
        <v>1707</v>
      </c>
      <c r="O47" s="24" t="s">
        <v>2190</v>
      </c>
      <c r="P47" s="25"/>
      <c r="Q47" s="25"/>
      <c r="R47" s="25"/>
      <c r="S47" s="25"/>
      <c r="T47" s="25"/>
      <c r="U47" s="25"/>
      <c r="V47" s="29"/>
    </row>
    <row r="48" spans="1:22" x14ac:dyDescent="0.25">
      <c r="A48" s="23" t="s">
        <v>675</v>
      </c>
      <c r="B48" s="23" t="s">
        <v>676</v>
      </c>
      <c r="C48" s="24"/>
      <c r="D48" s="24"/>
      <c r="E48" s="24"/>
      <c r="F48" s="24"/>
      <c r="G48" s="24" t="s">
        <v>189</v>
      </c>
      <c r="H48" s="25">
        <v>42116.673611111109</v>
      </c>
      <c r="I48" s="29"/>
      <c r="J48" s="24"/>
      <c r="K48" s="24" t="s">
        <v>677</v>
      </c>
      <c r="L48" s="24"/>
      <c r="M48" s="24"/>
      <c r="N48" s="52" t="s">
        <v>2182</v>
      </c>
      <c r="O48" s="24"/>
      <c r="P48" s="25"/>
      <c r="Q48" s="25"/>
      <c r="R48" s="25"/>
      <c r="S48" s="25"/>
      <c r="T48" s="25"/>
      <c r="U48" s="25">
        <v>42306</v>
      </c>
      <c r="V48" s="27">
        <v>42306</v>
      </c>
    </row>
    <row r="49" spans="1:22" ht="22.5" x14ac:dyDescent="0.25">
      <c r="A49" s="23" t="s">
        <v>678</v>
      </c>
      <c r="B49" s="23" t="s">
        <v>679</v>
      </c>
      <c r="C49" s="24"/>
      <c r="D49" s="24"/>
      <c r="E49" s="24"/>
      <c r="F49" s="24"/>
      <c r="G49" s="24" t="s">
        <v>189</v>
      </c>
      <c r="H49" s="25">
        <v>42116.678472222222</v>
      </c>
      <c r="I49" s="29"/>
      <c r="J49" s="24"/>
      <c r="K49" s="24" t="s">
        <v>677</v>
      </c>
      <c r="L49" s="24"/>
      <c r="M49" s="24"/>
      <c r="N49" s="52" t="s">
        <v>2182</v>
      </c>
      <c r="O49" s="24"/>
      <c r="P49" s="25"/>
      <c r="Q49" s="25"/>
      <c r="R49" s="25"/>
      <c r="S49" s="25"/>
      <c r="T49" s="25"/>
      <c r="U49" s="25"/>
      <c r="V49" s="29"/>
    </row>
    <row r="50" spans="1:22" ht="30" x14ac:dyDescent="0.25">
      <c r="A50" s="23" t="s">
        <v>680</v>
      </c>
      <c r="B50" s="23" t="s">
        <v>681</v>
      </c>
      <c r="C50" s="24"/>
      <c r="D50" s="24"/>
      <c r="E50" s="24"/>
      <c r="F50" s="24"/>
      <c r="G50" s="24" t="s">
        <v>513</v>
      </c>
      <c r="H50" s="25">
        <v>42117.663194444445</v>
      </c>
      <c r="I50" s="29"/>
      <c r="J50" s="24"/>
      <c r="K50" s="24" t="s">
        <v>562</v>
      </c>
      <c r="L50" s="52" t="s">
        <v>1541</v>
      </c>
      <c r="M50" s="24" t="s">
        <v>1537</v>
      </c>
      <c r="N50" s="24" t="s">
        <v>1707</v>
      </c>
      <c r="O50" s="24"/>
      <c r="P50" s="25"/>
      <c r="Q50" s="25"/>
      <c r="R50" s="25"/>
      <c r="S50" s="25"/>
      <c r="T50" s="25"/>
      <c r="U50" s="25"/>
      <c r="V50" s="29"/>
    </row>
    <row r="51" spans="1:22" ht="22.5" x14ac:dyDescent="0.25">
      <c r="A51" s="23" t="s">
        <v>682</v>
      </c>
      <c r="B51" s="23" t="s">
        <v>683</v>
      </c>
      <c r="C51" s="24"/>
      <c r="D51" s="24"/>
      <c r="E51" s="24"/>
      <c r="F51" s="24"/>
      <c r="G51" s="24" t="s">
        <v>189</v>
      </c>
      <c r="H51" s="25">
        <v>42117.681250000001</v>
      </c>
      <c r="I51" s="29"/>
      <c r="J51" s="24"/>
      <c r="K51" s="24" t="s">
        <v>684</v>
      </c>
      <c r="L51" s="24"/>
      <c r="M51" s="24"/>
      <c r="N51" s="52" t="s">
        <v>2182</v>
      </c>
      <c r="O51" s="24"/>
      <c r="P51" s="25"/>
      <c r="Q51" s="25"/>
      <c r="R51" s="25"/>
      <c r="S51" s="25"/>
      <c r="T51" s="25"/>
      <c r="U51" s="25"/>
      <c r="V51" s="29" t="s">
        <v>156</v>
      </c>
    </row>
    <row r="52" spans="1:22" ht="22.5" x14ac:dyDescent="0.25">
      <c r="A52" s="23" t="s">
        <v>685</v>
      </c>
      <c r="B52" s="23" t="s">
        <v>358</v>
      </c>
      <c r="C52" s="24"/>
      <c r="D52" s="24"/>
      <c r="E52" s="24"/>
      <c r="F52" s="24"/>
      <c r="G52" s="24" t="s">
        <v>189</v>
      </c>
      <c r="H52" s="25">
        <v>42118.53402777778</v>
      </c>
      <c r="I52" s="29"/>
      <c r="J52" s="24"/>
      <c r="K52" s="24" t="s">
        <v>686</v>
      </c>
      <c r="L52" s="24"/>
      <c r="M52" s="24"/>
      <c r="N52" s="52" t="s">
        <v>2182</v>
      </c>
      <c r="O52" s="24"/>
      <c r="P52" s="25"/>
      <c r="Q52" s="25"/>
      <c r="R52" s="25"/>
      <c r="S52" s="25"/>
      <c r="T52" s="25"/>
      <c r="U52" s="25"/>
      <c r="V52" s="29"/>
    </row>
    <row r="53" spans="1:22" ht="22.5" x14ac:dyDescent="0.25">
      <c r="A53" s="23" t="s">
        <v>687</v>
      </c>
      <c r="B53" s="23" t="s">
        <v>358</v>
      </c>
      <c r="C53" s="24"/>
      <c r="D53" s="24"/>
      <c r="E53" s="24"/>
      <c r="F53" s="24"/>
      <c r="G53" s="24" t="s">
        <v>189</v>
      </c>
      <c r="H53" s="25">
        <v>42118.793055555558</v>
      </c>
      <c r="I53" s="29"/>
      <c r="J53" s="24"/>
      <c r="K53" s="24" t="s">
        <v>688</v>
      </c>
      <c r="L53" s="24"/>
      <c r="M53" s="24"/>
      <c r="N53" s="52" t="s">
        <v>2182</v>
      </c>
      <c r="O53" s="24"/>
      <c r="P53" s="25"/>
      <c r="Q53" s="25"/>
      <c r="R53" s="25"/>
      <c r="S53" s="25"/>
      <c r="T53" s="25"/>
      <c r="U53" s="25"/>
      <c r="V53" s="29"/>
    </row>
    <row r="54" spans="1:22" ht="30" x14ac:dyDescent="0.25">
      <c r="A54" s="23" t="s">
        <v>689</v>
      </c>
      <c r="B54" s="23" t="s">
        <v>690</v>
      </c>
      <c r="C54" s="24"/>
      <c r="D54" s="24"/>
      <c r="E54" s="24"/>
      <c r="F54" s="24"/>
      <c r="G54" s="24" t="s">
        <v>513</v>
      </c>
      <c r="H54" s="25">
        <v>42121.693749999999</v>
      </c>
      <c r="I54" s="29"/>
      <c r="J54" s="24"/>
      <c r="K54" s="24" t="s">
        <v>691</v>
      </c>
      <c r="L54" s="52" t="s">
        <v>1559</v>
      </c>
      <c r="M54" s="24" t="s">
        <v>1537</v>
      </c>
      <c r="N54" s="24" t="s">
        <v>1719</v>
      </c>
      <c r="O54" s="24"/>
      <c r="P54" s="25"/>
      <c r="Q54" s="25"/>
      <c r="R54" s="25"/>
      <c r="S54" s="25"/>
      <c r="T54" s="25"/>
      <c r="U54" s="25"/>
      <c r="V54" s="29"/>
    </row>
    <row r="55" spans="1:22" ht="22.5" x14ac:dyDescent="0.25">
      <c r="A55" s="23" t="s">
        <v>692</v>
      </c>
      <c r="B55" s="23" t="s">
        <v>693</v>
      </c>
      <c r="C55" s="24"/>
      <c r="D55" s="24"/>
      <c r="E55" s="24"/>
      <c r="F55" s="24"/>
      <c r="G55" s="24" t="s">
        <v>189</v>
      </c>
      <c r="H55" s="25">
        <v>42122.429166666669</v>
      </c>
      <c r="I55" s="29"/>
      <c r="J55" s="24"/>
      <c r="K55" s="24" t="s">
        <v>694</v>
      </c>
      <c r="L55" s="24"/>
      <c r="M55" s="24"/>
      <c r="N55" s="52" t="s">
        <v>2182</v>
      </c>
      <c r="O55" s="24"/>
      <c r="P55" s="25"/>
      <c r="Q55" s="25"/>
      <c r="R55" s="25"/>
      <c r="S55" s="25"/>
      <c r="T55" s="25"/>
      <c r="U55" s="25"/>
      <c r="V55" s="29"/>
    </row>
    <row r="56" spans="1:22" x14ac:dyDescent="0.25">
      <c r="A56" s="28" t="s">
        <v>695</v>
      </c>
      <c r="B56" s="28" t="s">
        <v>696</v>
      </c>
      <c r="C56" s="24"/>
      <c r="D56" s="24"/>
      <c r="E56" s="24"/>
      <c r="F56" s="24"/>
      <c r="G56" s="24" t="s">
        <v>188</v>
      </c>
      <c r="H56" s="25">
        <v>42123.438888888886</v>
      </c>
      <c r="I56" s="29"/>
      <c r="J56" s="24"/>
      <c r="K56" s="24" t="s">
        <v>555</v>
      </c>
      <c r="L56" s="24"/>
      <c r="M56" s="24"/>
      <c r="N56" s="52" t="s">
        <v>2182</v>
      </c>
      <c r="O56" s="24"/>
      <c r="P56" s="25"/>
      <c r="Q56" s="25"/>
      <c r="R56" s="25"/>
      <c r="S56" s="25"/>
      <c r="T56" s="25"/>
      <c r="U56" s="25"/>
      <c r="V56" s="29"/>
    </row>
    <row r="57" spans="1:22" ht="30" x14ac:dyDescent="0.25">
      <c r="A57" s="23" t="s">
        <v>697</v>
      </c>
      <c r="B57" s="23" t="s">
        <v>358</v>
      </c>
      <c r="C57" s="24"/>
      <c r="D57" s="24"/>
      <c r="E57" s="24"/>
      <c r="F57" s="24"/>
      <c r="G57" s="24" t="s">
        <v>513</v>
      </c>
      <c r="H57" s="25">
        <v>42123.64166666667</v>
      </c>
      <c r="I57" s="29"/>
      <c r="J57" s="24"/>
      <c r="K57" s="24" t="s">
        <v>629</v>
      </c>
      <c r="L57" s="52" t="s">
        <v>1550</v>
      </c>
      <c r="M57" s="24" t="s">
        <v>1537</v>
      </c>
      <c r="N57" s="24" t="s">
        <v>1707</v>
      </c>
      <c r="O57" s="24"/>
      <c r="P57" s="25"/>
      <c r="Q57" s="25"/>
      <c r="R57" s="25"/>
      <c r="S57" s="25"/>
      <c r="T57" s="25"/>
      <c r="U57" s="25"/>
      <c r="V57" s="29"/>
    </row>
    <row r="58" spans="1:22" ht="45" x14ac:dyDescent="0.25">
      <c r="A58" s="28" t="s">
        <v>698</v>
      </c>
      <c r="B58" s="28" t="s">
        <v>699</v>
      </c>
      <c r="C58" s="24"/>
      <c r="D58" s="24"/>
      <c r="E58" s="24"/>
      <c r="F58" s="24"/>
      <c r="G58" s="24" t="s">
        <v>189</v>
      </c>
      <c r="H58" s="25">
        <v>42124.526388888888</v>
      </c>
      <c r="I58" s="29"/>
      <c r="J58" s="24"/>
      <c r="K58" s="24" t="s">
        <v>555</v>
      </c>
      <c r="L58" s="24"/>
      <c r="M58" s="24"/>
      <c r="N58" s="24" t="s">
        <v>1728</v>
      </c>
      <c r="O58" s="24"/>
      <c r="P58" s="25"/>
      <c r="Q58" s="25"/>
      <c r="R58" s="25"/>
      <c r="S58" s="25"/>
      <c r="T58" s="25"/>
      <c r="U58" s="25">
        <v>42383</v>
      </c>
      <c r="V58" s="29" t="s">
        <v>2183</v>
      </c>
    </row>
    <row r="59" spans="1:22" x14ac:dyDescent="0.25">
      <c r="A59" s="23" t="s">
        <v>700</v>
      </c>
      <c r="B59" s="23" t="s">
        <v>358</v>
      </c>
      <c r="C59" s="24"/>
      <c r="D59" s="24"/>
      <c r="E59" s="24"/>
      <c r="F59" s="24"/>
      <c r="G59" s="24" t="s">
        <v>189</v>
      </c>
      <c r="H59" s="25">
        <v>42124.557638888888</v>
      </c>
      <c r="I59" s="29"/>
      <c r="J59" s="24"/>
      <c r="K59" s="24" t="s">
        <v>701</v>
      </c>
      <c r="L59" s="24"/>
      <c r="M59" s="24"/>
      <c r="N59" s="52" t="s">
        <v>2182</v>
      </c>
      <c r="O59" s="24"/>
      <c r="P59" s="25"/>
      <c r="Q59" s="25"/>
      <c r="R59" s="25"/>
      <c r="S59" s="25"/>
      <c r="T59" s="25"/>
      <c r="U59" s="25"/>
      <c r="V59" s="29"/>
    </row>
    <row r="60" spans="1:22" ht="45" x14ac:dyDescent="0.25">
      <c r="A60" s="23" t="s">
        <v>702</v>
      </c>
      <c r="B60" s="23" t="s">
        <v>358</v>
      </c>
      <c r="C60" s="24"/>
      <c r="D60" s="24"/>
      <c r="E60" s="24"/>
      <c r="F60" s="24"/>
      <c r="G60" s="24" t="s">
        <v>189</v>
      </c>
      <c r="H60" s="25">
        <v>42124.706944444442</v>
      </c>
      <c r="I60" s="29"/>
      <c r="J60" s="24"/>
      <c r="K60" s="24" t="s">
        <v>703</v>
      </c>
      <c r="L60" s="52" t="s">
        <v>1561</v>
      </c>
      <c r="M60" s="24" t="s">
        <v>1560</v>
      </c>
      <c r="N60" s="24" t="s">
        <v>1707</v>
      </c>
      <c r="O60" s="24" t="s">
        <v>1721</v>
      </c>
      <c r="P60" s="25"/>
      <c r="Q60" s="25"/>
      <c r="R60" s="25"/>
      <c r="S60" s="25"/>
      <c r="T60" s="25"/>
      <c r="U60" s="25"/>
      <c r="V60" s="29"/>
    </row>
    <row r="61" spans="1:22" ht="30" x14ac:dyDescent="0.25">
      <c r="A61" s="23" t="s">
        <v>704</v>
      </c>
      <c r="B61" s="23" t="s">
        <v>358</v>
      </c>
      <c r="C61" s="24"/>
      <c r="D61" s="24"/>
      <c r="E61" s="24"/>
      <c r="F61" s="24"/>
      <c r="G61" s="24" t="s">
        <v>513</v>
      </c>
      <c r="H61" s="25">
        <v>42128.688194444447</v>
      </c>
      <c r="I61" s="29"/>
      <c r="J61" s="24"/>
      <c r="K61" s="24" t="s">
        <v>705</v>
      </c>
      <c r="L61" s="52" t="s">
        <v>1562</v>
      </c>
      <c r="M61" s="24" t="s">
        <v>1537</v>
      </c>
      <c r="N61" s="24" t="s">
        <v>1707</v>
      </c>
      <c r="O61" s="24"/>
      <c r="P61" s="25"/>
      <c r="Q61" s="25"/>
      <c r="R61" s="25"/>
      <c r="S61" s="25"/>
      <c r="T61" s="25"/>
      <c r="U61" s="25"/>
      <c r="V61" s="29"/>
    </row>
    <row r="62" spans="1:22" x14ac:dyDescent="0.25">
      <c r="A62" s="23" t="s">
        <v>706</v>
      </c>
      <c r="B62" s="23" t="s">
        <v>707</v>
      </c>
      <c r="C62" s="24"/>
      <c r="D62" s="24"/>
      <c r="E62" s="24"/>
      <c r="F62" s="24"/>
      <c r="G62" s="24" t="s">
        <v>189</v>
      </c>
      <c r="H62" s="25">
        <v>42129.490972222222</v>
      </c>
      <c r="I62" s="29"/>
      <c r="J62" s="24"/>
      <c r="K62" s="24" t="s">
        <v>562</v>
      </c>
      <c r="L62" s="24"/>
      <c r="M62" s="24"/>
      <c r="N62" s="52" t="s">
        <v>2182</v>
      </c>
      <c r="O62" s="24"/>
      <c r="P62" s="25"/>
      <c r="Q62" s="25"/>
      <c r="R62" s="25"/>
      <c r="S62" s="25"/>
      <c r="T62" s="25"/>
      <c r="U62" s="25"/>
      <c r="V62" s="29"/>
    </row>
    <row r="63" spans="1:22" ht="22.5" x14ac:dyDescent="0.25">
      <c r="A63" s="23" t="s">
        <v>708</v>
      </c>
      <c r="B63" s="23" t="s">
        <v>709</v>
      </c>
      <c r="C63" s="24"/>
      <c r="D63" s="24"/>
      <c r="E63" s="24"/>
      <c r="F63" s="24"/>
      <c r="G63" s="24" t="s">
        <v>189</v>
      </c>
      <c r="H63" s="25">
        <v>42131.669444444444</v>
      </c>
      <c r="I63" s="29"/>
      <c r="J63" s="24"/>
      <c r="K63" s="24" t="s">
        <v>691</v>
      </c>
      <c r="L63" s="24"/>
      <c r="M63" s="24"/>
      <c r="N63" s="52" t="s">
        <v>2182</v>
      </c>
      <c r="O63" s="24"/>
      <c r="P63" s="25"/>
      <c r="Q63" s="25"/>
      <c r="R63" s="25"/>
      <c r="S63" s="25"/>
      <c r="T63" s="25"/>
      <c r="U63" s="25"/>
      <c r="V63" s="29"/>
    </row>
    <row r="64" spans="1:22" ht="30" x14ac:dyDescent="0.25">
      <c r="A64" s="23" t="s">
        <v>710</v>
      </c>
      <c r="B64" s="23" t="s">
        <v>711</v>
      </c>
      <c r="C64" s="24"/>
      <c r="D64" s="24"/>
      <c r="E64" s="24"/>
      <c r="F64" s="24"/>
      <c r="G64" s="24"/>
      <c r="H64" s="25">
        <v>42132.431250000001</v>
      </c>
      <c r="I64" s="29"/>
      <c r="J64" s="24"/>
      <c r="K64" s="24" t="s">
        <v>712</v>
      </c>
      <c r="L64" s="52" t="s">
        <v>1563</v>
      </c>
      <c r="M64" s="24" t="s">
        <v>1537</v>
      </c>
      <c r="N64" s="24" t="s">
        <v>1707</v>
      </c>
      <c r="O64" s="24"/>
      <c r="P64" s="25"/>
      <c r="Q64" s="25"/>
      <c r="R64" s="25"/>
      <c r="S64" s="25"/>
      <c r="T64" s="25"/>
      <c r="U64" s="25"/>
      <c r="V64" s="29"/>
    </row>
    <row r="65" spans="1:22" ht="22.5" x14ac:dyDescent="0.25">
      <c r="A65" s="22" t="s">
        <v>713</v>
      </c>
      <c r="B65" s="23" t="s">
        <v>714</v>
      </c>
      <c r="C65" s="24" t="s">
        <v>715</v>
      </c>
      <c r="D65" s="24" t="s">
        <v>716</v>
      </c>
      <c r="E65" s="24" t="s">
        <v>511</v>
      </c>
      <c r="F65" s="24" t="s">
        <v>512</v>
      </c>
      <c r="G65" s="24" t="s">
        <v>188</v>
      </c>
      <c r="H65" s="25">
        <v>42132.434027777781</v>
      </c>
      <c r="I65" s="29" t="s">
        <v>717</v>
      </c>
      <c r="J65" s="24"/>
      <c r="K65" s="24" t="s">
        <v>691</v>
      </c>
      <c r="L65" s="24"/>
      <c r="M65" s="24"/>
      <c r="N65" s="52" t="s">
        <v>2182</v>
      </c>
      <c r="O65" s="24"/>
      <c r="P65" s="25"/>
      <c r="Q65" s="25"/>
      <c r="R65" s="25"/>
      <c r="S65" s="25"/>
      <c r="T65" s="25"/>
      <c r="U65" s="25">
        <v>42241</v>
      </c>
      <c r="V65" s="29" t="s">
        <v>718</v>
      </c>
    </row>
    <row r="66" spans="1:22" ht="101.25" x14ac:dyDescent="0.25">
      <c r="A66" s="23" t="s">
        <v>719</v>
      </c>
      <c r="B66" s="23" t="s">
        <v>720</v>
      </c>
      <c r="C66" s="24" t="s">
        <v>721</v>
      </c>
      <c r="D66" s="24" t="s">
        <v>722</v>
      </c>
      <c r="E66" s="24" t="s">
        <v>511</v>
      </c>
      <c r="F66" s="24" t="s">
        <v>512</v>
      </c>
      <c r="G66" s="24" t="s">
        <v>188</v>
      </c>
      <c r="H66" s="25">
        <v>42132.593055555553</v>
      </c>
      <c r="I66" s="29" t="s">
        <v>514</v>
      </c>
      <c r="J66" s="24" t="s">
        <v>501</v>
      </c>
      <c r="K66" s="24" t="s">
        <v>562</v>
      </c>
      <c r="L66" s="24"/>
      <c r="M66" s="24"/>
      <c r="N66" s="52" t="s">
        <v>2182</v>
      </c>
      <c r="O66" s="24"/>
      <c r="P66" s="25">
        <v>42132</v>
      </c>
      <c r="Q66" s="25"/>
      <c r="R66" s="25"/>
      <c r="S66" s="25"/>
      <c r="T66" s="25"/>
      <c r="U66" s="25">
        <v>42269</v>
      </c>
      <c r="V66" s="29" t="s">
        <v>723</v>
      </c>
    </row>
    <row r="67" spans="1:22" ht="22.5" x14ac:dyDescent="0.25">
      <c r="A67" s="23" t="s">
        <v>724</v>
      </c>
      <c r="B67" s="23" t="s">
        <v>725</v>
      </c>
      <c r="C67" s="24"/>
      <c r="D67" s="24"/>
      <c r="E67" s="24"/>
      <c r="F67" s="24"/>
      <c r="G67" s="24" t="s">
        <v>189</v>
      </c>
      <c r="H67" s="25">
        <v>42132.7</v>
      </c>
      <c r="I67" s="29"/>
      <c r="J67" s="24"/>
      <c r="K67" s="24" t="s">
        <v>562</v>
      </c>
      <c r="L67" s="24"/>
      <c r="M67" s="24"/>
      <c r="N67" s="52" t="s">
        <v>2182</v>
      </c>
      <c r="O67" s="24"/>
      <c r="P67" s="25"/>
      <c r="Q67" s="25"/>
      <c r="R67" s="25"/>
      <c r="S67" s="25"/>
      <c r="T67" s="25"/>
      <c r="U67" s="25"/>
      <c r="V67" s="29"/>
    </row>
    <row r="68" spans="1:22" ht="33.75" x14ac:dyDescent="0.25">
      <c r="A68" s="23" t="s">
        <v>726</v>
      </c>
      <c r="B68" s="23" t="s">
        <v>727</v>
      </c>
      <c r="C68" s="24"/>
      <c r="D68" s="24"/>
      <c r="E68" s="24"/>
      <c r="F68" s="24"/>
      <c r="G68" s="24" t="s">
        <v>188</v>
      </c>
      <c r="H68" s="25">
        <v>42132.707638888889</v>
      </c>
      <c r="I68" s="29"/>
      <c r="J68" s="24"/>
      <c r="K68" s="24" t="s">
        <v>650</v>
      </c>
      <c r="L68" s="52" t="s">
        <v>1564</v>
      </c>
      <c r="M68" s="24" t="s">
        <v>1557</v>
      </c>
      <c r="N68" s="24" t="s">
        <v>1707</v>
      </c>
      <c r="O68" s="24" t="s">
        <v>1721</v>
      </c>
      <c r="P68" s="25"/>
      <c r="Q68" s="25"/>
      <c r="R68" s="25"/>
      <c r="S68" s="25"/>
      <c r="T68" s="25"/>
      <c r="U68" s="25"/>
      <c r="V68" s="29"/>
    </row>
    <row r="69" spans="1:22" x14ac:dyDescent="0.25">
      <c r="A69" s="23" t="s">
        <v>728</v>
      </c>
      <c r="B69" s="23" t="s">
        <v>729</v>
      </c>
      <c r="C69" s="24"/>
      <c r="D69" s="24"/>
      <c r="E69" s="24"/>
      <c r="F69" s="24"/>
      <c r="G69" s="24" t="s">
        <v>188</v>
      </c>
      <c r="H69" s="25">
        <v>42135.46597222222</v>
      </c>
      <c r="I69" s="29"/>
      <c r="J69" s="24"/>
      <c r="K69" s="24" t="s">
        <v>730</v>
      </c>
      <c r="L69" s="24"/>
      <c r="M69" s="24"/>
      <c r="N69" s="52" t="s">
        <v>2182</v>
      </c>
      <c r="O69" s="24"/>
      <c r="P69" s="25"/>
      <c r="Q69" s="25"/>
      <c r="R69" s="25"/>
      <c r="S69" s="25"/>
      <c r="T69" s="25"/>
      <c r="U69" s="25"/>
      <c r="V69" s="29"/>
    </row>
    <row r="70" spans="1:22" x14ac:dyDescent="0.25">
      <c r="A70" s="23" t="s">
        <v>731</v>
      </c>
      <c r="B70" s="23" t="s">
        <v>732</v>
      </c>
      <c r="C70" s="24"/>
      <c r="D70" s="24"/>
      <c r="E70" s="24"/>
      <c r="F70" s="24"/>
      <c r="G70" s="24" t="s">
        <v>189</v>
      </c>
      <c r="H70" s="25">
        <v>42136.495138888888</v>
      </c>
      <c r="I70" s="29"/>
      <c r="J70" s="24"/>
      <c r="K70" s="24" t="s">
        <v>733</v>
      </c>
      <c r="L70" s="24"/>
      <c r="M70" s="24"/>
      <c r="N70" s="52" t="s">
        <v>2182</v>
      </c>
      <c r="O70" s="24"/>
      <c r="P70" s="25"/>
      <c r="Q70" s="25"/>
      <c r="R70" s="25"/>
      <c r="S70" s="25"/>
      <c r="T70" s="25"/>
      <c r="U70" s="25"/>
      <c r="V70" s="29"/>
    </row>
    <row r="71" spans="1:22" ht="30" x14ac:dyDescent="0.25">
      <c r="A71" s="23" t="s">
        <v>734</v>
      </c>
      <c r="B71" s="23" t="s">
        <v>735</v>
      </c>
      <c r="C71" s="24"/>
      <c r="D71" s="24"/>
      <c r="E71" s="24"/>
      <c r="F71" s="24"/>
      <c r="G71" s="24" t="s">
        <v>189</v>
      </c>
      <c r="H71" s="25">
        <v>42136.863194444442</v>
      </c>
      <c r="I71" s="29"/>
      <c r="J71" s="24"/>
      <c r="K71" s="24" t="s">
        <v>574</v>
      </c>
      <c r="L71" s="52" t="s">
        <v>1565</v>
      </c>
      <c r="M71" s="24" t="s">
        <v>1552</v>
      </c>
      <c r="N71" s="24" t="s">
        <v>1707</v>
      </c>
      <c r="O71" s="24" t="s">
        <v>1710</v>
      </c>
      <c r="P71" s="25"/>
      <c r="Q71" s="25"/>
      <c r="R71" s="25"/>
      <c r="S71" s="25"/>
      <c r="T71" s="25"/>
      <c r="U71" s="25"/>
      <c r="V71" s="29"/>
    </row>
    <row r="72" spans="1:22" ht="30" x14ac:dyDescent="0.25">
      <c r="A72" s="23" t="s">
        <v>736</v>
      </c>
      <c r="B72" s="23" t="s">
        <v>737</v>
      </c>
      <c r="C72" s="24"/>
      <c r="D72" s="24"/>
      <c r="E72" s="24"/>
      <c r="F72" s="24"/>
      <c r="G72" s="24" t="s">
        <v>189</v>
      </c>
      <c r="H72" s="25">
        <v>42137.520833333336</v>
      </c>
      <c r="I72" s="29"/>
      <c r="J72" s="24"/>
      <c r="K72" s="24" t="s">
        <v>738</v>
      </c>
      <c r="L72" s="52" t="s">
        <v>1566</v>
      </c>
      <c r="M72" s="24" t="s">
        <v>1552</v>
      </c>
      <c r="N72" s="52" t="s">
        <v>2182</v>
      </c>
      <c r="O72" s="24"/>
      <c r="P72" s="25"/>
      <c r="Q72" s="25"/>
      <c r="R72" s="25"/>
      <c r="S72" s="25"/>
      <c r="T72" s="25"/>
      <c r="U72" s="25"/>
      <c r="V72" s="29"/>
    </row>
    <row r="73" spans="1:22" ht="22.5" x14ac:dyDescent="0.25">
      <c r="A73" s="23" t="s">
        <v>739</v>
      </c>
      <c r="B73" s="23" t="s">
        <v>740</v>
      </c>
      <c r="C73" s="24"/>
      <c r="D73" s="24"/>
      <c r="E73" s="24"/>
      <c r="F73" s="24"/>
      <c r="G73" s="24" t="s">
        <v>189</v>
      </c>
      <c r="H73" s="25">
        <v>42138.498611111114</v>
      </c>
      <c r="I73" s="29"/>
      <c r="J73" s="24"/>
      <c r="K73" s="24" t="s">
        <v>555</v>
      </c>
      <c r="L73" s="24"/>
      <c r="M73" s="24"/>
      <c r="N73" s="52" t="s">
        <v>2182</v>
      </c>
      <c r="O73" s="24"/>
      <c r="P73" s="25"/>
      <c r="Q73" s="25"/>
      <c r="R73" s="25"/>
      <c r="S73" s="25"/>
      <c r="T73" s="25"/>
      <c r="U73" s="25"/>
      <c r="V73" s="29"/>
    </row>
    <row r="74" spans="1:22" ht="30" x14ac:dyDescent="0.25">
      <c r="A74" s="23" t="s">
        <v>741</v>
      </c>
      <c r="B74" s="23" t="s">
        <v>742</v>
      </c>
      <c r="C74" s="24"/>
      <c r="D74" s="24"/>
      <c r="E74" s="24"/>
      <c r="F74" s="24"/>
      <c r="G74" s="24" t="s">
        <v>513</v>
      </c>
      <c r="H74" s="25">
        <v>42138.500694444447</v>
      </c>
      <c r="I74" s="29"/>
      <c r="J74" s="24"/>
      <c r="K74" s="24" t="s">
        <v>605</v>
      </c>
      <c r="L74" s="52" t="s">
        <v>1567</v>
      </c>
      <c r="M74" s="24" t="s">
        <v>1537</v>
      </c>
      <c r="N74" s="24" t="s">
        <v>1707</v>
      </c>
      <c r="O74" s="24"/>
      <c r="P74" s="25"/>
      <c r="Q74" s="25"/>
      <c r="R74" s="25"/>
      <c r="S74" s="25"/>
      <c r="T74" s="25"/>
      <c r="U74" s="25"/>
      <c r="V74" s="29"/>
    </row>
    <row r="75" spans="1:22" ht="30" x14ac:dyDescent="0.25">
      <c r="A75" s="23" t="s">
        <v>743</v>
      </c>
      <c r="B75" s="23" t="s">
        <v>744</v>
      </c>
      <c r="C75" s="24"/>
      <c r="D75" s="24"/>
      <c r="E75" s="24"/>
      <c r="F75" s="24"/>
      <c r="G75" s="24" t="s">
        <v>513</v>
      </c>
      <c r="H75" s="25">
        <v>42138.508333333331</v>
      </c>
      <c r="I75" s="29"/>
      <c r="J75" s="24"/>
      <c r="K75" s="24" t="s">
        <v>605</v>
      </c>
      <c r="L75" s="52" t="s">
        <v>1567</v>
      </c>
      <c r="M75" s="24" t="s">
        <v>1537</v>
      </c>
      <c r="N75" s="24" t="s">
        <v>1707</v>
      </c>
      <c r="O75" s="24"/>
      <c r="P75" s="25"/>
      <c r="Q75" s="25"/>
      <c r="R75" s="25"/>
      <c r="S75" s="25"/>
      <c r="T75" s="25"/>
      <c r="U75" s="25"/>
      <c r="V75" s="29"/>
    </row>
    <row r="76" spans="1:22" ht="30" x14ac:dyDescent="0.25">
      <c r="A76" s="23" t="s">
        <v>745</v>
      </c>
      <c r="B76" s="23" t="s">
        <v>746</v>
      </c>
      <c r="C76" s="24"/>
      <c r="D76" s="24"/>
      <c r="E76" s="24"/>
      <c r="F76" s="24"/>
      <c r="G76" s="24" t="s">
        <v>513</v>
      </c>
      <c r="H76" s="25">
        <v>42138.716666666667</v>
      </c>
      <c r="I76" s="29"/>
      <c r="J76" s="24"/>
      <c r="K76" s="24" t="s">
        <v>691</v>
      </c>
      <c r="L76" s="52" t="s">
        <v>1559</v>
      </c>
      <c r="M76" s="24" t="s">
        <v>1537</v>
      </c>
      <c r="N76" s="24" t="s">
        <v>1719</v>
      </c>
      <c r="O76" s="24"/>
      <c r="P76" s="25"/>
      <c r="Q76" s="25"/>
      <c r="R76" s="25"/>
      <c r="S76" s="25"/>
      <c r="T76" s="25"/>
      <c r="U76" s="25"/>
      <c r="V76" s="29"/>
    </row>
    <row r="77" spans="1:22" ht="30" x14ac:dyDescent="0.25">
      <c r="A77" s="23" t="s">
        <v>747</v>
      </c>
      <c r="B77" s="23" t="s">
        <v>748</v>
      </c>
      <c r="C77" s="24"/>
      <c r="D77" s="24"/>
      <c r="E77" s="24"/>
      <c r="F77" s="24"/>
      <c r="G77" s="24" t="s">
        <v>513</v>
      </c>
      <c r="H77" s="25">
        <v>42139.696527777778</v>
      </c>
      <c r="I77" s="29"/>
      <c r="J77" s="24"/>
      <c r="K77" s="24" t="s">
        <v>691</v>
      </c>
      <c r="L77" s="52" t="s">
        <v>1559</v>
      </c>
      <c r="M77" s="24" t="s">
        <v>1537</v>
      </c>
      <c r="N77" s="24" t="s">
        <v>1719</v>
      </c>
      <c r="O77" s="24"/>
      <c r="P77" s="25"/>
      <c r="Q77" s="25"/>
      <c r="R77" s="25"/>
      <c r="S77" s="25"/>
      <c r="T77" s="25"/>
      <c r="U77" s="25"/>
      <c r="V77" s="29"/>
    </row>
    <row r="78" spans="1:22" ht="45" x14ac:dyDescent="0.25">
      <c r="A78" s="23" t="s">
        <v>749</v>
      </c>
      <c r="B78" s="23" t="s">
        <v>750</v>
      </c>
      <c r="C78" s="24"/>
      <c r="D78" s="24"/>
      <c r="E78" s="24"/>
      <c r="F78" s="24"/>
      <c r="G78" s="24" t="s">
        <v>189</v>
      </c>
      <c r="H78" s="25">
        <v>42139.77847222222</v>
      </c>
      <c r="I78" s="29"/>
      <c r="J78" s="24"/>
      <c r="K78" s="24" t="s">
        <v>594</v>
      </c>
      <c r="L78" s="52" t="s">
        <v>1549</v>
      </c>
      <c r="M78" s="24" t="s">
        <v>1560</v>
      </c>
      <c r="N78" s="24" t="s">
        <v>1707</v>
      </c>
      <c r="O78" s="24" t="s">
        <v>1710</v>
      </c>
      <c r="P78" s="25"/>
      <c r="Q78" s="25"/>
      <c r="R78" s="25"/>
      <c r="S78" s="25"/>
      <c r="T78" s="25"/>
      <c r="U78" s="25"/>
      <c r="V78" s="29"/>
    </row>
    <row r="79" spans="1:22" ht="30" x14ac:dyDescent="0.25">
      <c r="A79" s="23" t="s">
        <v>751</v>
      </c>
      <c r="B79" s="23" t="s">
        <v>752</v>
      </c>
      <c r="C79" s="24"/>
      <c r="D79" s="24"/>
      <c r="E79" s="24"/>
      <c r="F79" s="24"/>
      <c r="G79" s="24" t="s">
        <v>513</v>
      </c>
      <c r="H79" s="25">
        <v>42142.630555555559</v>
      </c>
      <c r="I79" s="29"/>
      <c r="J79" s="24"/>
      <c r="K79" s="24" t="s">
        <v>753</v>
      </c>
      <c r="L79" s="52" t="s">
        <v>1569</v>
      </c>
      <c r="M79" s="24" t="s">
        <v>1568</v>
      </c>
      <c r="N79" s="24" t="s">
        <v>1707</v>
      </c>
      <c r="O79" s="24" t="s">
        <v>1721</v>
      </c>
      <c r="P79" s="25"/>
      <c r="Q79" s="25"/>
      <c r="R79" s="25"/>
      <c r="S79" s="25"/>
      <c r="T79" s="25"/>
      <c r="U79" s="25"/>
      <c r="V79" s="29" t="s">
        <v>1725</v>
      </c>
    </row>
    <row r="80" spans="1:22" ht="30" x14ac:dyDescent="0.25">
      <c r="A80" s="23" t="s">
        <v>754</v>
      </c>
      <c r="B80" s="23" t="s">
        <v>358</v>
      </c>
      <c r="C80" s="24"/>
      <c r="D80" s="24"/>
      <c r="E80" s="24"/>
      <c r="F80" s="24"/>
      <c r="G80" s="24" t="s">
        <v>513</v>
      </c>
      <c r="H80" s="25">
        <v>42142.704861111109</v>
      </c>
      <c r="I80" s="29"/>
      <c r="J80" s="24"/>
      <c r="K80" s="24" t="s">
        <v>755</v>
      </c>
      <c r="L80" s="52" t="s">
        <v>1570</v>
      </c>
      <c r="M80" s="24" t="s">
        <v>1537</v>
      </c>
      <c r="N80" s="24" t="s">
        <v>1707</v>
      </c>
      <c r="O80" s="24"/>
      <c r="P80" s="25"/>
      <c r="Q80" s="25"/>
      <c r="R80" s="25"/>
      <c r="S80" s="25"/>
      <c r="T80" s="25"/>
      <c r="U80" s="25"/>
      <c r="V80" s="29"/>
    </row>
    <row r="81" spans="1:22" ht="30" x14ac:dyDescent="0.25">
      <c r="A81" s="23" t="s">
        <v>756</v>
      </c>
      <c r="B81" s="23" t="s">
        <v>757</v>
      </c>
      <c r="C81" s="24"/>
      <c r="D81" s="24"/>
      <c r="E81" s="24"/>
      <c r="F81" s="24"/>
      <c r="G81" s="24" t="s">
        <v>513</v>
      </c>
      <c r="H81" s="25">
        <v>42144.618055555555</v>
      </c>
      <c r="I81" s="29"/>
      <c r="J81" s="24"/>
      <c r="K81" s="24" t="s">
        <v>738</v>
      </c>
      <c r="L81" s="52" t="s">
        <v>1566</v>
      </c>
      <c r="M81" s="24" t="s">
        <v>1537</v>
      </c>
      <c r="N81" s="24" t="s">
        <v>1728</v>
      </c>
      <c r="O81" s="24"/>
      <c r="P81" s="25"/>
      <c r="Q81" s="25"/>
      <c r="R81" s="25"/>
      <c r="S81" s="25"/>
      <c r="T81" s="25"/>
      <c r="U81" s="25"/>
      <c r="V81" s="29" t="s">
        <v>1729</v>
      </c>
    </row>
    <row r="82" spans="1:22" ht="30" x14ac:dyDescent="0.25">
      <c r="A82" s="23" t="s">
        <v>758</v>
      </c>
      <c r="B82" s="23" t="s">
        <v>759</v>
      </c>
      <c r="C82" s="24"/>
      <c r="D82" s="24"/>
      <c r="E82" s="24"/>
      <c r="F82" s="24"/>
      <c r="G82" s="24" t="s">
        <v>189</v>
      </c>
      <c r="H82" s="25">
        <v>42144.650694444441</v>
      </c>
      <c r="I82" s="29"/>
      <c r="J82" s="24"/>
      <c r="K82" s="24" t="s">
        <v>738</v>
      </c>
      <c r="L82" s="52" t="s">
        <v>1566</v>
      </c>
      <c r="M82" s="24" t="s">
        <v>1537</v>
      </c>
      <c r="N82" s="52" t="s">
        <v>2182</v>
      </c>
      <c r="O82" s="24"/>
      <c r="P82" s="25"/>
      <c r="Q82" s="25"/>
      <c r="R82" s="25"/>
      <c r="S82" s="25"/>
      <c r="T82" s="25"/>
      <c r="U82" s="25"/>
      <c r="V82" s="29"/>
    </row>
    <row r="83" spans="1:22" ht="30" x14ac:dyDescent="0.25">
      <c r="A83" s="23" t="s">
        <v>760</v>
      </c>
      <c r="B83" s="23" t="s">
        <v>761</v>
      </c>
      <c r="C83" s="24"/>
      <c r="D83" s="24"/>
      <c r="E83" s="24"/>
      <c r="F83" s="24"/>
      <c r="G83" s="24" t="s">
        <v>189</v>
      </c>
      <c r="H83" s="25">
        <v>42144.650694444441</v>
      </c>
      <c r="I83" s="29"/>
      <c r="J83" s="24"/>
      <c r="K83" s="24" t="s">
        <v>738</v>
      </c>
      <c r="L83" s="52" t="s">
        <v>1566</v>
      </c>
      <c r="M83" s="24" t="s">
        <v>1537</v>
      </c>
      <c r="N83" s="52" t="s">
        <v>2182</v>
      </c>
      <c r="O83" s="24"/>
      <c r="P83" s="25"/>
      <c r="Q83" s="25"/>
      <c r="R83" s="25"/>
      <c r="S83" s="25"/>
      <c r="T83" s="25"/>
      <c r="U83" s="25"/>
      <c r="V83" s="29"/>
    </row>
    <row r="84" spans="1:22" ht="22.5" x14ac:dyDescent="0.25">
      <c r="A84" s="23" t="s">
        <v>762</v>
      </c>
      <c r="B84" s="23" t="s">
        <v>763</v>
      </c>
      <c r="C84" s="24"/>
      <c r="D84" s="24"/>
      <c r="E84" s="24"/>
      <c r="F84" s="24"/>
      <c r="G84" s="24" t="s">
        <v>188</v>
      </c>
      <c r="H84" s="25">
        <v>42145.586805555555</v>
      </c>
      <c r="I84" s="29"/>
      <c r="J84" s="24"/>
      <c r="K84" s="24" t="s">
        <v>764</v>
      </c>
      <c r="L84" s="24"/>
      <c r="M84" s="24"/>
      <c r="N84" s="52" t="s">
        <v>2182</v>
      </c>
      <c r="O84" s="24"/>
      <c r="P84" s="25"/>
      <c r="Q84" s="25"/>
      <c r="R84" s="25"/>
      <c r="S84" s="25"/>
      <c r="T84" s="25"/>
      <c r="U84" s="25"/>
      <c r="V84" s="29"/>
    </row>
    <row r="85" spans="1:22" x14ac:dyDescent="0.25">
      <c r="A85" s="23" t="s">
        <v>765</v>
      </c>
      <c r="B85" s="23" t="s">
        <v>180</v>
      </c>
      <c r="C85" s="24"/>
      <c r="D85" s="24"/>
      <c r="E85" s="24"/>
      <c r="F85" s="24"/>
      <c r="G85" s="24" t="s">
        <v>189</v>
      </c>
      <c r="H85" s="25">
        <v>42146.476388888892</v>
      </c>
      <c r="I85" s="29"/>
      <c r="J85" s="24"/>
      <c r="K85" s="24" t="s">
        <v>764</v>
      </c>
      <c r="L85" s="24"/>
      <c r="M85" s="24"/>
      <c r="N85" s="52" t="s">
        <v>2182</v>
      </c>
      <c r="O85" s="24"/>
      <c r="P85" s="25"/>
      <c r="Q85" s="25"/>
      <c r="R85" s="25"/>
      <c r="S85" s="25"/>
      <c r="T85" s="25"/>
      <c r="U85" s="25"/>
      <c r="V85" s="29"/>
    </row>
    <row r="86" spans="1:22" x14ac:dyDescent="0.25">
      <c r="A86" s="23" t="s">
        <v>766</v>
      </c>
      <c r="B86" s="23" t="s">
        <v>767</v>
      </c>
      <c r="C86" s="24"/>
      <c r="D86" s="24"/>
      <c r="E86" s="24"/>
      <c r="F86" s="24"/>
      <c r="G86" s="24" t="s">
        <v>189</v>
      </c>
      <c r="H86" s="25">
        <v>42149.651388888888</v>
      </c>
      <c r="I86" s="29"/>
      <c r="J86" s="24"/>
      <c r="K86" s="24" t="s">
        <v>562</v>
      </c>
      <c r="L86" s="24"/>
      <c r="M86" s="24"/>
      <c r="N86" s="52" t="s">
        <v>2182</v>
      </c>
      <c r="O86" s="24"/>
      <c r="P86" s="25"/>
      <c r="Q86" s="25"/>
      <c r="R86" s="25"/>
      <c r="S86" s="25"/>
      <c r="T86" s="25"/>
      <c r="U86" s="25"/>
      <c r="V86" s="29"/>
    </row>
    <row r="87" spans="1:22" ht="30" x14ac:dyDescent="0.25">
      <c r="A87" s="23" t="s">
        <v>768</v>
      </c>
      <c r="B87" s="23" t="s">
        <v>769</v>
      </c>
      <c r="C87" s="24"/>
      <c r="D87" s="24"/>
      <c r="E87" s="24"/>
      <c r="F87" s="24"/>
      <c r="G87" s="24" t="s">
        <v>513</v>
      </c>
      <c r="H87" s="25">
        <v>42144.650694444441</v>
      </c>
      <c r="I87" s="29"/>
      <c r="J87" s="24"/>
      <c r="K87" s="24" t="s">
        <v>738</v>
      </c>
      <c r="L87" s="52" t="s">
        <v>1566</v>
      </c>
      <c r="M87" s="24" t="s">
        <v>1537</v>
      </c>
      <c r="N87" s="24"/>
      <c r="O87" s="24"/>
      <c r="P87" s="25"/>
      <c r="Q87" s="25"/>
      <c r="R87" s="25"/>
      <c r="S87" s="25"/>
      <c r="T87" s="25"/>
      <c r="U87" s="25"/>
      <c r="V87" s="29"/>
    </row>
    <row r="88" spans="1:22" x14ac:dyDescent="0.25">
      <c r="A88" s="23" t="s">
        <v>770</v>
      </c>
      <c r="B88" s="23" t="s">
        <v>771</v>
      </c>
      <c r="C88" s="24"/>
      <c r="D88" s="24"/>
      <c r="E88" s="24"/>
      <c r="F88" s="24"/>
      <c r="G88" s="24" t="s">
        <v>189</v>
      </c>
      <c r="H88" s="25">
        <v>42150.634027777778</v>
      </c>
      <c r="I88" s="29"/>
      <c r="J88" s="24"/>
      <c r="K88" s="24" t="s">
        <v>562</v>
      </c>
      <c r="L88" s="24"/>
      <c r="M88" s="24"/>
      <c r="N88" s="52" t="s">
        <v>2182</v>
      </c>
      <c r="O88" s="24"/>
      <c r="P88" s="25"/>
      <c r="Q88" s="25"/>
      <c r="R88" s="25"/>
      <c r="S88" s="25"/>
      <c r="T88" s="25"/>
      <c r="U88" s="25"/>
      <c r="V88" s="29"/>
    </row>
    <row r="89" spans="1:22" ht="22.5" x14ac:dyDescent="0.25">
      <c r="A89" s="23" t="s">
        <v>772</v>
      </c>
      <c r="B89" s="23" t="s">
        <v>773</v>
      </c>
      <c r="C89" s="24"/>
      <c r="D89" s="24"/>
      <c r="E89" s="24"/>
      <c r="F89" s="24"/>
      <c r="G89" s="24" t="s">
        <v>188</v>
      </c>
      <c r="H89" s="25">
        <v>42151.440972222219</v>
      </c>
      <c r="I89" s="29"/>
      <c r="J89" s="24"/>
      <c r="K89" s="24" t="s">
        <v>738</v>
      </c>
      <c r="L89" s="24"/>
      <c r="M89" s="24"/>
      <c r="N89" s="52" t="s">
        <v>2182</v>
      </c>
      <c r="O89" s="24"/>
      <c r="P89" s="25"/>
      <c r="Q89" s="25"/>
      <c r="R89" s="25"/>
      <c r="S89" s="25"/>
      <c r="T89" s="25"/>
      <c r="U89" s="25"/>
      <c r="V89" s="29"/>
    </row>
    <row r="90" spans="1:22" ht="30" x14ac:dyDescent="0.25">
      <c r="A90" s="23" t="s">
        <v>774</v>
      </c>
      <c r="B90" s="23" t="s">
        <v>775</v>
      </c>
      <c r="C90" s="24"/>
      <c r="D90" s="24"/>
      <c r="E90" s="24"/>
      <c r="F90" s="24"/>
      <c r="G90" s="24" t="s">
        <v>188</v>
      </c>
      <c r="H90" s="25">
        <v>42151.496527777781</v>
      </c>
      <c r="I90" s="29"/>
      <c r="J90" s="24"/>
      <c r="K90" s="24" t="s">
        <v>738</v>
      </c>
      <c r="L90" s="52" t="s">
        <v>1566</v>
      </c>
      <c r="M90" s="24" t="s">
        <v>1537</v>
      </c>
      <c r="N90" s="52" t="s">
        <v>2182</v>
      </c>
      <c r="O90" s="24"/>
      <c r="P90" s="25"/>
      <c r="Q90" s="25"/>
      <c r="R90" s="25"/>
      <c r="S90" s="25"/>
      <c r="T90" s="25"/>
      <c r="U90" s="25"/>
      <c r="V90" s="29"/>
    </row>
    <row r="91" spans="1:22" ht="30" x14ac:dyDescent="0.25">
      <c r="A91" s="23" t="s">
        <v>776</v>
      </c>
      <c r="B91" s="23" t="s">
        <v>358</v>
      </c>
      <c r="C91" s="24"/>
      <c r="D91" s="24"/>
      <c r="E91" s="24"/>
      <c r="F91" s="24"/>
      <c r="G91" s="24" t="s">
        <v>188</v>
      </c>
      <c r="H91" s="25">
        <v>42151.496527777781</v>
      </c>
      <c r="I91" s="29"/>
      <c r="J91" s="24"/>
      <c r="K91" s="24" t="s">
        <v>738</v>
      </c>
      <c r="L91" s="52" t="s">
        <v>1566</v>
      </c>
      <c r="M91" s="24" t="s">
        <v>1537</v>
      </c>
      <c r="N91" s="52" t="s">
        <v>2182</v>
      </c>
      <c r="O91" s="24"/>
      <c r="P91" s="25"/>
      <c r="Q91" s="25"/>
      <c r="R91" s="25"/>
      <c r="S91" s="25"/>
      <c r="T91" s="25"/>
      <c r="U91" s="25"/>
      <c r="V91" s="29"/>
    </row>
    <row r="92" spans="1:22" ht="30" x14ac:dyDescent="0.25">
      <c r="A92" s="23" t="s">
        <v>777</v>
      </c>
      <c r="B92" s="23" t="s">
        <v>778</v>
      </c>
      <c r="C92" s="24"/>
      <c r="D92" s="24"/>
      <c r="E92" s="24"/>
      <c r="F92" s="24"/>
      <c r="G92" s="24" t="s">
        <v>188</v>
      </c>
      <c r="H92" s="25">
        <v>42151.496527777781</v>
      </c>
      <c r="I92" s="29"/>
      <c r="J92" s="24"/>
      <c r="K92" s="24" t="s">
        <v>738</v>
      </c>
      <c r="L92" s="52" t="s">
        <v>1566</v>
      </c>
      <c r="M92" s="24" t="s">
        <v>1537</v>
      </c>
      <c r="N92" s="24" t="s">
        <v>1728</v>
      </c>
      <c r="O92" s="24"/>
      <c r="P92" s="25"/>
      <c r="Q92" s="25"/>
      <c r="R92" s="25"/>
      <c r="S92" s="25"/>
      <c r="T92" s="25"/>
      <c r="U92" s="25">
        <v>42354</v>
      </c>
      <c r="V92" s="29" t="s">
        <v>1730</v>
      </c>
    </row>
    <row r="93" spans="1:22" ht="30" x14ac:dyDescent="0.25">
      <c r="A93" s="23" t="s">
        <v>779</v>
      </c>
      <c r="B93" s="23" t="s">
        <v>780</v>
      </c>
      <c r="C93" s="24"/>
      <c r="D93" s="24"/>
      <c r="E93" s="24"/>
      <c r="F93" s="24"/>
      <c r="G93" s="24" t="s">
        <v>189</v>
      </c>
      <c r="H93" s="25">
        <v>42151.496527777781</v>
      </c>
      <c r="I93" s="29"/>
      <c r="J93" s="24"/>
      <c r="K93" s="24" t="s">
        <v>738</v>
      </c>
      <c r="L93" s="52" t="s">
        <v>1566</v>
      </c>
      <c r="M93" s="24" t="s">
        <v>1537</v>
      </c>
      <c r="N93" s="52" t="s">
        <v>2182</v>
      </c>
      <c r="O93" s="24"/>
      <c r="P93" s="25"/>
      <c r="Q93" s="25"/>
      <c r="R93" s="25"/>
      <c r="S93" s="25"/>
      <c r="T93" s="25"/>
      <c r="U93" s="25"/>
      <c r="V93" s="29"/>
    </row>
    <row r="94" spans="1:22" ht="30" x14ac:dyDescent="0.25">
      <c r="A94" s="23" t="s">
        <v>781</v>
      </c>
      <c r="B94" s="23" t="s">
        <v>782</v>
      </c>
      <c r="C94" s="24"/>
      <c r="D94" s="24"/>
      <c r="E94" s="24"/>
      <c r="F94" s="24"/>
      <c r="G94" s="24" t="s">
        <v>189</v>
      </c>
      <c r="H94" s="25">
        <v>42151.496527777781</v>
      </c>
      <c r="I94" s="29"/>
      <c r="J94" s="24"/>
      <c r="K94" s="24" t="s">
        <v>738</v>
      </c>
      <c r="L94" s="52" t="s">
        <v>1566</v>
      </c>
      <c r="M94" s="24" t="s">
        <v>1537</v>
      </c>
      <c r="N94" s="52" t="s">
        <v>2182</v>
      </c>
      <c r="O94" s="24"/>
      <c r="P94" s="25"/>
      <c r="Q94" s="25"/>
      <c r="R94" s="25"/>
      <c r="S94" s="25"/>
      <c r="T94" s="25"/>
      <c r="U94" s="25"/>
      <c r="V94" s="29"/>
    </row>
    <row r="95" spans="1:22" ht="30" x14ac:dyDescent="0.25">
      <c r="A95" s="23" t="s">
        <v>783</v>
      </c>
      <c r="B95" s="23" t="s">
        <v>784</v>
      </c>
      <c r="C95" s="24"/>
      <c r="D95" s="24"/>
      <c r="E95" s="24"/>
      <c r="F95" s="24"/>
      <c r="G95" s="24" t="s">
        <v>513</v>
      </c>
      <c r="H95" s="25">
        <v>42151.496527777781</v>
      </c>
      <c r="I95" s="29"/>
      <c r="J95" s="24"/>
      <c r="K95" s="24" t="s">
        <v>738</v>
      </c>
      <c r="L95" s="52" t="s">
        <v>1566</v>
      </c>
      <c r="M95" s="24" t="s">
        <v>1537</v>
      </c>
      <c r="N95" s="24" t="s">
        <v>1728</v>
      </c>
      <c r="O95" s="24"/>
      <c r="P95" s="25"/>
      <c r="Q95" s="25"/>
      <c r="R95" s="25"/>
      <c r="S95" s="25"/>
      <c r="T95" s="25"/>
      <c r="U95" s="25"/>
      <c r="V95" s="29" t="s">
        <v>1731</v>
      </c>
    </row>
    <row r="96" spans="1:22" ht="33.75" x14ac:dyDescent="0.25">
      <c r="A96" s="23" t="s">
        <v>785</v>
      </c>
      <c r="B96" s="23" t="s">
        <v>786</v>
      </c>
      <c r="C96" s="24"/>
      <c r="D96" s="24"/>
      <c r="E96" s="24"/>
      <c r="F96" s="24"/>
      <c r="G96" s="24" t="s">
        <v>513</v>
      </c>
      <c r="H96" s="25">
        <v>42151.496527777781</v>
      </c>
      <c r="I96" s="29"/>
      <c r="J96" s="24"/>
      <c r="K96" s="24" t="s">
        <v>738</v>
      </c>
      <c r="L96" s="52" t="s">
        <v>1566</v>
      </c>
      <c r="M96" s="24" t="s">
        <v>1537</v>
      </c>
      <c r="N96" s="24" t="s">
        <v>1728</v>
      </c>
      <c r="O96" s="24"/>
      <c r="P96" s="25"/>
      <c r="Q96" s="25"/>
      <c r="R96" s="25"/>
      <c r="S96" s="25"/>
      <c r="T96" s="25"/>
      <c r="U96" s="25"/>
      <c r="V96" s="29" t="s">
        <v>1732</v>
      </c>
    </row>
    <row r="97" spans="1:22" ht="30" x14ac:dyDescent="0.25">
      <c r="A97" s="23" t="s">
        <v>787</v>
      </c>
      <c r="B97" s="23" t="s">
        <v>788</v>
      </c>
      <c r="C97" s="24"/>
      <c r="D97" s="24"/>
      <c r="E97" s="24"/>
      <c r="F97" s="24"/>
      <c r="G97" s="24" t="s">
        <v>513</v>
      </c>
      <c r="H97" s="25">
        <v>42151.496527777781</v>
      </c>
      <c r="I97" s="29"/>
      <c r="J97" s="24"/>
      <c r="K97" s="24" t="s">
        <v>738</v>
      </c>
      <c r="L97" s="52" t="s">
        <v>1566</v>
      </c>
      <c r="M97" s="24" t="s">
        <v>1537</v>
      </c>
      <c r="N97" s="24" t="s">
        <v>1728</v>
      </c>
      <c r="O97" s="24"/>
      <c r="P97" s="25"/>
      <c r="Q97" s="25"/>
      <c r="R97" s="25"/>
      <c r="S97" s="25"/>
      <c r="T97" s="25"/>
      <c r="U97" s="25"/>
      <c r="V97" s="29" t="s">
        <v>1733</v>
      </c>
    </row>
    <row r="98" spans="1:22" ht="30" x14ac:dyDescent="0.25">
      <c r="A98" s="23" t="s">
        <v>789</v>
      </c>
      <c r="B98" s="23" t="s">
        <v>790</v>
      </c>
      <c r="C98" s="24"/>
      <c r="D98" s="24"/>
      <c r="E98" s="24"/>
      <c r="F98" s="24"/>
      <c r="G98" s="24" t="s">
        <v>513</v>
      </c>
      <c r="H98" s="25">
        <v>42151.496527777781</v>
      </c>
      <c r="I98" s="29"/>
      <c r="J98" s="24"/>
      <c r="K98" s="24" t="s">
        <v>738</v>
      </c>
      <c r="L98" s="52" t="s">
        <v>1566</v>
      </c>
      <c r="M98" s="24" t="s">
        <v>1537</v>
      </c>
      <c r="N98" s="24" t="s">
        <v>1728</v>
      </c>
      <c r="O98" s="24"/>
      <c r="P98" s="25"/>
      <c r="Q98" s="25"/>
      <c r="R98" s="25"/>
      <c r="S98" s="25"/>
      <c r="T98" s="25"/>
      <c r="U98" s="25"/>
      <c r="V98" s="29" t="s">
        <v>1734</v>
      </c>
    </row>
    <row r="99" spans="1:22" ht="30" x14ac:dyDescent="0.25">
      <c r="A99" s="23" t="s">
        <v>791</v>
      </c>
      <c r="B99" s="23" t="s">
        <v>792</v>
      </c>
      <c r="C99" s="24"/>
      <c r="D99" s="24"/>
      <c r="E99" s="24"/>
      <c r="F99" s="24"/>
      <c r="G99" s="24" t="s">
        <v>513</v>
      </c>
      <c r="H99" s="25">
        <v>42151.496527777781</v>
      </c>
      <c r="I99" s="29"/>
      <c r="J99" s="24"/>
      <c r="K99" s="24" t="s">
        <v>738</v>
      </c>
      <c r="L99" s="52" t="s">
        <v>1566</v>
      </c>
      <c r="M99" s="24" t="s">
        <v>1537</v>
      </c>
      <c r="N99" s="24" t="s">
        <v>1728</v>
      </c>
      <c r="O99" s="24"/>
      <c r="P99" s="25"/>
      <c r="Q99" s="25"/>
      <c r="R99" s="25"/>
      <c r="S99" s="25"/>
      <c r="T99" s="25"/>
      <c r="U99" s="25"/>
      <c r="V99" s="29" t="s">
        <v>1735</v>
      </c>
    </row>
    <row r="100" spans="1:22" ht="30" x14ac:dyDescent="0.25">
      <c r="A100" s="23" t="s">
        <v>793</v>
      </c>
      <c r="B100" s="23" t="s">
        <v>794</v>
      </c>
      <c r="C100" s="24"/>
      <c r="D100" s="24"/>
      <c r="E100" s="24"/>
      <c r="F100" s="24"/>
      <c r="G100" s="24" t="s">
        <v>513</v>
      </c>
      <c r="H100" s="25">
        <v>42151.496527777781</v>
      </c>
      <c r="I100" s="29"/>
      <c r="J100" s="24"/>
      <c r="K100" s="24" t="s">
        <v>738</v>
      </c>
      <c r="L100" s="52" t="s">
        <v>1566</v>
      </c>
      <c r="M100" s="24" t="s">
        <v>1537</v>
      </c>
      <c r="N100" s="24" t="s">
        <v>1728</v>
      </c>
      <c r="O100" s="24"/>
      <c r="P100" s="25"/>
      <c r="Q100" s="25"/>
      <c r="R100" s="25"/>
      <c r="S100" s="25"/>
      <c r="T100" s="25"/>
      <c r="U100" s="25"/>
      <c r="V100" s="29" t="s">
        <v>1736</v>
      </c>
    </row>
    <row r="101" spans="1:22" ht="30" x14ac:dyDescent="0.25">
      <c r="A101" s="23" t="s">
        <v>795</v>
      </c>
      <c r="B101" s="23" t="s">
        <v>796</v>
      </c>
      <c r="C101" s="24"/>
      <c r="D101" s="24"/>
      <c r="E101" s="24"/>
      <c r="F101" s="24"/>
      <c r="G101" s="24" t="s">
        <v>188</v>
      </c>
      <c r="H101" s="25">
        <v>42151.496527777781</v>
      </c>
      <c r="I101" s="29"/>
      <c r="J101" s="24"/>
      <c r="K101" s="24" t="s">
        <v>738</v>
      </c>
      <c r="L101" s="52" t="s">
        <v>1566</v>
      </c>
      <c r="M101" s="24" t="s">
        <v>1537</v>
      </c>
      <c r="N101" s="52" t="s">
        <v>2182</v>
      </c>
      <c r="O101" s="24"/>
      <c r="P101" s="25"/>
      <c r="Q101" s="25"/>
      <c r="R101" s="25"/>
      <c r="S101" s="25"/>
      <c r="T101" s="25"/>
      <c r="U101" s="25"/>
      <c r="V101" s="29"/>
    </row>
    <row r="102" spans="1:22" ht="22.5" x14ac:dyDescent="0.25">
      <c r="A102" s="23" t="s">
        <v>797</v>
      </c>
      <c r="B102" s="23" t="s">
        <v>798</v>
      </c>
      <c r="C102" s="24"/>
      <c r="D102" s="24"/>
      <c r="E102" s="24"/>
      <c r="F102" s="24"/>
      <c r="G102" s="24" t="s">
        <v>189</v>
      </c>
      <c r="H102" s="25">
        <v>42151.788888888892</v>
      </c>
      <c r="I102" s="29"/>
      <c r="J102" s="24"/>
      <c r="K102" s="24" t="s">
        <v>694</v>
      </c>
      <c r="L102" s="24"/>
      <c r="M102" s="24"/>
      <c r="N102" s="52" t="s">
        <v>2182</v>
      </c>
      <c r="O102" s="24"/>
      <c r="P102" s="25"/>
      <c r="Q102" s="25"/>
      <c r="R102" s="25"/>
      <c r="S102" s="25"/>
      <c r="T102" s="25"/>
      <c r="U102" s="25"/>
      <c r="V102" s="29"/>
    </row>
    <row r="103" spans="1:22" ht="22.5" x14ac:dyDescent="0.25">
      <c r="A103" s="23" t="s">
        <v>799</v>
      </c>
      <c r="B103" s="23" t="s">
        <v>800</v>
      </c>
      <c r="C103" s="24"/>
      <c r="D103" s="24"/>
      <c r="E103" s="24"/>
      <c r="F103" s="24"/>
      <c r="G103" s="24" t="s">
        <v>513</v>
      </c>
      <c r="H103" s="25">
        <v>42152.689583333333</v>
      </c>
      <c r="I103" s="29"/>
      <c r="J103" s="24"/>
      <c r="K103" s="24" t="s">
        <v>801</v>
      </c>
      <c r="L103" s="24"/>
      <c r="M103" s="24"/>
      <c r="N103" s="24" t="s">
        <v>1728</v>
      </c>
      <c r="O103" s="24"/>
      <c r="P103" s="25"/>
      <c r="Q103" s="25"/>
      <c r="R103" s="25"/>
      <c r="S103" s="25"/>
      <c r="T103" s="25"/>
      <c r="U103" s="25"/>
      <c r="V103" s="29" t="s">
        <v>1571</v>
      </c>
    </row>
    <row r="104" spans="1:22" ht="45" x14ac:dyDescent="0.25">
      <c r="A104" s="23" t="s">
        <v>802</v>
      </c>
      <c r="B104" s="23" t="s">
        <v>803</v>
      </c>
      <c r="C104" s="24"/>
      <c r="D104" s="24"/>
      <c r="E104" s="24"/>
      <c r="F104" s="24"/>
      <c r="G104" s="24" t="s">
        <v>513</v>
      </c>
      <c r="H104" s="25">
        <v>42152.71597222222</v>
      </c>
      <c r="I104" s="29"/>
      <c r="J104" s="24"/>
      <c r="K104" s="24" t="s">
        <v>1573</v>
      </c>
      <c r="L104" s="52" t="s">
        <v>1572</v>
      </c>
      <c r="M104" s="24" t="s">
        <v>1560</v>
      </c>
      <c r="N104" s="24" t="s">
        <v>1707</v>
      </c>
      <c r="O104" s="24"/>
      <c r="P104" s="25"/>
      <c r="Q104" s="25"/>
      <c r="R104" s="25"/>
      <c r="S104" s="25"/>
      <c r="T104" s="25"/>
      <c r="U104" s="25"/>
      <c r="V104" s="29"/>
    </row>
    <row r="105" spans="1:22" ht="30" x14ac:dyDescent="0.25">
      <c r="A105" s="23" t="s">
        <v>804</v>
      </c>
      <c r="B105" s="23" t="s">
        <v>805</v>
      </c>
      <c r="C105" s="24"/>
      <c r="D105" s="24"/>
      <c r="E105" s="24"/>
      <c r="F105" s="24"/>
      <c r="G105" s="24" t="s">
        <v>513</v>
      </c>
      <c r="H105" s="25">
        <v>42152.789583333331</v>
      </c>
      <c r="I105" s="29"/>
      <c r="J105" s="24"/>
      <c r="K105" s="24" t="s">
        <v>806</v>
      </c>
      <c r="L105" s="52" t="s">
        <v>1574</v>
      </c>
      <c r="M105" s="24" t="s">
        <v>1537</v>
      </c>
      <c r="N105" s="24" t="s">
        <v>1707</v>
      </c>
      <c r="O105" s="24"/>
      <c r="P105" s="25"/>
      <c r="Q105" s="25"/>
      <c r="R105" s="25"/>
      <c r="S105" s="25"/>
      <c r="T105" s="25"/>
      <c r="U105" s="25"/>
      <c r="V105" s="29"/>
    </row>
    <row r="106" spans="1:22" ht="22.5" x14ac:dyDescent="0.25">
      <c r="A106" s="23" t="s">
        <v>807</v>
      </c>
      <c r="B106" s="23" t="s">
        <v>808</v>
      </c>
      <c r="C106" s="24" t="s">
        <v>572</v>
      </c>
      <c r="D106" s="24" t="s">
        <v>809</v>
      </c>
      <c r="E106" s="24" t="s">
        <v>511</v>
      </c>
      <c r="F106" s="24" t="s">
        <v>512</v>
      </c>
      <c r="G106" s="24" t="s">
        <v>810</v>
      </c>
      <c r="H106" s="25">
        <v>42153.48333333333</v>
      </c>
      <c r="I106" s="29" t="s">
        <v>523</v>
      </c>
      <c r="J106" s="24" t="s">
        <v>524</v>
      </c>
      <c r="K106" s="24" t="s">
        <v>574</v>
      </c>
      <c r="L106" s="24"/>
      <c r="M106" s="24"/>
      <c r="N106" s="52" t="s">
        <v>2182</v>
      </c>
      <c r="O106" s="24"/>
      <c r="P106" s="25"/>
      <c r="Q106" s="25"/>
      <c r="R106" s="25"/>
      <c r="S106" s="25"/>
      <c r="T106" s="25"/>
      <c r="U106" s="25">
        <v>42285</v>
      </c>
      <c r="V106" s="29" t="s">
        <v>811</v>
      </c>
    </row>
    <row r="107" spans="1:22" ht="22.5" x14ac:dyDescent="0.25">
      <c r="A107" s="23" t="s">
        <v>812</v>
      </c>
      <c r="B107" s="23" t="s">
        <v>813</v>
      </c>
      <c r="C107" s="24" t="s">
        <v>572</v>
      </c>
      <c r="D107" s="24" t="s">
        <v>809</v>
      </c>
      <c r="E107" s="24" t="s">
        <v>511</v>
      </c>
      <c r="F107" s="24" t="s">
        <v>512</v>
      </c>
      <c r="G107" s="24" t="s">
        <v>810</v>
      </c>
      <c r="H107" s="25">
        <v>42153.484722222223</v>
      </c>
      <c r="I107" s="29" t="s">
        <v>523</v>
      </c>
      <c r="J107" s="24" t="s">
        <v>524</v>
      </c>
      <c r="K107" s="24" t="s">
        <v>574</v>
      </c>
      <c r="L107" s="24"/>
      <c r="M107" s="24"/>
      <c r="N107" s="52" t="s">
        <v>2182</v>
      </c>
      <c r="O107" s="24"/>
      <c r="P107" s="25"/>
      <c r="Q107" s="25"/>
      <c r="R107" s="25"/>
      <c r="S107" s="25"/>
      <c r="T107" s="25"/>
      <c r="U107" s="25">
        <v>42285</v>
      </c>
      <c r="V107" s="29" t="s">
        <v>811</v>
      </c>
    </row>
    <row r="108" spans="1:22" x14ac:dyDescent="0.25">
      <c r="A108" s="23" t="s">
        <v>814</v>
      </c>
      <c r="B108" s="23" t="s">
        <v>358</v>
      </c>
      <c r="C108" s="24"/>
      <c r="D108" s="24"/>
      <c r="E108" s="24"/>
      <c r="F108" s="24"/>
      <c r="G108" s="24" t="s">
        <v>189</v>
      </c>
      <c r="H108" s="25">
        <v>42153.509027777778</v>
      </c>
      <c r="I108" s="29"/>
      <c r="J108" s="24"/>
      <c r="K108" s="24" t="s">
        <v>629</v>
      </c>
      <c r="L108" s="24"/>
      <c r="M108" s="24"/>
      <c r="N108" s="52" t="s">
        <v>2182</v>
      </c>
      <c r="O108" s="24"/>
      <c r="P108" s="25"/>
      <c r="Q108" s="25"/>
      <c r="R108" s="25"/>
      <c r="S108" s="25"/>
      <c r="T108" s="25"/>
      <c r="U108" s="25"/>
      <c r="V108" s="29"/>
    </row>
    <row r="109" spans="1:22" ht="30" x14ac:dyDescent="0.25">
      <c r="A109" s="23" t="s">
        <v>815</v>
      </c>
      <c r="B109" s="23" t="s">
        <v>816</v>
      </c>
      <c r="C109" s="24"/>
      <c r="D109" s="24"/>
      <c r="E109" s="24"/>
      <c r="F109" s="24"/>
      <c r="G109" s="24" t="s">
        <v>188</v>
      </c>
      <c r="H109" s="25">
        <v>42151.496527777781</v>
      </c>
      <c r="I109" s="29"/>
      <c r="J109" s="24"/>
      <c r="K109" s="24" t="s">
        <v>738</v>
      </c>
      <c r="L109" s="52" t="s">
        <v>1566</v>
      </c>
      <c r="M109" s="24" t="s">
        <v>1537</v>
      </c>
      <c r="N109" s="52" t="s">
        <v>2182</v>
      </c>
      <c r="O109" s="24"/>
      <c r="P109" s="25"/>
      <c r="Q109" s="25"/>
      <c r="R109" s="25"/>
      <c r="S109" s="25"/>
      <c r="T109" s="25"/>
      <c r="U109" s="25"/>
      <c r="V109" s="29"/>
    </row>
    <row r="110" spans="1:22" x14ac:dyDescent="0.25">
      <c r="A110" s="23" t="s">
        <v>817</v>
      </c>
      <c r="B110" s="23" t="s">
        <v>818</v>
      </c>
      <c r="C110" s="24"/>
      <c r="D110" s="24"/>
      <c r="E110" s="24"/>
      <c r="F110" s="24"/>
      <c r="G110" s="24" t="s">
        <v>189</v>
      </c>
      <c r="H110" s="25">
        <v>42157.417361111111</v>
      </c>
      <c r="I110" s="29"/>
      <c r="J110" s="24"/>
      <c r="K110" s="24" t="s">
        <v>819</v>
      </c>
      <c r="L110" s="24"/>
      <c r="M110" s="24"/>
      <c r="N110" s="52" t="s">
        <v>2182</v>
      </c>
      <c r="O110" s="24"/>
      <c r="P110" s="25"/>
      <c r="Q110" s="25"/>
      <c r="R110" s="25"/>
      <c r="S110" s="25"/>
      <c r="T110" s="25"/>
      <c r="U110" s="25"/>
      <c r="V110" s="29"/>
    </row>
    <row r="111" spans="1:22" ht="30" x14ac:dyDescent="0.25">
      <c r="A111" s="23" t="s">
        <v>820</v>
      </c>
      <c r="B111" s="23" t="s">
        <v>821</v>
      </c>
      <c r="C111" s="24"/>
      <c r="D111" s="24"/>
      <c r="E111" s="24"/>
      <c r="F111" s="24"/>
      <c r="G111" s="24" t="s">
        <v>189</v>
      </c>
      <c r="H111" s="25">
        <v>42158.36041666667</v>
      </c>
      <c r="I111" s="29"/>
      <c r="J111" s="24"/>
      <c r="K111" s="24" t="s">
        <v>733</v>
      </c>
      <c r="L111" s="52" t="s">
        <v>1575</v>
      </c>
      <c r="M111" s="24" t="s">
        <v>1537</v>
      </c>
      <c r="N111" s="24" t="s">
        <v>1707</v>
      </c>
      <c r="O111" s="24" t="s">
        <v>1721</v>
      </c>
      <c r="P111" s="25"/>
      <c r="Q111" s="25"/>
      <c r="R111" s="25"/>
      <c r="S111" s="25"/>
      <c r="T111" s="25"/>
      <c r="U111" s="25"/>
      <c r="V111" s="29"/>
    </row>
    <row r="112" spans="1:22" ht="30" x14ac:dyDescent="0.25">
      <c r="A112" s="23" t="s">
        <v>822</v>
      </c>
      <c r="B112" s="23" t="s">
        <v>823</v>
      </c>
      <c r="C112" s="24"/>
      <c r="D112" s="24"/>
      <c r="E112" s="24"/>
      <c r="F112" s="24"/>
      <c r="G112" s="24" t="s">
        <v>189</v>
      </c>
      <c r="H112" s="25">
        <v>42151.496527777781</v>
      </c>
      <c r="I112" s="29"/>
      <c r="J112" s="24"/>
      <c r="K112" s="24" t="s">
        <v>738</v>
      </c>
      <c r="L112" s="52" t="s">
        <v>1566</v>
      </c>
      <c r="M112" s="24" t="s">
        <v>1537</v>
      </c>
      <c r="N112" s="52" t="s">
        <v>2182</v>
      </c>
      <c r="O112" s="24"/>
      <c r="P112" s="25"/>
      <c r="Q112" s="25"/>
      <c r="R112" s="25"/>
      <c r="S112" s="25"/>
      <c r="T112" s="25"/>
      <c r="U112" s="25"/>
      <c r="V112" s="29"/>
    </row>
    <row r="113" spans="1:22" ht="30" x14ac:dyDescent="0.25">
      <c r="A113" s="23" t="s">
        <v>824</v>
      </c>
      <c r="B113" s="23" t="s">
        <v>825</v>
      </c>
      <c r="C113" s="24"/>
      <c r="D113" s="24"/>
      <c r="E113" s="24"/>
      <c r="F113" s="24"/>
      <c r="G113" s="24" t="s">
        <v>513</v>
      </c>
      <c r="H113" s="25">
        <v>42151.496527777781</v>
      </c>
      <c r="I113" s="29"/>
      <c r="J113" s="24"/>
      <c r="K113" s="24" t="s">
        <v>738</v>
      </c>
      <c r="L113" s="52" t="s">
        <v>1566</v>
      </c>
      <c r="M113" s="24" t="s">
        <v>1537</v>
      </c>
      <c r="N113" s="24"/>
      <c r="O113" s="24"/>
      <c r="P113" s="25"/>
      <c r="Q113" s="25"/>
      <c r="R113" s="25"/>
      <c r="S113" s="25"/>
      <c r="T113" s="25"/>
      <c r="U113" s="25"/>
      <c r="V113" s="29"/>
    </row>
    <row r="114" spans="1:22" ht="30" x14ac:dyDescent="0.25">
      <c r="A114" s="23" t="s">
        <v>826</v>
      </c>
      <c r="B114" s="23" t="s">
        <v>827</v>
      </c>
      <c r="C114" s="24"/>
      <c r="D114" s="24"/>
      <c r="E114" s="24"/>
      <c r="F114" s="24"/>
      <c r="G114" s="24" t="s">
        <v>513</v>
      </c>
      <c r="H114" s="25">
        <v>42151.496527777781</v>
      </c>
      <c r="I114" s="29"/>
      <c r="J114" s="24"/>
      <c r="K114" s="24" t="s">
        <v>738</v>
      </c>
      <c r="L114" s="52" t="s">
        <v>1566</v>
      </c>
      <c r="M114" s="24" t="s">
        <v>1537</v>
      </c>
      <c r="N114" s="24"/>
      <c r="O114" s="24"/>
      <c r="P114" s="25"/>
      <c r="Q114" s="25"/>
      <c r="R114" s="25"/>
      <c r="S114" s="25"/>
      <c r="T114" s="25"/>
      <c r="U114" s="25"/>
      <c r="V114" s="29"/>
    </row>
    <row r="115" spans="1:22" ht="30" x14ac:dyDescent="0.25">
      <c r="A115" s="23" t="s">
        <v>828</v>
      </c>
      <c r="B115" s="23" t="s">
        <v>829</v>
      </c>
      <c r="C115" s="24"/>
      <c r="D115" s="24"/>
      <c r="E115" s="24"/>
      <c r="F115" s="24"/>
      <c r="G115" s="24" t="s">
        <v>513</v>
      </c>
      <c r="H115" s="25">
        <v>42151.496527777781</v>
      </c>
      <c r="I115" s="29"/>
      <c r="J115" s="24"/>
      <c r="K115" s="24" t="s">
        <v>738</v>
      </c>
      <c r="L115" s="52" t="s">
        <v>1566</v>
      </c>
      <c r="M115" s="24" t="s">
        <v>1537</v>
      </c>
      <c r="N115" s="24"/>
      <c r="O115" s="24"/>
      <c r="P115" s="25"/>
      <c r="Q115" s="25"/>
      <c r="R115" s="25"/>
      <c r="S115" s="25"/>
      <c r="T115" s="25"/>
      <c r="U115" s="25"/>
      <c r="V115" s="29"/>
    </row>
    <row r="116" spans="1:22" ht="30" x14ac:dyDescent="0.25">
      <c r="A116" s="23" t="s">
        <v>830</v>
      </c>
      <c r="B116" s="23" t="s">
        <v>831</v>
      </c>
      <c r="C116" s="24"/>
      <c r="D116" s="24"/>
      <c r="E116" s="24"/>
      <c r="F116" s="24"/>
      <c r="G116" s="24" t="s">
        <v>513</v>
      </c>
      <c r="H116" s="25">
        <v>42151.496527777781</v>
      </c>
      <c r="I116" s="29"/>
      <c r="J116" s="24"/>
      <c r="K116" s="24" t="s">
        <v>738</v>
      </c>
      <c r="L116" s="52" t="s">
        <v>1566</v>
      </c>
      <c r="M116" s="24" t="s">
        <v>1537</v>
      </c>
      <c r="N116" s="24" t="s">
        <v>1728</v>
      </c>
      <c r="O116" s="24"/>
      <c r="P116" s="25"/>
      <c r="Q116" s="25"/>
      <c r="R116" s="25"/>
      <c r="S116" s="25"/>
      <c r="T116" s="25"/>
      <c r="U116" s="25"/>
      <c r="V116" s="29" t="s">
        <v>1737</v>
      </c>
    </row>
    <row r="117" spans="1:22" ht="30" x14ac:dyDescent="0.25">
      <c r="A117" s="28" t="s">
        <v>832</v>
      </c>
      <c r="B117" s="28" t="s">
        <v>833</v>
      </c>
      <c r="C117" s="53"/>
      <c r="D117" s="53"/>
      <c r="E117" s="53" t="s">
        <v>511</v>
      </c>
      <c r="F117" s="53" t="s">
        <v>180</v>
      </c>
      <c r="G117" s="53" t="s">
        <v>189</v>
      </c>
      <c r="H117" s="25">
        <v>42163.466666666667</v>
      </c>
      <c r="I117" s="29" t="s">
        <v>834</v>
      </c>
      <c r="J117" s="24"/>
      <c r="K117" s="24" t="s">
        <v>636</v>
      </c>
      <c r="L117" s="52" t="s">
        <v>1576</v>
      </c>
      <c r="M117" s="24" t="s">
        <v>1537</v>
      </c>
      <c r="N117" s="24" t="s">
        <v>1707</v>
      </c>
      <c r="O117" s="24" t="s">
        <v>1721</v>
      </c>
      <c r="P117" s="25"/>
      <c r="Q117" s="25"/>
      <c r="R117" s="25"/>
      <c r="S117" s="25"/>
      <c r="T117" s="25"/>
      <c r="U117" s="25"/>
      <c r="V117" s="29" t="s">
        <v>834</v>
      </c>
    </row>
    <row r="118" spans="1:22" ht="67.5" x14ac:dyDescent="0.25">
      <c r="A118" s="23" t="s">
        <v>835</v>
      </c>
      <c r="B118" s="23" t="s">
        <v>836</v>
      </c>
      <c r="C118" s="24"/>
      <c r="D118" s="24"/>
      <c r="E118" s="24"/>
      <c r="F118" s="24"/>
      <c r="G118" s="24" t="s">
        <v>513</v>
      </c>
      <c r="H118" s="25">
        <v>42151.496527777781</v>
      </c>
      <c r="I118" s="29"/>
      <c r="J118" s="24"/>
      <c r="K118" s="24" t="s">
        <v>738</v>
      </c>
      <c r="L118" s="52" t="s">
        <v>1566</v>
      </c>
      <c r="M118" s="24" t="s">
        <v>1537</v>
      </c>
      <c r="N118" s="24" t="s">
        <v>1728</v>
      </c>
      <c r="O118" s="24"/>
      <c r="P118" s="25"/>
      <c r="Q118" s="25"/>
      <c r="R118" s="25"/>
      <c r="S118" s="25"/>
      <c r="T118" s="25"/>
      <c r="U118" s="25"/>
      <c r="V118" s="29" t="s">
        <v>1738</v>
      </c>
    </row>
    <row r="119" spans="1:22" ht="30" x14ac:dyDescent="0.25">
      <c r="A119" s="23" t="s">
        <v>837</v>
      </c>
      <c r="B119" s="23" t="s">
        <v>358</v>
      </c>
      <c r="C119" s="24"/>
      <c r="D119" s="24"/>
      <c r="E119" s="24"/>
      <c r="F119" s="24"/>
      <c r="G119" s="24" t="s">
        <v>513</v>
      </c>
      <c r="H119" s="25">
        <v>42165.684027777781</v>
      </c>
      <c r="I119" s="29"/>
      <c r="J119" s="24"/>
      <c r="K119" s="24" t="s">
        <v>838</v>
      </c>
      <c r="L119" s="52" t="s">
        <v>1577</v>
      </c>
      <c r="M119" s="24" t="s">
        <v>1578</v>
      </c>
      <c r="N119" s="24" t="s">
        <v>1707</v>
      </c>
      <c r="O119" s="24"/>
      <c r="P119" s="25"/>
      <c r="Q119" s="25"/>
      <c r="R119" s="25"/>
      <c r="S119" s="25"/>
      <c r="T119" s="25"/>
      <c r="U119" s="25"/>
      <c r="V119" s="29"/>
    </row>
    <row r="120" spans="1:22" ht="30" x14ac:dyDescent="0.25">
      <c r="A120" s="23" t="s">
        <v>839</v>
      </c>
      <c r="B120" s="23" t="s">
        <v>840</v>
      </c>
      <c r="C120" s="24"/>
      <c r="D120" s="24"/>
      <c r="E120" s="24"/>
      <c r="F120" s="24"/>
      <c r="G120" s="24" t="s">
        <v>189</v>
      </c>
      <c r="H120" s="25">
        <v>42151.496527777781</v>
      </c>
      <c r="I120" s="29"/>
      <c r="J120" s="24"/>
      <c r="K120" s="24" t="s">
        <v>738</v>
      </c>
      <c r="L120" s="52" t="s">
        <v>1566</v>
      </c>
      <c r="M120" s="24" t="s">
        <v>1537</v>
      </c>
      <c r="N120" s="52" t="s">
        <v>2182</v>
      </c>
      <c r="O120" s="24"/>
      <c r="P120" s="25"/>
      <c r="Q120" s="25"/>
      <c r="R120" s="25"/>
      <c r="S120" s="25"/>
      <c r="T120" s="25"/>
      <c r="U120" s="25"/>
      <c r="V120" s="29"/>
    </row>
    <row r="121" spans="1:22" ht="30" x14ac:dyDescent="0.25">
      <c r="A121" s="23" t="s">
        <v>842</v>
      </c>
      <c r="B121" s="23" t="s">
        <v>843</v>
      </c>
      <c r="C121" s="24"/>
      <c r="D121" s="24"/>
      <c r="E121" s="24"/>
      <c r="F121" s="24"/>
      <c r="G121" s="24" t="s">
        <v>513</v>
      </c>
      <c r="H121" s="25">
        <v>42151.496527777781</v>
      </c>
      <c r="I121" s="29"/>
      <c r="J121" s="24"/>
      <c r="K121" s="24" t="s">
        <v>738</v>
      </c>
      <c r="L121" s="52" t="s">
        <v>1566</v>
      </c>
      <c r="M121" s="24" t="s">
        <v>1537</v>
      </c>
      <c r="N121" s="24" t="s">
        <v>1728</v>
      </c>
      <c r="O121" s="24"/>
      <c r="P121" s="25"/>
      <c r="Q121" s="25"/>
      <c r="R121" s="25"/>
      <c r="S121" s="25"/>
      <c r="T121" s="25"/>
      <c r="U121" s="25"/>
      <c r="V121" s="29" t="s">
        <v>1739</v>
      </c>
    </row>
    <row r="122" spans="1:22" ht="30" x14ac:dyDescent="0.25">
      <c r="A122" s="23" t="s">
        <v>844</v>
      </c>
      <c r="B122" s="23" t="s">
        <v>845</v>
      </c>
      <c r="C122" s="24"/>
      <c r="D122" s="24"/>
      <c r="E122" s="24"/>
      <c r="F122" s="24"/>
      <c r="G122" s="24" t="s">
        <v>189</v>
      </c>
      <c r="H122" s="25">
        <v>42166.759722222225</v>
      </c>
      <c r="I122" s="29"/>
      <c r="J122" s="24"/>
      <c r="K122" s="24" t="s">
        <v>838</v>
      </c>
      <c r="L122" s="52" t="s">
        <v>1577</v>
      </c>
      <c r="M122" s="24" t="s">
        <v>1537</v>
      </c>
      <c r="N122" s="24" t="s">
        <v>1707</v>
      </c>
      <c r="O122" s="24" t="s">
        <v>1710</v>
      </c>
      <c r="P122" s="25"/>
      <c r="Q122" s="25"/>
      <c r="R122" s="25"/>
      <c r="S122" s="25"/>
      <c r="T122" s="25"/>
      <c r="U122" s="25"/>
      <c r="V122" s="29"/>
    </row>
    <row r="123" spans="1:22" ht="30" x14ac:dyDescent="0.25">
      <c r="A123" s="23" t="s">
        <v>846</v>
      </c>
      <c r="B123" s="23" t="s">
        <v>358</v>
      </c>
      <c r="C123" s="24"/>
      <c r="D123" s="24"/>
      <c r="E123" s="24"/>
      <c r="F123" s="24"/>
      <c r="G123" s="24" t="s">
        <v>513</v>
      </c>
      <c r="H123" s="25">
        <v>42167.669444444444</v>
      </c>
      <c r="I123" s="29"/>
      <c r="J123" s="24"/>
      <c r="K123" s="24" t="s">
        <v>608</v>
      </c>
      <c r="L123" s="52" t="s">
        <v>1548</v>
      </c>
      <c r="M123" s="24" t="s">
        <v>1537</v>
      </c>
      <c r="N123" s="24" t="s">
        <v>1707</v>
      </c>
      <c r="O123" s="24"/>
      <c r="P123" s="25"/>
      <c r="Q123" s="25"/>
      <c r="R123" s="25"/>
      <c r="S123" s="25"/>
      <c r="T123" s="25"/>
      <c r="U123" s="25"/>
      <c r="V123" s="29"/>
    </row>
    <row r="124" spans="1:22" ht="22.5" x14ac:dyDescent="0.25">
      <c r="A124" s="23" t="s">
        <v>847</v>
      </c>
      <c r="B124" s="23" t="s">
        <v>848</v>
      </c>
      <c r="C124" s="24"/>
      <c r="D124" s="24"/>
      <c r="E124" s="24"/>
      <c r="F124" s="24"/>
      <c r="G124" s="24" t="s">
        <v>189</v>
      </c>
      <c r="H124" s="25">
        <v>42170.706944444442</v>
      </c>
      <c r="I124" s="29"/>
      <c r="J124" s="24"/>
      <c r="K124" s="24" t="s">
        <v>574</v>
      </c>
      <c r="L124" s="24"/>
      <c r="M124" s="24"/>
      <c r="N124" s="52" t="s">
        <v>2182</v>
      </c>
      <c r="O124" s="24"/>
      <c r="P124" s="25"/>
      <c r="Q124" s="25"/>
      <c r="R124" s="25"/>
      <c r="S124" s="25"/>
      <c r="T124" s="25"/>
      <c r="U124" s="25"/>
      <c r="V124" s="29"/>
    </row>
    <row r="125" spans="1:22" ht="30" x14ac:dyDescent="0.25">
      <c r="A125" s="23" t="s">
        <v>849</v>
      </c>
      <c r="B125" s="23" t="s">
        <v>358</v>
      </c>
      <c r="C125" s="24"/>
      <c r="D125" s="24"/>
      <c r="E125" s="24"/>
      <c r="F125" s="24"/>
      <c r="G125" s="24" t="s">
        <v>189</v>
      </c>
      <c r="H125" s="25">
        <v>42170.726388888892</v>
      </c>
      <c r="I125" s="29"/>
      <c r="J125" s="24"/>
      <c r="K125" s="24" t="s">
        <v>850</v>
      </c>
      <c r="L125" s="52" t="s">
        <v>1579</v>
      </c>
      <c r="M125" s="24" t="s">
        <v>1537</v>
      </c>
      <c r="N125" s="24" t="s">
        <v>1707</v>
      </c>
      <c r="O125" s="24" t="s">
        <v>1710</v>
      </c>
      <c r="P125" s="25"/>
      <c r="Q125" s="25"/>
      <c r="R125" s="25"/>
      <c r="S125" s="25"/>
      <c r="T125" s="25"/>
      <c r="U125" s="25"/>
      <c r="V125" s="29"/>
    </row>
    <row r="126" spans="1:22" ht="30" x14ac:dyDescent="0.25">
      <c r="A126" s="23" t="s">
        <v>851</v>
      </c>
      <c r="B126" s="23" t="s">
        <v>386</v>
      </c>
      <c r="C126" s="24"/>
      <c r="D126" s="24"/>
      <c r="E126" s="24"/>
      <c r="F126" s="24"/>
      <c r="G126" s="24" t="s">
        <v>189</v>
      </c>
      <c r="H126" s="25">
        <v>42171.595833333333</v>
      </c>
      <c r="I126" s="29"/>
      <c r="J126" s="24"/>
      <c r="K126" s="24" t="s">
        <v>653</v>
      </c>
      <c r="L126" s="52" t="s">
        <v>1555</v>
      </c>
      <c r="M126" s="24" t="s">
        <v>1537</v>
      </c>
      <c r="N126" s="24" t="s">
        <v>1707</v>
      </c>
      <c r="O126" s="24" t="s">
        <v>2190</v>
      </c>
      <c r="P126" s="25"/>
      <c r="Q126" s="25"/>
      <c r="R126" s="25"/>
      <c r="S126" s="25"/>
      <c r="T126" s="25"/>
      <c r="U126" s="25"/>
      <c r="V126" s="29"/>
    </row>
    <row r="127" spans="1:22" ht="30" x14ac:dyDescent="0.25">
      <c r="A127" s="23" t="s">
        <v>852</v>
      </c>
      <c r="B127" s="23" t="s">
        <v>853</v>
      </c>
      <c r="C127" s="24"/>
      <c r="D127" s="24"/>
      <c r="E127" s="24"/>
      <c r="F127" s="24"/>
      <c r="G127" s="24" t="s">
        <v>189</v>
      </c>
      <c r="H127" s="25">
        <v>42171.667361111111</v>
      </c>
      <c r="I127" s="29"/>
      <c r="J127" s="24"/>
      <c r="K127" s="24" t="s">
        <v>854</v>
      </c>
      <c r="L127" s="52" t="s">
        <v>1580</v>
      </c>
      <c r="M127" s="24" t="s">
        <v>1537</v>
      </c>
      <c r="N127" s="24" t="s">
        <v>1707</v>
      </c>
      <c r="O127" s="24" t="s">
        <v>1710</v>
      </c>
      <c r="P127" s="25"/>
      <c r="Q127" s="25"/>
      <c r="R127" s="25"/>
      <c r="S127" s="25"/>
      <c r="T127" s="25"/>
      <c r="U127" s="25"/>
      <c r="V127" s="29"/>
    </row>
    <row r="128" spans="1:22" x14ac:dyDescent="0.25">
      <c r="A128" s="23" t="s">
        <v>855</v>
      </c>
      <c r="B128" s="23" t="s">
        <v>856</v>
      </c>
      <c r="C128" s="24"/>
      <c r="D128" s="24"/>
      <c r="E128" s="24"/>
      <c r="F128" s="24"/>
      <c r="G128" s="24" t="s">
        <v>189</v>
      </c>
      <c r="H128" s="25">
        <v>42171.676388888889</v>
      </c>
      <c r="I128" s="29"/>
      <c r="J128" s="24"/>
      <c r="K128" s="24" t="s">
        <v>854</v>
      </c>
      <c r="L128" s="24"/>
      <c r="M128" s="24"/>
      <c r="N128" s="52" t="s">
        <v>2182</v>
      </c>
      <c r="O128" s="24"/>
      <c r="P128" s="25"/>
      <c r="Q128" s="25"/>
      <c r="R128" s="25"/>
      <c r="S128" s="25"/>
      <c r="T128" s="25"/>
      <c r="U128" s="25"/>
      <c r="V128" s="29"/>
    </row>
    <row r="129" spans="1:22" ht="22.5" x14ac:dyDescent="0.25">
      <c r="A129" s="23" t="s">
        <v>857</v>
      </c>
      <c r="B129" s="23" t="s">
        <v>858</v>
      </c>
      <c r="C129" s="24" t="s">
        <v>572</v>
      </c>
      <c r="D129" s="24" t="s">
        <v>809</v>
      </c>
      <c r="E129" s="24" t="s">
        <v>511</v>
      </c>
      <c r="F129" s="24" t="s">
        <v>512</v>
      </c>
      <c r="G129" s="24" t="s">
        <v>810</v>
      </c>
      <c r="H129" s="25">
        <v>42171.756249999999</v>
      </c>
      <c r="I129" s="29" t="s">
        <v>523</v>
      </c>
      <c r="J129" s="24" t="s">
        <v>524</v>
      </c>
      <c r="K129" s="24" t="s">
        <v>574</v>
      </c>
      <c r="L129" s="24"/>
      <c r="M129" s="24"/>
      <c r="N129" s="52" t="s">
        <v>2182</v>
      </c>
      <c r="O129" s="24"/>
      <c r="P129" s="25"/>
      <c r="Q129" s="25"/>
      <c r="R129" s="25"/>
      <c r="S129" s="25"/>
      <c r="T129" s="25"/>
      <c r="U129" s="25">
        <v>42285</v>
      </c>
      <c r="V129" s="29" t="s">
        <v>859</v>
      </c>
    </row>
    <row r="130" spans="1:22" ht="30" x14ac:dyDescent="0.25">
      <c r="A130" s="23" t="s">
        <v>860</v>
      </c>
      <c r="B130" s="23" t="s">
        <v>861</v>
      </c>
      <c r="C130" s="24"/>
      <c r="D130" s="24"/>
      <c r="E130" s="24"/>
      <c r="F130" s="24"/>
      <c r="G130" s="24" t="s">
        <v>188</v>
      </c>
      <c r="H130" s="25">
        <v>42172.822916666664</v>
      </c>
      <c r="I130" s="29"/>
      <c r="J130" s="24"/>
      <c r="K130" s="24" t="s">
        <v>838</v>
      </c>
      <c r="L130" s="52" t="s">
        <v>1577</v>
      </c>
      <c r="M130" s="24" t="s">
        <v>1537</v>
      </c>
      <c r="N130" s="24" t="s">
        <v>1707</v>
      </c>
      <c r="O130" s="24" t="s">
        <v>1710</v>
      </c>
      <c r="P130" s="25"/>
      <c r="Q130" s="25"/>
      <c r="R130" s="25"/>
      <c r="S130" s="25"/>
      <c r="T130" s="25"/>
      <c r="U130" s="25"/>
      <c r="V130" s="29"/>
    </row>
    <row r="131" spans="1:22" ht="30" x14ac:dyDescent="0.25">
      <c r="A131" s="23" t="s">
        <v>862</v>
      </c>
      <c r="B131" s="23" t="s">
        <v>863</v>
      </c>
      <c r="C131" s="24"/>
      <c r="D131" s="24"/>
      <c r="E131" s="24"/>
      <c r="F131" s="24"/>
      <c r="G131" s="24" t="s">
        <v>513</v>
      </c>
      <c r="H131" s="25">
        <v>42173.709027777775</v>
      </c>
      <c r="I131" s="29"/>
      <c r="J131" s="24"/>
      <c r="K131" s="24" t="s">
        <v>801</v>
      </c>
      <c r="L131" s="52" t="s">
        <v>1581</v>
      </c>
      <c r="M131" s="24" t="s">
        <v>1537</v>
      </c>
      <c r="N131" s="24" t="s">
        <v>1707</v>
      </c>
      <c r="O131" s="24" t="s">
        <v>1710</v>
      </c>
      <c r="P131" s="25"/>
      <c r="Q131" s="25"/>
      <c r="R131" s="25"/>
      <c r="S131" s="25"/>
      <c r="T131" s="25"/>
      <c r="U131" s="25"/>
      <c r="V131" s="29" t="s">
        <v>1717</v>
      </c>
    </row>
    <row r="132" spans="1:22" ht="30" x14ac:dyDescent="0.25">
      <c r="A132" s="23" t="s">
        <v>864</v>
      </c>
      <c r="B132" s="23" t="s">
        <v>865</v>
      </c>
      <c r="C132" s="24"/>
      <c r="D132" s="24"/>
      <c r="E132" s="24"/>
      <c r="F132" s="24"/>
      <c r="G132" s="24" t="s">
        <v>189</v>
      </c>
      <c r="H132" s="25">
        <v>42178.475694444445</v>
      </c>
      <c r="I132" s="29"/>
      <c r="J132" s="24"/>
      <c r="K132" s="24" t="s">
        <v>866</v>
      </c>
      <c r="L132" s="52" t="s">
        <v>1582</v>
      </c>
      <c r="M132" s="24" t="s">
        <v>1537</v>
      </c>
      <c r="N132" s="24" t="s">
        <v>1707</v>
      </c>
      <c r="O132" s="24" t="s">
        <v>1710</v>
      </c>
      <c r="P132" s="25"/>
      <c r="Q132" s="25"/>
      <c r="R132" s="25"/>
      <c r="S132" s="25"/>
      <c r="T132" s="25"/>
      <c r="U132" s="25"/>
      <c r="V132" s="29" t="s">
        <v>1713</v>
      </c>
    </row>
    <row r="133" spans="1:22" x14ac:dyDescent="0.25">
      <c r="A133" s="23" t="s">
        <v>867</v>
      </c>
      <c r="B133" s="23" t="s">
        <v>868</v>
      </c>
      <c r="C133" s="24"/>
      <c r="D133" s="24"/>
      <c r="E133" s="24"/>
      <c r="F133" s="24"/>
      <c r="G133" s="24" t="s">
        <v>188</v>
      </c>
      <c r="H133" s="25">
        <v>42178.823611111111</v>
      </c>
      <c r="I133" s="29"/>
      <c r="J133" s="24"/>
      <c r="K133" s="24" t="s">
        <v>869</v>
      </c>
      <c r="L133" s="52" t="s">
        <v>1583</v>
      </c>
      <c r="M133" s="24" t="s">
        <v>1537</v>
      </c>
      <c r="N133" s="52" t="s">
        <v>2182</v>
      </c>
      <c r="O133" s="24"/>
      <c r="P133" s="25"/>
      <c r="Q133" s="25"/>
      <c r="R133" s="25"/>
      <c r="S133" s="25"/>
      <c r="T133" s="25"/>
      <c r="U133" s="25"/>
      <c r="V133" s="29"/>
    </row>
    <row r="134" spans="1:22" x14ac:dyDescent="0.25">
      <c r="A134" s="23" t="s">
        <v>870</v>
      </c>
      <c r="B134" s="23" t="s">
        <v>871</v>
      </c>
      <c r="C134" s="24"/>
      <c r="D134" s="24"/>
      <c r="E134" s="24"/>
      <c r="F134" s="24"/>
      <c r="G134" s="24" t="s">
        <v>188</v>
      </c>
      <c r="H134" s="25">
        <v>42178.823611111111</v>
      </c>
      <c r="I134" s="29"/>
      <c r="J134" s="24"/>
      <c r="K134" s="24" t="s">
        <v>869</v>
      </c>
      <c r="L134" s="52" t="s">
        <v>1583</v>
      </c>
      <c r="M134" s="24" t="s">
        <v>1537</v>
      </c>
      <c r="N134" s="52" t="s">
        <v>2182</v>
      </c>
      <c r="O134" s="24"/>
      <c r="P134" s="25"/>
      <c r="Q134" s="25"/>
      <c r="R134" s="25"/>
      <c r="S134" s="25"/>
      <c r="T134" s="25"/>
      <c r="U134" s="25"/>
      <c r="V134" s="29"/>
    </row>
    <row r="135" spans="1:22" x14ac:dyDescent="0.25">
      <c r="A135" s="23" t="s">
        <v>872</v>
      </c>
      <c r="B135" s="23" t="s">
        <v>873</v>
      </c>
      <c r="C135" s="24"/>
      <c r="D135" s="24"/>
      <c r="E135" s="24"/>
      <c r="F135" s="24"/>
      <c r="G135" s="24" t="s">
        <v>189</v>
      </c>
      <c r="H135" s="25">
        <v>42179.587500000001</v>
      </c>
      <c r="I135" s="29"/>
      <c r="J135" s="24"/>
      <c r="K135" s="24" t="s">
        <v>574</v>
      </c>
      <c r="L135" s="24"/>
      <c r="M135" s="24"/>
      <c r="N135" s="52" t="s">
        <v>2182</v>
      </c>
      <c r="O135" s="24"/>
      <c r="P135" s="25"/>
      <c r="Q135" s="25"/>
      <c r="R135" s="25"/>
      <c r="S135" s="25"/>
      <c r="T135" s="25"/>
      <c r="U135" s="25"/>
      <c r="V135" s="29"/>
    </row>
    <row r="136" spans="1:22" ht="30" x14ac:dyDescent="0.25">
      <c r="A136" s="23" t="s">
        <v>874</v>
      </c>
      <c r="B136" s="23" t="s">
        <v>358</v>
      </c>
      <c r="C136" s="24"/>
      <c r="D136" s="24"/>
      <c r="E136" s="24"/>
      <c r="F136" s="24"/>
      <c r="G136" s="24" t="s">
        <v>513</v>
      </c>
      <c r="H136" s="25">
        <v>42180.467361111114</v>
      </c>
      <c r="I136" s="29"/>
      <c r="J136" s="24"/>
      <c r="K136" s="24" t="s">
        <v>875</v>
      </c>
      <c r="L136" s="52" t="s">
        <v>1584</v>
      </c>
      <c r="M136" s="24" t="s">
        <v>1537</v>
      </c>
      <c r="N136" s="24" t="s">
        <v>1728</v>
      </c>
      <c r="O136" s="24"/>
      <c r="P136" s="25"/>
      <c r="Q136" s="25"/>
      <c r="R136" s="25"/>
      <c r="S136" s="25"/>
      <c r="T136" s="25"/>
      <c r="U136" s="25"/>
      <c r="V136" s="29" t="s">
        <v>1487</v>
      </c>
    </row>
    <row r="137" spans="1:22" ht="30" x14ac:dyDescent="0.25">
      <c r="A137" s="23" t="s">
        <v>876</v>
      </c>
      <c r="B137" s="23" t="s">
        <v>358</v>
      </c>
      <c r="C137" s="24"/>
      <c r="D137" s="24"/>
      <c r="E137" s="24"/>
      <c r="F137" s="24"/>
      <c r="G137" s="24" t="s">
        <v>513</v>
      </c>
      <c r="H137" s="25">
        <v>42180.467361111114</v>
      </c>
      <c r="I137" s="29"/>
      <c r="J137" s="24"/>
      <c r="K137" s="24" t="s">
        <v>875</v>
      </c>
      <c r="L137" s="52" t="s">
        <v>1584</v>
      </c>
      <c r="M137" s="24" t="s">
        <v>1537</v>
      </c>
      <c r="N137" s="24" t="s">
        <v>1728</v>
      </c>
      <c r="O137" s="24"/>
      <c r="P137" s="25"/>
      <c r="Q137" s="25"/>
      <c r="R137" s="25"/>
      <c r="S137" s="25"/>
      <c r="T137" s="25"/>
      <c r="U137" s="25"/>
      <c r="V137" s="29" t="s">
        <v>1487</v>
      </c>
    </row>
    <row r="138" spans="1:22" x14ac:dyDescent="0.25">
      <c r="A138" s="22" t="s">
        <v>877</v>
      </c>
      <c r="B138" s="23" t="s">
        <v>878</v>
      </c>
      <c r="C138" s="24" t="s">
        <v>649</v>
      </c>
      <c r="D138" s="24" t="s">
        <v>649</v>
      </c>
      <c r="E138" s="24" t="s">
        <v>261</v>
      </c>
      <c r="F138" s="24" t="s">
        <v>180</v>
      </c>
      <c r="G138" s="24" t="s">
        <v>189</v>
      </c>
      <c r="H138" s="25">
        <v>42180.828472222223</v>
      </c>
      <c r="I138" s="29" t="s">
        <v>242</v>
      </c>
      <c r="J138" s="24" t="s">
        <v>501</v>
      </c>
      <c r="K138" s="24" t="s">
        <v>650</v>
      </c>
      <c r="L138" s="24"/>
      <c r="M138" s="24"/>
      <c r="N138" s="52" t="s">
        <v>2182</v>
      </c>
      <c r="O138" s="24"/>
      <c r="P138" s="25">
        <v>42184</v>
      </c>
      <c r="Q138" s="25"/>
      <c r="R138" s="25"/>
      <c r="S138" s="25"/>
      <c r="T138" s="25"/>
      <c r="U138" s="25">
        <v>42250</v>
      </c>
      <c r="V138" s="29" t="s">
        <v>879</v>
      </c>
    </row>
    <row r="139" spans="1:22" ht="30" x14ac:dyDescent="0.25">
      <c r="A139" s="23" t="s">
        <v>880</v>
      </c>
      <c r="B139" s="23" t="s">
        <v>358</v>
      </c>
      <c r="C139" s="24"/>
      <c r="D139" s="24"/>
      <c r="E139" s="24"/>
      <c r="F139" s="24"/>
      <c r="G139" s="24" t="s">
        <v>810</v>
      </c>
      <c r="H139" s="25">
        <v>42181.509027777778</v>
      </c>
      <c r="I139" s="29"/>
      <c r="J139" s="24"/>
      <c r="K139" s="24" t="s">
        <v>881</v>
      </c>
      <c r="L139" s="52" t="s">
        <v>1585</v>
      </c>
      <c r="M139" s="24" t="s">
        <v>1537</v>
      </c>
      <c r="N139" s="24" t="s">
        <v>1707</v>
      </c>
      <c r="O139" s="24" t="s">
        <v>1710</v>
      </c>
      <c r="P139" s="25"/>
      <c r="Q139" s="25"/>
      <c r="R139" s="25"/>
      <c r="S139" s="25"/>
      <c r="T139" s="25"/>
      <c r="U139" s="25"/>
      <c r="V139" s="29"/>
    </row>
    <row r="140" spans="1:22" ht="30" x14ac:dyDescent="0.25">
      <c r="A140" s="23" t="s">
        <v>882</v>
      </c>
      <c r="B140" s="23" t="s">
        <v>883</v>
      </c>
      <c r="C140" s="24"/>
      <c r="D140" s="24"/>
      <c r="E140" s="24"/>
      <c r="F140" s="24"/>
      <c r="G140" s="24" t="s">
        <v>189</v>
      </c>
      <c r="H140" s="25">
        <v>42184.753472222219</v>
      </c>
      <c r="I140" s="29"/>
      <c r="J140" s="24"/>
      <c r="K140" s="24" t="s">
        <v>838</v>
      </c>
      <c r="L140" s="52" t="s">
        <v>1577</v>
      </c>
      <c r="M140" s="24" t="s">
        <v>1537</v>
      </c>
      <c r="N140" s="24" t="s">
        <v>1707</v>
      </c>
      <c r="O140" s="24" t="s">
        <v>1710</v>
      </c>
      <c r="P140" s="25"/>
      <c r="Q140" s="25"/>
      <c r="R140" s="25"/>
      <c r="S140" s="25"/>
      <c r="T140" s="25"/>
      <c r="U140" s="25"/>
      <c r="V140" s="29"/>
    </row>
    <row r="141" spans="1:22" ht="33.75" x14ac:dyDescent="0.25">
      <c r="A141" s="23" t="s">
        <v>884</v>
      </c>
      <c r="B141" s="23" t="s">
        <v>885</v>
      </c>
      <c r="C141" s="24"/>
      <c r="D141" s="24"/>
      <c r="E141" s="24"/>
      <c r="F141" s="24"/>
      <c r="G141" s="24" t="s">
        <v>189</v>
      </c>
      <c r="H141" s="25">
        <v>42185.440972222219</v>
      </c>
      <c r="I141" s="29"/>
      <c r="J141" s="24"/>
      <c r="K141" s="24" t="s">
        <v>594</v>
      </c>
      <c r="L141" s="52" t="s">
        <v>1549</v>
      </c>
      <c r="M141" s="24" t="s">
        <v>1537</v>
      </c>
      <c r="N141" s="24" t="s">
        <v>1707</v>
      </c>
      <c r="O141" s="24"/>
      <c r="P141" s="25"/>
      <c r="Q141" s="25"/>
      <c r="R141" s="25"/>
      <c r="S141" s="25"/>
      <c r="T141" s="25"/>
      <c r="U141" s="25">
        <v>42383</v>
      </c>
      <c r="V141" s="29"/>
    </row>
    <row r="142" spans="1:22" ht="30" x14ac:dyDescent="0.25">
      <c r="A142" s="23" t="s">
        <v>886</v>
      </c>
      <c r="B142" s="23" t="s">
        <v>887</v>
      </c>
      <c r="C142" s="24"/>
      <c r="D142" s="24"/>
      <c r="E142" s="24"/>
      <c r="F142" s="24"/>
      <c r="G142" s="24" t="s">
        <v>810</v>
      </c>
      <c r="H142" s="25">
        <v>42185.714583333334</v>
      </c>
      <c r="I142" s="29"/>
      <c r="J142" s="24"/>
      <c r="K142" s="24" t="s">
        <v>694</v>
      </c>
      <c r="L142" s="52" t="s">
        <v>1586</v>
      </c>
      <c r="M142" s="24" t="s">
        <v>1537</v>
      </c>
      <c r="N142" s="24" t="s">
        <v>1707</v>
      </c>
      <c r="O142" s="24" t="s">
        <v>1710</v>
      </c>
      <c r="P142" s="25"/>
      <c r="Q142" s="25"/>
      <c r="R142" s="25"/>
      <c r="S142" s="25"/>
      <c r="T142" s="25"/>
      <c r="U142" s="25"/>
      <c r="V142" s="29"/>
    </row>
    <row r="143" spans="1:22" ht="30" x14ac:dyDescent="0.25">
      <c r="A143" s="23" t="s">
        <v>888</v>
      </c>
      <c r="B143" s="23" t="s">
        <v>889</v>
      </c>
      <c r="C143" s="24"/>
      <c r="D143" s="24"/>
      <c r="E143" s="24"/>
      <c r="F143" s="24"/>
      <c r="G143" s="24" t="s">
        <v>513</v>
      </c>
      <c r="H143" s="25">
        <v>42185.738888888889</v>
      </c>
      <c r="I143" s="29"/>
      <c r="J143" s="24"/>
      <c r="K143" s="24" t="s">
        <v>569</v>
      </c>
      <c r="L143" s="52" t="s">
        <v>1544</v>
      </c>
      <c r="M143" s="24" t="s">
        <v>1537</v>
      </c>
      <c r="N143" s="24" t="s">
        <v>1707</v>
      </c>
      <c r="O143" s="24"/>
      <c r="P143" s="25"/>
      <c r="Q143" s="25"/>
      <c r="R143" s="25"/>
      <c r="S143" s="25"/>
      <c r="T143" s="25"/>
      <c r="U143" s="25"/>
      <c r="V143" s="29"/>
    </row>
    <row r="144" spans="1:22" ht="30" x14ac:dyDescent="0.25">
      <c r="A144" s="23" t="s">
        <v>890</v>
      </c>
      <c r="B144" s="23" t="s">
        <v>358</v>
      </c>
      <c r="C144" s="24"/>
      <c r="D144" s="24"/>
      <c r="E144" s="24"/>
      <c r="F144" s="24"/>
      <c r="G144" s="24" t="s">
        <v>513</v>
      </c>
      <c r="H144" s="25">
        <v>42186.584722222222</v>
      </c>
      <c r="I144" s="29"/>
      <c r="J144" s="24"/>
      <c r="K144" s="24" t="s">
        <v>891</v>
      </c>
      <c r="L144" s="52" t="s">
        <v>1587</v>
      </c>
      <c r="M144" s="24" t="s">
        <v>1537</v>
      </c>
      <c r="N144" s="24" t="s">
        <v>1707</v>
      </c>
      <c r="O144" s="24" t="s">
        <v>1710</v>
      </c>
      <c r="P144" s="25"/>
      <c r="Q144" s="25"/>
      <c r="R144" s="25"/>
      <c r="S144" s="25"/>
      <c r="T144" s="25"/>
      <c r="U144" s="25"/>
      <c r="V144" s="29" t="s">
        <v>1718</v>
      </c>
    </row>
    <row r="145" spans="1:22" ht="30" x14ac:dyDescent="0.25">
      <c r="A145" s="23" t="s">
        <v>892</v>
      </c>
      <c r="B145" s="23" t="s">
        <v>358</v>
      </c>
      <c r="C145" s="24"/>
      <c r="D145" s="24"/>
      <c r="E145" s="24"/>
      <c r="F145" s="24"/>
      <c r="G145" s="24" t="s">
        <v>513</v>
      </c>
      <c r="H145" s="25">
        <v>42186.584722222222</v>
      </c>
      <c r="I145" s="29"/>
      <c r="J145" s="24"/>
      <c r="K145" s="24" t="s">
        <v>891</v>
      </c>
      <c r="L145" s="52" t="s">
        <v>1587</v>
      </c>
      <c r="M145" s="24" t="s">
        <v>1537</v>
      </c>
      <c r="N145" s="24" t="s">
        <v>1707</v>
      </c>
      <c r="O145" s="24" t="s">
        <v>1710</v>
      </c>
      <c r="P145" s="25"/>
      <c r="Q145" s="25"/>
      <c r="R145" s="25"/>
      <c r="S145" s="25"/>
      <c r="T145" s="25"/>
      <c r="U145" s="25"/>
      <c r="V145" s="29" t="s">
        <v>2445</v>
      </c>
    </row>
    <row r="146" spans="1:22" ht="22.5" x14ac:dyDescent="0.25">
      <c r="A146" s="28" t="s">
        <v>893</v>
      </c>
      <c r="B146" s="28" t="s">
        <v>894</v>
      </c>
      <c r="C146" s="53"/>
      <c r="D146" s="53"/>
      <c r="E146" s="53" t="s">
        <v>511</v>
      </c>
      <c r="F146" s="53" t="s">
        <v>512</v>
      </c>
      <c r="G146" s="53" t="s">
        <v>513</v>
      </c>
      <c r="H146" s="25">
        <v>42186.645833333336</v>
      </c>
      <c r="I146" s="29" t="s">
        <v>895</v>
      </c>
      <c r="J146" s="24"/>
      <c r="K146" s="24" t="s">
        <v>691</v>
      </c>
      <c r="L146" s="24"/>
      <c r="M146" s="24"/>
      <c r="N146" s="24" t="s">
        <v>1728</v>
      </c>
      <c r="O146" s="24"/>
      <c r="P146" s="25"/>
      <c r="Q146" s="25"/>
      <c r="R146" s="25"/>
      <c r="S146" s="25"/>
      <c r="T146" s="25"/>
      <c r="U146" s="25"/>
      <c r="V146" s="29" t="s">
        <v>1741</v>
      </c>
    </row>
    <row r="147" spans="1:22" ht="30" x14ac:dyDescent="0.25">
      <c r="A147" s="23" t="s">
        <v>896</v>
      </c>
      <c r="B147" s="23" t="s">
        <v>358</v>
      </c>
      <c r="C147" s="24"/>
      <c r="D147" s="24"/>
      <c r="E147" s="24"/>
      <c r="F147" s="24"/>
      <c r="G147" s="24" t="s">
        <v>513</v>
      </c>
      <c r="H147" s="25">
        <v>42187.531944444447</v>
      </c>
      <c r="I147" s="29"/>
      <c r="J147" s="24"/>
      <c r="K147" s="24" t="s">
        <v>875</v>
      </c>
      <c r="L147" s="52" t="s">
        <v>1584</v>
      </c>
      <c r="M147" s="24" t="s">
        <v>1537</v>
      </c>
      <c r="N147" s="24" t="s">
        <v>1707</v>
      </c>
      <c r="O147" s="24"/>
      <c r="P147" s="25"/>
      <c r="Q147" s="25"/>
      <c r="R147" s="25"/>
      <c r="S147" s="25"/>
      <c r="T147" s="25"/>
      <c r="U147" s="25"/>
      <c r="V147" s="29"/>
    </row>
    <row r="148" spans="1:22" ht="30" x14ac:dyDescent="0.25">
      <c r="A148" s="23" t="s">
        <v>897</v>
      </c>
      <c r="B148" s="23" t="s">
        <v>898</v>
      </c>
      <c r="C148" s="24"/>
      <c r="D148" s="24"/>
      <c r="E148" s="24"/>
      <c r="F148" s="24"/>
      <c r="G148" s="24" t="s">
        <v>188</v>
      </c>
      <c r="H148" s="25">
        <v>42188.556250000001</v>
      </c>
      <c r="I148" s="29"/>
      <c r="J148" s="24"/>
      <c r="K148" s="24" t="s">
        <v>650</v>
      </c>
      <c r="L148" s="52" t="s">
        <v>1564</v>
      </c>
      <c r="M148" s="24" t="s">
        <v>1537</v>
      </c>
      <c r="N148" s="24" t="s">
        <v>1707</v>
      </c>
      <c r="O148" s="24" t="s">
        <v>1721</v>
      </c>
      <c r="P148" s="25"/>
      <c r="Q148" s="25"/>
      <c r="R148" s="25"/>
      <c r="S148" s="25"/>
      <c r="T148" s="25"/>
      <c r="U148" s="25"/>
      <c r="V148" s="29"/>
    </row>
    <row r="149" spans="1:22" ht="30" x14ac:dyDescent="0.25">
      <c r="A149" s="23" t="s">
        <v>899</v>
      </c>
      <c r="B149" s="23" t="s">
        <v>900</v>
      </c>
      <c r="C149" s="24"/>
      <c r="D149" s="24"/>
      <c r="E149" s="24"/>
      <c r="F149" s="24"/>
      <c r="G149" s="24" t="s">
        <v>189</v>
      </c>
      <c r="H149" s="25">
        <v>42188.664583333331</v>
      </c>
      <c r="I149" s="29"/>
      <c r="J149" s="24"/>
      <c r="K149" s="24" t="s">
        <v>694</v>
      </c>
      <c r="L149" s="52" t="s">
        <v>1586</v>
      </c>
      <c r="M149" s="24" t="s">
        <v>1537</v>
      </c>
      <c r="N149" s="24" t="s">
        <v>1707</v>
      </c>
      <c r="O149" s="24" t="s">
        <v>1710</v>
      </c>
      <c r="P149" s="25"/>
      <c r="Q149" s="25"/>
      <c r="R149" s="25"/>
      <c r="S149" s="25"/>
      <c r="T149" s="25"/>
      <c r="U149" s="25"/>
      <c r="V149" s="29"/>
    </row>
    <row r="150" spans="1:22" ht="30" x14ac:dyDescent="0.25">
      <c r="A150" s="23" t="s">
        <v>901</v>
      </c>
      <c r="B150" s="23" t="s">
        <v>358</v>
      </c>
      <c r="C150" s="24"/>
      <c r="D150" s="24"/>
      <c r="E150" s="24"/>
      <c r="F150" s="24"/>
      <c r="G150" s="24" t="s">
        <v>513</v>
      </c>
      <c r="H150" s="25">
        <v>42191.456944444442</v>
      </c>
      <c r="I150" s="29"/>
      <c r="J150" s="24"/>
      <c r="K150" s="24" t="s">
        <v>875</v>
      </c>
      <c r="L150" s="52" t="s">
        <v>1584</v>
      </c>
      <c r="M150" s="24" t="s">
        <v>1537</v>
      </c>
      <c r="N150" s="24" t="s">
        <v>1707</v>
      </c>
      <c r="O150" s="24"/>
      <c r="P150" s="25"/>
      <c r="Q150" s="25"/>
      <c r="R150" s="25"/>
      <c r="S150" s="25"/>
      <c r="T150" s="25"/>
      <c r="U150" s="25"/>
      <c r="V150" s="29"/>
    </row>
    <row r="151" spans="1:22" ht="30" x14ac:dyDescent="0.25">
      <c r="A151" s="23" t="s">
        <v>902</v>
      </c>
      <c r="B151" s="23" t="s">
        <v>358</v>
      </c>
      <c r="C151" s="24"/>
      <c r="D151" s="24"/>
      <c r="E151" s="24"/>
      <c r="F151" s="24"/>
      <c r="G151" s="24" t="s">
        <v>513</v>
      </c>
      <c r="H151" s="25">
        <v>42191.689583333333</v>
      </c>
      <c r="I151" s="29"/>
      <c r="J151" s="24"/>
      <c r="K151" s="24" t="s">
        <v>903</v>
      </c>
      <c r="L151" s="52" t="s">
        <v>1588</v>
      </c>
      <c r="M151" s="24" t="s">
        <v>1537</v>
      </c>
      <c r="N151" s="24" t="s">
        <v>1707</v>
      </c>
      <c r="O151" s="24" t="s">
        <v>1710</v>
      </c>
      <c r="P151" s="25"/>
      <c r="Q151" s="25"/>
      <c r="R151" s="25"/>
      <c r="S151" s="25"/>
      <c r="T151" s="25"/>
      <c r="U151" s="25"/>
      <c r="V151" s="29"/>
    </row>
    <row r="152" spans="1:22" ht="30" x14ac:dyDescent="0.25">
      <c r="A152" s="23" t="s">
        <v>904</v>
      </c>
      <c r="B152" s="23" t="s">
        <v>905</v>
      </c>
      <c r="C152" s="24"/>
      <c r="D152" s="24"/>
      <c r="E152" s="24"/>
      <c r="F152" s="24"/>
      <c r="G152" s="24" t="s">
        <v>189</v>
      </c>
      <c r="H152" s="25">
        <v>42191.793749999997</v>
      </c>
      <c r="I152" s="29"/>
      <c r="J152" s="24"/>
      <c r="K152" s="24" t="s">
        <v>650</v>
      </c>
      <c r="L152" s="52" t="s">
        <v>1564</v>
      </c>
      <c r="M152" s="24" t="s">
        <v>1537</v>
      </c>
      <c r="N152" s="24" t="s">
        <v>1707</v>
      </c>
      <c r="O152" s="24" t="s">
        <v>1721</v>
      </c>
      <c r="P152" s="25"/>
      <c r="Q152" s="25"/>
      <c r="R152" s="25"/>
      <c r="S152" s="25"/>
      <c r="T152" s="25"/>
      <c r="U152" s="25"/>
      <c r="V152" s="29"/>
    </row>
    <row r="153" spans="1:22" ht="45" x14ac:dyDescent="0.25">
      <c r="A153" s="23" t="s">
        <v>906</v>
      </c>
      <c r="B153" s="23" t="s">
        <v>641</v>
      </c>
      <c r="C153" s="24"/>
      <c r="D153" s="24"/>
      <c r="E153" s="24"/>
      <c r="F153" s="24"/>
      <c r="G153" s="24" t="s">
        <v>189</v>
      </c>
      <c r="H153" s="25">
        <v>42192.47152777778</v>
      </c>
      <c r="I153" s="29"/>
      <c r="J153" s="24"/>
      <c r="K153" s="24" t="s">
        <v>594</v>
      </c>
      <c r="L153" s="52" t="s">
        <v>1549</v>
      </c>
      <c r="M153" s="24" t="s">
        <v>1560</v>
      </c>
      <c r="N153" s="24" t="s">
        <v>1707</v>
      </c>
      <c r="O153" s="24"/>
      <c r="P153" s="25"/>
      <c r="Q153" s="25"/>
      <c r="R153" s="25"/>
      <c r="S153" s="25"/>
      <c r="T153" s="25"/>
      <c r="U153" s="25">
        <v>42383</v>
      </c>
      <c r="V153" s="29"/>
    </row>
    <row r="154" spans="1:22" ht="45" x14ac:dyDescent="0.25">
      <c r="A154" s="23" t="s">
        <v>907</v>
      </c>
      <c r="B154" s="23" t="s">
        <v>908</v>
      </c>
      <c r="C154" s="24"/>
      <c r="D154" s="24"/>
      <c r="E154" s="24"/>
      <c r="F154" s="24"/>
      <c r="G154" s="24" t="s">
        <v>513</v>
      </c>
      <c r="H154" s="25">
        <v>42192.53125</v>
      </c>
      <c r="I154" s="29"/>
      <c r="J154" s="24"/>
      <c r="K154" s="24" t="s">
        <v>909</v>
      </c>
      <c r="L154" s="52" t="s">
        <v>1589</v>
      </c>
      <c r="M154" s="24" t="s">
        <v>1560</v>
      </c>
      <c r="N154" s="24" t="s">
        <v>1707</v>
      </c>
      <c r="O154" s="24"/>
      <c r="P154" s="25"/>
      <c r="Q154" s="25"/>
      <c r="R154" s="25"/>
      <c r="S154" s="25"/>
      <c r="T154" s="25"/>
      <c r="U154" s="25"/>
      <c r="V154" s="29"/>
    </row>
    <row r="155" spans="1:22" ht="33.75" x14ac:dyDescent="0.25">
      <c r="A155" s="23" t="s">
        <v>910</v>
      </c>
      <c r="B155" s="23" t="s">
        <v>911</v>
      </c>
      <c r="C155" s="24"/>
      <c r="D155" s="24"/>
      <c r="E155" s="24"/>
      <c r="F155" s="24"/>
      <c r="G155" s="24" t="s">
        <v>513</v>
      </c>
      <c r="H155" s="25">
        <v>42192.688194444447</v>
      </c>
      <c r="I155" s="29"/>
      <c r="J155" s="24"/>
      <c r="K155" s="24" t="s">
        <v>694</v>
      </c>
      <c r="L155" s="52" t="s">
        <v>1586</v>
      </c>
      <c r="M155" s="24" t="s">
        <v>1537</v>
      </c>
      <c r="N155" s="24" t="s">
        <v>1707</v>
      </c>
      <c r="O155" s="24" t="s">
        <v>1710</v>
      </c>
      <c r="P155" s="25"/>
      <c r="Q155" s="25"/>
      <c r="R155" s="25"/>
      <c r="S155" s="25"/>
      <c r="T155" s="25"/>
      <c r="U155" s="25"/>
      <c r="V155" s="29" t="s">
        <v>1720</v>
      </c>
    </row>
    <row r="156" spans="1:22" ht="33.75" x14ac:dyDescent="0.25">
      <c r="A156" s="23" t="s">
        <v>912</v>
      </c>
      <c r="B156" s="23" t="s">
        <v>913</v>
      </c>
      <c r="C156" s="24"/>
      <c r="D156" s="24"/>
      <c r="E156" s="24"/>
      <c r="F156" s="24"/>
      <c r="G156" s="24" t="s">
        <v>513</v>
      </c>
      <c r="H156" s="25">
        <v>42192.688194444447</v>
      </c>
      <c r="I156" s="29"/>
      <c r="J156" s="24"/>
      <c r="K156" s="24" t="s">
        <v>694</v>
      </c>
      <c r="L156" s="52" t="s">
        <v>1586</v>
      </c>
      <c r="M156" s="24" t="s">
        <v>1537</v>
      </c>
      <c r="N156" s="24" t="s">
        <v>1707</v>
      </c>
      <c r="O156" s="24" t="s">
        <v>1710</v>
      </c>
      <c r="P156" s="25"/>
      <c r="Q156" s="25"/>
      <c r="R156" s="25"/>
      <c r="S156" s="25"/>
      <c r="T156" s="25"/>
      <c r="U156" s="25"/>
      <c r="V156" s="29" t="s">
        <v>1720</v>
      </c>
    </row>
    <row r="157" spans="1:22" x14ac:dyDescent="0.25">
      <c r="A157" s="23" t="s">
        <v>914</v>
      </c>
      <c r="B157" s="23" t="s">
        <v>818</v>
      </c>
      <c r="C157" s="24"/>
      <c r="D157" s="24"/>
      <c r="E157" s="24"/>
      <c r="F157" s="24"/>
      <c r="G157" s="24" t="s">
        <v>189</v>
      </c>
      <c r="H157" s="25">
        <v>42192.747916666667</v>
      </c>
      <c r="I157" s="29"/>
      <c r="J157" s="24"/>
      <c r="K157" s="24" t="s">
        <v>819</v>
      </c>
      <c r="L157" s="24"/>
      <c r="M157" s="24"/>
      <c r="N157" s="52" t="s">
        <v>2182</v>
      </c>
      <c r="O157" s="24"/>
      <c r="P157" s="25"/>
      <c r="Q157" s="25"/>
      <c r="R157" s="25"/>
      <c r="S157" s="25"/>
      <c r="T157" s="25"/>
      <c r="U157" s="25"/>
      <c r="V157" s="29"/>
    </row>
    <row r="158" spans="1:22" ht="30" x14ac:dyDescent="0.25">
      <c r="A158" s="23" t="s">
        <v>915</v>
      </c>
      <c r="B158" s="23" t="s">
        <v>818</v>
      </c>
      <c r="C158" s="24"/>
      <c r="D158" s="24"/>
      <c r="E158" s="24"/>
      <c r="F158" s="24"/>
      <c r="G158" s="24" t="s">
        <v>189</v>
      </c>
      <c r="H158" s="25">
        <v>42192.785416666666</v>
      </c>
      <c r="I158" s="29"/>
      <c r="J158" s="24"/>
      <c r="K158" s="24" t="s">
        <v>664</v>
      </c>
      <c r="L158" s="52" t="s">
        <v>1590</v>
      </c>
      <c r="M158" s="24" t="s">
        <v>1591</v>
      </c>
      <c r="N158" s="24" t="s">
        <v>1707</v>
      </c>
      <c r="O158" s="24" t="s">
        <v>1710</v>
      </c>
      <c r="P158" s="25"/>
      <c r="Q158" s="25"/>
      <c r="R158" s="25"/>
      <c r="S158" s="25"/>
      <c r="T158" s="25"/>
      <c r="U158" s="25"/>
      <c r="V158" s="29"/>
    </row>
    <row r="159" spans="1:22" ht="22.5" x14ac:dyDescent="0.25">
      <c r="A159" s="28" t="s">
        <v>916</v>
      </c>
      <c r="B159" s="28" t="s">
        <v>358</v>
      </c>
      <c r="C159" s="24"/>
      <c r="D159" s="24"/>
      <c r="E159" s="24"/>
      <c r="F159" s="24"/>
      <c r="G159" s="24" t="s">
        <v>513</v>
      </c>
      <c r="H159" s="25">
        <v>42192.793055555558</v>
      </c>
      <c r="I159" s="29"/>
      <c r="J159" s="24"/>
      <c r="K159" s="24" t="s">
        <v>917</v>
      </c>
      <c r="L159" s="24"/>
      <c r="M159" s="24"/>
      <c r="N159" s="24" t="s">
        <v>1707</v>
      </c>
      <c r="O159" s="24" t="s">
        <v>1721</v>
      </c>
      <c r="P159" s="25"/>
      <c r="Q159" s="25"/>
      <c r="R159" s="25"/>
      <c r="S159" s="25"/>
      <c r="T159" s="25"/>
      <c r="U159" s="25"/>
      <c r="V159" s="29" t="s">
        <v>2139</v>
      </c>
    </row>
    <row r="160" spans="1:22" ht="30" x14ac:dyDescent="0.25">
      <c r="A160" s="23" t="s">
        <v>918</v>
      </c>
      <c r="B160" s="23" t="s">
        <v>358</v>
      </c>
      <c r="C160" s="24"/>
      <c r="D160" s="24"/>
      <c r="E160" s="24"/>
      <c r="F160" s="24"/>
      <c r="G160" s="24" t="s">
        <v>513</v>
      </c>
      <c r="H160" s="25">
        <v>42193.411805555559</v>
      </c>
      <c r="I160" s="29"/>
      <c r="J160" s="24"/>
      <c r="K160" s="24" t="s">
        <v>919</v>
      </c>
      <c r="L160" s="52" t="s">
        <v>1592</v>
      </c>
      <c r="M160" s="24" t="s">
        <v>1537</v>
      </c>
      <c r="N160" s="24" t="s">
        <v>1707</v>
      </c>
      <c r="O160" s="24"/>
      <c r="P160" s="25"/>
      <c r="Q160" s="25"/>
      <c r="R160" s="25"/>
      <c r="S160" s="25"/>
      <c r="T160" s="25"/>
      <c r="U160" s="25"/>
      <c r="V160" s="29"/>
    </row>
    <row r="161" spans="1:22" ht="45" x14ac:dyDescent="0.25">
      <c r="A161" s="23" t="s">
        <v>920</v>
      </c>
      <c r="B161" s="23" t="s">
        <v>358</v>
      </c>
      <c r="C161" s="24"/>
      <c r="D161" s="24"/>
      <c r="E161" s="24"/>
      <c r="F161" s="24"/>
      <c r="G161" s="24" t="s">
        <v>513</v>
      </c>
      <c r="H161" s="25">
        <v>42195.552083333336</v>
      </c>
      <c r="I161" s="29"/>
      <c r="J161" s="24"/>
      <c r="K161" s="24" t="s">
        <v>633</v>
      </c>
      <c r="L161" s="52" t="s">
        <v>1551</v>
      </c>
      <c r="M161" s="24" t="s">
        <v>1560</v>
      </c>
      <c r="N161" s="24" t="s">
        <v>1707</v>
      </c>
      <c r="O161" s="24"/>
      <c r="P161" s="25"/>
      <c r="Q161" s="25"/>
      <c r="R161" s="25"/>
      <c r="S161" s="25"/>
      <c r="T161" s="25"/>
      <c r="U161" s="25"/>
      <c r="V161" s="29"/>
    </row>
    <row r="162" spans="1:22" ht="30" x14ac:dyDescent="0.25">
      <c r="A162" s="23" t="s">
        <v>921</v>
      </c>
      <c r="B162" s="23" t="s">
        <v>358</v>
      </c>
      <c r="C162" s="24"/>
      <c r="D162" s="24"/>
      <c r="E162" s="24"/>
      <c r="F162" s="24"/>
      <c r="G162" s="24" t="s">
        <v>513</v>
      </c>
      <c r="H162" s="25">
        <v>42199.604166666664</v>
      </c>
      <c r="I162" s="29"/>
      <c r="J162" s="24"/>
      <c r="K162" s="24" t="s">
        <v>653</v>
      </c>
      <c r="L162" s="52" t="s">
        <v>1555</v>
      </c>
      <c r="M162" s="24" t="s">
        <v>1593</v>
      </c>
      <c r="N162" s="24" t="s">
        <v>1707</v>
      </c>
      <c r="O162" s="24" t="s">
        <v>2190</v>
      </c>
      <c r="P162" s="25"/>
      <c r="Q162" s="25"/>
      <c r="R162" s="25"/>
      <c r="S162" s="25"/>
      <c r="T162" s="25"/>
      <c r="U162" s="25"/>
      <c r="V162" s="29" t="s">
        <v>2193</v>
      </c>
    </row>
    <row r="163" spans="1:22" ht="30" x14ac:dyDescent="0.25">
      <c r="A163" s="23" t="s">
        <v>922</v>
      </c>
      <c r="B163" s="23" t="s">
        <v>923</v>
      </c>
      <c r="C163" s="24"/>
      <c r="D163" s="24"/>
      <c r="E163" s="24"/>
      <c r="F163" s="24"/>
      <c r="G163" s="24" t="s">
        <v>513</v>
      </c>
      <c r="H163" s="25">
        <v>42200.466666666667</v>
      </c>
      <c r="I163" s="29"/>
      <c r="J163" s="24"/>
      <c r="K163" s="24" t="s">
        <v>924</v>
      </c>
      <c r="L163" s="52" t="s">
        <v>1594</v>
      </c>
      <c r="M163" s="24" t="s">
        <v>1537</v>
      </c>
      <c r="N163" s="24" t="s">
        <v>1707</v>
      </c>
      <c r="O163" s="24"/>
      <c r="P163" s="25"/>
      <c r="Q163" s="25"/>
      <c r="R163" s="25"/>
      <c r="S163" s="25"/>
      <c r="T163" s="25"/>
      <c r="U163" s="25"/>
      <c r="V163" s="29"/>
    </row>
    <row r="164" spans="1:22" ht="123.75" x14ac:dyDescent="0.25">
      <c r="A164" s="28" t="s">
        <v>925</v>
      </c>
      <c r="B164" s="28" t="s">
        <v>926</v>
      </c>
      <c r="C164" s="24"/>
      <c r="D164" s="24"/>
      <c r="E164" s="24" t="s">
        <v>511</v>
      </c>
      <c r="F164" s="24" t="s">
        <v>512</v>
      </c>
      <c r="G164" s="24" t="s">
        <v>513</v>
      </c>
      <c r="H164" s="25">
        <v>42201.380555555559</v>
      </c>
      <c r="I164" s="29" t="s">
        <v>927</v>
      </c>
      <c r="J164" s="24"/>
      <c r="K164" s="24" t="s">
        <v>733</v>
      </c>
      <c r="L164" s="24"/>
      <c r="M164" s="24"/>
      <c r="N164" s="24" t="s">
        <v>1728</v>
      </c>
      <c r="O164" s="24"/>
      <c r="P164" s="25"/>
      <c r="Q164" s="25"/>
      <c r="R164" s="25"/>
      <c r="S164" s="25"/>
      <c r="T164" s="25"/>
      <c r="U164" s="25"/>
      <c r="V164" s="29" t="s">
        <v>1595</v>
      </c>
    </row>
    <row r="165" spans="1:22" ht="30" x14ac:dyDescent="0.25">
      <c r="A165" s="23" t="s">
        <v>928</v>
      </c>
      <c r="B165" s="23" t="s">
        <v>358</v>
      </c>
      <c r="C165" s="24"/>
      <c r="D165" s="24"/>
      <c r="E165" s="24"/>
      <c r="F165" s="24"/>
      <c r="G165" s="24" t="s">
        <v>189</v>
      </c>
      <c r="H165" s="25">
        <v>42201.515277777777</v>
      </c>
      <c r="I165" s="29"/>
      <c r="J165" s="24"/>
      <c r="K165" s="24" t="s">
        <v>929</v>
      </c>
      <c r="L165" s="52" t="s">
        <v>1596</v>
      </c>
      <c r="M165" s="24" t="s">
        <v>1537</v>
      </c>
      <c r="N165" s="24" t="s">
        <v>1707</v>
      </c>
      <c r="O165" s="24" t="s">
        <v>1710</v>
      </c>
      <c r="P165" s="25"/>
      <c r="Q165" s="25"/>
      <c r="R165" s="25"/>
      <c r="S165" s="25"/>
      <c r="T165" s="25"/>
      <c r="U165" s="25"/>
      <c r="V165" s="29"/>
    </row>
    <row r="166" spans="1:22" ht="30" x14ac:dyDescent="0.25">
      <c r="A166" s="23" t="s">
        <v>930</v>
      </c>
      <c r="B166" s="23" t="s">
        <v>931</v>
      </c>
      <c r="C166" s="24"/>
      <c r="D166" s="24"/>
      <c r="E166" s="24"/>
      <c r="F166" s="24"/>
      <c r="G166" s="24" t="s">
        <v>189</v>
      </c>
      <c r="H166" s="25">
        <v>42201.681250000001</v>
      </c>
      <c r="I166" s="29"/>
      <c r="J166" s="24"/>
      <c r="K166" s="24" t="s">
        <v>650</v>
      </c>
      <c r="L166" s="52" t="s">
        <v>1564</v>
      </c>
      <c r="M166" s="24" t="s">
        <v>1537</v>
      </c>
      <c r="N166" s="24" t="s">
        <v>1707</v>
      </c>
      <c r="O166" s="24" t="s">
        <v>1721</v>
      </c>
      <c r="P166" s="25"/>
      <c r="Q166" s="25"/>
      <c r="R166" s="25"/>
      <c r="S166" s="25"/>
      <c r="T166" s="25"/>
      <c r="U166" s="25"/>
      <c r="V166" s="29"/>
    </row>
    <row r="167" spans="1:22" x14ac:dyDescent="0.25">
      <c r="A167" s="23" t="s">
        <v>932</v>
      </c>
      <c r="B167" s="23" t="s">
        <v>933</v>
      </c>
      <c r="C167" s="24"/>
      <c r="D167" s="24"/>
      <c r="E167" s="24"/>
      <c r="F167" s="24"/>
      <c r="G167" s="24" t="s">
        <v>189</v>
      </c>
      <c r="H167" s="25">
        <v>42201.76458333333</v>
      </c>
      <c r="I167" s="29"/>
      <c r="J167" s="24"/>
      <c r="K167" s="24" t="s">
        <v>934</v>
      </c>
      <c r="L167" s="24"/>
      <c r="M167" s="24"/>
      <c r="N167" s="52" t="s">
        <v>2182</v>
      </c>
      <c r="O167" s="24"/>
      <c r="P167" s="25"/>
      <c r="Q167" s="25"/>
      <c r="R167" s="25"/>
      <c r="S167" s="25"/>
      <c r="T167" s="25"/>
      <c r="U167" s="25"/>
      <c r="V167" s="29"/>
    </row>
    <row r="168" spans="1:22" ht="45" x14ac:dyDescent="0.25">
      <c r="A168" s="23" t="s">
        <v>935</v>
      </c>
      <c r="B168" s="23" t="s">
        <v>358</v>
      </c>
      <c r="C168" s="24"/>
      <c r="D168" s="24"/>
      <c r="E168" s="24"/>
      <c r="F168" s="24"/>
      <c r="G168" s="24" t="s">
        <v>810</v>
      </c>
      <c r="H168" s="25">
        <v>42202.53125</v>
      </c>
      <c r="I168" s="29"/>
      <c r="J168" s="24"/>
      <c r="K168" s="24" t="s">
        <v>703</v>
      </c>
      <c r="L168" s="52" t="s">
        <v>1561</v>
      </c>
      <c r="M168" s="24" t="s">
        <v>1560</v>
      </c>
      <c r="N168" s="24" t="s">
        <v>1707</v>
      </c>
      <c r="O168" s="24" t="s">
        <v>1721</v>
      </c>
      <c r="P168" s="25"/>
      <c r="Q168" s="25"/>
      <c r="R168" s="25"/>
      <c r="S168" s="25"/>
      <c r="T168" s="25"/>
      <c r="U168" s="25"/>
      <c r="V168" s="29"/>
    </row>
    <row r="169" spans="1:22" ht="22.5" x14ac:dyDescent="0.25">
      <c r="A169" s="23" t="s">
        <v>936</v>
      </c>
      <c r="B169" s="23" t="s">
        <v>937</v>
      </c>
      <c r="C169" s="24"/>
      <c r="D169" s="24"/>
      <c r="E169" s="24"/>
      <c r="F169" s="24"/>
      <c r="G169" s="24" t="s">
        <v>513</v>
      </c>
      <c r="H169" s="25">
        <v>42202.702777777777</v>
      </c>
      <c r="I169" s="29"/>
      <c r="J169" s="24"/>
      <c r="K169" s="24" t="s">
        <v>938</v>
      </c>
      <c r="L169" s="24"/>
      <c r="M169" s="24"/>
      <c r="N169" s="24" t="s">
        <v>1728</v>
      </c>
      <c r="O169" s="24"/>
      <c r="P169" s="25"/>
      <c r="Q169" s="25"/>
      <c r="R169" s="25"/>
      <c r="S169" s="25"/>
      <c r="T169" s="25"/>
      <c r="U169" s="25"/>
      <c r="V169" s="29" t="s">
        <v>1716</v>
      </c>
    </row>
    <row r="170" spans="1:22" ht="30" x14ac:dyDescent="0.25">
      <c r="A170" s="23" t="s">
        <v>939</v>
      </c>
      <c r="B170" s="23" t="s">
        <v>940</v>
      </c>
      <c r="C170" s="24"/>
      <c r="D170" s="24"/>
      <c r="E170" s="24"/>
      <c r="F170" s="24"/>
      <c r="G170" s="24" t="s">
        <v>513</v>
      </c>
      <c r="H170" s="25">
        <v>42202.72152777778</v>
      </c>
      <c r="I170" s="29"/>
      <c r="J170" s="24"/>
      <c r="K170" s="24" t="s">
        <v>941</v>
      </c>
      <c r="L170" s="52" t="s">
        <v>1597</v>
      </c>
      <c r="M170" s="24" t="s">
        <v>1537</v>
      </c>
      <c r="N170" s="24" t="s">
        <v>1728</v>
      </c>
      <c r="O170" s="24"/>
      <c r="P170" s="25"/>
      <c r="Q170" s="25"/>
      <c r="R170" s="25"/>
      <c r="S170" s="25"/>
      <c r="T170" s="25"/>
      <c r="U170" s="25"/>
      <c r="V170" s="29" t="s">
        <v>1488</v>
      </c>
    </row>
    <row r="171" spans="1:22" ht="45" x14ac:dyDescent="0.25">
      <c r="A171" s="23" t="s">
        <v>942</v>
      </c>
      <c r="B171" s="23" t="s">
        <v>943</v>
      </c>
      <c r="C171" s="24"/>
      <c r="D171" s="24"/>
      <c r="E171" s="24"/>
      <c r="F171" s="24"/>
      <c r="G171" s="24" t="s">
        <v>189</v>
      </c>
      <c r="H171" s="25">
        <v>42202.820833333331</v>
      </c>
      <c r="I171" s="29"/>
      <c r="J171" s="24"/>
      <c r="K171" s="24" t="s">
        <v>594</v>
      </c>
      <c r="L171" s="52" t="s">
        <v>1549</v>
      </c>
      <c r="M171" s="24" t="s">
        <v>1560</v>
      </c>
      <c r="N171" s="24" t="s">
        <v>1707</v>
      </c>
      <c r="O171" s="24"/>
      <c r="P171" s="25"/>
      <c r="Q171" s="25"/>
      <c r="R171" s="25"/>
      <c r="S171" s="25"/>
      <c r="T171" s="25"/>
      <c r="U171" s="25">
        <v>42383</v>
      </c>
      <c r="V171" s="29"/>
    </row>
    <row r="172" spans="1:22" ht="22.5" x14ac:dyDescent="0.25">
      <c r="A172" s="23" t="s">
        <v>944</v>
      </c>
      <c r="B172" s="23" t="s">
        <v>945</v>
      </c>
      <c r="C172" s="24"/>
      <c r="D172" s="24"/>
      <c r="E172" s="24"/>
      <c r="F172" s="24"/>
      <c r="G172" s="24" t="s">
        <v>513</v>
      </c>
      <c r="H172" s="25">
        <v>42205.430555555555</v>
      </c>
      <c r="I172" s="29"/>
      <c r="J172" s="24"/>
      <c r="K172" s="24" t="s">
        <v>562</v>
      </c>
      <c r="L172" s="24"/>
      <c r="M172" s="24"/>
      <c r="N172" s="24"/>
      <c r="O172" s="24"/>
      <c r="P172" s="25"/>
      <c r="Q172" s="25"/>
      <c r="R172" s="25"/>
      <c r="S172" s="25"/>
      <c r="T172" s="25"/>
      <c r="U172" s="25"/>
      <c r="V172" s="29"/>
    </row>
    <row r="173" spans="1:22" ht="45" x14ac:dyDescent="0.25">
      <c r="A173" s="23" t="s">
        <v>946</v>
      </c>
      <c r="B173" s="23" t="s">
        <v>947</v>
      </c>
      <c r="C173" s="24"/>
      <c r="D173" s="24"/>
      <c r="E173" s="24"/>
      <c r="F173" s="24"/>
      <c r="G173" s="24" t="s">
        <v>513</v>
      </c>
      <c r="H173" s="25">
        <v>42205.445138888892</v>
      </c>
      <c r="I173" s="29"/>
      <c r="J173" s="24"/>
      <c r="K173" s="24" t="s">
        <v>636</v>
      </c>
      <c r="L173" s="52" t="s">
        <v>1576</v>
      </c>
      <c r="M173" s="24" t="s">
        <v>1537</v>
      </c>
      <c r="N173" s="24" t="s">
        <v>1707</v>
      </c>
      <c r="O173" s="24" t="s">
        <v>1721</v>
      </c>
      <c r="P173" s="25"/>
      <c r="Q173" s="25"/>
      <c r="R173" s="25"/>
      <c r="S173" s="25"/>
      <c r="T173" s="25"/>
      <c r="U173" s="25"/>
      <c r="V173" s="29" t="s">
        <v>1722</v>
      </c>
    </row>
    <row r="174" spans="1:22" ht="45" x14ac:dyDescent="0.25">
      <c r="A174" s="23" t="s">
        <v>948</v>
      </c>
      <c r="B174" s="23" t="s">
        <v>949</v>
      </c>
      <c r="C174" s="24"/>
      <c r="D174" s="24"/>
      <c r="E174" s="24"/>
      <c r="F174" s="24"/>
      <c r="G174" s="24" t="s">
        <v>513</v>
      </c>
      <c r="H174" s="25">
        <v>42205.515972222223</v>
      </c>
      <c r="I174" s="29"/>
      <c r="J174" s="24"/>
      <c r="K174" s="24" t="s">
        <v>950</v>
      </c>
      <c r="L174" s="52" t="s">
        <v>1598</v>
      </c>
      <c r="M174" s="24" t="s">
        <v>1560</v>
      </c>
      <c r="N174" s="24" t="s">
        <v>1707</v>
      </c>
      <c r="O174" s="24"/>
      <c r="P174" s="25"/>
      <c r="Q174" s="25"/>
      <c r="R174" s="25"/>
      <c r="S174" s="25"/>
      <c r="T174" s="25"/>
      <c r="U174" s="25"/>
      <c r="V174" s="29"/>
    </row>
    <row r="175" spans="1:22" ht="30" x14ac:dyDescent="0.25">
      <c r="A175" s="23" t="s">
        <v>951</v>
      </c>
      <c r="B175" s="23" t="s">
        <v>952</v>
      </c>
      <c r="C175" s="24"/>
      <c r="D175" s="24"/>
      <c r="E175" s="24"/>
      <c r="F175" s="24"/>
      <c r="G175" s="24" t="s">
        <v>513</v>
      </c>
      <c r="H175" s="25">
        <v>42205.64166666667</v>
      </c>
      <c r="I175" s="29"/>
      <c r="J175" s="24"/>
      <c r="K175" s="24" t="s">
        <v>594</v>
      </c>
      <c r="L175" s="52" t="s">
        <v>1549</v>
      </c>
      <c r="M175" s="24" t="s">
        <v>1537</v>
      </c>
      <c r="N175" s="24" t="s">
        <v>1707</v>
      </c>
      <c r="O175" s="24"/>
      <c r="P175" s="25"/>
      <c r="Q175" s="25"/>
      <c r="R175" s="25"/>
      <c r="S175" s="25"/>
      <c r="T175" s="25"/>
      <c r="U175" s="25"/>
      <c r="V175" s="29"/>
    </row>
    <row r="176" spans="1:22" ht="30" x14ac:dyDescent="0.25">
      <c r="A176" s="23" t="s">
        <v>953</v>
      </c>
      <c r="B176" s="23" t="s">
        <v>386</v>
      </c>
      <c r="C176" s="24"/>
      <c r="D176" s="24"/>
      <c r="E176" s="24"/>
      <c r="F176" s="24"/>
      <c r="G176" s="24" t="s">
        <v>189</v>
      </c>
      <c r="H176" s="25">
        <v>42205.729861111111</v>
      </c>
      <c r="I176" s="29"/>
      <c r="J176" s="24"/>
      <c r="K176" s="24" t="s">
        <v>653</v>
      </c>
      <c r="L176" s="52" t="s">
        <v>1555</v>
      </c>
      <c r="M176" s="24" t="s">
        <v>1537</v>
      </c>
      <c r="N176" s="24" t="s">
        <v>1707</v>
      </c>
      <c r="O176" s="24" t="s">
        <v>2190</v>
      </c>
      <c r="P176" s="25"/>
      <c r="Q176" s="25"/>
      <c r="R176" s="25"/>
      <c r="S176" s="25"/>
      <c r="T176" s="25"/>
      <c r="U176" s="25"/>
      <c r="V176" s="29"/>
    </row>
    <row r="177" spans="1:22" ht="382.5" x14ac:dyDescent="0.25">
      <c r="A177" s="23" t="s">
        <v>954</v>
      </c>
      <c r="B177" s="23" t="s">
        <v>358</v>
      </c>
      <c r="C177" s="24"/>
      <c r="D177" s="24"/>
      <c r="E177" s="24"/>
      <c r="F177" s="24"/>
      <c r="G177" s="24" t="s">
        <v>513</v>
      </c>
      <c r="H177" s="25">
        <v>42206.511111111111</v>
      </c>
      <c r="I177" s="29"/>
      <c r="J177" s="24"/>
      <c r="K177" s="24" t="s">
        <v>608</v>
      </c>
      <c r="L177" s="24"/>
      <c r="M177" s="24"/>
      <c r="N177" s="24" t="s">
        <v>1728</v>
      </c>
      <c r="O177" s="24"/>
      <c r="P177" s="25"/>
      <c r="Q177" s="25"/>
      <c r="R177" s="25"/>
      <c r="S177" s="25"/>
      <c r="T177" s="25"/>
      <c r="U177" s="25"/>
      <c r="V177" s="29" t="s">
        <v>2189</v>
      </c>
    </row>
    <row r="178" spans="1:22" ht="30" x14ac:dyDescent="0.25">
      <c r="A178" s="23" t="s">
        <v>955</v>
      </c>
      <c r="B178" s="23" t="s">
        <v>358</v>
      </c>
      <c r="C178" s="24"/>
      <c r="D178" s="24"/>
      <c r="E178" s="24"/>
      <c r="F178" s="24"/>
      <c r="G178" s="24" t="s">
        <v>513</v>
      </c>
      <c r="H178" s="25">
        <v>42206.522222222222</v>
      </c>
      <c r="I178" s="29"/>
      <c r="J178" s="24"/>
      <c r="K178" s="24" t="s">
        <v>629</v>
      </c>
      <c r="L178" s="52" t="s">
        <v>1550</v>
      </c>
      <c r="M178" s="24" t="s">
        <v>1537</v>
      </c>
      <c r="N178" s="24" t="s">
        <v>1707</v>
      </c>
      <c r="O178" s="24"/>
      <c r="P178" s="25"/>
      <c r="Q178" s="25"/>
      <c r="R178" s="25"/>
      <c r="S178" s="25"/>
      <c r="T178" s="25"/>
      <c r="U178" s="25"/>
      <c r="V178" s="29"/>
    </row>
    <row r="179" spans="1:22" ht="30" x14ac:dyDescent="0.25">
      <c r="A179" s="23" t="s">
        <v>956</v>
      </c>
      <c r="B179" s="23" t="s">
        <v>957</v>
      </c>
      <c r="C179" s="24"/>
      <c r="D179" s="24"/>
      <c r="E179" s="24"/>
      <c r="F179" s="24"/>
      <c r="G179" s="24" t="s">
        <v>513</v>
      </c>
      <c r="H179" s="25">
        <v>42206.638888888891</v>
      </c>
      <c r="I179" s="29"/>
      <c r="J179" s="24"/>
      <c r="K179" s="24" t="s">
        <v>562</v>
      </c>
      <c r="L179" s="52" t="s">
        <v>1541</v>
      </c>
      <c r="M179" s="24" t="s">
        <v>1537</v>
      </c>
      <c r="N179" s="24" t="s">
        <v>1707</v>
      </c>
      <c r="O179" s="24" t="s">
        <v>2190</v>
      </c>
      <c r="P179" s="25"/>
      <c r="Q179" s="25"/>
      <c r="R179" s="25"/>
      <c r="S179" s="25"/>
      <c r="T179" s="25"/>
      <c r="U179" s="25"/>
      <c r="V179" s="29" t="s">
        <v>2195</v>
      </c>
    </row>
    <row r="180" spans="1:22" ht="22.5" x14ac:dyDescent="0.25">
      <c r="A180" s="23" t="s">
        <v>958</v>
      </c>
      <c r="B180" s="23" t="s">
        <v>358</v>
      </c>
      <c r="C180" s="24"/>
      <c r="D180" s="24"/>
      <c r="E180" s="24"/>
      <c r="F180" s="24"/>
      <c r="G180" s="24" t="s">
        <v>189</v>
      </c>
      <c r="H180" s="25">
        <v>42206.760416666664</v>
      </c>
      <c r="I180" s="29"/>
      <c r="J180" s="24"/>
      <c r="K180" s="24" t="s">
        <v>903</v>
      </c>
      <c r="L180" s="24"/>
      <c r="M180" s="24"/>
      <c r="N180" s="52" t="s">
        <v>2182</v>
      </c>
      <c r="O180" s="24"/>
      <c r="P180" s="25"/>
      <c r="Q180" s="25"/>
      <c r="R180" s="25"/>
      <c r="S180" s="25"/>
      <c r="T180" s="25"/>
      <c r="U180" s="25"/>
      <c r="V180" s="29"/>
    </row>
    <row r="181" spans="1:22" ht="45" x14ac:dyDescent="0.25">
      <c r="A181" s="23" t="s">
        <v>959</v>
      </c>
      <c r="B181" s="23" t="s">
        <v>358</v>
      </c>
      <c r="C181" s="24"/>
      <c r="D181" s="24"/>
      <c r="E181" s="24"/>
      <c r="F181" s="24"/>
      <c r="G181" s="24" t="s">
        <v>513</v>
      </c>
      <c r="H181" s="25">
        <v>42207.728472222225</v>
      </c>
      <c r="I181" s="29"/>
      <c r="J181" s="24"/>
      <c r="K181" s="24" t="s">
        <v>705</v>
      </c>
      <c r="L181" s="52" t="s">
        <v>1562</v>
      </c>
      <c r="M181" s="24" t="s">
        <v>1560</v>
      </c>
      <c r="N181" s="24" t="s">
        <v>1707</v>
      </c>
      <c r="O181" s="24"/>
      <c r="P181" s="25"/>
      <c r="Q181" s="25"/>
      <c r="R181" s="25"/>
      <c r="S181" s="25"/>
      <c r="T181" s="25"/>
      <c r="U181" s="25"/>
      <c r="V181" s="29"/>
    </row>
    <row r="182" spans="1:22" ht="30" x14ac:dyDescent="0.25">
      <c r="A182" s="23" t="s">
        <v>960</v>
      </c>
      <c r="B182" s="23" t="s">
        <v>961</v>
      </c>
      <c r="C182" s="24"/>
      <c r="D182" s="24"/>
      <c r="E182" s="24"/>
      <c r="F182" s="24"/>
      <c r="G182" s="24" t="s">
        <v>513</v>
      </c>
      <c r="H182" s="25">
        <v>42208.479166666664</v>
      </c>
      <c r="I182" s="29"/>
      <c r="J182" s="24"/>
      <c r="K182" s="24" t="s">
        <v>691</v>
      </c>
      <c r="L182" s="52" t="s">
        <v>1559</v>
      </c>
      <c r="M182" s="24" t="s">
        <v>1537</v>
      </c>
      <c r="N182" s="24" t="s">
        <v>1719</v>
      </c>
      <c r="O182" s="24"/>
      <c r="P182" s="25"/>
      <c r="Q182" s="25"/>
      <c r="R182" s="25"/>
      <c r="S182" s="25"/>
      <c r="T182" s="25"/>
      <c r="U182" s="25"/>
      <c r="V182" s="29"/>
    </row>
    <row r="183" spans="1:22" x14ac:dyDescent="0.25">
      <c r="A183" s="23" t="s">
        <v>962</v>
      </c>
      <c r="B183" s="23" t="s">
        <v>963</v>
      </c>
      <c r="C183" s="24"/>
      <c r="D183" s="24"/>
      <c r="E183" s="24"/>
      <c r="F183" s="24"/>
      <c r="G183" s="24" t="s">
        <v>189</v>
      </c>
      <c r="H183" s="25">
        <v>42208.491666666669</v>
      </c>
      <c r="I183" s="29"/>
      <c r="J183" s="24"/>
      <c r="K183" s="24" t="s">
        <v>650</v>
      </c>
      <c r="L183" s="24"/>
      <c r="M183" s="24"/>
      <c r="N183" s="52" t="s">
        <v>2182</v>
      </c>
      <c r="O183" s="24"/>
      <c r="P183" s="25"/>
      <c r="Q183" s="25"/>
      <c r="R183" s="25"/>
      <c r="S183" s="25"/>
      <c r="T183" s="25"/>
      <c r="U183" s="25"/>
      <c r="V183" s="29"/>
    </row>
    <row r="184" spans="1:22" ht="22.5" x14ac:dyDescent="0.25">
      <c r="A184" s="23" t="s">
        <v>964</v>
      </c>
      <c r="B184" s="23" t="s">
        <v>965</v>
      </c>
      <c r="C184" s="24"/>
      <c r="D184" s="24"/>
      <c r="E184" s="24"/>
      <c r="F184" s="24"/>
      <c r="G184" s="24" t="s">
        <v>513</v>
      </c>
      <c r="H184" s="25">
        <v>42208.63958333333</v>
      </c>
      <c r="I184" s="29"/>
      <c r="J184" s="24"/>
      <c r="K184" s="24" t="s">
        <v>694</v>
      </c>
      <c r="L184" s="24"/>
      <c r="M184" s="24"/>
      <c r="N184" s="24" t="s">
        <v>1728</v>
      </c>
      <c r="O184" s="24"/>
      <c r="P184" s="25"/>
      <c r="Q184" s="25"/>
      <c r="R184" s="25"/>
      <c r="S184" s="25"/>
      <c r="T184" s="25"/>
      <c r="U184" s="25"/>
      <c r="V184" s="29" t="s">
        <v>1599</v>
      </c>
    </row>
    <row r="185" spans="1:22" ht="30" x14ac:dyDescent="0.25">
      <c r="A185" s="23" t="s">
        <v>966</v>
      </c>
      <c r="B185" s="23" t="s">
        <v>965</v>
      </c>
      <c r="C185" s="24"/>
      <c r="D185" s="24"/>
      <c r="E185" s="24"/>
      <c r="F185" s="24"/>
      <c r="G185" s="24" t="s">
        <v>810</v>
      </c>
      <c r="H185" s="25">
        <v>42208.64166666667</v>
      </c>
      <c r="I185" s="29"/>
      <c r="J185" s="24"/>
      <c r="K185" s="24" t="s">
        <v>694</v>
      </c>
      <c r="L185" s="52" t="s">
        <v>1586</v>
      </c>
      <c r="M185" s="24" t="s">
        <v>1537</v>
      </c>
      <c r="N185" s="24" t="s">
        <v>1707</v>
      </c>
      <c r="O185" s="24" t="s">
        <v>1710</v>
      </c>
      <c r="P185" s="25"/>
      <c r="Q185" s="25"/>
      <c r="R185" s="25"/>
      <c r="S185" s="25"/>
      <c r="T185" s="25"/>
      <c r="U185" s="25"/>
      <c r="V185" s="29"/>
    </row>
    <row r="186" spans="1:22" ht="30" x14ac:dyDescent="0.25">
      <c r="A186" s="23" t="s">
        <v>967</v>
      </c>
      <c r="B186" s="23" t="s">
        <v>965</v>
      </c>
      <c r="C186" s="24"/>
      <c r="D186" s="24"/>
      <c r="E186" s="24"/>
      <c r="F186" s="24"/>
      <c r="G186" s="24" t="s">
        <v>810</v>
      </c>
      <c r="H186" s="25">
        <v>42208.642361111109</v>
      </c>
      <c r="I186" s="29"/>
      <c r="J186" s="24"/>
      <c r="K186" s="24" t="s">
        <v>694</v>
      </c>
      <c r="L186" s="52" t="s">
        <v>1586</v>
      </c>
      <c r="M186" s="24" t="s">
        <v>1537</v>
      </c>
      <c r="N186" s="24" t="s">
        <v>1707</v>
      </c>
      <c r="O186" s="24" t="s">
        <v>1710</v>
      </c>
      <c r="P186" s="25"/>
      <c r="Q186" s="25"/>
      <c r="R186" s="25"/>
      <c r="S186" s="25"/>
      <c r="T186" s="25"/>
      <c r="U186" s="25"/>
      <c r="V186" s="29"/>
    </row>
    <row r="187" spans="1:22" ht="45" x14ac:dyDescent="0.25">
      <c r="A187" s="23" t="s">
        <v>968</v>
      </c>
      <c r="B187" s="23" t="s">
        <v>969</v>
      </c>
      <c r="C187" s="24"/>
      <c r="D187" s="24"/>
      <c r="E187" s="24"/>
      <c r="F187" s="24"/>
      <c r="G187" s="24" t="s">
        <v>189</v>
      </c>
      <c r="H187" s="25">
        <v>42209.46597222222</v>
      </c>
      <c r="I187" s="29"/>
      <c r="J187" s="24"/>
      <c r="K187" s="24" t="s">
        <v>594</v>
      </c>
      <c r="L187" s="52" t="s">
        <v>1549</v>
      </c>
      <c r="M187" s="24" t="s">
        <v>1560</v>
      </c>
      <c r="N187" s="24" t="s">
        <v>1707</v>
      </c>
      <c r="O187" s="24"/>
      <c r="P187" s="25"/>
      <c r="Q187" s="25"/>
      <c r="R187" s="25"/>
      <c r="S187" s="25"/>
      <c r="T187" s="25"/>
      <c r="U187" s="25">
        <v>42383</v>
      </c>
      <c r="V187" s="29"/>
    </row>
    <row r="188" spans="1:22" ht="30" x14ac:dyDescent="0.25">
      <c r="A188" s="23" t="s">
        <v>970</v>
      </c>
      <c r="B188" s="23" t="s">
        <v>358</v>
      </c>
      <c r="C188" s="24"/>
      <c r="D188" s="24"/>
      <c r="E188" s="24"/>
      <c r="F188" s="24"/>
      <c r="G188" s="24" t="s">
        <v>513</v>
      </c>
      <c r="H188" s="25">
        <v>42210.645833333336</v>
      </c>
      <c r="I188" s="29"/>
      <c r="J188" s="24"/>
      <c r="K188" s="24" t="s">
        <v>971</v>
      </c>
      <c r="L188" s="52" t="s">
        <v>1600</v>
      </c>
      <c r="M188" s="24" t="s">
        <v>1537</v>
      </c>
      <c r="N188" s="24" t="s">
        <v>1707</v>
      </c>
      <c r="O188" s="24"/>
      <c r="P188" s="25"/>
      <c r="Q188" s="25"/>
      <c r="R188" s="25"/>
      <c r="S188" s="25"/>
      <c r="T188" s="25"/>
      <c r="U188" s="25"/>
      <c r="V188" s="29"/>
    </row>
    <row r="189" spans="1:22" ht="22.5" x14ac:dyDescent="0.25">
      <c r="A189" s="22" t="s">
        <v>972</v>
      </c>
      <c r="B189" s="23" t="s">
        <v>973</v>
      </c>
      <c r="C189" s="24" t="s">
        <v>321</v>
      </c>
      <c r="D189" s="24" t="s">
        <v>974</v>
      </c>
      <c r="E189" s="24" t="s">
        <v>511</v>
      </c>
      <c r="F189" s="24" t="s">
        <v>512</v>
      </c>
      <c r="G189" s="24" t="s">
        <v>188</v>
      </c>
      <c r="H189" s="25">
        <v>42212.476388888892</v>
      </c>
      <c r="I189" s="29" t="s">
        <v>242</v>
      </c>
      <c r="J189" s="24" t="s">
        <v>501</v>
      </c>
      <c r="K189" s="24" t="s">
        <v>525</v>
      </c>
      <c r="L189" s="24"/>
      <c r="M189" s="24"/>
      <c r="N189" s="52" t="s">
        <v>2182</v>
      </c>
      <c r="O189" s="24"/>
      <c r="P189" s="25"/>
      <c r="Q189" s="25"/>
      <c r="R189" s="25"/>
      <c r="S189" s="25"/>
      <c r="T189" s="25"/>
      <c r="U189" s="25">
        <v>42257</v>
      </c>
      <c r="V189" s="29" t="s">
        <v>975</v>
      </c>
    </row>
    <row r="190" spans="1:22" ht="45" x14ac:dyDescent="0.25">
      <c r="A190" s="23" t="s">
        <v>976</v>
      </c>
      <c r="B190" s="23" t="s">
        <v>977</v>
      </c>
      <c r="C190" s="24"/>
      <c r="D190" s="24"/>
      <c r="E190" s="24"/>
      <c r="F190" s="24"/>
      <c r="G190" s="24" t="s">
        <v>513</v>
      </c>
      <c r="H190" s="25">
        <v>42212.618055555555</v>
      </c>
      <c r="I190" s="29"/>
      <c r="J190" s="24"/>
      <c r="K190" s="24" t="s">
        <v>924</v>
      </c>
      <c r="L190" s="52" t="s">
        <v>1594</v>
      </c>
      <c r="M190" s="24" t="s">
        <v>1560</v>
      </c>
      <c r="N190" s="24" t="s">
        <v>1707</v>
      </c>
      <c r="O190" s="24"/>
      <c r="P190" s="25"/>
      <c r="Q190" s="25"/>
      <c r="R190" s="25"/>
      <c r="S190" s="25"/>
      <c r="T190" s="25"/>
      <c r="U190" s="25"/>
      <c r="V190" s="29"/>
    </row>
    <row r="191" spans="1:22" ht="30" x14ac:dyDescent="0.25">
      <c r="A191" s="23" t="s">
        <v>978</v>
      </c>
      <c r="B191" s="23" t="s">
        <v>979</v>
      </c>
      <c r="C191" s="24"/>
      <c r="D191" s="24"/>
      <c r="E191" s="24"/>
      <c r="F191" s="24"/>
      <c r="G191" s="24" t="s">
        <v>189</v>
      </c>
      <c r="H191" s="25">
        <v>42212.696527777778</v>
      </c>
      <c r="I191" s="29"/>
      <c r="J191" s="24"/>
      <c r="K191" s="24" t="s">
        <v>980</v>
      </c>
      <c r="L191" s="52" t="s">
        <v>1601</v>
      </c>
      <c r="M191" s="24" t="s">
        <v>1602</v>
      </c>
      <c r="N191" s="24" t="s">
        <v>1707</v>
      </c>
      <c r="O191" s="24" t="s">
        <v>1721</v>
      </c>
      <c r="P191" s="25"/>
      <c r="Q191" s="25"/>
      <c r="R191" s="25"/>
      <c r="S191" s="25"/>
      <c r="T191" s="25"/>
      <c r="U191" s="25"/>
      <c r="V191" s="29"/>
    </row>
    <row r="192" spans="1:22" ht="30" x14ac:dyDescent="0.25">
      <c r="A192" s="23" t="s">
        <v>981</v>
      </c>
      <c r="B192" s="23" t="s">
        <v>358</v>
      </c>
      <c r="C192" s="24"/>
      <c r="D192" s="24"/>
      <c r="E192" s="24"/>
      <c r="F192" s="24"/>
      <c r="G192" s="24" t="s">
        <v>513</v>
      </c>
      <c r="H192" s="25">
        <v>42212.806250000001</v>
      </c>
      <c r="I192" s="29"/>
      <c r="J192" s="24"/>
      <c r="K192" s="24" t="s">
        <v>703</v>
      </c>
      <c r="L192" s="52" t="s">
        <v>1561</v>
      </c>
      <c r="M192" s="24" t="s">
        <v>1537</v>
      </c>
      <c r="N192" s="24" t="s">
        <v>1707</v>
      </c>
      <c r="O192" s="24" t="s">
        <v>1721</v>
      </c>
      <c r="P192" s="25"/>
      <c r="Q192" s="25"/>
      <c r="R192" s="25"/>
      <c r="S192" s="25"/>
      <c r="T192" s="25"/>
      <c r="U192" s="25"/>
      <c r="V192" s="29" t="s">
        <v>2129</v>
      </c>
    </row>
    <row r="193" spans="1:22" x14ac:dyDescent="0.25">
      <c r="A193" s="23" t="s">
        <v>984</v>
      </c>
      <c r="B193" s="23" t="s">
        <v>985</v>
      </c>
      <c r="C193" s="24"/>
      <c r="D193" s="24"/>
      <c r="E193" s="24"/>
      <c r="F193" s="24"/>
      <c r="G193" s="24" t="s">
        <v>513</v>
      </c>
      <c r="H193" s="25">
        <v>42214.393750000003</v>
      </c>
      <c r="I193" s="29"/>
      <c r="J193" s="24"/>
      <c r="K193" s="24" t="s">
        <v>562</v>
      </c>
      <c r="L193" s="24"/>
      <c r="M193" s="24"/>
      <c r="N193" s="24"/>
      <c r="O193" s="24"/>
      <c r="P193" s="25"/>
      <c r="Q193" s="25"/>
      <c r="R193" s="25"/>
      <c r="S193" s="25"/>
      <c r="T193" s="25"/>
      <c r="U193" s="25"/>
      <c r="V193" s="29"/>
    </row>
    <row r="194" spans="1:22" ht="22.5" x14ac:dyDescent="0.25">
      <c r="A194" s="22" t="s">
        <v>986</v>
      </c>
      <c r="B194" s="23" t="s">
        <v>987</v>
      </c>
      <c r="C194" s="24" t="s">
        <v>988</v>
      </c>
      <c r="D194" s="24" t="s">
        <v>722</v>
      </c>
      <c r="E194" s="24" t="s">
        <v>511</v>
      </c>
      <c r="F194" s="24" t="s">
        <v>512</v>
      </c>
      <c r="G194" s="24" t="s">
        <v>188</v>
      </c>
      <c r="H194" s="25">
        <v>42214.697222222225</v>
      </c>
      <c r="I194" s="29" t="s">
        <v>242</v>
      </c>
      <c r="J194" s="24"/>
      <c r="K194" s="24" t="s">
        <v>562</v>
      </c>
      <c r="L194" s="24"/>
      <c r="M194" s="24"/>
      <c r="N194" s="52" t="s">
        <v>2182</v>
      </c>
      <c r="O194" s="24"/>
      <c r="P194" s="25"/>
      <c r="Q194" s="25"/>
      <c r="R194" s="25"/>
      <c r="S194" s="25"/>
      <c r="T194" s="25"/>
      <c r="U194" s="25">
        <v>42275</v>
      </c>
      <c r="V194" s="29" t="s">
        <v>989</v>
      </c>
    </row>
    <row r="195" spans="1:22" ht="30" x14ac:dyDescent="0.25">
      <c r="A195" s="23" t="s">
        <v>990</v>
      </c>
      <c r="B195" s="23" t="s">
        <v>991</v>
      </c>
      <c r="C195" s="24"/>
      <c r="D195" s="24"/>
      <c r="E195" s="24"/>
      <c r="F195" s="24"/>
      <c r="G195" s="24" t="s">
        <v>189</v>
      </c>
      <c r="H195" s="25">
        <v>42214.756944444445</v>
      </c>
      <c r="I195" s="29"/>
      <c r="J195" s="24"/>
      <c r="K195" s="24" t="s">
        <v>574</v>
      </c>
      <c r="L195" s="52" t="s">
        <v>1565</v>
      </c>
      <c r="M195" s="24" t="s">
        <v>1552</v>
      </c>
      <c r="N195" s="24" t="s">
        <v>1707</v>
      </c>
      <c r="O195" s="24" t="s">
        <v>1710</v>
      </c>
      <c r="P195" s="25"/>
      <c r="Q195" s="25"/>
      <c r="R195" s="25"/>
      <c r="S195" s="25"/>
      <c r="T195" s="25"/>
      <c r="U195" s="25"/>
      <c r="V195" s="29"/>
    </row>
    <row r="196" spans="1:22" ht="30" x14ac:dyDescent="0.25">
      <c r="A196" s="23" t="s">
        <v>992</v>
      </c>
      <c r="B196" s="23" t="s">
        <v>993</v>
      </c>
      <c r="C196" s="24"/>
      <c r="D196" s="24"/>
      <c r="E196" s="24"/>
      <c r="F196" s="24"/>
      <c r="G196" s="24" t="s">
        <v>810</v>
      </c>
      <c r="H196" s="25">
        <v>42214.781944444447</v>
      </c>
      <c r="I196" s="29"/>
      <c r="J196" s="24"/>
      <c r="K196" s="24" t="s">
        <v>994</v>
      </c>
      <c r="L196" s="52" t="s">
        <v>1603</v>
      </c>
      <c r="M196" s="24" t="s">
        <v>1552</v>
      </c>
      <c r="N196" s="24" t="s">
        <v>1707</v>
      </c>
      <c r="O196" s="24" t="s">
        <v>1721</v>
      </c>
      <c r="P196" s="25"/>
      <c r="Q196" s="25"/>
      <c r="R196" s="25"/>
      <c r="S196" s="25"/>
      <c r="T196" s="25"/>
      <c r="U196" s="25"/>
      <c r="V196" s="29"/>
    </row>
    <row r="197" spans="1:22" ht="30" x14ac:dyDescent="0.25">
      <c r="A197" s="23" t="s">
        <v>995</v>
      </c>
      <c r="B197" s="23" t="s">
        <v>996</v>
      </c>
      <c r="C197" s="24"/>
      <c r="D197" s="24"/>
      <c r="E197" s="24"/>
      <c r="F197" s="24"/>
      <c r="G197" s="24" t="s">
        <v>189</v>
      </c>
      <c r="H197" s="25">
        <v>42215.629861111112</v>
      </c>
      <c r="I197" s="29"/>
      <c r="J197" s="24"/>
      <c r="K197" s="24" t="s">
        <v>650</v>
      </c>
      <c r="L197" s="52" t="s">
        <v>1564</v>
      </c>
      <c r="M197" s="24" t="s">
        <v>1604</v>
      </c>
      <c r="N197" s="24" t="s">
        <v>1707</v>
      </c>
      <c r="O197" s="24" t="s">
        <v>1721</v>
      </c>
      <c r="P197" s="25"/>
      <c r="Q197" s="25"/>
      <c r="R197" s="25"/>
      <c r="S197" s="25"/>
      <c r="T197" s="25"/>
      <c r="U197" s="25"/>
      <c r="V197" s="29"/>
    </row>
    <row r="198" spans="1:22" ht="45" x14ac:dyDescent="0.25">
      <c r="A198" s="23" t="s">
        <v>997</v>
      </c>
      <c r="B198" s="23" t="s">
        <v>998</v>
      </c>
      <c r="C198" s="24"/>
      <c r="D198" s="24"/>
      <c r="E198" s="24"/>
      <c r="F198" s="24"/>
      <c r="G198" s="24" t="s">
        <v>189</v>
      </c>
      <c r="H198" s="25">
        <v>42215.795138888891</v>
      </c>
      <c r="I198" s="29"/>
      <c r="J198" s="24"/>
      <c r="K198" s="24" t="s">
        <v>594</v>
      </c>
      <c r="L198" s="52" t="s">
        <v>1549</v>
      </c>
      <c r="M198" s="24" t="s">
        <v>1560</v>
      </c>
      <c r="N198" s="24" t="s">
        <v>1707</v>
      </c>
      <c r="O198" s="24"/>
      <c r="P198" s="25"/>
      <c r="Q198" s="25"/>
      <c r="R198" s="25"/>
      <c r="S198" s="25"/>
      <c r="T198" s="25"/>
      <c r="U198" s="25">
        <v>42383</v>
      </c>
      <c r="V198" s="29"/>
    </row>
    <row r="199" spans="1:22" ht="90" x14ac:dyDescent="0.25">
      <c r="A199" s="23" t="s">
        <v>999</v>
      </c>
      <c r="B199" s="23" t="s">
        <v>1000</v>
      </c>
      <c r="C199" s="24"/>
      <c r="D199" s="24"/>
      <c r="E199" s="24" t="s">
        <v>511</v>
      </c>
      <c r="F199" s="24" t="s">
        <v>180</v>
      </c>
      <c r="G199" s="24" t="s">
        <v>810</v>
      </c>
      <c r="H199" s="25">
        <v>42216.52847222222</v>
      </c>
      <c r="I199" s="29" t="s">
        <v>1001</v>
      </c>
      <c r="J199" s="24"/>
      <c r="K199" s="24" t="s">
        <v>677</v>
      </c>
      <c r="L199" s="24"/>
      <c r="M199" s="24"/>
      <c r="N199" s="24" t="s">
        <v>1707</v>
      </c>
      <c r="O199" s="24"/>
      <c r="P199" s="25"/>
      <c r="Q199" s="25"/>
      <c r="R199" s="25"/>
      <c r="S199" s="25"/>
      <c r="T199" s="25"/>
      <c r="U199" s="25">
        <v>42354</v>
      </c>
      <c r="V199" s="29" t="s">
        <v>1001</v>
      </c>
    </row>
    <row r="200" spans="1:22" x14ac:dyDescent="0.25">
      <c r="A200" s="23" t="s">
        <v>1002</v>
      </c>
      <c r="B200" s="23" t="s">
        <v>1003</v>
      </c>
      <c r="C200" s="24"/>
      <c r="D200" s="24"/>
      <c r="E200" s="24"/>
      <c r="F200" s="24"/>
      <c r="G200" s="24" t="s">
        <v>189</v>
      </c>
      <c r="H200" s="25">
        <v>42216.670138888891</v>
      </c>
      <c r="I200" s="29"/>
      <c r="J200" s="24"/>
      <c r="K200" s="24" t="s">
        <v>1004</v>
      </c>
      <c r="L200" s="24"/>
      <c r="M200" s="24"/>
      <c r="N200" s="24" t="s">
        <v>1707</v>
      </c>
      <c r="O200" s="24" t="s">
        <v>2190</v>
      </c>
      <c r="P200" s="25"/>
      <c r="Q200" s="25"/>
      <c r="R200" s="25"/>
      <c r="S200" s="25"/>
      <c r="T200" s="25"/>
      <c r="U200" s="25">
        <v>42383</v>
      </c>
      <c r="V200" s="29" t="s">
        <v>2206</v>
      </c>
    </row>
    <row r="201" spans="1:22" ht="30" x14ac:dyDescent="0.25">
      <c r="A201" s="23" t="s">
        <v>1005</v>
      </c>
      <c r="B201" s="23" t="s">
        <v>1006</v>
      </c>
      <c r="C201" s="24"/>
      <c r="D201" s="24"/>
      <c r="E201" s="24"/>
      <c r="F201" s="24"/>
      <c r="G201" s="24" t="s">
        <v>513</v>
      </c>
      <c r="H201" s="25">
        <v>42216.699305555558</v>
      </c>
      <c r="I201" s="29"/>
      <c r="J201" s="24"/>
      <c r="K201" s="24" t="s">
        <v>650</v>
      </c>
      <c r="L201" s="52" t="s">
        <v>1605</v>
      </c>
      <c r="M201" s="24" t="s">
        <v>1537</v>
      </c>
      <c r="N201" s="24" t="s">
        <v>1707</v>
      </c>
      <c r="O201" s="24" t="s">
        <v>1721</v>
      </c>
      <c r="P201" s="25"/>
      <c r="Q201" s="25"/>
      <c r="R201" s="25"/>
      <c r="S201" s="25"/>
      <c r="T201" s="25"/>
      <c r="U201" s="25"/>
      <c r="V201" s="29" t="s">
        <v>2446</v>
      </c>
    </row>
    <row r="202" spans="1:22" x14ac:dyDescent="0.25">
      <c r="A202" s="23" t="s">
        <v>1007</v>
      </c>
      <c r="B202" s="23" t="s">
        <v>358</v>
      </c>
      <c r="C202" s="24"/>
      <c r="D202" s="24"/>
      <c r="E202" s="24"/>
      <c r="F202" s="24"/>
      <c r="G202" s="24" t="s">
        <v>513</v>
      </c>
      <c r="H202" s="25">
        <v>42216.731249999997</v>
      </c>
      <c r="I202" s="29"/>
      <c r="J202" s="24"/>
      <c r="K202" s="24" t="s">
        <v>608</v>
      </c>
      <c r="L202" s="24"/>
      <c r="M202" s="24"/>
      <c r="N202" s="24" t="s">
        <v>1707</v>
      </c>
      <c r="O202" s="24"/>
      <c r="P202" s="25"/>
      <c r="Q202" s="25"/>
      <c r="R202" s="25"/>
      <c r="S202" s="25"/>
      <c r="T202" s="25"/>
      <c r="U202" s="25"/>
      <c r="V202" s="29"/>
    </row>
    <row r="203" spans="1:22" ht="30" x14ac:dyDescent="0.25">
      <c r="A203" s="23" t="s">
        <v>1008</v>
      </c>
      <c r="B203" s="23" t="s">
        <v>1009</v>
      </c>
      <c r="C203" s="24"/>
      <c r="D203" s="24"/>
      <c r="E203" s="24"/>
      <c r="F203" s="24"/>
      <c r="G203" s="24" t="s">
        <v>189</v>
      </c>
      <c r="H203" s="25">
        <v>42216.816666666666</v>
      </c>
      <c r="I203" s="29"/>
      <c r="J203" s="24"/>
      <c r="K203" s="24" t="s">
        <v>594</v>
      </c>
      <c r="L203" s="52" t="s">
        <v>1549</v>
      </c>
      <c r="M203" s="24" t="s">
        <v>1537</v>
      </c>
      <c r="N203" s="24" t="s">
        <v>1707</v>
      </c>
      <c r="O203" s="24"/>
      <c r="P203" s="25"/>
      <c r="Q203" s="25"/>
      <c r="R203" s="25"/>
      <c r="S203" s="25"/>
      <c r="T203" s="25"/>
      <c r="U203" s="25">
        <v>42383</v>
      </c>
      <c r="V203" s="29"/>
    </row>
    <row r="204" spans="1:22" ht="30" x14ac:dyDescent="0.25">
      <c r="A204" s="23" t="s">
        <v>1010</v>
      </c>
      <c r="B204" s="23" t="s">
        <v>358</v>
      </c>
      <c r="C204" s="24"/>
      <c r="D204" s="24"/>
      <c r="E204" s="24"/>
      <c r="F204" s="24"/>
      <c r="G204" s="24" t="s">
        <v>513</v>
      </c>
      <c r="H204" s="25">
        <v>42219.607638888891</v>
      </c>
      <c r="I204" s="29"/>
      <c r="J204" s="24"/>
      <c r="K204" s="24" t="s">
        <v>1011</v>
      </c>
      <c r="L204" s="52" t="s">
        <v>1606</v>
      </c>
      <c r="M204" s="24" t="s">
        <v>1537</v>
      </c>
      <c r="N204" s="24" t="s">
        <v>1707</v>
      </c>
      <c r="O204" s="24"/>
      <c r="P204" s="25"/>
      <c r="Q204" s="25"/>
      <c r="R204" s="25"/>
      <c r="S204" s="25"/>
      <c r="T204" s="25"/>
      <c r="U204" s="25"/>
      <c r="V204" s="29"/>
    </row>
    <row r="205" spans="1:22" x14ac:dyDescent="0.25">
      <c r="A205" s="23" t="s">
        <v>1012</v>
      </c>
      <c r="B205" s="23" t="s">
        <v>386</v>
      </c>
      <c r="C205" s="24"/>
      <c r="D205" s="24"/>
      <c r="E205" s="24"/>
      <c r="F205" s="24"/>
      <c r="G205" s="24" t="s">
        <v>189</v>
      </c>
      <c r="H205" s="25">
        <v>42219.672222222223</v>
      </c>
      <c r="I205" s="29"/>
      <c r="J205" s="24"/>
      <c r="K205" s="24" t="s">
        <v>983</v>
      </c>
      <c r="L205" s="24"/>
      <c r="M205" s="24"/>
      <c r="N205" s="52" t="s">
        <v>2182</v>
      </c>
      <c r="O205" s="24"/>
      <c r="P205" s="25"/>
      <c r="Q205" s="25"/>
      <c r="R205" s="25"/>
      <c r="S205" s="25"/>
      <c r="T205" s="25"/>
      <c r="U205" s="25"/>
      <c r="V205" s="29"/>
    </row>
    <row r="206" spans="1:22" ht="22.5" x14ac:dyDescent="0.25">
      <c r="A206" s="23" t="s">
        <v>1013</v>
      </c>
      <c r="B206" s="23" t="s">
        <v>1014</v>
      </c>
      <c r="C206" s="24"/>
      <c r="D206" s="24"/>
      <c r="E206" s="24"/>
      <c r="F206" s="24"/>
      <c r="G206" s="24" t="s">
        <v>189</v>
      </c>
      <c r="H206" s="25">
        <v>42220.365277777775</v>
      </c>
      <c r="I206" s="29"/>
      <c r="J206" s="24"/>
      <c r="K206" s="24" t="s">
        <v>562</v>
      </c>
      <c r="L206" s="24"/>
      <c r="M206" s="24"/>
      <c r="N206" s="52" t="s">
        <v>2182</v>
      </c>
      <c r="O206" s="24"/>
      <c r="P206" s="25"/>
      <c r="Q206" s="25"/>
      <c r="R206" s="25"/>
      <c r="S206" s="25"/>
      <c r="T206" s="25"/>
      <c r="U206" s="25"/>
      <c r="V206" s="29"/>
    </row>
    <row r="207" spans="1:22" ht="30" x14ac:dyDescent="0.25">
      <c r="A207" s="23" t="s">
        <v>1015</v>
      </c>
      <c r="B207" s="23" t="s">
        <v>1016</v>
      </c>
      <c r="C207" s="24"/>
      <c r="D207" s="24"/>
      <c r="E207" s="24"/>
      <c r="F207" s="24"/>
      <c r="G207" s="24" t="s">
        <v>513</v>
      </c>
      <c r="H207" s="25">
        <v>42220.668749999997</v>
      </c>
      <c r="I207" s="29"/>
      <c r="J207" s="24"/>
      <c r="K207" s="24" t="s">
        <v>1017</v>
      </c>
      <c r="L207" s="52" t="s">
        <v>1607</v>
      </c>
      <c r="M207" s="24" t="s">
        <v>1537</v>
      </c>
      <c r="N207" s="24" t="s">
        <v>1707</v>
      </c>
      <c r="O207" s="24" t="s">
        <v>1710</v>
      </c>
      <c r="P207" s="25"/>
      <c r="Q207" s="25"/>
      <c r="R207" s="25"/>
      <c r="S207" s="25"/>
      <c r="T207" s="25"/>
      <c r="U207" s="25"/>
      <c r="V207" s="29" t="s">
        <v>1711</v>
      </c>
    </row>
    <row r="208" spans="1:22" ht="22.5" x14ac:dyDescent="0.25">
      <c r="A208" s="22" t="s">
        <v>1018</v>
      </c>
      <c r="B208" s="23" t="s">
        <v>1019</v>
      </c>
      <c r="C208" s="24" t="s">
        <v>1020</v>
      </c>
      <c r="D208" s="24" t="s">
        <v>1021</v>
      </c>
      <c r="E208" s="24" t="s">
        <v>531</v>
      </c>
      <c r="F208" s="24" t="s">
        <v>180</v>
      </c>
      <c r="G208" s="24" t="s">
        <v>189</v>
      </c>
      <c r="H208" s="25">
        <v>42221.496527777781</v>
      </c>
      <c r="I208" s="29" t="s">
        <v>242</v>
      </c>
      <c r="J208" s="24" t="s">
        <v>501</v>
      </c>
      <c r="K208" s="24" t="s">
        <v>636</v>
      </c>
      <c r="L208" s="24"/>
      <c r="M208" s="24"/>
      <c r="N208" s="52" t="s">
        <v>2182</v>
      </c>
      <c r="O208" s="24"/>
      <c r="P208" s="25">
        <v>42222</v>
      </c>
      <c r="Q208" s="25">
        <v>42282</v>
      </c>
      <c r="R208" s="25" t="s">
        <v>264</v>
      </c>
      <c r="S208" s="25">
        <v>42223</v>
      </c>
      <c r="T208" s="25" t="s">
        <v>264</v>
      </c>
      <c r="U208" s="25">
        <v>42282</v>
      </c>
      <c r="V208" s="29"/>
    </row>
    <row r="209" spans="1:22" ht="30" x14ac:dyDescent="0.25">
      <c r="A209" s="23" t="s">
        <v>1022</v>
      </c>
      <c r="B209" s="23" t="s">
        <v>1023</v>
      </c>
      <c r="C209" s="24"/>
      <c r="D209" s="24"/>
      <c r="E209" s="24"/>
      <c r="F209" s="24"/>
      <c r="G209" s="24" t="s">
        <v>810</v>
      </c>
      <c r="H209" s="25">
        <v>42221.652083333334</v>
      </c>
      <c r="I209" s="29"/>
      <c r="J209" s="24"/>
      <c r="K209" s="24" t="s">
        <v>636</v>
      </c>
      <c r="L209" s="52" t="s">
        <v>1576</v>
      </c>
      <c r="M209" s="24" t="s">
        <v>1537</v>
      </c>
      <c r="N209" s="24" t="s">
        <v>1707</v>
      </c>
      <c r="O209" s="24" t="s">
        <v>1721</v>
      </c>
      <c r="P209" s="25"/>
      <c r="Q209" s="25"/>
      <c r="R209" s="25"/>
      <c r="S209" s="25"/>
      <c r="T209" s="25"/>
      <c r="U209" s="25"/>
      <c r="V209" s="29" t="s">
        <v>1723</v>
      </c>
    </row>
    <row r="210" spans="1:22" x14ac:dyDescent="0.25">
      <c r="A210" s="22" t="s">
        <v>1024</v>
      </c>
      <c r="B210" s="23" t="s">
        <v>1025</v>
      </c>
      <c r="C210" s="24" t="s">
        <v>721</v>
      </c>
      <c r="D210" s="24" t="s">
        <v>722</v>
      </c>
      <c r="E210" s="24" t="s">
        <v>531</v>
      </c>
      <c r="F210" s="24" t="s">
        <v>180</v>
      </c>
      <c r="G210" s="24" t="s">
        <v>189</v>
      </c>
      <c r="H210" s="25">
        <v>42222.428472222222</v>
      </c>
      <c r="I210" s="29" t="s">
        <v>242</v>
      </c>
      <c r="J210" s="24" t="s">
        <v>501</v>
      </c>
      <c r="K210" s="24" t="s">
        <v>562</v>
      </c>
      <c r="L210" s="24"/>
      <c r="M210" s="24"/>
      <c r="N210" s="52" t="s">
        <v>2182</v>
      </c>
      <c r="O210" s="24"/>
      <c r="P210" s="25">
        <v>42222</v>
      </c>
      <c r="Q210" s="25">
        <v>42226</v>
      </c>
      <c r="R210" s="25">
        <v>42228</v>
      </c>
      <c r="S210" s="25">
        <v>42231</v>
      </c>
      <c r="T210" s="25">
        <v>42257</v>
      </c>
      <c r="U210" s="25">
        <v>42270</v>
      </c>
      <c r="V210" s="29" t="s">
        <v>1026</v>
      </c>
    </row>
    <row r="211" spans="1:22" ht="247.5" x14ac:dyDescent="0.25">
      <c r="A211" s="23" t="s">
        <v>1027</v>
      </c>
      <c r="B211" s="23" t="s">
        <v>1028</v>
      </c>
      <c r="C211" s="24"/>
      <c r="D211" s="24"/>
      <c r="E211" s="24"/>
      <c r="F211" s="24"/>
      <c r="G211" s="24" t="s">
        <v>513</v>
      </c>
      <c r="H211" s="25">
        <v>42222.581250000003</v>
      </c>
      <c r="I211" s="29"/>
      <c r="J211" s="24"/>
      <c r="K211" s="24" t="s">
        <v>1029</v>
      </c>
      <c r="L211" s="52" t="s">
        <v>1608</v>
      </c>
      <c r="M211" s="24" t="s">
        <v>1537</v>
      </c>
      <c r="N211" s="24" t="s">
        <v>1728</v>
      </c>
      <c r="O211" s="24"/>
      <c r="P211" s="25"/>
      <c r="Q211" s="25"/>
      <c r="R211" s="25"/>
      <c r="S211" s="25"/>
      <c r="T211" s="25"/>
      <c r="U211" s="25"/>
      <c r="V211" s="29" t="s">
        <v>2185</v>
      </c>
    </row>
    <row r="212" spans="1:22" ht="30" x14ac:dyDescent="0.25">
      <c r="A212" s="23" t="s">
        <v>1030</v>
      </c>
      <c r="B212" s="23" t="s">
        <v>1031</v>
      </c>
      <c r="C212" s="24"/>
      <c r="D212" s="24"/>
      <c r="E212" s="24"/>
      <c r="F212" s="24"/>
      <c r="G212" s="24" t="s">
        <v>189</v>
      </c>
      <c r="H212" s="25">
        <v>42222.600694444445</v>
      </c>
      <c r="I212" s="29"/>
      <c r="J212" s="24"/>
      <c r="K212" s="24" t="s">
        <v>938</v>
      </c>
      <c r="L212" s="52" t="s">
        <v>1609</v>
      </c>
      <c r="M212" s="24" t="s">
        <v>1610</v>
      </c>
      <c r="N212" s="24" t="s">
        <v>1707</v>
      </c>
      <c r="O212" s="24" t="s">
        <v>1710</v>
      </c>
      <c r="P212" s="25"/>
      <c r="Q212" s="25"/>
      <c r="R212" s="25"/>
      <c r="S212" s="25"/>
      <c r="T212" s="25"/>
      <c r="U212" s="25"/>
      <c r="V212" s="29"/>
    </row>
    <row r="213" spans="1:22" ht="22.5" x14ac:dyDescent="0.25">
      <c r="A213" s="23" t="s">
        <v>1032</v>
      </c>
      <c r="B213" s="23" t="s">
        <v>1033</v>
      </c>
      <c r="C213" s="24"/>
      <c r="D213" s="24"/>
      <c r="E213" s="24"/>
      <c r="F213" s="24"/>
      <c r="G213" s="24" t="s">
        <v>189</v>
      </c>
      <c r="H213" s="25">
        <v>42222.678472222222</v>
      </c>
      <c r="I213" s="29"/>
      <c r="J213" s="24"/>
      <c r="K213" s="24" t="s">
        <v>694</v>
      </c>
      <c r="L213" s="24"/>
      <c r="M213" s="24"/>
      <c r="N213" s="52" t="s">
        <v>2182</v>
      </c>
      <c r="O213" s="24"/>
      <c r="P213" s="25"/>
      <c r="Q213" s="25"/>
      <c r="R213" s="25"/>
      <c r="S213" s="25"/>
      <c r="T213" s="25"/>
      <c r="U213" s="25"/>
      <c r="V213" s="29"/>
    </row>
    <row r="214" spans="1:22" ht="30" x14ac:dyDescent="0.25">
      <c r="A214" s="23" t="s">
        <v>1034</v>
      </c>
      <c r="B214" s="23" t="s">
        <v>1035</v>
      </c>
      <c r="C214" s="24"/>
      <c r="D214" s="24"/>
      <c r="E214" s="24"/>
      <c r="F214" s="24"/>
      <c r="G214" s="24" t="s">
        <v>189</v>
      </c>
      <c r="H214" s="25">
        <v>42222.763194444444</v>
      </c>
      <c r="I214" s="29"/>
      <c r="J214" s="24"/>
      <c r="K214" s="24" t="s">
        <v>903</v>
      </c>
      <c r="L214" s="52" t="s">
        <v>1588</v>
      </c>
      <c r="M214" s="24" t="s">
        <v>1610</v>
      </c>
      <c r="N214" s="24" t="s">
        <v>1707</v>
      </c>
      <c r="O214" s="24" t="s">
        <v>1710</v>
      </c>
      <c r="P214" s="25"/>
      <c r="Q214" s="25"/>
      <c r="R214" s="25"/>
      <c r="S214" s="25"/>
      <c r="T214" s="25"/>
      <c r="U214" s="25">
        <v>42383</v>
      </c>
      <c r="V214" s="29"/>
    </row>
    <row r="215" spans="1:22" ht="45" x14ac:dyDescent="0.25">
      <c r="A215" s="23" t="s">
        <v>1036</v>
      </c>
      <c r="B215" s="23" t="s">
        <v>1037</v>
      </c>
      <c r="C215" s="24"/>
      <c r="D215" s="24"/>
      <c r="E215" s="24"/>
      <c r="F215" s="24"/>
      <c r="G215" s="24" t="s">
        <v>189</v>
      </c>
      <c r="H215" s="25">
        <v>42222.770138888889</v>
      </c>
      <c r="I215" s="29"/>
      <c r="J215" s="24"/>
      <c r="K215" s="24" t="s">
        <v>1004</v>
      </c>
      <c r="L215" s="52" t="s">
        <v>1611</v>
      </c>
      <c r="M215" s="24" t="s">
        <v>1560</v>
      </c>
      <c r="N215" s="24" t="s">
        <v>1707</v>
      </c>
      <c r="O215" s="24" t="s">
        <v>1710</v>
      </c>
      <c r="P215" s="25"/>
      <c r="Q215" s="25"/>
      <c r="R215" s="25"/>
      <c r="S215" s="25"/>
      <c r="T215" s="25"/>
      <c r="U215" s="25">
        <v>42383</v>
      </c>
      <c r="V215" s="29" t="s">
        <v>1712</v>
      </c>
    </row>
    <row r="216" spans="1:22" ht="30" x14ac:dyDescent="0.25">
      <c r="A216" s="23" t="s">
        <v>1038</v>
      </c>
      <c r="B216" s="23" t="s">
        <v>1039</v>
      </c>
      <c r="C216" s="24"/>
      <c r="D216" s="24"/>
      <c r="E216" s="24"/>
      <c r="F216" s="24"/>
      <c r="G216" s="24" t="s">
        <v>188</v>
      </c>
      <c r="H216" s="25">
        <v>42223.438194444447</v>
      </c>
      <c r="I216" s="29"/>
      <c r="J216" s="24"/>
      <c r="K216" s="24" t="s">
        <v>838</v>
      </c>
      <c r="L216" s="52" t="s">
        <v>1577</v>
      </c>
      <c r="M216" s="24" t="s">
        <v>1537</v>
      </c>
      <c r="N216" s="24" t="s">
        <v>1707</v>
      </c>
      <c r="O216" s="24" t="s">
        <v>1710</v>
      </c>
      <c r="P216" s="25"/>
      <c r="Q216" s="25"/>
      <c r="R216" s="25"/>
      <c r="S216" s="25"/>
      <c r="T216" s="25"/>
      <c r="U216" s="25"/>
      <c r="V216" s="29"/>
    </row>
    <row r="217" spans="1:22" ht="22.5" x14ac:dyDescent="0.25">
      <c r="A217" s="22" t="s">
        <v>1040</v>
      </c>
      <c r="B217" s="23" t="s">
        <v>1041</v>
      </c>
      <c r="C217" s="24" t="s">
        <v>529</v>
      </c>
      <c r="D217" s="24" t="s">
        <v>1042</v>
      </c>
      <c r="E217" s="24" t="s">
        <v>531</v>
      </c>
      <c r="F217" s="24" t="s">
        <v>180</v>
      </c>
      <c r="G217" s="24" t="s">
        <v>189</v>
      </c>
      <c r="H217" s="25">
        <v>42223.657638888886</v>
      </c>
      <c r="I217" s="29" t="s">
        <v>242</v>
      </c>
      <c r="J217" s="24" t="s">
        <v>501</v>
      </c>
      <c r="K217" s="24" t="s">
        <v>806</v>
      </c>
      <c r="L217" s="24"/>
      <c r="M217" s="24"/>
      <c r="N217" s="52" t="s">
        <v>2182</v>
      </c>
      <c r="O217" s="24"/>
      <c r="P217" s="25">
        <v>42227</v>
      </c>
      <c r="Q217" s="25">
        <v>42229</v>
      </c>
      <c r="R217" s="25">
        <v>42229</v>
      </c>
      <c r="S217" s="25">
        <v>42236</v>
      </c>
      <c r="T217" s="25">
        <v>42247</v>
      </c>
      <c r="U217" s="25">
        <v>42250</v>
      </c>
      <c r="V217" s="29" t="s">
        <v>1043</v>
      </c>
    </row>
    <row r="218" spans="1:22" ht="30" x14ac:dyDescent="0.25">
      <c r="A218" s="23" t="s">
        <v>1044</v>
      </c>
      <c r="B218" s="23" t="s">
        <v>1045</v>
      </c>
      <c r="C218" s="24"/>
      <c r="D218" s="24"/>
      <c r="E218" s="24"/>
      <c r="F218" s="24"/>
      <c r="G218" s="24" t="s">
        <v>189</v>
      </c>
      <c r="H218" s="25">
        <v>42223.719444444447</v>
      </c>
      <c r="I218" s="29"/>
      <c r="J218" s="24"/>
      <c r="K218" s="24" t="s">
        <v>562</v>
      </c>
      <c r="L218" s="52" t="s">
        <v>1541</v>
      </c>
      <c r="M218" s="24" t="s">
        <v>1537</v>
      </c>
      <c r="N218" s="24" t="s">
        <v>1707</v>
      </c>
      <c r="O218" s="24" t="s">
        <v>1710</v>
      </c>
      <c r="P218" s="25"/>
      <c r="Q218" s="25"/>
      <c r="R218" s="25"/>
      <c r="S218" s="25"/>
      <c r="T218" s="25"/>
      <c r="U218" s="25"/>
      <c r="V218" s="29"/>
    </row>
    <row r="219" spans="1:22" ht="30" x14ac:dyDescent="0.25">
      <c r="A219" s="23" t="s">
        <v>1046</v>
      </c>
      <c r="B219" s="23" t="s">
        <v>1047</v>
      </c>
      <c r="C219" s="24"/>
      <c r="D219" s="24"/>
      <c r="E219" s="24"/>
      <c r="F219" s="24"/>
      <c r="G219" s="24" t="s">
        <v>513</v>
      </c>
      <c r="H219" s="25">
        <v>42223.734027777777</v>
      </c>
      <c r="I219" s="29"/>
      <c r="J219" s="24"/>
      <c r="K219" s="24" t="s">
        <v>1048</v>
      </c>
      <c r="L219" s="52" t="s">
        <v>1612</v>
      </c>
      <c r="M219" s="24" t="s">
        <v>1537</v>
      </c>
      <c r="N219" s="24" t="s">
        <v>1707</v>
      </c>
      <c r="O219" s="24"/>
      <c r="P219" s="25"/>
      <c r="Q219" s="25"/>
      <c r="R219" s="25"/>
      <c r="S219" s="25"/>
      <c r="T219" s="25"/>
      <c r="U219" s="25"/>
      <c r="V219" s="29"/>
    </row>
    <row r="220" spans="1:22" ht="22.5" x14ac:dyDescent="0.25">
      <c r="A220" s="23" t="s">
        <v>1051</v>
      </c>
      <c r="B220" s="23" t="s">
        <v>1052</v>
      </c>
      <c r="C220" s="24"/>
      <c r="D220" s="24"/>
      <c r="E220" s="24"/>
      <c r="F220" s="24"/>
      <c r="G220" s="24" t="s">
        <v>513</v>
      </c>
      <c r="H220" s="25">
        <v>42226.500694444447</v>
      </c>
      <c r="I220" s="29"/>
      <c r="J220" s="24"/>
      <c r="K220" s="24" t="s">
        <v>636</v>
      </c>
      <c r="L220" s="24"/>
      <c r="M220" s="24"/>
      <c r="N220" s="24" t="s">
        <v>1728</v>
      </c>
      <c r="O220" s="24"/>
      <c r="P220" s="25"/>
      <c r="Q220" s="25"/>
      <c r="R220" s="25"/>
      <c r="S220" s="25"/>
      <c r="T220" s="25"/>
      <c r="U220" s="25"/>
      <c r="V220" s="29" t="s">
        <v>1613</v>
      </c>
    </row>
    <row r="221" spans="1:22" ht="22.5" x14ac:dyDescent="0.25">
      <c r="A221" s="23" t="s">
        <v>1053</v>
      </c>
      <c r="B221" s="23" t="s">
        <v>1054</v>
      </c>
      <c r="C221" s="24"/>
      <c r="D221" s="24"/>
      <c r="E221" s="24"/>
      <c r="F221" s="24"/>
      <c r="G221" s="24" t="s">
        <v>189</v>
      </c>
      <c r="H221" s="25">
        <v>42226.660416666666</v>
      </c>
      <c r="I221" s="29"/>
      <c r="J221" s="24"/>
      <c r="K221" s="24" t="s">
        <v>636</v>
      </c>
      <c r="L221" s="24"/>
      <c r="M221" s="24"/>
      <c r="N221" s="52" t="s">
        <v>2182</v>
      </c>
      <c r="O221" s="24"/>
      <c r="P221" s="25"/>
      <c r="Q221" s="25"/>
      <c r="R221" s="25"/>
      <c r="S221" s="25"/>
      <c r="T221" s="25"/>
      <c r="U221" s="25"/>
      <c r="V221" s="29"/>
    </row>
    <row r="222" spans="1:22" x14ac:dyDescent="0.25">
      <c r="A222" s="22" t="s">
        <v>1055</v>
      </c>
      <c r="B222" s="23" t="s">
        <v>1056</v>
      </c>
      <c r="C222" s="24" t="s">
        <v>649</v>
      </c>
      <c r="D222" s="24" t="s">
        <v>649</v>
      </c>
      <c r="E222" s="24" t="s">
        <v>261</v>
      </c>
      <c r="F222" s="24" t="s">
        <v>180</v>
      </c>
      <c r="G222" s="24" t="s">
        <v>189</v>
      </c>
      <c r="H222" s="25">
        <v>42228.529861111114</v>
      </c>
      <c r="I222" s="29" t="s">
        <v>242</v>
      </c>
      <c r="J222" s="24" t="s">
        <v>501</v>
      </c>
      <c r="K222" s="24" t="s">
        <v>650</v>
      </c>
      <c r="L222" s="24"/>
      <c r="M222" s="24"/>
      <c r="N222" s="52" t="s">
        <v>2182</v>
      </c>
      <c r="O222" s="24"/>
      <c r="P222" s="25">
        <v>42236</v>
      </c>
      <c r="Q222" s="25">
        <v>42238</v>
      </c>
      <c r="R222" s="25">
        <v>42238</v>
      </c>
      <c r="S222" s="25">
        <v>42239</v>
      </c>
      <c r="T222" s="25">
        <v>42251</v>
      </c>
      <c r="U222" s="25">
        <v>42256</v>
      </c>
      <c r="V222" s="29" t="s">
        <v>1057</v>
      </c>
    </row>
    <row r="223" spans="1:22" ht="30" x14ac:dyDescent="0.25">
      <c r="A223" s="23" t="s">
        <v>1058</v>
      </c>
      <c r="B223" s="23" t="s">
        <v>1059</v>
      </c>
      <c r="C223" s="24"/>
      <c r="D223" s="24"/>
      <c r="E223" s="24"/>
      <c r="F223" s="24"/>
      <c r="G223" s="24" t="s">
        <v>513</v>
      </c>
      <c r="H223" s="25">
        <v>42228.703472222223</v>
      </c>
      <c r="I223" s="29"/>
      <c r="J223" s="24"/>
      <c r="K223" s="24" t="s">
        <v>1060</v>
      </c>
      <c r="L223" s="52" t="s">
        <v>1614</v>
      </c>
      <c r="M223" s="24" t="s">
        <v>1537</v>
      </c>
      <c r="N223" s="24" t="s">
        <v>1707</v>
      </c>
      <c r="O223" s="24"/>
      <c r="P223" s="25"/>
      <c r="Q223" s="25"/>
      <c r="R223" s="25"/>
      <c r="S223" s="25"/>
      <c r="T223" s="25"/>
      <c r="U223" s="25"/>
      <c r="V223" s="29"/>
    </row>
    <row r="224" spans="1:22" ht="30" x14ac:dyDescent="0.25">
      <c r="A224" s="23" t="s">
        <v>1061</v>
      </c>
      <c r="B224" s="23" t="s">
        <v>1062</v>
      </c>
      <c r="C224" s="24"/>
      <c r="D224" s="24"/>
      <c r="E224" s="24"/>
      <c r="F224" s="24"/>
      <c r="G224" s="24" t="s">
        <v>513</v>
      </c>
      <c r="H224" s="25">
        <v>42228.754861111112</v>
      </c>
      <c r="I224" s="29"/>
      <c r="J224" s="24"/>
      <c r="K224" s="24" t="s">
        <v>650</v>
      </c>
      <c r="L224" s="52" t="s">
        <v>1564</v>
      </c>
      <c r="M224" s="24" t="s">
        <v>1537</v>
      </c>
      <c r="N224" s="24" t="s">
        <v>1707</v>
      </c>
      <c r="O224" s="24" t="s">
        <v>1721</v>
      </c>
      <c r="P224" s="25"/>
      <c r="Q224" s="25"/>
      <c r="R224" s="25"/>
      <c r="S224" s="25"/>
      <c r="T224" s="25"/>
      <c r="U224" s="25"/>
      <c r="V224" s="29" t="s">
        <v>1748</v>
      </c>
    </row>
    <row r="225" spans="1:22" x14ac:dyDescent="0.25">
      <c r="A225" s="28" t="s">
        <v>1063</v>
      </c>
      <c r="B225" s="23" t="s">
        <v>1064</v>
      </c>
      <c r="C225" s="24"/>
      <c r="D225" s="24"/>
      <c r="E225" s="24"/>
      <c r="F225" s="24"/>
      <c r="G225" s="24" t="s">
        <v>189</v>
      </c>
      <c r="H225" s="25">
        <v>42230.495833333334</v>
      </c>
      <c r="I225" s="29"/>
      <c r="J225" s="24"/>
      <c r="K225" s="24" t="s">
        <v>684</v>
      </c>
      <c r="L225" s="24"/>
      <c r="M225" s="24"/>
      <c r="N225" s="52" t="s">
        <v>2182</v>
      </c>
      <c r="O225" s="24"/>
      <c r="P225" s="25"/>
      <c r="Q225" s="25"/>
      <c r="R225" s="25"/>
      <c r="S225" s="25"/>
      <c r="T225" s="25"/>
      <c r="U225" s="25"/>
      <c r="V225" s="29" t="s">
        <v>156</v>
      </c>
    </row>
    <row r="226" spans="1:22" ht="30" x14ac:dyDescent="0.25">
      <c r="A226" s="23" t="s">
        <v>1065</v>
      </c>
      <c r="B226" s="23" t="s">
        <v>1066</v>
      </c>
      <c r="C226" s="24"/>
      <c r="D226" s="24"/>
      <c r="E226" s="24"/>
      <c r="F226" s="24"/>
      <c r="G226" s="24" t="s">
        <v>189</v>
      </c>
      <c r="H226" s="25">
        <v>42230.570138888892</v>
      </c>
      <c r="I226" s="29"/>
      <c r="J226" s="24"/>
      <c r="K226" s="24" t="s">
        <v>657</v>
      </c>
      <c r="L226" s="52" t="s">
        <v>1556</v>
      </c>
      <c r="M226" s="24" t="s">
        <v>1537</v>
      </c>
      <c r="N226" s="24" t="s">
        <v>1707</v>
      </c>
      <c r="O226" s="24" t="s">
        <v>2216</v>
      </c>
      <c r="P226" s="25"/>
      <c r="Q226" s="25"/>
      <c r="R226" s="25"/>
      <c r="S226" s="25"/>
      <c r="T226" s="25"/>
      <c r="U226" s="25"/>
      <c r="V226" s="29"/>
    </row>
    <row r="227" spans="1:22" ht="45" x14ac:dyDescent="0.25">
      <c r="A227" s="23" t="s">
        <v>1067</v>
      </c>
      <c r="B227" s="23" t="s">
        <v>1068</v>
      </c>
      <c r="C227" s="24"/>
      <c r="D227" s="24"/>
      <c r="E227" s="24"/>
      <c r="F227" s="24"/>
      <c r="G227" s="24" t="s">
        <v>189</v>
      </c>
      <c r="H227" s="25">
        <v>42230.913888888892</v>
      </c>
      <c r="I227" s="29"/>
      <c r="J227" s="24"/>
      <c r="K227" s="24" t="s">
        <v>1069</v>
      </c>
      <c r="L227" s="52" t="s">
        <v>1615</v>
      </c>
      <c r="M227" s="24" t="s">
        <v>1560</v>
      </c>
      <c r="N227" s="24" t="s">
        <v>1707</v>
      </c>
      <c r="O227" s="24" t="s">
        <v>1710</v>
      </c>
      <c r="P227" s="25"/>
      <c r="Q227" s="25"/>
      <c r="R227" s="25"/>
      <c r="S227" s="25"/>
      <c r="T227" s="25"/>
      <c r="U227" s="25"/>
      <c r="V227" s="29"/>
    </row>
    <row r="228" spans="1:22" ht="30" x14ac:dyDescent="0.25">
      <c r="A228" s="23" t="s">
        <v>1070</v>
      </c>
      <c r="B228" s="23" t="s">
        <v>358</v>
      </c>
      <c r="C228" s="24"/>
      <c r="D228" s="24"/>
      <c r="E228" s="24"/>
      <c r="F228" s="24"/>
      <c r="G228" s="24" t="s">
        <v>513</v>
      </c>
      <c r="H228" s="25">
        <v>42233.49722222222</v>
      </c>
      <c r="I228" s="29"/>
      <c r="J228" s="24"/>
      <c r="K228" s="24" t="s">
        <v>1071</v>
      </c>
      <c r="L228" s="52" t="s">
        <v>1616</v>
      </c>
      <c r="M228" s="24" t="s">
        <v>1537</v>
      </c>
      <c r="N228" s="24" t="s">
        <v>1707</v>
      </c>
      <c r="O228" s="24"/>
      <c r="P228" s="25"/>
      <c r="Q228" s="25"/>
      <c r="R228" s="25"/>
      <c r="S228" s="25"/>
      <c r="T228" s="25"/>
      <c r="U228" s="25"/>
      <c r="V228" s="29"/>
    </row>
    <row r="229" spans="1:22" ht="22.5" x14ac:dyDescent="0.25">
      <c r="A229" s="23" t="s">
        <v>1072</v>
      </c>
      <c r="B229" s="23" t="s">
        <v>1073</v>
      </c>
      <c r="C229" s="24"/>
      <c r="D229" s="24"/>
      <c r="E229" s="24"/>
      <c r="F229" s="24"/>
      <c r="G229" s="24" t="s">
        <v>188</v>
      </c>
      <c r="H229" s="25">
        <v>42233.636111111111</v>
      </c>
      <c r="I229" s="29"/>
      <c r="J229" s="24"/>
      <c r="K229" s="24" t="s">
        <v>1074</v>
      </c>
      <c r="L229" s="52"/>
      <c r="M229" s="24"/>
      <c r="N229" s="52" t="s">
        <v>2182</v>
      </c>
      <c r="O229" s="24"/>
      <c r="P229" s="25"/>
      <c r="Q229" s="25"/>
      <c r="R229" s="25"/>
      <c r="S229" s="25"/>
      <c r="T229" s="25"/>
      <c r="U229" s="25"/>
      <c r="V229" s="29" t="s">
        <v>1704</v>
      </c>
    </row>
    <row r="230" spans="1:22" ht="30" x14ac:dyDescent="0.25">
      <c r="A230" s="23" t="s">
        <v>1075</v>
      </c>
      <c r="B230" s="23" t="s">
        <v>1076</v>
      </c>
      <c r="C230" s="24"/>
      <c r="D230" s="24"/>
      <c r="E230" s="24" t="s">
        <v>511</v>
      </c>
      <c r="F230" s="24" t="s">
        <v>512</v>
      </c>
      <c r="G230" s="24" t="s">
        <v>189</v>
      </c>
      <c r="H230" s="25">
        <v>42234.450694444444</v>
      </c>
      <c r="I230" s="29" t="s">
        <v>1077</v>
      </c>
      <c r="J230" s="24"/>
      <c r="K230" s="24" t="s">
        <v>1029</v>
      </c>
      <c r="L230" s="52" t="s">
        <v>1608</v>
      </c>
      <c r="M230" s="24" t="s">
        <v>1537</v>
      </c>
      <c r="N230" s="24" t="s">
        <v>1707</v>
      </c>
      <c r="O230" s="24" t="s">
        <v>2216</v>
      </c>
      <c r="P230" s="25"/>
      <c r="Q230" s="25"/>
      <c r="R230" s="25"/>
      <c r="S230" s="25"/>
      <c r="T230" s="25"/>
      <c r="U230" s="25"/>
      <c r="V230" s="29" t="s">
        <v>1077</v>
      </c>
    </row>
    <row r="231" spans="1:22" ht="30" x14ac:dyDescent="0.25">
      <c r="A231" s="23" t="s">
        <v>1078</v>
      </c>
      <c r="B231" s="23" t="s">
        <v>1079</v>
      </c>
      <c r="C231" s="24"/>
      <c r="D231" s="24"/>
      <c r="E231" s="24"/>
      <c r="F231" s="24"/>
      <c r="G231" s="24" t="s">
        <v>513</v>
      </c>
      <c r="H231" s="25">
        <v>42234.515277777777</v>
      </c>
      <c r="I231" s="29"/>
      <c r="J231" s="24"/>
      <c r="K231" s="24" t="s">
        <v>1074</v>
      </c>
      <c r="L231" s="52" t="s">
        <v>1617</v>
      </c>
      <c r="M231" s="24" t="s">
        <v>1537</v>
      </c>
      <c r="N231" s="24" t="s">
        <v>1707</v>
      </c>
      <c r="O231" s="24"/>
      <c r="P231" s="25"/>
      <c r="Q231" s="25"/>
      <c r="R231" s="25"/>
      <c r="S231" s="25"/>
      <c r="T231" s="25"/>
      <c r="U231" s="25"/>
      <c r="V231" s="29"/>
    </row>
    <row r="232" spans="1:22" ht="45" x14ac:dyDescent="0.25">
      <c r="A232" s="23" t="s">
        <v>1080</v>
      </c>
      <c r="B232" s="23" t="s">
        <v>1081</v>
      </c>
      <c r="C232" s="24"/>
      <c r="D232" s="24"/>
      <c r="E232" s="24"/>
      <c r="F232" s="24"/>
      <c r="G232" s="24" t="s">
        <v>513</v>
      </c>
      <c r="H232" s="25">
        <v>42234.657638888886</v>
      </c>
      <c r="I232" s="29"/>
      <c r="J232" s="24"/>
      <c r="K232" s="24" t="s">
        <v>1082</v>
      </c>
      <c r="L232" s="52" t="s">
        <v>1618</v>
      </c>
      <c r="M232" s="24" t="s">
        <v>1560</v>
      </c>
      <c r="N232" s="24" t="s">
        <v>1707</v>
      </c>
      <c r="O232" s="24"/>
      <c r="P232" s="25"/>
      <c r="Q232" s="25"/>
      <c r="R232" s="25"/>
      <c r="S232" s="25"/>
      <c r="T232" s="25"/>
      <c r="U232" s="25"/>
      <c r="V232" s="29"/>
    </row>
    <row r="233" spans="1:22" ht="30" x14ac:dyDescent="0.25">
      <c r="A233" s="23" t="s">
        <v>1083</v>
      </c>
      <c r="B233" s="23" t="s">
        <v>1084</v>
      </c>
      <c r="C233" s="24"/>
      <c r="D233" s="24"/>
      <c r="E233" s="24"/>
      <c r="F233" s="24"/>
      <c r="G233" s="24" t="s">
        <v>513</v>
      </c>
      <c r="H233" s="25">
        <v>42234.852777777778</v>
      </c>
      <c r="I233" s="29"/>
      <c r="J233" s="24"/>
      <c r="K233" s="24" t="s">
        <v>994</v>
      </c>
      <c r="L233" s="52" t="s">
        <v>1603</v>
      </c>
      <c r="M233" s="24" t="s">
        <v>1537</v>
      </c>
      <c r="N233" s="24" t="s">
        <v>1707</v>
      </c>
      <c r="O233" s="24" t="s">
        <v>1721</v>
      </c>
      <c r="P233" s="25"/>
      <c r="Q233" s="25"/>
      <c r="R233" s="25"/>
      <c r="S233" s="25"/>
      <c r="T233" s="25"/>
      <c r="U233" s="25"/>
      <c r="V233" s="29" t="s">
        <v>1727</v>
      </c>
    </row>
    <row r="234" spans="1:22" ht="30" x14ac:dyDescent="0.25">
      <c r="A234" s="23" t="s">
        <v>1085</v>
      </c>
      <c r="B234" s="23" t="s">
        <v>1086</v>
      </c>
      <c r="C234" s="24"/>
      <c r="D234" s="24"/>
      <c r="E234" s="24"/>
      <c r="F234" s="24"/>
      <c r="G234" s="24" t="s">
        <v>189</v>
      </c>
      <c r="H234" s="25">
        <v>42235.513888888891</v>
      </c>
      <c r="I234" s="29"/>
      <c r="J234" s="24"/>
      <c r="K234" s="24" t="s">
        <v>980</v>
      </c>
      <c r="L234" s="52" t="s">
        <v>1601</v>
      </c>
      <c r="M234" s="24" t="s">
        <v>1591</v>
      </c>
      <c r="N234" s="24" t="s">
        <v>1707</v>
      </c>
      <c r="O234" s="24" t="s">
        <v>1721</v>
      </c>
      <c r="P234" s="25"/>
      <c r="Q234" s="25"/>
      <c r="R234" s="25"/>
      <c r="S234" s="25"/>
      <c r="T234" s="25"/>
      <c r="U234" s="25"/>
      <c r="V234" s="29"/>
    </row>
    <row r="235" spans="1:22" ht="22.5" x14ac:dyDescent="0.25">
      <c r="A235" s="23" t="s">
        <v>1087</v>
      </c>
      <c r="B235" s="23" t="s">
        <v>1088</v>
      </c>
      <c r="C235" s="24"/>
      <c r="D235" s="24"/>
      <c r="E235" s="24"/>
      <c r="F235" s="24"/>
      <c r="G235" s="24" t="s">
        <v>189</v>
      </c>
      <c r="H235" s="25">
        <v>42235.521527777775</v>
      </c>
      <c r="I235" s="29"/>
      <c r="J235" s="24"/>
      <c r="K235" s="24" t="s">
        <v>677</v>
      </c>
      <c r="L235" s="24"/>
      <c r="M235" s="24"/>
      <c r="N235" s="52" t="s">
        <v>2182</v>
      </c>
      <c r="O235" s="24"/>
      <c r="P235" s="25"/>
      <c r="Q235" s="25"/>
      <c r="R235" s="25"/>
      <c r="S235" s="25"/>
      <c r="T235" s="25"/>
      <c r="U235" s="25">
        <v>42306</v>
      </c>
      <c r="V235" s="27">
        <v>42306</v>
      </c>
    </row>
    <row r="236" spans="1:22" ht="30" x14ac:dyDescent="0.25">
      <c r="A236" s="23" t="s">
        <v>1089</v>
      </c>
      <c r="B236" s="23" t="s">
        <v>1090</v>
      </c>
      <c r="C236" s="24"/>
      <c r="D236" s="24"/>
      <c r="E236" s="24"/>
      <c r="F236" s="24"/>
      <c r="G236" s="24" t="s">
        <v>189</v>
      </c>
      <c r="H236" s="25">
        <v>42236.654861111114</v>
      </c>
      <c r="I236" s="29"/>
      <c r="J236" s="24"/>
      <c r="K236" s="24" t="s">
        <v>938</v>
      </c>
      <c r="L236" s="52" t="s">
        <v>1609</v>
      </c>
      <c r="M236" s="24" t="s">
        <v>1537</v>
      </c>
      <c r="N236" s="24" t="s">
        <v>1707</v>
      </c>
      <c r="O236" s="24" t="s">
        <v>1710</v>
      </c>
      <c r="P236" s="25"/>
      <c r="Q236" s="25"/>
      <c r="R236" s="25"/>
      <c r="S236" s="25"/>
      <c r="T236" s="25"/>
      <c r="U236" s="25"/>
      <c r="V236" s="29"/>
    </row>
    <row r="237" spans="1:22" x14ac:dyDescent="0.25">
      <c r="A237" s="23" t="s">
        <v>1091</v>
      </c>
      <c r="B237" s="23" t="s">
        <v>1092</v>
      </c>
      <c r="C237" s="24" t="s">
        <v>203</v>
      </c>
      <c r="D237" s="24" t="s">
        <v>1093</v>
      </c>
      <c r="E237" s="24" t="s">
        <v>511</v>
      </c>
      <c r="F237" s="24" t="s">
        <v>512</v>
      </c>
      <c r="G237" s="24" t="s">
        <v>188</v>
      </c>
      <c r="H237" s="25">
        <v>42236.79791666667</v>
      </c>
      <c r="I237" s="29"/>
      <c r="J237" s="24"/>
      <c r="K237" s="24" t="s">
        <v>1074</v>
      </c>
      <c r="L237" s="24"/>
      <c r="M237" s="24"/>
      <c r="N237" s="52" t="s">
        <v>2182</v>
      </c>
      <c r="O237" s="24"/>
      <c r="P237" s="25"/>
      <c r="Q237" s="25"/>
      <c r="R237" s="25"/>
      <c r="S237" s="25"/>
      <c r="T237" s="25"/>
      <c r="U237" s="25"/>
      <c r="V237" s="29"/>
    </row>
    <row r="238" spans="1:22" ht="30" x14ac:dyDescent="0.25">
      <c r="A238" s="23" t="s">
        <v>1094</v>
      </c>
      <c r="B238" s="23" t="s">
        <v>1095</v>
      </c>
      <c r="C238" s="24"/>
      <c r="D238" s="24"/>
      <c r="E238" s="24"/>
      <c r="F238" s="24"/>
      <c r="G238" s="24" t="s">
        <v>513</v>
      </c>
      <c r="H238" s="25">
        <v>42237.421527777777</v>
      </c>
      <c r="I238" s="29"/>
      <c r="J238" s="24"/>
      <c r="K238" s="24" t="s">
        <v>629</v>
      </c>
      <c r="L238" s="52" t="s">
        <v>1550</v>
      </c>
      <c r="M238" s="24" t="s">
        <v>1537</v>
      </c>
      <c r="N238" s="24" t="s">
        <v>1707</v>
      </c>
      <c r="O238" s="24"/>
      <c r="P238" s="25"/>
      <c r="Q238" s="25"/>
      <c r="R238" s="25"/>
      <c r="S238" s="25"/>
      <c r="T238" s="25"/>
      <c r="U238" s="25"/>
      <c r="V238" s="29"/>
    </row>
    <row r="239" spans="1:22" ht="112.5" x14ac:dyDescent="0.25">
      <c r="A239" s="23" t="s">
        <v>1096</v>
      </c>
      <c r="B239" s="23" t="s">
        <v>1097</v>
      </c>
      <c r="C239" s="24"/>
      <c r="D239" s="24"/>
      <c r="E239" s="24"/>
      <c r="F239" s="24"/>
      <c r="G239" s="24" t="s">
        <v>188</v>
      </c>
      <c r="H239" s="25">
        <v>42237.590277777781</v>
      </c>
      <c r="I239" s="29"/>
      <c r="J239" s="24"/>
      <c r="K239" s="24" t="s">
        <v>1098</v>
      </c>
      <c r="L239" s="24"/>
      <c r="M239" s="24"/>
      <c r="N239" s="24" t="s">
        <v>1707</v>
      </c>
      <c r="O239" s="24" t="s">
        <v>1721</v>
      </c>
      <c r="P239" s="25"/>
      <c r="Q239" s="25"/>
      <c r="R239" s="25"/>
      <c r="S239" s="25"/>
      <c r="T239" s="25"/>
      <c r="U239" s="25">
        <v>42380</v>
      </c>
      <c r="V239" s="29" t="s">
        <v>2142</v>
      </c>
    </row>
    <row r="240" spans="1:22" ht="33.75" x14ac:dyDescent="0.25">
      <c r="A240" s="23" t="s">
        <v>1099</v>
      </c>
      <c r="B240" s="23" t="s">
        <v>358</v>
      </c>
      <c r="C240" s="24"/>
      <c r="D240" s="24"/>
      <c r="E240" s="24" t="s">
        <v>537</v>
      </c>
      <c r="F240" s="24" t="s">
        <v>180</v>
      </c>
      <c r="G240" s="24" t="s">
        <v>513</v>
      </c>
      <c r="H240" s="25">
        <v>42237.763194444444</v>
      </c>
      <c r="I240" s="29" t="s">
        <v>1100</v>
      </c>
      <c r="J240" s="24"/>
      <c r="K240" s="24" t="s">
        <v>941</v>
      </c>
      <c r="L240" s="52" t="s">
        <v>1597</v>
      </c>
      <c r="M240" s="24" t="s">
        <v>1537</v>
      </c>
      <c r="N240" s="24" t="s">
        <v>1728</v>
      </c>
      <c r="O240" s="24"/>
      <c r="P240" s="25"/>
      <c r="Q240" s="25"/>
      <c r="R240" s="25"/>
      <c r="S240" s="25"/>
      <c r="T240" s="25"/>
      <c r="U240" s="25"/>
      <c r="V240" s="29" t="s">
        <v>1100</v>
      </c>
    </row>
    <row r="241" spans="1:22" ht="30" x14ac:dyDescent="0.25">
      <c r="A241" s="23" t="s">
        <v>1101</v>
      </c>
      <c r="B241" s="23" t="s">
        <v>1102</v>
      </c>
      <c r="C241" s="24"/>
      <c r="D241" s="24"/>
      <c r="E241" s="24"/>
      <c r="F241" s="24"/>
      <c r="G241" s="24" t="s">
        <v>513</v>
      </c>
      <c r="H241" s="25">
        <v>42240.481944444444</v>
      </c>
      <c r="I241" s="29"/>
      <c r="J241" s="24"/>
      <c r="K241" s="24" t="s">
        <v>677</v>
      </c>
      <c r="L241" s="52" t="s">
        <v>1619</v>
      </c>
      <c r="M241" s="24" t="s">
        <v>1537</v>
      </c>
      <c r="N241" s="24" t="s">
        <v>1707</v>
      </c>
      <c r="O241" s="24" t="s">
        <v>1721</v>
      </c>
      <c r="P241" s="25"/>
      <c r="Q241" s="25"/>
      <c r="R241" s="25"/>
      <c r="S241" s="25"/>
      <c r="T241" s="25"/>
      <c r="U241" s="25"/>
      <c r="V241" s="29" t="s">
        <v>1745</v>
      </c>
    </row>
    <row r="242" spans="1:22" ht="30" x14ac:dyDescent="0.25">
      <c r="A242" s="23" t="s">
        <v>1103</v>
      </c>
      <c r="B242" s="23" t="s">
        <v>358</v>
      </c>
      <c r="C242" s="24"/>
      <c r="D242" s="24"/>
      <c r="E242" s="24"/>
      <c r="F242" s="24"/>
      <c r="G242" s="24" t="s">
        <v>189</v>
      </c>
      <c r="H242" s="25">
        <v>42241.416666666664</v>
      </c>
      <c r="I242" s="29"/>
      <c r="J242" s="24"/>
      <c r="K242" s="24" t="s">
        <v>1104</v>
      </c>
      <c r="L242" s="52" t="s">
        <v>1620</v>
      </c>
      <c r="M242" s="24" t="s">
        <v>1537</v>
      </c>
      <c r="N242" s="24" t="s">
        <v>1707</v>
      </c>
      <c r="O242" s="24" t="s">
        <v>1710</v>
      </c>
      <c r="P242" s="25"/>
      <c r="Q242" s="25"/>
      <c r="R242" s="25"/>
      <c r="S242" s="25"/>
      <c r="T242" s="25"/>
      <c r="U242" s="25"/>
      <c r="V242" s="29"/>
    </row>
    <row r="243" spans="1:22" ht="30" x14ac:dyDescent="0.25">
      <c r="A243" s="23" t="s">
        <v>1105</v>
      </c>
      <c r="B243" s="23" t="s">
        <v>1106</v>
      </c>
      <c r="C243" s="24"/>
      <c r="D243" s="24"/>
      <c r="E243" s="24"/>
      <c r="F243" s="24"/>
      <c r="G243" s="24" t="s">
        <v>513</v>
      </c>
      <c r="H243" s="25">
        <v>42241.495833333334</v>
      </c>
      <c r="I243" s="29"/>
      <c r="J243" s="24"/>
      <c r="K243" s="24" t="s">
        <v>657</v>
      </c>
      <c r="L243" s="52" t="s">
        <v>1556</v>
      </c>
      <c r="M243" s="24" t="s">
        <v>1537</v>
      </c>
      <c r="N243" s="24" t="s">
        <v>1707</v>
      </c>
      <c r="O243" s="24" t="s">
        <v>2218</v>
      </c>
      <c r="P243" s="25"/>
      <c r="Q243" s="25"/>
      <c r="R243" s="25"/>
      <c r="S243" s="25"/>
      <c r="T243" s="25"/>
      <c r="U243" s="25"/>
      <c r="V243" s="29" t="s">
        <v>2219</v>
      </c>
    </row>
    <row r="244" spans="1:22" x14ac:dyDescent="0.25">
      <c r="A244" s="23" t="s">
        <v>1108</v>
      </c>
      <c r="B244" s="23" t="s">
        <v>1109</v>
      </c>
      <c r="C244" s="24"/>
      <c r="D244" s="24"/>
      <c r="E244" s="24"/>
      <c r="F244" s="24"/>
      <c r="G244" s="24" t="s">
        <v>189</v>
      </c>
      <c r="H244" s="25">
        <v>42241.832638888889</v>
      </c>
      <c r="I244" s="29"/>
      <c r="J244" s="24"/>
      <c r="K244" s="24" t="s">
        <v>980</v>
      </c>
      <c r="L244" s="24"/>
      <c r="M244" s="24"/>
      <c r="N244" s="52" t="s">
        <v>2182</v>
      </c>
      <c r="O244" s="24"/>
      <c r="P244" s="25"/>
      <c r="Q244" s="25"/>
      <c r="R244" s="25"/>
      <c r="S244" s="25"/>
      <c r="T244" s="25"/>
      <c r="U244" s="25"/>
      <c r="V244" s="29"/>
    </row>
    <row r="245" spans="1:22" ht="33.75" x14ac:dyDescent="0.25">
      <c r="A245" s="23" t="s">
        <v>1110</v>
      </c>
      <c r="B245" s="23" t="s">
        <v>386</v>
      </c>
      <c r="C245" s="24"/>
      <c r="D245" s="24"/>
      <c r="E245" s="24" t="s">
        <v>261</v>
      </c>
      <c r="F245" s="24" t="s">
        <v>180</v>
      </c>
      <c r="G245" s="24" t="s">
        <v>189</v>
      </c>
      <c r="H245" s="25">
        <v>42242.431250000001</v>
      </c>
      <c r="I245" s="29" t="s">
        <v>1111</v>
      </c>
      <c r="J245" s="24"/>
      <c r="K245" s="24" t="s">
        <v>903</v>
      </c>
      <c r="L245" s="24"/>
      <c r="M245" s="24"/>
      <c r="N245" s="52" t="s">
        <v>2182</v>
      </c>
      <c r="O245" s="24"/>
      <c r="P245" s="25"/>
      <c r="Q245" s="25"/>
      <c r="R245" s="25"/>
      <c r="S245" s="25"/>
      <c r="T245" s="25"/>
      <c r="U245" s="25"/>
      <c r="V245" s="29" t="s">
        <v>1111</v>
      </c>
    </row>
    <row r="246" spans="1:22" ht="22.5" x14ac:dyDescent="0.25">
      <c r="A246" s="22" t="s">
        <v>1112</v>
      </c>
      <c r="B246" s="23" t="s">
        <v>1113</v>
      </c>
      <c r="C246" s="24" t="s">
        <v>649</v>
      </c>
      <c r="D246" s="24" t="s">
        <v>649</v>
      </c>
      <c r="E246" s="24" t="s">
        <v>531</v>
      </c>
      <c r="F246" s="24" t="s">
        <v>180</v>
      </c>
      <c r="G246" s="24" t="s">
        <v>189</v>
      </c>
      <c r="H246" s="25">
        <v>42242.699305555558</v>
      </c>
      <c r="I246" s="29" t="s">
        <v>242</v>
      </c>
      <c r="J246" s="24" t="s">
        <v>501</v>
      </c>
      <c r="K246" s="24" t="s">
        <v>733</v>
      </c>
      <c r="L246" s="24"/>
      <c r="M246" s="24"/>
      <c r="N246" s="52" t="s">
        <v>2182</v>
      </c>
      <c r="O246" s="24"/>
      <c r="P246" s="25">
        <v>42256</v>
      </c>
      <c r="Q246" s="25">
        <v>42259</v>
      </c>
      <c r="R246" s="25">
        <v>42260</v>
      </c>
      <c r="S246" s="25" t="s">
        <v>1114</v>
      </c>
      <c r="T246" s="25">
        <v>42275</v>
      </c>
      <c r="U246" s="25">
        <v>42275</v>
      </c>
      <c r="V246" s="29" t="s">
        <v>1115</v>
      </c>
    </row>
    <row r="247" spans="1:22" ht="45" x14ac:dyDescent="0.25">
      <c r="A247" s="22" t="s">
        <v>1116</v>
      </c>
      <c r="B247" s="23" t="s">
        <v>1117</v>
      </c>
      <c r="C247" s="24"/>
      <c r="D247" s="24"/>
      <c r="E247" s="24" t="s">
        <v>511</v>
      </c>
      <c r="F247" s="24" t="s">
        <v>512</v>
      </c>
      <c r="G247" s="24" t="s">
        <v>513</v>
      </c>
      <c r="H247" s="25">
        <v>42243.368055555555</v>
      </c>
      <c r="I247" s="29" t="s">
        <v>1118</v>
      </c>
      <c r="J247" s="24"/>
      <c r="K247" s="24" t="s">
        <v>1048</v>
      </c>
      <c r="L247" s="52" t="s">
        <v>1612</v>
      </c>
      <c r="M247" s="24" t="s">
        <v>1560</v>
      </c>
      <c r="N247" s="24" t="s">
        <v>1707</v>
      </c>
      <c r="O247" s="24"/>
      <c r="P247" s="25"/>
      <c r="Q247" s="25"/>
      <c r="R247" s="25"/>
      <c r="S247" s="25"/>
      <c r="T247" s="25"/>
      <c r="U247" s="25"/>
      <c r="V247" s="29" t="s">
        <v>1118</v>
      </c>
    </row>
    <row r="248" spans="1:22" ht="123.75" x14ac:dyDescent="0.25">
      <c r="A248" s="22" t="s">
        <v>1119</v>
      </c>
      <c r="B248" s="23" t="s">
        <v>1120</v>
      </c>
      <c r="C248" s="24"/>
      <c r="D248" s="24"/>
      <c r="E248" s="24" t="s">
        <v>261</v>
      </c>
      <c r="F248" s="24" t="s">
        <v>180</v>
      </c>
      <c r="G248" s="24" t="s">
        <v>189</v>
      </c>
      <c r="H248" s="25">
        <v>42243.618750000001</v>
      </c>
      <c r="I248" s="29" t="s">
        <v>1121</v>
      </c>
      <c r="J248" s="24"/>
      <c r="K248" s="24" t="s">
        <v>1029</v>
      </c>
      <c r="L248" s="52" t="s">
        <v>1608</v>
      </c>
      <c r="M248" s="24" t="s">
        <v>1578</v>
      </c>
      <c r="N248" s="24" t="s">
        <v>1707</v>
      </c>
      <c r="O248" s="24" t="s">
        <v>2216</v>
      </c>
      <c r="P248" s="25"/>
      <c r="Q248" s="25"/>
      <c r="R248" s="25"/>
      <c r="S248" s="25"/>
      <c r="T248" s="25"/>
      <c r="U248" s="25"/>
      <c r="V248" s="29" t="s">
        <v>1121</v>
      </c>
    </row>
    <row r="249" spans="1:22" ht="22.5" x14ac:dyDescent="0.25">
      <c r="A249" s="28" t="s">
        <v>1122</v>
      </c>
      <c r="B249" s="23" t="s">
        <v>1123</v>
      </c>
      <c r="C249" s="24"/>
      <c r="D249" s="24"/>
      <c r="E249" s="24" t="s">
        <v>511</v>
      </c>
      <c r="F249" s="24" t="s">
        <v>512</v>
      </c>
      <c r="G249" s="24" t="s">
        <v>189</v>
      </c>
      <c r="H249" s="25">
        <v>42244</v>
      </c>
      <c r="I249" s="29" t="s">
        <v>1118</v>
      </c>
      <c r="J249" s="24"/>
      <c r="K249" s="24" t="s">
        <v>1124</v>
      </c>
      <c r="L249" s="24"/>
      <c r="M249" s="24"/>
      <c r="N249" s="52" t="s">
        <v>2182</v>
      </c>
      <c r="O249" s="24"/>
      <c r="P249" s="25"/>
      <c r="Q249" s="25"/>
      <c r="R249" s="25"/>
      <c r="S249" s="25"/>
      <c r="T249" s="25"/>
      <c r="U249" s="25"/>
      <c r="V249" s="29" t="s">
        <v>1118</v>
      </c>
    </row>
    <row r="250" spans="1:22" ht="56.25" x14ac:dyDescent="0.25">
      <c r="A250" s="28" t="s">
        <v>1125</v>
      </c>
      <c r="B250" s="23" t="s">
        <v>1126</v>
      </c>
      <c r="C250" s="24"/>
      <c r="D250" s="24"/>
      <c r="E250" s="24" t="s">
        <v>511</v>
      </c>
      <c r="F250" s="24" t="s">
        <v>512</v>
      </c>
      <c r="G250" s="24" t="s">
        <v>189</v>
      </c>
      <c r="H250" s="25">
        <v>42244</v>
      </c>
      <c r="I250" s="29" t="s">
        <v>1127</v>
      </c>
      <c r="J250" s="24"/>
      <c r="K250" s="24" t="s">
        <v>1128</v>
      </c>
      <c r="L250" s="24"/>
      <c r="M250" s="24"/>
      <c r="N250" s="52" t="s">
        <v>2182</v>
      </c>
      <c r="O250" s="24"/>
      <c r="P250" s="25"/>
      <c r="Q250" s="25"/>
      <c r="R250" s="25"/>
      <c r="S250" s="25"/>
      <c r="T250" s="25"/>
      <c r="U250" s="25"/>
      <c r="V250" s="29" t="s">
        <v>1127</v>
      </c>
    </row>
    <row r="251" spans="1:22" ht="33.75" x14ac:dyDescent="0.25">
      <c r="A251" s="22" t="s">
        <v>1129</v>
      </c>
      <c r="B251" s="23" t="s">
        <v>1130</v>
      </c>
      <c r="C251" s="24" t="s">
        <v>1131</v>
      </c>
      <c r="D251" s="24" t="s">
        <v>93</v>
      </c>
      <c r="E251" s="24" t="s">
        <v>531</v>
      </c>
      <c r="F251" s="24" t="s">
        <v>180</v>
      </c>
      <c r="G251" s="24" t="s">
        <v>189</v>
      </c>
      <c r="H251" s="25">
        <v>42244</v>
      </c>
      <c r="I251" s="29" t="s">
        <v>1132</v>
      </c>
      <c r="J251" s="24" t="s">
        <v>1133</v>
      </c>
      <c r="K251" s="24" t="s">
        <v>677</v>
      </c>
      <c r="L251" s="24"/>
      <c r="M251" s="24"/>
      <c r="N251" s="52" t="s">
        <v>2182</v>
      </c>
      <c r="O251" s="24"/>
      <c r="P251" s="25">
        <v>42248</v>
      </c>
      <c r="Q251" s="25">
        <v>42250</v>
      </c>
      <c r="R251" s="25">
        <v>42262</v>
      </c>
      <c r="S251" s="25">
        <v>42248</v>
      </c>
      <c r="T251" s="25">
        <v>42252</v>
      </c>
      <c r="U251" s="25">
        <v>42252</v>
      </c>
      <c r="V251" s="29" t="s">
        <v>1134</v>
      </c>
    </row>
    <row r="252" spans="1:22" ht="56.25" x14ac:dyDescent="0.25">
      <c r="A252" s="23" t="s">
        <v>1135</v>
      </c>
      <c r="B252" s="23" t="s">
        <v>1136</v>
      </c>
      <c r="C252" s="24"/>
      <c r="D252" s="24"/>
      <c r="E252" s="24" t="s">
        <v>511</v>
      </c>
      <c r="F252" s="24" t="s">
        <v>512</v>
      </c>
      <c r="G252" s="24" t="s">
        <v>189</v>
      </c>
      <c r="H252" s="25">
        <v>42247</v>
      </c>
      <c r="I252" s="29" t="s">
        <v>1137</v>
      </c>
      <c r="J252" s="24"/>
      <c r="K252" s="24" t="s">
        <v>677</v>
      </c>
      <c r="L252" s="24"/>
      <c r="M252" s="24"/>
      <c r="N252" s="52" t="s">
        <v>2182</v>
      </c>
      <c r="O252" s="24"/>
      <c r="P252" s="25"/>
      <c r="Q252" s="25"/>
      <c r="R252" s="25"/>
      <c r="S252" s="25"/>
      <c r="T252" s="25"/>
      <c r="U252" s="25"/>
      <c r="V252" s="29" t="s">
        <v>1498</v>
      </c>
    </row>
    <row r="253" spans="1:22" ht="45" x14ac:dyDescent="0.25">
      <c r="A253" s="23" t="s">
        <v>1138</v>
      </c>
      <c r="B253" s="23" t="s">
        <v>1139</v>
      </c>
      <c r="C253" s="24"/>
      <c r="D253" s="24"/>
      <c r="E253" s="24" t="s">
        <v>511</v>
      </c>
      <c r="F253" s="24" t="s">
        <v>512</v>
      </c>
      <c r="G253" s="24" t="s">
        <v>188</v>
      </c>
      <c r="H253" s="25">
        <v>42249</v>
      </c>
      <c r="I253" s="29" t="s">
        <v>1140</v>
      </c>
      <c r="J253" s="24"/>
      <c r="K253" s="24" t="s">
        <v>1141</v>
      </c>
      <c r="L253" s="52" t="s">
        <v>1621</v>
      </c>
      <c r="M253" s="24" t="s">
        <v>1560</v>
      </c>
      <c r="N253" s="24" t="s">
        <v>1707</v>
      </c>
      <c r="O253" s="24" t="s">
        <v>1710</v>
      </c>
      <c r="P253" s="25"/>
      <c r="Q253" s="25"/>
      <c r="R253" s="25"/>
      <c r="S253" s="25"/>
      <c r="T253" s="25"/>
      <c r="U253" s="25"/>
      <c r="V253" s="29" t="s">
        <v>1140</v>
      </c>
    </row>
    <row r="254" spans="1:22" ht="30" x14ac:dyDescent="0.25">
      <c r="A254" s="23" t="s">
        <v>1142</v>
      </c>
      <c r="B254" s="23" t="s">
        <v>358</v>
      </c>
      <c r="C254" s="24"/>
      <c r="D254" s="24"/>
      <c r="E254" s="24" t="s">
        <v>511</v>
      </c>
      <c r="F254" s="24" t="s">
        <v>512</v>
      </c>
      <c r="G254" s="24" t="s">
        <v>513</v>
      </c>
      <c r="H254" s="25">
        <v>42250</v>
      </c>
      <c r="I254" s="29" t="s">
        <v>1140</v>
      </c>
      <c r="J254" s="24"/>
      <c r="K254" s="24" t="s">
        <v>1143</v>
      </c>
      <c r="L254" s="52" t="s">
        <v>1622</v>
      </c>
      <c r="M254" s="24" t="s">
        <v>1537</v>
      </c>
      <c r="N254" s="24" t="s">
        <v>1707</v>
      </c>
      <c r="O254" s="24"/>
      <c r="P254" s="25"/>
      <c r="Q254" s="25"/>
      <c r="R254" s="25"/>
      <c r="S254" s="25"/>
      <c r="T254" s="25"/>
      <c r="U254" s="25"/>
      <c r="V254" s="29" t="s">
        <v>1140</v>
      </c>
    </row>
    <row r="255" spans="1:22" ht="33.75" x14ac:dyDescent="0.25">
      <c r="A255" s="23" t="s">
        <v>1144</v>
      </c>
      <c r="B255" s="23" t="s">
        <v>1145</v>
      </c>
      <c r="C255" s="24"/>
      <c r="D255" s="24"/>
      <c r="E255" s="24" t="s">
        <v>1146</v>
      </c>
      <c r="F255" s="24" t="s">
        <v>180</v>
      </c>
      <c r="G255" s="24" t="s">
        <v>513</v>
      </c>
      <c r="H255" s="25">
        <v>42248</v>
      </c>
      <c r="I255" s="29" t="s">
        <v>1147</v>
      </c>
      <c r="J255" s="24"/>
      <c r="K255" s="24" t="s">
        <v>1148</v>
      </c>
      <c r="L255" s="52" t="s">
        <v>1576</v>
      </c>
      <c r="M255" s="24" t="s">
        <v>1537</v>
      </c>
      <c r="N255" s="24" t="s">
        <v>1707</v>
      </c>
      <c r="O255" s="24" t="s">
        <v>1721</v>
      </c>
      <c r="P255" s="25"/>
      <c r="Q255" s="25"/>
      <c r="R255" s="25"/>
      <c r="S255" s="25"/>
      <c r="T255" s="25"/>
      <c r="U255" s="25"/>
      <c r="V255" s="29" t="s">
        <v>1744</v>
      </c>
    </row>
    <row r="256" spans="1:22" ht="45" x14ac:dyDescent="0.25">
      <c r="A256" s="23" t="s">
        <v>1149</v>
      </c>
      <c r="B256" s="23" t="s">
        <v>1150</v>
      </c>
      <c r="C256" s="24"/>
      <c r="D256" s="24"/>
      <c r="E256" s="24" t="s">
        <v>511</v>
      </c>
      <c r="F256" s="24" t="s">
        <v>512</v>
      </c>
      <c r="G256" s="24" t="s">
        <v>189</v>
      </c>
      <c r="H256" s="25"/>
      <c r="I256" s="29" t="s">
        <v>1151</v>
      </c>
      <c r="J256" s="24"/>
      <c r="K256" s="24" t="s">
        <v>1152</v>
      </c>
      <c r="L256" s="24"/>
      <c r="M256" s="24"/>
      <c r="N256" s="52" t="s">
        <v>2182</v>
      </c>
      <c r="O256" s="24"/>
      <c r="P256" s="25"/>
      <c r="Q256" s="25"/>
      <c r="R256" s="25"/>
      <c r="S256" s="25"/>
      <c r="T256" s="25"/>
      <c r="U256" s="25"/>
      <c r="V256" s="29" t="s">
        <v>1151</v>
      </c>
    </row>
    <row r="257" spans="1:22" ht="45" x14ac:dyDescent="0.25">
      <c r="A257" s="23" t="s">
        <v>1153</v>
      </c>
      <c r="B257" s="23" t="s">
        <v>1154</v>
      </c>
      <c r="C257" s="24"/>
      <c r="D257" s="24"/>
      <c r="E257" s="24" t="s">
        <v>511</v>
      </c>
      <c r="F257" s="24" t="s">
        <v>512</v>
      </c>
      <c r="G257" s="24" t="s">
        <v>513</v>
      </c>
      <c r="H257" s="25">
        <v>42244</v>
      </c>
      <c r="I257" s="29" t="s">
        <v>1151</v>
      </c>
      <c r="J257" s="24"/>
      <c r="K257" s="24" t="s">
        <v>924</v>
      </c>
      <c r="L257" s="52" t="s">
        <v>1594</v>
      </c>
      <c r="M257" s="24" t="s">
        <v>1537</v>
      </c>
      <c r="N257" s="24" t="s">
        <v>1707</v>
      </c>
      <c r="O257" s="24"/>
      <c r="P257" s="25"/>
      <c r="Q257" s="25"/>
      <c r="R257" s="25"/>
      <c r="S257" s="25"/>
      <c r="T257" s="25"/>
      <c r="U257" s="25"/>
      <c r="V257" s="29" t="s">
        <v>1151</v>
      </c>
    </row>
    <row r="258" spans="1:22" ht="45" x14ac:dyDescent="0.25">
      <c r="A258" s="23" t="s">
        <v>1155</v>
      </c>
      <c r="B258" s="23" t="s">
        <v>1003</v>
      </c>
      <c r="C258" s="24"/>
      <c r="D258" s="24"/>
      <c r="E258" s="24" t="s">
        <v>511</v>
      </c>
      <c r="F258" s="24" t="s">
        <v>512</v>
      </c>
      <c r="G258" s="24" t="s">
        <v>188</v>
      </c>
      <c r="H258" s="25">
        <v>42249</v>
      </c>
      <c r="I258" s="29" t="s">
        <v>1140</v>
      </c>
      <c r="J258" s="24"/>
      <c r="K258" s="24" t="s">
        <v>1141</v>
      </c>
      <c r="L258" s="52" t="s">
        <v>1623</v>
      </c>
      <c r="M258" s="24" t="s">
        <v>1560</v>
      </c>
      <c r="N258" s="24" t="s">
        <v>1707</v>
      </c>
      <c r="O258" s="24" t="s">
        <v>1710</v>
      </c>
      <c r="P258" s="25"/>
      <c r="Q258" s="25"/>
      <c r="R258" s="25"/>
      <c r="S258" s="25"/>
      <c r="T258" s="25"/>
      <c r="U258" s="25"/>
      <c r="V258" s="29" t="s">
        <v>1140</v>
      </c>
    </row>
    <row r="259" spans="1:22" ht="30" x14ac:dyDescent="0.25">
      <c r="A259" s="23" t="s">
        <v>1156</v>
      </c>
      <c r="B259" s="23" t="s">
        <v>1157</v>
      </c>
      <c r="C259" s="24"/>
      <c r="D259" s="24"/>
      <c r="E259" s="24" t="s">
        <v>511</v>
      </c>
      <c r="F259" s="24" t="s">
        <v>512</v>
      </c>
      <c r="G259" s="24" t="s">
        <v>810</v>
      </c>
      <c r="H259" s="25">
        <v>42186</v>
      </c>
      <c r="I259" s="29" t="s">
        <v>1140</v>
      </c>
      <c r="J259" s="24"/>
      <c r="K259" s="24" t="s">
        <v>1158</v>
      </c>
      <c r="L259" s="52" t="s">
        <v>1624</v>
      </c>
      <c r="M259" s="24" t="s">
        <v>1537</v>
      </c>
      <c r="N259" s="24" t="s">
        <v>1707</v>
      </c>
      <c r="O259" s="24" t="s">
        <v>2190</v>
      </c>
      <c r="P259" s="25"/>
      <c r="Q259" s="25"/>
      <c r="R259" s="25"/>
      <c r="S259" s="25"/>
      <c r="T259" s="25"/>
      <c r="U259" s="25"/>
      <c r="V259" s="29" t="s">
        <v>1140</v>
      </c>
    </row>
    <row r="260" spans="1:22" ht="30" x14ac:dyDescent="0.25">
      <c r="A260" s="23" t="s">
        <v>1159</v>
      </c>
      <c r="B260" s="23" t="s">
        <v>1150</v>
      </c>
      <c r="C260" s="24"/>
      <c r="D260" s="24"/>
      <c r="E260" s="24" t="s">
        <v>511</v>
      </c>
      <c r="F260" s="24" t="s">
        <v>512</v>
      </c>
      <c r="G260" s="24" t="s">
        <v>513</v>
      </c>
      <c r="H260" s="25"/>
      <c r="I260" s="29" t="s">
        <v>1160</v>
      </c>
      <c r="J260" s="24"/>
      <c r="K260" s="24" t="s">
        <v>983</v>
      </c>
      <c r="L260" s="52" t="s">
        <v>1625</v>
      </c>
      <c r="M260" s="24" t="s">
        <v>1537</v>
      </c>
      <c r="N260" s="24" t="s">
        <v>1707</v>
      </c>
      <c r="O260" s="24"/>
      <c r="P260" s="25"/>
      <c r="Q260" s="25"/>
      <c r="R260" s="25"/>
      <c r="S260" s="25"/>
      <c r="T260" s="25"/>
      <c r="U260" s="25"/>
      <c r="V260" s="29" t="s">
        <v>1160</v>
      </c>
    </row>
    <row r="261" spans="1:22" ht="45" x14ac:dyDescent="0.25">
      <c r="A261" s="23" t="s">
        <v>1161</v>
      </c>
      <c r="B261" s="23" t="s">
        <v>1162</v>
      </c>
      <c r="C261" s="24"/>
      <c r="D261" s="24"/>
      <c r="E261" s="24" t="s">
        <v>511</v>
      </c>
      <c r="F261" s="24" t="s">
        <v>512</v>
      </c>
      <c r="G261" s="24" t="s">
        <v>513</v>
      </c>
      <c r="H261" s="25"/>
      <c r="I261" s="29" t="s">
        <v>1163</v>
      </c>
      <c r="J261" s="24"/>
      <c r="K261" s="24" t="s">
        <v>806</v>
      </c>
      <c r="L261" s="52" t="s">
        <v>1574</v>
      </c>
      <c r="M261" s="24" t="s">
        <v>1537</v>
      </c>
      <c r="N261" s="24" t="s">
        <v>1707</v>
      </c>
      <c r="O261" s="24"/>
      <c r="P261" s="25"/>
      <c r="Q261" s="25"/>
      <c r="R261" s="25"/>
      <c r="S261" s="25"/>
      <c r="T261" s="25"/>
      <c r="U261" s="25"/>
      <c r="V261" s="29" t="s">
        <v>1163</v>
      </c>
    </row>
    <row r="262" spans="1:22" ht="45" x14ac:dyDescent="0.25">
      <c r="A262" s="23" t="s">
        <v>1164</v>
      </c>
      <c r="B262" s="23" t="s">
        <v>1165</v>
      </c>
      <c r="C262" s="24"/>
      <c r="D262" s="24"/>
      <c r="E262" s="24" t="s">
        <v>511</v>
      </c>
      <c r="F262" s="24" t="s">
        <v>512</v>
      </c>
      <c r="G262" s="24" t="s">
        <v>513</v>
      </c>
      <c r="H262" s="25"/>
      <c r="I262" s="29" t="s">
        <v>1163</v>
      </c>
      <c r="J262" s="24"/>
      <c r="K262" s="24" t="s">
        <v>806</v>
      </c>
      <c r="L262" s="52" t="s">
        <v>1574</v>
      </c>
      <c r="M262" s="24" t="s">
        <v>1537</v>
      </c>
      <c r="N262" s="24" t="s">
        <v>1707</v>
      </c>
      <c r="O262" s="24"/>
      <c r="P262" s="25"/>
      <c r="Q262" s="25"/>
      <c r="R262" s="25"/>
      <c r="S262" s="25"/>
      <c r="T262" s="25"/>
      <c r="U262" s="25"/>
      <c r="V262" s="29" t="s">
        <v>1163</v>
      </c>
    </row>
    <row r="263" spans="1:22" ht="22.5" x14ac:dyDescent="0.25">
      <c r="A263" s="23" t="s">
        <v>1166</v>
      </c>
      <c r="B263" s="23" t="s">
        <v>1167</v>
      </c>
      <c r="C263" s="24" t="s">
        <v>203</v>
      </c>
      <c r="D263" s="24" t="s">
        <v>593</v>
      </c>
      <c r="E263" s="24" t="s">
        <v>531</v>
      </c>
      <c r="F263" s="24" t="s">
        <v>180</v>
      </c>
      <c r="G263" s="24" t="s">
        <v>189</v>
      </c>
      <c r="H263" s="25">
        <v>42251</v>
      </c>
      <c r="I263" s="29" t="s">
        <v>242</v>
      </c>
      <c r="J263" s="24" t="s">
        <v>502</v>
      </c>
      <c r="K263" s="24" t="s">
        <v>938</v>
      </c>
      <c r="L263" s="24"/>
      <c r="M263" s="24"/>
      <c r="N263" s="52" t="s">
        <v>2182</v>
      </c>
      <c r="O263" s="24"/>
      <c r="P263" s="25">
        <v>42251</v>
      </c>
      <c r="Q263" s="25">
        <v>42253</v>
      </c>
      <c r="R263" s="25">
        <v>42251</v>
      </c>
      <c r="S263" s="25">
        <v>42252</v>
      </c>
      <c r="T263" s="25">
        <v>42256</v>
      </c>
      <c r="U263" s="25">
        <v>42256</v>
      </c>
      <c r="V263" s="29" t="s">
        <v>1168</v>
      </c>
    </row>
    <row r="264" spans="1:22" ht="33.75" x14ac:dyDescent="0.25">
      <c r="A264" s="23" t="s">
        <v>1169</v>
      </c>
      <c r="B264" s="23" t="s">
        <v>1170</v>
      </c>
      <c r="C264" s="24"/>
      <c r="D264" s="24"/>
      <c r="E264" s="24" t="s">
        <v>511</v>
      </c>
      <c r="F264" s="24" t="s">
        <v>512</v>
      </c>
      <c r="G264" s="24" t="s">
        <v>513</v>
      </c>
      <c r="H264" s="25"/>
      <c r="I264" s="29" t="s">
        <v>1171</v>
      </c>
      <c r="J264" s="24"/>
      <c r="K264" s="24" t="s">
        <v>1148</v>
      </c>
      <c r="L264" s="52" t="s">
        <v>1576</v>
      </c>
      <c r="M264" s="24" t="s">
        <v>1537</v>
      </c>
      <c r="N264" s="24" t="s">
        <v>1707</v>
      </c>
      <c r="O264" s="24" t="s">
        <v>1721</v>
      </c>
      <c r="P264" s="25"/>
      <c r="Q264" s="25"/>
      <c r="R264" s="25"/>
      <c r="S264" s="25"/>
      <c r="T264" s="25"/>
      <c r="U264" s="25"/>
      <c r="V264" s="29" t="s">
        <v>1724</v>
      </c>
    </row>
    <row r="265" spans="1:22" ht="22.5" x14ac:dyDescent="0.25">
      <c r="A265" s="23" t="s">
        <v>1172</v>
      </c>
      <c r="B265" s="23" t="s">
        <v>1150</v>
      </c>
      <c r="C265" s="24"/>
      <c r="D265" s="24"/>
      <c r="E265" s="24" t="s">
        <v>511</v>
      </c>
      <c r="F265" s="24" t="s">
        <v>512</v>
      </c>
      <c r="G265" s="24" t="s">
        <v>189</v>
      </c>
      <c r="H265" s="25"/>
      <c r="I265" s="29" t="s">
        <v>1160</v>
      </c>
      <c r="J265" s="24"/>
      <c r="K265" s="24" t="s">
        <v>1173</v>
      </c>
      <c r="L265" s="24"/>
      <c r="M265" s="24"/>
      <c r="N265" s="52" t="s">
        <v>2182</v>
      </c>
      <c r="O265" s="24"/>
      <c r="P265" s="25"/>
      <c r="Q265" s="25"/>
      <c r="R265" s="25"/>
      <c r="S265" s="25"/>
      <c r="T265" s="25"/>
      <c r="U265" s="25"/>
      <c r="V265" s="29" t="s">
        <v>1160</v>
      </c>
    </row>
    <row r="266" spans="1:22" ht="33.75" x14ac:dyDescent="0.25">
      <c r="A266" s="23" t="s">
        <v>1174</v>
      </c>
      <c r="B266" s="23" t="s">
        <v>1150</v>
      </c>
      <c r="C266" s="24"/>
      <c r="D266" s="24"/>
      <c r="E266" s="24" t="s">
        <v>511</v>
      </c>
      <c r="F266" s="24" t="s">
        <v>512</v>
      </c>
      <c r="G266" s="24" t="s">
        <v>189</v>
      </c>
      <c r="H266" s="25"/>
      <c r="I266" s="29" t="s">
        <v>1175</v>
      </c>
      <c r="J266" s="24"/>
      <c r="K266" s="24" t="s">
        <v>1104</v>
      </c>
      <c r="L266" s="52" t="s">
        <v>1620</v>
      </c>
      <c r="M266" s="24" t="s">
        <v>1537</v>
      </c>
      <c r="N266" s="24" t="s">
        <v>1707</v>
      </c>
      <c r="O266" s="24" t="s">
        <v>1710</v>
      </c>
      <c r="P266" s="25"/>
      <c r="Q266" s="25"/>
      <c r="R266" s="25"/>
      <c r="S266" s="25"/>
      <c r="T266" s="25"/>
      <c r="U266" s="25"/>
      <c r="V266" s="29" t="s">
        <v>1175</v>
      </c>
    </row>
    <row r="267" spans="1:22" ht="45" x14ac:dyDescent="0.25">
      <c r="A267" s="23" t="s">
        <v>1176</v>
      </c>
      <c r="B267" s="23" t="s">
        <v>1177</v>
      </c>
      <c r="C267" s="24"/>
      <c r="D267" s="24"/>
      <c r="E267" s="24" t="s">
        <v>511</v>
      </c>
      <c r="F267" s="24" t="s">
        <v>512</v>
      </c>
      <c r="G267" s="24" t="s">
        <v>1178</v>
      </c>
      <c r="H267" s="25"/>
      <c r="I267" s="29" t="s">
        <v>1179</v>
      </c>
      <c r="J267" s="24"/>
      <c r="K267" s="24" t="s">
        <v>1627</v>
      </c>
      <c r="L267" s="52" t="s">
        <v>1626</v>
      </c>
      <c r="M267" s="24" t="s">
        <v>1560</v>
      </c>
      <c r="N267" s="24" t="s">
        <v>1707</v>
      </c>
      <c r="O267" s="24"/>
      <c r="P267" s="25"/>
      <c r="Q267" s="25"/>
      <c r="R267" s="25"/>
      <c r="S267" s="25"/>
      <c r="T267" s="25"/>
      <c r="U267" s="25"/>
      <c r="V267" s="29" t="s">
        <v>1179</v>
      </c>
    </row>
    <row r="268" spans="1:22" ht="33.75" x14ac:dyDescent="0.25">
      <c r="A268" s="23" t="s">
        <v>1180</v>
      </c>
      <c r="B268" s="23" t="s">
        <v>1181</v>
      </c>
      <c r="C268" s="24"/>
      <c r="D268" s="24"/>
      <c r="E268" s="24" t="s">
        <v>511</v>
      </c>
      <c r="F268" s="24" t="s">
        <v>512</v>
      </c>
      <c r="G268" s="24" t="s">
        <v>189</v>
      </c>
      <c r="H268" s="25"/>
      <c r="I268" s="29" t="s">
        <v>1182</v>
      </c>
      <c r="J268" s="24"/>
      <c r="K268" s="24" t="s">
        <v>1148</v>
      </c>
      <c r="L268" s="52" t="s">
        <v>1576</v>
      </c>
      <c r="M268" s="24" t="s">
        <v>1537</v>
      </c>
      <c r="N268" s="24" t="s">
        <v>1707</v>
      </c>
      <c r="O268" s="24" t="s">
        <v>1721</v>
      </c>
      <c r="P268" s="25"/>
      <c r="Q268" s="25"/>
      <c r="R268" s="25"/>
      <c r="S268" s="25"/>
      <c r="T268" s="25"/>
      <c r="U268" s="25"/>
      <c r="V268" s="29" t="s">
        <v>1182</v>
      </c>
    </row>
    <row r="269" spans="1:22" ht="45" x14ac:dyDescent="0.25">
      <c r="A269" s="23" t="s">
        <v>1183</v>
      </c>
      <c r="B269" s="23" t="s">
        <v>1184</v>
      </c>
      <c r="C269" s="24"/>
      <c r="D269" s="24"/>
      <c r="E269" s="24" t="s">
        <v>511</v>
      </c>
      <c r="F269" s="24" t="s">
        <v>512</v>
      </c>
      <c r="G269" s="24" t="s">
        <v>1178</v>
      </c>
      <c r="H269" s="25"/>
      <c r="I269" s="29" t="s">
        <v>1179</v>
      </c>
      <c r="J269" s="24"/>
      <c r="K269" s="24" t="s">
        <v>1629</v>
      </c>
      <c r="L269" s="52" t="s">
        <v>1628</v>
      </c>
      <c r="M269" s="24" t="s">
        <v>1560</v>
      </c>
      <c r="N269" s="24" t="s">
        <v>1707</v>
      </c>
      <c r="O269" s="24"/>
      <c r="P269" s="25"/>
      <c r="Q269" s="25"/>
      <c r="R269" s="25"/>
      <c r="S269" s="25"/>
      <c r="T269" s="25"/>
      <c r="U269" s="25"/>
      <c r="V269" s="29" t="s">
        <v>1179</v>
      </c>
    </row>
    <row r="270" spans="1:22" ht="56.25" x14ac:dyDescent="0.25">
      <c r="A270" s="23" t="s">
        <v>1185</v>
      </c>
      <c r="B270" s="23" t="s">
        <v>1186</v>
      </c>
      <c r="C270" s="24"/>
      <c r="D270" s="24"/>
      <c r="E270" s="24" t="s">
        <v>511</v>
      </c>
      <c r="F270" s="24" t="s">
        <v>512</v>
      </c>
      <c r="G270" s="24" t="s">
        <v>1178</v>
      </c>
      <c r="H270" s="25"/>
      <c r="I270" s="29" t="s">
        <v>1187</v>
      </c>
      <c r="J270" s="24"/>
      <c r="K270" s="24" t="s">
        <v>1630</v>
      </c>
      <c r="L270" s="52" t="s">
        <v>1541</v>
      </c>
      <c r="M270" s="24" t="s">
        <v>1537</v>
      </c>
      <c r="N270" s="24" t="s">
        <v>1707</v>
      </c>
      <c r="O270" s="24" t="s">
        <v>2190</v>
      </c>
      <c r="P270" s="25"/>
      <c r="Q270" s="25"/>
      <c r="R270" s="25"/>
      <c r="S270" s="25"/>
      <c r="T270" s="25"/>
      <c r="U270" s="25"/>
      <c r="V270" s="29" t="s">
        <v>2196</v>
      </c>
    </row>
    <row r="271" spans="1:22" ht="67.5" x14ac:dyDescent="0.25">
      <c r="A271" s="23" t="s">
        <v>1188</v>
      </c>
      <c r="B271" s="23" t="s">
        <v>1189</v>
      </c>
      <c r="C271" s="24"/>
      <c r="D271" s="24"/>
      <c r="E271" s="24" t="s">
        <v>511</v>
      </c>
      <c r="F271" s="24" t="s">
        <v>512</v>
      </c>
      <c r="G271" s="24" t="s">
        <v>1178</v>
      </c>
      <c r="H271" s="25"/>
      <c r="I271" s="29" t="s">
        <v>1190</v>
      </c>
      <c r="J271" s="24"/>
      <c r="K271" s="24" t="s">
        <v>1383</v>
      </c>
      <c r="L271" s="52" t="s">
        <v>1549</v>
      </c>
      <c r="M271" s="24" t="s">
        <v>1537</v>
      </c>
      <c r="N271" s="24" t="s">
        <v>1707</v>
      </c>
      <c r="O271" s="24"/>
      <c r="P271" s="25"/>
      <c r="Q271" s="25"/>
      <c r="R271" s="25"/>
      <c r="S271" s="25"/>
      <c r="T271" s="25"/>
      <c r="U271" s="25"/>
      <c r="V271" s="29" t="s">
        <v>1190</v>
      </c>
    </row>
    <row r="272" spans="1:22" ht="45" x14ac:dyDescent="0.25">
      <c r="A272" s="23" t="s">
        <v>1192</v>
      </c>
      <c r="B272" s="23" t="s">
        <v>1193</v>
      </c>
      <c r="C272" s="24"/>
      <c r="D272" s="24"/>
      <c r="E272" s="24" t="s">
        <v>511</v>
      </c>
      <c r="F272" s="24" t="s">
        <v>512</v>
      </c>
      <c r="G272" s="24" t="s">
        <v>189</v>
      </c>
      <c r="H272" s="25"/>
      <c r="I272" s="29" t="s">
        <v>1194</v>
      </c>
      <c r="J272" s="24"/>
      <c r="K272" s="24"/>
      <c r="L272" s="24"/>
      <c r="M272" s="24"/>
      <c r="N272" s="52" t="s">
        <v>2182</v>
      </c>
      <c r="O272" s="24"/>
      <c r="P272" s="25"/>
      <c r="Q272" s="25"/>
      <c r="R272" s="25"/>
      <c r="S272" s="25"/>
      <c r="T272" s="25"/>
      <c r="U272" s="25"/>
      <c r="V272" s="29" t="s">
        <v>1194</v>
      </c>
    </row>
    <row r="273" spans="1:22" ht="33.75" x14ac:dyDescent="0.25">
      <c r="A273" s="23" t="s">
        <v>1195</v>
      </c>
      <c r="B273" s="23" t="s">
        <v>358</v>
      </c>
      <c r="C273" s="24"/>
      <c r="D273" s="24"/>
      <c r="E273" s="24" t="s">
        <v>511</v>
      </c>
      <c r="F273" s="24" t="s">
        <v>512</v>
      </c>
      <c r="G273" s="24" t="s">
        <v>189</v>
      </c>
      <c r="H273" s="25"/>
      <c r="I273" s="29" t="s">
        <v>1432</v>
      </c>
      <c r="J273" s="24"/>
      <c r="K273" s="24"/>
      <c r="L273" s="24"/>
      <c r="M273" s="24"/>
      <c r="N273" s="52" t="s">
        <v>2182</v>
      </c>
      <c r="O273" s="24"/>
      <c r="P273" s="25"/>
      <c r="Q273" s="25"/>
      <c r="R273" s="25"/>
      <c r="S273" s="25"/>
      <c r="T273" s="25"/>
      <c r="U273" s="25">
        <v>42297</v>
      </c>
      <c r="V273" s="29" t="s">
        <v>1432</v>
      </c>
    </row>
    <row r="274" spans="1:22" ht="45" x14ac:dyDescent="0.25">
      <c r="A274" s="23" t="s">
        <v>1196</v>
      </c>
      <c r="B274" s="23" t="s">
        <v>1197</v>
      </c>
      <c r="C274" s="24"/>
      <c r="D274" s="24"/>
      <c r="E274" s="24" t="s">
        <v>511</v>
      </c>
      <c r="F274" s="24" t="s">
        <v>512</v>
      </c>
      <c r="G274" s="24" t="s">
        <v>1178</v>
      </c>
      <c r="H274" s="25"/>
      <c r="I274" s="29" t="s">
        <v>1198</v>
      </c>
      <c r="J274" s="24"/>
      <c r="K274" s="24" t="s">
        <v>1631</v>
      </c>
      <c r="L274" s="52" t="s">
        <v>1619</v>
      </c>
      <c r="M274" s="24" t="s">
        <v>1537</v>
      </c>
      <c r="N274" s="24" t="s">
        <v>1709</v>
      </c>
      <c r="O274" s="24"/>
      <c r="P274" s="25"/>
      <c r="Q274" s="25"/>
      <c r="R274" s="25"/>
      <c r="S274" s="25"/>
      <c r="T274" s="25"/>
      <c r="U274" s="25"/>
      <c r="V274" s="29" t="s">
        <v>1198</v>
      </c>
    </row>
    <row r="275" spans="1:22" ht="45" x14ac:dyDescent="0.25">
      <c r="A275" s="23" t="s">
        <v>1199</v>
      </c>
      <c r="B275" s="23" t="s">
        <v>1200</v>
      </c>
      <c r="C275" s="24"/>
      <c r="D275" s="24"/>
      <c r="E275" s="24" t="s">
        <v>511</v>
      </c>
      <c r="F275" s="24" t="s">
        <v>512</v>
      </c>
      <c r="G275" s="24" t="s">
        <v>189</v>
      </c>
      <c r="H275" s="25"/>
      <c r="I275" s="29" t="s">
        <v>1201</v>
      </c>
      <c r="J275" s="24"/>
      <c r="K275" s="24"/>
      <c r="L275" s="24"/>
      <c r="M275" s="24"/>
      <c r="N275" s="52" t="s">
        <v>2182</v>
      </c>
      <c r="O275" s="24"/>
      <c r="P275" s="25"/>
      <c r="Q275" s="25"/>
      <c r="R275" s="25"/>
      <c r="S275" s="25"/>
      <c r="T275" s="25"/>
      <c r="U275" s="25"/>
      <c r="V275" s="29" t="s">
        <v>1201</v>
      </c>
    </row>
    <row r="276" spans="1:22" ht="33.75" x14ac:dyDescent="0.25">
      <c r="A276" s="23" t="s">
        <v>1202</v>
      </c>
      <c r="B276" s="23" t="s">
        <v>1203</v>
      </c>
      <c r="C276" s="24"/>
      <c r="D276" s="24"/>
      <c r="E276" s="24" t="s">
        <v>511</v>
      </c>
      <c r="F276" s="24" t="s">
        <v>512</v>
      </c>
      <c r="G276" s="24" t="s">
        <v>513</v>
      </c>
      <c r="H276" s="25"/>
      <c r="I276" s="29" t="s">
        <v>1204</v>
      </c>
      <c r="J276" s="24"/>
      <c r="K276" s="24" t="s">
        <v>1631</v>
      </c>
      <c r="L276" s="52" t="s">
        <v>1619</v>
      </c>
      <c r="M276" s="24" t="s">
        <v>1537</v>
      </c>
      <c r="N276" s="24" t="s">
        <v>1707</v>
      </c>
      <c r="O276" s="24" t="s">
        <v>1721</v>
      </c>
      <c r="P276" s="25"/>
      <c r="Q276" s="25"/>
      <c r="R276" s="25"/>
      <c r="S276" s="25"/>
      <c r="T276" s="25"/>
      <c r="U276" s="25"/>
      <c r="V276" s="29" t="s">
        <v>1746</v>
      </c>
    </row>
    <row r="277" spans="1:22" ht="30" x14ac:dyDescent="0.25">
      <c r="A277" s="23" t="s">
        <v>1205</v>
      </c>
      <c r="B277" s="23" t="s">
        <v>358</v>
      </c>
      <c r="C277" s="24"/>
      <c r="D277" s="24"/>
      <c r="E277" s="24" t="s">
        <v>511</v>
      </c>
      <c r="F277" s="24" t="s">
        <v>512</v>
      </c>
      <c r="G277" s="24" t="s">
        <v>1178</v>
      </c>
      <c r="H277" s="25"/>
      <c r="I277" s="29" t="s">
        <v>1206</v>
      </c>
      <c r="J277" s="24"/>
      <c r="K277" s="24" t="s">
        <v>1632</v>
      </c>
      <c r="L277" s="52" t="s">
        <v>1616</v>
      </c>
      <c r="M277" s="24" t="s">
        <v>1537</v>
      </c>
      <c r="N277" s="24" t="s">
        <v>1707</v>
      </c>
      <c r="O277" s="24"/>
      <c r="P277" s="25"/>
      <c r="Q277" s="25"/>
      <c r="R277" s="25"/>
      <c r="S277" s="25"/>
      <c r="T277" s="25"/>
      <c r="U277" s="25"/>
      <c r="V277" s="29" t="s">
        <v>1206</v>
      </c>
    </row>
    <row r="278" spans="1:22" ht="33.75" x14ac:dyDescent="0.25">
      <c r="A278" s="22" t="s">
        <v>1207</v>
      </c>
      <c r="B278" s="23" t="s">
        <v>1208</v>
      </c>
      <c r="C278" s="24" t="s">
        <v>721</v>
      </c>
      <c r="D278" s="24" t="s">
        <v>722</v>
      </c>
      <c r="E278" s="24" t="s">
        <v>531</v>
      </c>
      <c r="F278" s="24" t="s">
        <v>180</v>
      </c>
      <c r="G278" s="24" t="s">
        <v>189</v>
      </c>
      <c r="H278" s="25">
        <v>42257</v>
      </c>
      <c r="I278" s="29" t="s">
        <v>242</v>
      </c>
      <c r="J278" s="24" t="s">
        <v>501</v>
      </c>
      <c r="K278" s="24" t="s">
        <v>562</v>
      </c>
      <c r="L278" s="24"/>
      <c r="M278" s="24"/>
      <c r="N278" s="52" t="s">
        <v>2182</v>
      </c>
      <c r="O278" s="24"/>
      <c r="P278" s="25">
        <v>42257</v>
      </c>
      <c r="Q278" s="25">
        <v>42260</v>
      </c>
      <c r="R278" s="25">
        <v>42260</v>
      </c>
      <c r="S278" s="25">
        <v>42261</v>
      </c>
      <c r="T278" s="25">
        <v>42265</v>
      </c>
      <c r="U278" s="25">
        <v>42270</v>
      </c>
      <c r="V278" s="29" t="s">
        <v>1209</v>
      </c>
    </row>
    <row r="279" spans="1:22" ht="45" x14ac:dyDescent="0.25">
      <c r="A279" s="23" t="s">
        <v>1210</v>
      </c>
      <c r="B279" s="23" t="s">
        <v>1211</v>
      </c>
      <c r="C279" s="24"/>
      <c r="D279" s="24"/>
      <c r="E279" s="24" t="s">
        <v>511</v>
      </c>
      <c r="F279" s="24" t="s">
        <v>512</v>
      </c>
      <c r="G279" s="24" t="s">
        <v>189</v>
      </c>
      <c r="H279" s="25"/>
      <c r="I279" s="29" t="s">
        <v>1212</v>
      </c>
      <c r="J279" s="24"/>
      <c r="K279" s="24"/>
      <c r="L279" s="24"/>
      <c r="M279" s="24"/>
      <c r="N279" s="52" t="s">
        <v>2182</v>
      </c>
      <c r="O279" s="24"/>
      <c r="P279" s="25"/>
      <c r="Q279" s="25"/>
      <c r="R279" s="25"/>
      <c r="S279" s="25"/>
      <c r="T279" s="25"/>
      <c r="U279" s="25"/>
      <c r="V279" s="29" t="s">
        <v>1212</v>
      </c>
    </row>
    <row r="280" spans="1:22" ht="45" x14ac:dyDescent="0.25">
      <c r="A280" s="23" t="s">
        <v>1213</v>
      </c>
      <c r="B280" s="23" t="s">
        <v>1214</v>
      </c>
      <c r="C280" s="24"/>
      <c r="D280" s="24"/>
      <c r="E280" s="24" t="s">
        <v>511</v>
      </c>
      <c r="F280" s="24" t="s">
        <v>512</v>
      </c>
      <c r="G280" s="24" t="s">
        <v>188</v>
      </c>
      <c r="H280" s="25"/>
      <c r="I280" s="29" t="s">
        <v>1215</v>
      </c>
      <c r="J280" s="24"/>
      <c r="K280" s="24"/>
      <c r="L280" s="24"/>
      <c r="M280" s="24"/>
      <c r="N280" s="52" t="s">
        <v>2182</v>
      </c>
      <c r="O280" s="24"/>
      <c r="P280" s="25"/>
      <c r="Q280" s="25"/>
      <c r="R280" s="25"/>
      <c r="S280" s="25"/>
      <c r="T280" s="25"/>
      <c r="U280" s="25">
        <v>42321</v>
      </c>
      <c r="V280" s="29" t="s">
        <v>1215</v>
      </c>
    </row>
    <row r="281" spans="1:22" ht="45" x14ac:dyDescent="0.25">
      <c r="A281" s="23" t="s">
        <v>1216</v>
      </c>
      <c r="B281" s="23" t="s">
        <v>1217</v>
      </c>
      <c r="C281" s="24"/>
      <c r="D281" s="24"/>
      <c r="E281" s="24" t="s">
        <v>511</v>
      </c>
      <c r="F281" s="24" t="s">
        <v>512</v>
      </c>
      <c r="G281" s="24" t="s">
        <v>188</v>
      </c>
      <c r="H281" s="25"/>
      <c r="I281" s="29" t="s">
        <v>1218</v>
      </c>
      <c r="J281" s="24"/>
      <c r="K281" s="24"/>
      <c r="L281" s="24"/>
      <c r="M281" s="24"/>
      <c r="N281" s="52" t="s">
        <v>2182</v>
      </c>
      <c r="O281" s="24"/>
      <c r="P281" s="25"/>
      <c r="Q281" s="25"/>
      <c r="R281" s="25"/>
      <c r="S281" s="25"/>
      <c r="T281" s="25"/>
      <c r="U281" s="25">
        <v>42321</v>
      </c>
      <c r="V281" s="29" t="s">
        <v>1218</v>
      </c>
    </row>
    <row r="282" spans="1:22" ht="45" x14ac:dyDescent="0.25">
      <c r="A282" s="23" t="s">
        <v>1219</v>
      </c>
      <c r="B282" s="23" t="s">
        <v>1220</v>
      </c>
      <c r="C282" s="24"/>
      <c r="D282" s="24"/>
      <c r="E282" s="24" t="s">
        <v>511</v>
      </c>
      <c r="F282" s="24" t="s">
        <v>512</v>
      </c>
      <c r="G282" s="24" t="s">
        <v>1178</v>
      </c>
      <c r="H282" s="25"/>
      <c r="I282" s="29" t="s">
        <v>1221</v>
      </c>
      <c r="J282" s="24"/>
      <c r="K282" s="24" t="s">
        <v>1152</v>
      </c>
      <c r="L282" s="52" t="s">
        <v>1603</v>
      </c>
      <c r="M282" s="24" t="s">
        <v>1560</v>
      </c>
      <c r="N282" s="24" t="s">
        <v>1707</v>
      </c>
      <c r="O282" s="24" t="s">
        <v>1721</v>
      </c>
      <c r="P282" s="25"/>
      <c r="Q282" s="25"/>
      <c r="R282" s="25"/>
      <c r="S282" s="25"/>
      <c r="T282" s="25"/>
      <c r="U282" s="25"/>
      <c r="V282" s="29" t="s">
        <v>1221</v>
      </c>
    </row>
    <row r="283" spans="1:22" ht="33.75" x14ac:dyDescent="0.25">
      <c r="A283" s="23" t="s">
        <v>1222</v>
      </c>
      <c r="B283" s="23" t="s">
        <v>1223</v>
      </c>
      <c r="C283" s="24"/>
      <c r="D283" s="24"/>
      <c r="E283" s="24" t="s">
        <v>511</v>
      </c>
      <c r="F283" s="24" t="s">
        <v>512</v>
      </c>
      <c r="G283" s="24" t="s">
        <v>1178</v>
      </c>
      <c r="H283" s="25"/>
      <c r="I283" s="29" t="s">
        <v>1224</v>
      </c>
      <c r="J283" s="24"/>
      <c r="K283" s="24" t="s">
        <v>636</v>
      </c>
      <c r="L283" s="24"/>
      <c r="M283" s="24"/>
      <c r="N283" s="24" t="s">
        <v>1707</v>
      </c>
      <c r="O283" s="24" t="s">
        <v>2190</v>
      </c>
      <c r="P283" s="25"/>
      <c r="Q283" s="25"/>
      <c r="R283" s="25"/>
      <c r="S283" s="25"/>
      <c r="T283" s="25"/>
      <c r="U283" s="25"/>
      <c r="V283" s="29" t="s">
        <v>2202</v>
      </c>
    </row>
    <row r="284" spans="1:22" ht="33.75" x14ac:dyDescent="0.25">
      <c r="A284" s="23" t="s">
        <v>1225</v>
      </c>
      <c r="B284" s="23" t="s">
        <v>1226</v>
      </c>
      <c r="C284" s="24"/>
      <c r="D284" s="24"/>
      <c r="E284" s="24" t="s">
        <v>511</v>
      </c>
      <c r="F284" s="24" t="s">
        <v>512</v>
      </c>
      <c r="G284" s="24" t="s">
        <v>1178</v>
      </c>
      <c r="H284" s="25"/>
      <c r="I284" s="29" t="s">
        <v>1227</v>
      </c>
      <c r="J284" s="24"/>
      <c r="K284" s="24" t="s">
        <v>1633</v>
      </c>
      <c r="L284" s="52" t="s">
        <v>1550</v>
      </c>
      <c r="M284" s="24" t="s">
        <v>1537</v>
      </c>
      <c r="N284" s="24" t="s">
        <v>1707</v>
      </c>
      <c r="O284" s="24"/>
      <c r="P284" s="25"/>
      <c r="Q284" s="25"/>
      <c r="R284" s="25"/>
      <c r="S284" s="25"/>
      <c r="T284" s="25"/>
      <c r="U284" s="25"/>
      <c r="V284" s="29" t="s">
        <v>1227</v>
      </c>
    </row>
    <row r="285" spans="1:22" ht="45" x14ac:dyDescent="0.25">
      <c r="A285" s="23" t="s">
        <v>1228</v>
      </c>
      <c r="B285" s="23" t="s">
        <v>1150</v>
      </c>
      <c r="C285" s="24"/>
      <c r="D285" s="24"/>
      <c r="E285" s="24" t="s">
        <v>511</v>
      </c>
      <c r="F285" s="24" t="s">
        <v>512</v>
      </c>
      <c r="G285" s="24" t="s">
        <v>189</v>
      </c>
      <c r="H285" s="25"/>
      <c r="I285" s="29" t="s">
        <v>1229</v>
      </c>
      <c r="J285" s="24"/>
      <c r="K285" s="24" t="s">
        <v>1400</v>
      </c>
      <c r="L285" s="52" t="s">
        <v>1569</v>
      </c>
      <c r="M285" s="24" t="s">
        <v>1537</v>
      </c>
      <c r="N285" s="24" t="s">
        <v>1707</v>
      </c>
      <c r="O285" s="24" t="s">
        <v>1721</v>
      </c>
      <c r="P285" s="25"/>
      <c r="Q285" s="25"/>
      <c r="R285" s="25"/>
      <c r="S285" s="25"/>
      <c r="T285" s="25"/>
      <c r="U285" s="25">
        <v>42383</v>
      </c>
      <c r="V285" s="29" t="s">
        <v>1229</v>
      </c>
    </row>
    <row r="286" spans="1:22" ht="45" x14ac:dyDescent="0.25">
      <c r="A286" s="23" t="s">
        <v>1230</v>
      </c>
      <c r="B286" s="23" t="s">
        <v>1150</v>
      </c>
      <c r="C286" s="24"/>
      <c r="D286" s="24"/>
      <c r="E286" s="24" t="s">
        <v>511</v>
      </c>
      <c r="F286" s="24" t="s">
        <v>512</v>
      </c>
      <c r="G286" s="24" t="s">
        <v>513</v>
      </c>
      <c r="H286" s="25"/>
      <c r="I286" s="29" t="s">
        <v>1231</v>
      </c>
      <c r="J286" s="24"/>
      <c r="K286" s="24" t="s">
        <v>1635</v>
      </c>
      <c r="L286" s="52" t="s">
        <v>1634</v>
      </c>
      <c r="M286" s="24" t="s">
        <v>1537</v>
      </c>
      <c r="N286" s="24" t="s">
        <v>1707</v>
      </c>
      <c r="O286" s="24" t="s">
        <v>1721</v>
      </c>
      <c r="P286" s="25"/>
      <c r="Q286" s="25"/>
      <c r="R286" s="25"/>
      <c r="S286" s="25"/>
      <c r="T286" s="25"/>
      <c r="U286" s="25"/>
      <c r="V286" s="29" t="s">
        <v>2137</v>
      </c>
    </row>
    <row r="287" spans="1:22" ht="22.5" x14ac:dyDescent="0.25">
      <c r="A287" s="23" t="s">
        <v>1232</v>
      </c>
      <c r="B287" s="23" t="s">
        <v>1150</v>
      </c>
      <c r="C287" s="24"/>
      <c r="D287" s="24"/>
      <c r="E287" s="24" t="s">
        <v>511</v>
      </c>
      <c r="F287" s="24" t="s">
        <v>512</v>
      </c>
      <c r="G287" s="24" t="s">
        <v>513</v>
      </c>
      <c r="H287" s="25"/>
      <c r="I287" s="29" t="s">
        <v>1233</v>
      </c>
      <c r="J287" s="24"/>
      <c r="K287" s="24" t="s">
        <v>1636</v>
      </c>
      <c r="L287" s="24"/>
      <c r="M287" s="24"/>
      <c r="N287" s="24" t="s">
        <v>1728</v>
      </c>
      <c r="O287" s="24"/>
      <c r="P287" s="25"/>
      <c r="Q287" s="25"/>
      <c r="R287" s="25"/>
      <c r="S287" s="25"/>
      <c r="T287" s="25"/>
      <c r="U287" s="25"/>
      <c r="V287" s="29" t="s">
        <v>2184</v>
      </c>
    </row>
    <row r="288" spans="1:22" ht="22.5" x14ac:dyDescent="0.25">
      <c r="A288" s="23" t="s">
        <v>1234</v>
      </c>
      <c r="B288" s="23" t="s">
        <v>1150</v>
      </c>
      <c r="C288" s="24" t="s">
        <v>529</v>
      </c>
      <c r="D288" s="24" t="s">
        <v>583</v>
      </c>
      <c r="E288" s="24" t="s">
        <v>531</v>
      </c>
      <c r="F288" s="24" t="s">
        <v>180</v>
      </c>
      <c r="G288" s="24" t="s">
        <v>189</v>
      </c>
      <c r="H288" s="25">
        <v>42262</v>
      </c>
      <c r="I288" s="29" t="s">
        <v>242</v>
      </c>
      <c r="J288" s="24" t="s">
        <v>502</v>
      </c>
      <c r="K288" s="24" t="s">
        <v>608</v>
      </c>
      <c r="L288" s="24"/>
      <c r="M288" s="24"/>
      <c r="N288" s="52" t="s">
        <v>2182</v>
      </c>
      <c r="O288" s="24"/>
      <c r="P288" s="25">
        <v>42268</v>
      </c>
      <c r="Q288" s="25">
        <v>42270</v>
      </c>
      <c r="R288" s="25">
        <v>42270</v>
      </c>
      <c r="S288" s="25">
        <v>42271</v>
      </c>
      <c r="T288" s="25" t="s">
        <v>1235</v>
      </c>
      <c r="U288" s="25">
        <v>42290</v>
      </c>
      <c r="V288" s="29" t="s">
        <v>1233</v>
      </c>
    </row>
    <row r="289" spans="1:22" ht="33.75" x14ac:dyDescent="0.25">
      <c r="A289" s="23" t="s">
        <v>1236</v>
      </c>
      <c r="B289" s="23" t="s">
        <v>1150</v>
      </c>
      <c r="C289" s="24"/>
      <c r="D289" s="24"/>
      <c r="E289" s="24" t="s">
        <v>511</v>
      </c>
      <c r="F289" s="24" t="s">
        <v>512</v>
      </c>
      <c r="G289" s="24" t="s">
        <v>189</v>
      </c>
      <c r="H289" s="25"/>
      <c r="I289" s="29" t="s">
        <v>1237</v>
      </c>
      <c r="J289" s="24"/>
      <c r="K289" s="24"/>
      <c r="L289" s="24"/>
      <c r="M289" s="24"/>
      <c r="N289" s="52" t="s">
        <v>2182</v>
      </c>
      <c r="O289" s="24"/>
      <c r="P289" s="25"/>
      <c r="Q289" s="25"/>
      <c r="R289" s="25"/>
      <c r="S289" s="25"/>
      <c r="T289" s="25"/>
      <c r="U289" s="25"/>
      <c r="V289" s="29" t="s">
        <v>1237</v>
      </c>
    </row>
    <row r="290" spans="1:22" ht="22.5" x14ac:dyDescent="0.25">
      <c r="A290" s="22" t="s">
        <v>1238</v>
      </c>
      <c r="B290" s="23" t="s">
        <v>1239</v>
      </c>
      <c r="C290" s="24" t="s">
        <v>721</v>
      </c>
      <c r="D290" s="24" t="s">
        <v>1240</v>
      </c>
      <c r="E290" s="24" t="s">
        <v>531</v>
      </c>
      <c r="F290" s="24" t="s">
        <v>180</v>
      </c>
      <c r="G290" s="24" t="s">
        <v>189</v>
      </c>
      <c r="H290" s="25">
        <v>42262</v>
      </c>
      <c r="I290" s="29" t="s">
        <v>242</v>
      </c>
      <c r="J290" s="24" t="s">
        <v>501</v>
      </c>
      <c r="K290" s="24" t="s">
        <v>562</v>
      </c>
      <c r="L290" s="24"/>
      <c r="M290" s="24"/>
      <c r="N290" s="52" t="s">
        <v>2182</v>
      </c>
      <c r="O290" s="24"/>
      <c r="P290" s="25">
        <v>42263</v>
      </c>
      <c r="Q290" s="25">
        <v>42268</v>
      </c>
      <c r="R290" s="25">
        <v>42268</v>
      </c>
      <c r="S290" s="25">
        <v>42269</v>
      </c>
      <c r="T290" s="25">
        <v>42282</v>
      </c>
      <c r="U290" s="25">
        <v>42283</v>
      </c>
      <c r="V290" s="29" t="s">
        <v>1241</v>
      </c>
    </row>
    <row r="291" spans="1:22" ht="45" x14ac:dyDescent="0.25">
      <c r="A291" s="23" t="s">
        <v>1243</v>
      </c>
      <c r="B291" s="23" t="s">
        <v>358</v>
      </c>
      <c r="C291" s="24"/>
      <c r="D291" s="24"/>
      <c r="E291" s="24" t="s">
        <v>511</v>
      </c>
      <c r="F291" s="24" t="s">
        <v>512</v>
      </c>
      <c r="G291" s="24" t="s">
        <v>513</v>
      </c>
      <c r="H291" s="25"/>
      <c r="I291" s="29" t="s">
        <v>1244</v>
      </c>
      <c r="J291" s="24"/>
      <c r="K291" s="24" t="s">
        <v>1635</v>
      </c>
      <c r="L291" s="52" t="s">
        <v>1634</v>
      </c>
      <c r="M291" s="24"/>
      <c r="N291" s="24" t="s">
        <v>1707</v>
      </c>
      <c r="O291" s="24" t="s">
        <v>1721</v>
      </c>
      <c r="P291" s="25"/>
      <c r="Q291" s="25"/>
      <c r="R291" s="25"/>
      <c r="S291" s="25"/>
      <c r="T291" s="25"/>
      <c r="U291" s="25"/>
      <c r="V291" s="29" t="s">
        <v>2138</v>
      </c>
    </row>
    <row r="292" spans="1:22" ht="67.5" x14ac:dyDescent="0.25">
      <c r="A292" s="23" t="s">
        <v>1245</v>
      </c>
      <c r="B292" s="23" t="s">
        <v>1246</v>
      </c>
      <c r="C292" s="24"/>
      <c r="D292" s="24"/>
      <c r="E292" s="24" t="s">
        <v>495</v>
      </c>
      <c r="F292" s="24" t="s">
        <v>180</v>
      </c>
      <c r="G292" s="24" t="s">
        <v>189</v>
      </c>
      <c r="H292" s="25"/>
      <c r="I292" s="29" t="s">
        <v>1247</v>
      </c>
      <c r="J292" s="24"/>
      <c r="K292" s="24" t="s">
        <v>1148</v>
      </c>
      <c r="L292" s="52" t="s">
        <v>1576</v>
      </c>
      <c r="M292" s="24"/>
      <c r="N292" s="24" t="s">
        <v>1707</v>
      </c>
      <c r="O292" s="24" t="s">
        <v>1721</v>
      </c>
      <c r="P292" s="25"/>
      <c r="Q292" s="25"/>
      <c r="R292" s="25"/>
      <c r="S292" s="25"/>
      <c r="T292" s="25"/>
      <c r="U292" s="25"/>
      <c r="V292" s="29" t="s">
        <v>1247</v>
      </c>
    </row>
    <row r="293" spans="1:22" ht="33.75" x14ac:dyDescent="0.25">
      <c r="A293" s="23" t="s">
        <v>1249</v>
      </c>
      <c r="B293" s="23" t="s">
        <v>1250</v>
      </c>
      <c r="C293" s="24"/>
      <c r="D293" s="24"/>
      <c r="E293" s="24" t="s">
        <v>511</v>
      </c>
      <c r="F293" s="24" t="s">
        <v>512</v>
      </c>
      <c r="G293" s="24" t="s">
        <v>189</v>
      </c>
      <c r="H293" s="25"/>
      <c r="I293" s="29" t="s">
        <v>1251</v>
      </c>
      <c r="J293" s="24"/>
      <c r="K293" s="24"/>
      <c r="L293" s="24"/>
      <c r="M293" s="24"/>
      <c r="N293" s="52" t="s">
        <v>2182</v>
      </c>
      <c r="O293" s="24"/>
      <c r="P293" s="25"/>
      <c r="Q293" s="25"/>
      <c r="R293" s="25"/>
      <c r="S293" s="25"/>
      <c r="T293" s="25"/>
      <c r="U293" s="25"/>
      <c r="V293" s="29" t="s">
        <v>1251</v>
      </c>
    </row>
    <row r="294" spans="1:22" ht="22.5" x14ac:dyDescent="0.25">
      <c r="A294" s="23" t="s">
        <v>1252</v>
      </c>
      <c r="B294" s="23" t="s">
        <v>1253</v>
      </c>
      <c r="C294" s="24" t="s">
        <v>203</v>
      </c>
      <c r="D294" s="24" t="s">
        <v>1254</v>
      </c>
      <c r="E294" s="24" t="s">
        <v>531</v>
      </c>
      <c r="F294" s="24" t="s">
        <v>180</v>
      </c>
      <c r="G294" s="24" t="s">
        <v>189</v>
      </c>
      <c r="H294" s="25">
        <v>42264</v>
      </c>
      <c r="I294" s="29" t="s">
        <v>242</v>
      </c>
      <c r="J294" s="24" t="s">
        <v>611</v>
      </c>
      <c r="K294" s="24" t="s">
        <v>980</v>
      </c>
      <c r="L294" s="24"/>
      <c r="M294" s="24"/>
      <c r="N294" s="52" t="s">
        <v>2182</v>
      </c>
      <c r="O294" s="24"/>
      <c r="P294" s="25">
        <v>42265</v>
      </c>
      <c r="Q294" s="25"/>
      <c r="R294" s="25"/>
      <c r="S294" s="25"/>
      <c r="T294" s="25">
        <v>42285</v>
      </c>
      <c r="U294" s="25">
        <v>42285</v>
      </c>
      <c r="V294" s="29" t="s">
        <v>1255</v>
      </c>
    </row>
    <row r="295" spans="1:22" ht="22.5" x14ac:dyDescent="0.25">
      <c r="A295" s="23" t="s">
        <v>1256</v>
      </c>
      <c r="B295" s="23" t="s">
        <v>1257</v>
      </c>
      <c r="C295" s="24" t="s">
        <v>203</v>
      </c>
      <c r="D295" s="24" t="s">
        <v>1254</v>
      </c>
      <c r="E295" s="24" t="s">
        <v>531</v>
      </c>
      <c r="F295" s="24" t="s">
        <v>180</v>
      </c>
      <c r="G295" s="24" t="s">
        <v>189</v>
      </c>
      <c r="H295" s="25">
        <v>42264</v>
      </c>
      <c r="I295" s="29" t="s">
        <v>242</v>
      </c>
      <c r="J295" s="24" t="s">
        <v>611</v>
      </c>
      <c r="K295" s="24" t="s">
        <v>980</v>
      </c>
      <c r="L295" s="24"/>
      <c r="M295" s="24"/>
      <c r="N295" s="52" t="s">
        <v>2182</v>
      </c>
      <c r="O295" s="24"/>
      <c r="P295" s="25">
        <v>42265</v>
      </c>
      <c r="Q295" s="25"/>
      <c r="R295" s="25"/>
      <c r="S295" s="25"/>
      <c r="T295" s="25">
        <v>42285</v>
      </c>
      <c r="U295" s="25">
        <v>42285</v>
      </c>
      <c r="V295" s="29" t="s">
        <v>1255</v>
      </c>
    </row>
    <row r="296" spans="1:22" ht="33.75" x14ac:dyDescent="0.25">
      <c r="A296" s="23" t="s">
        <v>1258</v>
      </c>
      <c r="B296" s="23" t="s">
        <v>1259</v>
      </c>
      <c r="C296" s="24"/>
      <c r="D296" s="24"/>
      <c r="E296" s="24" t="s">
        <v>511</v>
      </c>
      <c r="F296" s="24" t="s">
        <v>512</v>
      </c>
      <c r="G296" s="24" t="s">
        <v>513</v>
      </c>
      <c r="H296" s="25"/>
      <c r="I296" s="29" t="s">
        <v>1260</v>
      </c>
      <c r="J296" s="24"/>
      <c r="K296" s="24"/>
      <c r="L296" s="24"/>
      <c r="M296" s="24"/>
      <c r="N296" s="24"/>
      <c r="O296" s="24"/>
      <c r="P296" s="25"/>
      <c r="Q296" s="25"/>
      <c r="R296" s="25"/>
      <c r="S296" s="25"/>
      <c r="T296" s="25"/>
      <c r="U296" s="25"/>
      <c r="V296" s="29" t="s">
        <v>1260</v>
      </c>
    </row>
    <row r="297" spans="1:22" ht="33.75" x14ac:dyDescent="0.25">
      <c r="A297" s="23" t="s">
        <v>1261</v>
      </c>
      <c r="B297" s="23" t="s">
        <v>1262</v>
      </c>
      <c r="C297" s="24"/>
      <c r="D297" s="24"/>
      <c r="E297" s="24" t="s">
        <v>511</v>
      </c>
      <c r="F297" s="24" t="s">
        <v>512</v>
      </c>
      <c r="G297" s="24" t="s">
        <v>189</v>
      </c>
      <c r="H297" s="25"/>
      <c r="I297" s="29" t="s">
        <v>1263</v>
      </c>
      <c r="J297" s="24"/>
      <c r="K297" s="24"/>
      <c r="L297" s="24"/>
      <c r="M297" s="24"/>
      <c r="N297" s="52" t="s">
        <v>2182</v>
      </c>
      <c r="O297" s="24"/>
      <c r="P297" s="25"/>
      <c r="Q297" s="25"/>
      <c r="R297" s="25"/>
      <c r="S297" s="25"/>
      <c r="T297" s="25"/>
      <c r="U297" s="25"/>
      <c r="V297" s="29" t="s">
        <v>1263</v>
      </c>
    </row>
    <row r="298" spans="1:22" ht="33.75" x14ac:dyDescent="0.25">
      <c r="A298" s="23" t="s">
        <v>1264</v>
      </c>
      <c r="B298" s="23" t="s">
        <v>358</v>
      </c>
      <c r="C298" s="24"/>
      <c r="D298" s="24"/>
      <c r="E298" s="24" t="s">
        <v>511</v>
      </c>
      <c r="F298" s="24" t="s">
        <v>512</v>
      </c>
      <c r="G298" s="24" t="s">
        <v>513</v>
      </c>
      <c r="H298" s="25"/>
      <c r="I298" s="29" t="s">
        <v>1265</v>
      </c>
      <c r="J298" s="24"/>
      <c r="K298" s="24" t="s">
        <v>1637</v>
      </c>
      <c r="L298" s="52" t="s">
        <v>1620</v>
      </c>
      <c r="M298" s="24"/>
      <c r="N298" s="24" t="s">
        <v>1707</v>
      </c>
      <c r="O298" s="24"/>
      <c r="P298" s="25"/>
      <c r="Q298" s="25"/>
      <c r="R298" s="25"/>
      <c r="S298" s="25"/>
      <c r="T298" s="25"/>
      <c r="U298" s="25"/>
      <c r="V298" s="29" t="s">
        <v>1265</v>
      </c>
    </row>
    <row r="299" spans="1:22" ht="33.75" x14ac:dyDescent="0.25">
      <c r="A299" s="23" t="s">
        <v>1266</v>
      </c>
      <c r="B299" s="23" t="s">
        <v>358</v>
      </c>
      <c r="C299" s="24" t="s">
        <v>203</v>
      </c>
      <c r="D299" s="24" t="s">
        <v>1267</v>
      </c>
      <c r="E299" s="24" t="s">
        <v>531</v>
      </c>
      <c r="F299" s="24" t="s">
        <v>180</v>
      </c>
      <c r="G299" s="24" t="s">
        <v>189</v>
      </c>
      <c r="H299" s="25">
        <v>42268</v>
      </c>
      <c r="I299" s="29" t="s">
        <v>1268</v>
      </c>
      <c r="J299" s="24" t="s">
        <v>449</v>
      </c>
      <c r="K299" s="24" t="s">
        <v>1269</v>
      </c>
      <c r="L299" s="52" t="s">
        <v>1638</v>
      </c>
      <c r="M299" s="24" t="s">
        <v>1537</v>
      </c>
      <c r="N299" s="24" t="s">
        <v>1707</v>
      </c>
      <c r="O299" s="24"/>
      <c r="P299" s="25">
        <v>42272</v>
      </c>
      <c r="Q299" s="25">
        <v>42284</v>
      </c>
      <c r="R299" s="25">
        <v>42284</v>
      </c>
      <c r="S299" s="25">
        <v>42285</v>
      </c>
      <c r="T299" s="25">
        <v>42287</v>
      </c>
      <c r="U299" s="25">
        <v>42290</v>
      </c>
      <c r="V299" s="29" t="s">
        <v>1268</v>
      </c>
    </row>
    <row r="300" spans="1:22" ht="22.5" x14ac:dyDescent="0.25">
      <c r="A300" s="22" t="s">
        <v>1270</v>
      </c>
      <c r="B300" s="23" t="s">
        <v>1271</v>
      </c>
      <c r="C300" s="24" t="s">
        <v>988</v>
      </c>
      <c r="D300" s="24" t="s">
        <v>988</v>
      </c>
      <c r="E300" s="24" t="s">
        <v>531</v>
      </c>
      <c r="F300" s="24" t="s">
        <v>180</v>
      </c>
      <c r="G300" s="24" t="s">
        <v>189</v>
      </c>
      <c r="H300" s="25">
        <v>42269</v>
      </c>
      <c r="I300" s="29" t="s">
        <v>242</v>
      </c>
      <c r="J300" s="24" t="s">
        <v>501</v>
      </c>
      <c r="K300" s="24" t="s">
        <v>562</v>
      </c>
      <c r="L300" s="24"/>
      <c r="M300" s="24"/>
      <c r="N300" s="52" t="s">
        <v>2182</v>
      </c>
      <c r="O300" s="24"/>
      <c r="P300" s="25">
        <v>42271</v>
      </c>
      <c r="Q300" s="25">
        <v>42273</v>
      </c>
      <c r="R300" s="25">
        <v>42273</v>
      </c>
      <c r="S300" s="25">
        <v>42275</v>
      </c>
      <c r="T300" s="25">
        <v>42279</v>
      </c>
      <c r="U300" s="25">
        <v>42283</v>
      </c>
      <c r="V300" s="29" t="s">
        <v>1272</v>
      </c>
    </row>
    <row r="301" spans="1:22" ht="33.75" x14ac:dyDescent="0.25">
      <c r="A301" s="23" t="s">
        <v>1273</v>
      </c>
      <c r="B301" s="23" t="s">
        <v>1274</v>
      </c>
      <c r="C301" s="24" t="s">
        <v>1275</v>
      </c>
      <c r="D301" s="24" t="s">
        <v>1275</v>
      </c>
      <c r="E301" s="24" t="s">
        <v>511</v>
      </c>
      <c r="F301" s="24" t="s">
        <v>512</v>
      </c>
      <c r="G301" s="24" t="s">
        <v>188</v>
      </c>
      <c r="H301" s="25"/>
      <c r="I301" s="29" t="s">
        <v>1272</v>
      </c>
      <c r="J301" s="24"/>
      <c r="K301" s="24"/>
      <c r="L301" s="24"/>
      <c r="M301" s="24"/>
      <c r="N301" s="52" t="s">
        <v>2182</v>
      </c>
      <c r="O301" s="24"/>
      <c r="P301" s="25"/>
      <c r="Q301" s="25"/>
      <c r="R301" s="25"/>
      <c r="S301" s="25"/>
      <c r="T301" s="25"/>
      <c r="U301" s="25">
        <v>42320</v>
      </c>
      <c r="V301" s="29" t="s">
        <v>1272</v>
      </c>
    </row>
    <row r="302" spans="1:22" ht="30" x14ac:dyDescent="0.25">
      <c r="A302" s="23" t="s">
        <v>1276</v>
      </c>
      <c r="B302" s="23" t="s">
        <v>1277</v>
      </c>
      <c r="C302" s="24" t="s">
        <v>649</v>
      </c>
      <c r="D302" s="24" t="s">
        <v>649</v>
      </c>
      <c r="E302" s="24" t="s">
        <v>511</v>
      </c>
      <c r="F302" s="24" t="s">
        <v>512</v>
      </c>
      <c r="G302" s="24" t="s">
        <v>189</v>
      </c>
      <c r="H302" s="25">
        <v>42265</v>
      </c>
      <c r="I302" s="29" t="s">
        <v>242</v>
      </c>
      <c r="J302" s="24" t="s">
        <v>501</v>
      </c>
      <c r="K302" s="24" t="s">
        <v>1278</v>
      </c>
      <c r="L302" s="52" t="s">
        <v>1564</v>
      </c>
      <c r="M302" s="24" t="s">
        <v>1537</v>
      </c>
      <c r="N302" s="24" t="s">
        <v>1707</v>
      </c>
      <c r="O302" s="24" t="s">
        <v>1721</v>
      </c>
      <c r="P302" s="25">
        <v>42268</v>
      </c>
      <c r="Q302" s="25">
        <v>42270</v>
      </c>
      <c r="R302" s="25"/>
      <c r="S302" s="25"/>
      <c r="T302" s="25"/>
      <c r="U302" s="25"/>
      <c r="V302" s="29" t="s">
        <v>1279</v>
      </c>
    </row>
    <row r="303" spans="1:22" ht="33.75" x14ac:dyDescent="0.25">
      <c r="A303" s="23" t="s">
        <v>1282</v>
      </c>
      <c r="B303" s="23" t="s">
        <v>1283</v>
      </c>
      <c r="C303" s="24" t="s">
        <v>174</v>
      </c>
      <c r="D303" s="24" t="s">
        <v>174</v>
      </c>
      <c r="E303" s="24" t="s">
        <v>511</v>
      </c>
      <c r="F303" s="24" t="s">
        <v>512</v>
      </c>
      <c r="G303" s="24" t="s">
        <v>1284</v>
      </c>
      <c r="H303" s="25">
        <v>42269</v>
      </c>
      <c r="I303" s="29" t="s">
        <v>1285</v>
      </c>
      <c r="J303" s="24" t="s">
        <v>1286</v>
      </c>
      <c r="K303" s="33" t="s">
        <v>1287</v>
      </c>
      <c r="L303" s="56"/>
      <c r="M303" s="33"/>
      <c r="N303" s="33" t="s">
        <v>1728</v>
      </c>
      <c r="O303" s="33"/>
      <c r="P303" s="25"/>
      <c r="Q303" s="25"/>
      <c r="R303" s="25"/>
      <c r="S303" s="25"/>
      <c r="T303" s="25"/>
      <c r="U303" s="25"/>
      <c r="V303" s="29" t="s">
        <v>1639</v>
      </c>
    </row>
    <row r="304" spans="1:22" ht="22.5" x14ac:dyDescent="0.25">
      <c r="A304" s="23" t="s">
        <v>1289</v>
      </c>
      <c r="B304" s="23" t="s">
        <v>433</v>
      </c>
      <c r="C304" s="24" t="s">
        <v>1290</v>
      </c>
      <c r="D304" s="24" t="s">
        <v>1291</v>
      </c>
      <c r="E304" s="24" t="s">
        <v>531</v>
      </c>
      <c r="F304" s="24" t="s">
        <v>180</v>
      </c>
      <c r="G304" s="24" t="s">
        <v>189</v>
      </c>
      <c r="H304" s="25">
        <v>42271</v>
      </c>
      <c r="I304" s="29" t="s">
        <v>1292</v>
      </c>
      <c r="J304" s="24" t="s">
        <v>502</v>
      </c>
      <c r="K304" s="24" t="s">
        <v>1293</v>
      </c>
      <c r="L304" s="24"/>
      <c r="M304" s="24"/>
      <c r="N304" s="52" t="s">
        <v>2182</v>
      </c>
      <c r="O304" s="24"/>
      <c r="P304" s="25">
        <v>42271</v>
      </c>
      <c r="Q304" s="25">
        <v>42272</v>
      </c>
      <c r="R304" s="25">
        <v>42273</v>
      </c>
      <c r="S304" s="25">
        <v>42275</v>
      </c>
      <c r="T304" s="25">
        <v>42278</v>
      </c>
      <c r="U304" s="25">
        <v>42278</v>
      </c>
      <c r="V304" s="29" t="s">
        <v>1288</v>
      </c>
    </row>
    <row r="305" spans="1:22" ht="30" x14ac:dyDescent="0.25">
      <c r="A305" s="23" t="s">
        <v>1294</v>
      </c>
      <c r="B305" s="23" t="s">
        <v>1295</v>
      </c>
      <c r="C305" s="24" t="s">
        <v>1290</v>
      </c>
      <c r="D305" s="24" t="s">
        <v>593</v>
      </c>
      <c r="E305" s="24" t="s">
        <v>511</v>
      </c>
      <c r="F305" s="24" t="s">
        <v>512</v>
      </c>
      <c r="G305" s="24" t="s">
        <v>513</v>
      </c>
      <c r="H305" s="25">
        <v>42265</v>
      </c>
      <c r="I305" s="29" t="s">
        <v>242</v>
      </c>
      <c r="J305" s="24" t="s">
        <v>502</v>
      </c>
      <c r="K305" s="24" t="s">
        <v>938</v>
      </c>
      <c r="L305" s="52" t="s">
        <v>1609</v>
      </c>
      <c r="M305" s="24" t="s">
        <v>1537</v>
      </c>
      <c r="N305" s="24" t="s">
        <v>1707</v>
      </c>
      <c r="O305" s="24"/>
      <c r="P305" s="25">
        <v>42271</v>
      </c>
      <c r="Q305" s="25">
        <v>42273</v>
      </c>
      <c r="R305" s="25"/>
      <c r="S305" s="25"/>
      <c r="T305" s="25"/>
      <c r="U305" s="25"/>
      <c r="V305" s="29" t="s">
        <v>1288</v>
      </c>
    </row>
    <row r="306" spans="1:22" ht="45" x14ac:dyDescent="0.25">
      <c r="A306" s="23" t="s">
        <v>1296</v>
      </c>
      <c r="B306" s="23" t="s">
        <v>1297</v>
      </c>
      <c r="C306" s="24" t="s">
        <v>1290</v>
      </c>
      <c r="D306" s="24" t="s">
        <v>536</v>
      </c>
      <c r="E306" s="24" t="s">
        <v>511</v>
      </c>
      <c r="F306" s="24" t="s">
        <v>512</v>
      </c>
      <c r="G306" s="24" t="s">
        <v>188</v>
      </c>
      <c r="H306" s="25">
        <v>42269</v>
      </c>
      <c r="I306" s="29" t="s">
        <v>1281</v>
      </c>
      <c r="J306" s="24"/>
      <c r="K306" s="24" t="s">
        <v>684</v>
      </c>
      <c r="L306" s="52" t="s">
        <v>1640</v>
      </c>
      <c r="M306" s="24" t="s">
        <v>1560</v>
      </c>
      <c r="N306" s="24" t="s">
        <v>1707</v>
      </c>
      <c r="O306" s="24" t="s">
        <v>2247</v>
      </c>
      <c r="P306" s="25"/>
      <c r="Q306" s="25"/>
      <c r="R306" s="25"/>
      <c r="S306" s="25"/>
      <c r="T306" s="25"/>
      <c r="U306" s="25"/>
      <c r="V306" s="29" t="s">
        <v>1281</v>
      </c>
    </row>
    <row r="307" spans="1:22" ht="22.5" x14ac:dyDescent="0.25">
      <c r="A307" s="28" t="s">
        <v>1299</v>
      </c>
      <c r="B307" s="28" t="s">
        <v>1300</v>
      </c>
      <c r="C307" s="53" t="s">
        <v>1290</v>
      </c>
      <c r="D307" s="53" t="s">
        <v>536</v>
      </c>
      <c r="E307" s="53" t="s">
        <v>511</v>
      </c>
      <c r="F307" s="53" t="s">
        <v>512</v>
      </c>
      <c r="G307" s="53" t="s">
        <v>513</v>
      </c>
      <c r="H307" s="25">
        <v>42269</v>
      </c>
      <c r="I307" s="29" t="s">
        <v>1301</v>
      </c>
      <c r="J307" s="24" t="s">
        <v>1302</v>
      </c>
      <c r="K307" s="33" t="s">
        <v>1152</v>
      </c>
      <c r="L307" s="33"/>
      <c r="M307" s="33"/>
      <c r="N307" s="33" t="s">
        <v>1728</v>
      </c>
      <c r="O307" s="33"/>
      <c r="P307" s="25">
        <v>42271</v>
      </c>
      <c r="Q307" s="25">
        <v>42273</v>
      </c>
      <c r="R307" s="25">
        <v>42272</v>
      </c>
      <c r="S307" s="25"/>
      <c r="T307" s="25"/>
      <c r="U307" s="25"/>
      <c r="V307" s="29" t="s">
        <v>1303</v>
      </c>
    </row>
    <row r="308" spans="1:22" ht="67.5" x14ac:dyDescent="0.25">
      <c r="A308" s="23" t="s">
        <v>1305</v>
      </c>
      <c r="B308" s="23" t="s">
        <v>1306</v>
      </c>
      <c r="C308" s="24" t="s">
        <v>1307</v>
      </c>
      <c r="D308" s="24" t="s">
        <v>1308</v>
      </c>
      <c r="E308" s="24" t="s">
        <v>537</v>
      </c>
      <c r="F308" s="24" t="s">
        <v>512</v>
      </c>
      <c r="G308" s="24" t="s">
        <v>1284</v>
      </c>
      <c r="H308" s="25">
        <v>42271</v>
      </c>
      <c r="I308" s="29" t="s">
        <v>523</v>
      </c>
      <c r="J308" s="24" t="s">
        <v>524</v>
      </c>
      <c r="K308" s="24" t="s">
        <v>525</v>
      </c>
      <c r="L308" s="52" t="s">
        <v>1534</v>
      </c>
      <c r="M308" s="24" t="s">
        <v>1537</v>
      </c>
      <c r="N308" s="24" t="s">
        <v>1707</v>
      </c>
      <c r="O308" s="24" t="s">
        <v>1721</v>
      </c>
      <c r="P308" s="25">
        <v>42276</v>
      </c>
      <c r="Q308" s="25"/>
      <c r="R308" s="25"/>
      <c r="S308" s="25"/>
      <c r="T308" s="25"/>
      <c r="U308" s="25"/>
      <c r="V308" s="29" t="s">
        <v>2140</v>
      </c>
    </row>
    <row r="309" spans="1:22" ht="33.75" x14ac:dyDescent="0.25">
      <c r="A309" s="23" t="s">
        <v>1310</v>
      </c>
      <c r="B309" s="23" t="s">
        <v>1311</v>
      </c>
      <c r="C309" s="24" t="s">
        <v>1312</v>
      </c>
      <c r="D309" s="24" t="s">
        <v>93</v>
      </c>
      <c r="E309" s="24" t="s">
        <v>511</v>
      </c>
      <c r="F309" s="24" t="s">
        <v>512</v>
      </c>
      <c r="G309" s="24" t="s">
        <v>1178</v>
      </c>
      <c r="H309" s="25">
        <v>42272</v>
      </c>
      <c r="I309" s="29" t="s">
        <v>1313</v>
      </c>
      <c r="J309" s="24" t="s">
        <v>501</v>
      </c>
      <c r="K309" s="24" t="s">
        <v>677</v>
      </c>
      <c r="L309" s="52"/>
      <c r="M309" s="24"/>
      <c r="N309" s="24" t="s">
        <v>1728</v>
      </c>
      <c r="O309" s="24"/>
      <c r="P309" s="25"/>
      <c r="Q309" s="25"/>
      <c r="R309" s="25"/>
      <c r="S309" s="25"/>
      <c r="T309" s="25"/>
      <c r="U309" s="25"/>
      <c r="V309" s="29" t="s">
        <v>1641</v>
      </c>
    </row>
    <row r="310" spans="1:22" ht="33.75" x14ac:dyDescent="0.25">
      <c r="A310" s="23" t="s">
        <v>1314</v>
      </c>
      <c r="B310" s="23" t="s">
        <v>1315</v>
      </c>
      <c r="C310" s="24" t="s">
        <v>529</v>
      </c>
      <c r="D310" s="24" t="s">
        <v>1316</v>
      </c>
      <c r="E310" s="24" t="s">
        <v>511</v>
      </c>
      <c r="F310" s="24" t="s">
        <v>512</v>
      </c>
      <c r="G310" s="24" t="s">
        <v>513</v>
      </c>
      <c r="H310" s="25">
        <v>42276</v>
      </c>
      <c r="I310" s="29" t="s">
        <v>1309</v>
      </c>
      <c r="J310" s="24" t="s">
        <v>524</v>
      </c>
      <c r="K310" s="24" t="s">
        <v>1317</v>
      </c>
      <c r="L310" s="52" t="s">
        <v>1642</v>
      </c>
      <c r="M310" s="24" t="s">
        <v>1537</v>
      </c>
      <c r="N310" s="24" t="s">
        <v>1708</v>
      </c>
      <c r="O310" s="24"/>
      <c r="P310" s="25">
        <v>42276</v>
      </c>
      <c r="Q310" s="25">
        <v>42279</v>
      </c>
      <c r="R310" s="25"/>
      <c r="S310" s="25"/>
      <c r="T310" s="25"/>
      <c r="U310" s="25"/>
      <c r="V310" s="29" t="s">
        <v>1309</v>
      </c>
    </row>
    <row r="311" spans="1:22" ht="33.75" x14ac:dyDescent="0.25">
      <c r="A311" s="23" t="s">
        <v>1318</v>
      </c>
      <c r="B311" s="23" t="s">
        <v>1319</v>
      </c>
      <c r="C311" s="24" t="s">
        <v>1290</v>
      </c>
      <c r="D311" s="24" t="s">
        <v>593</v>
      </c>
      <c r="E311" s="24" t="s">
        <v>511</v>
      </c>
      <c r="F311" s="24" t="s">
        <v>512</v>
      </c>
      <c r="G311" s="24" t="s">
        <v>189</v>
      </c>
      <c r="H311" s="25">
        <v>42276</v>
      </c>
      <c r="I311" s="29" t="s">
        <v>1320</v>
      </c>
      <c r="J311" s="24" t="s">
        <v>1321</v>
      </c>
      <c r="K311" s="24" t="s">
        <v>1322</v>
      </c>
      <c r="L311" s="24"/>
      <c r="M311" s="24"/>
      <c r="N311" s="52" t="s">
        <v>2182</v>
      </c>
      <c r="O311" s="24"/>
      <c r="P311" s="25">
        <v>42278</v>
      </c>
      <c r="Q311" s="25">
        <v>42282</v>
      </c>
      <c r="R311" s="25"/>
      <c r="S311" s="25"/>
      <c r="T311" s="25"/>
      <c r="U311" s="25"/>
      <c r="V311" s="29" t="s">
        <v>1323</v>
      </c>
    </row>
    <row r="312" spans="1:22" ht="33.75" x14ac:dyDescent="0.25">
      <c r="A312" s="23" t="s">
        <v>1324</v>
      </c>
      <c r="B312" s="23" t="s">
        <v>1150</v>
      </c>
      <c r="C312" s="24" t="s">
        <v>1290</v>
      </c>
      <c r="D312" s="24" t="s">
        <v>1325</v>
      </c>
      <c r="E312" s="24" t="s">
        <v>511</v>
      </c>
      <c r="F312" s="24" t="s">
        <v>512</v>
      </c>
      <c r="G312" s="24" t="s">
        <v>513</v>
      </c>
      <c r="H312" s="25">
        <v>42276</v>
      </c>
      <c r="I312" s="29" t="s">
        <v>1309</v>
      </c>
      <c r="J312" s="24" t="s">
        <v>524</v>
      </c>
      <c r="K312" s="24" t="s">
        <v>753</v>
      </c>
      <c r="L312" s="52" t="s">
        <v>1569</v>
      </c>
      <c r="M312" s="24" t="s">
        <v>1537</v>
      </c>
      <c r="N312" s="24" t="s">
        <v>1707</v>
      </c>
      <c r="O312" s="24" t="s">
        <v>1721</v>
      </c>
      <c r="P312" s="25">
        <v>42276</v>
      </c>
      <c r="Q312" s="25">
        <v>42279</v>
      </c>
      <c r="R312" s="25"/>
      <c r="S312" s="25"/>
      <c r="T312" s="25"/>
      <c r="U312" s="25"/>
      <c r="V312" s="29" t="s">
        <v>1726</v>
      </c>
    </row>
    <row r="313" spans="1:22" ht="33.75" x14ac:dyDescent="0.25">
      <c r="A313" s="23" t="s">
        <v>1329</v>
      </c>
      <c r="B313" s="23" t="s">
        <v>1330</v>
      </c>
      <c r="C313" s="24" t="s">
        <v>1331</v>
      </c>
      <c r="D313" s="24" t="s">
        <v>1332</v>
      </c>
      <c r="E313" s="24" t="s">
        <v>511</v>
      </c>
      <c r="F313" s="24" t="s">
        <v>512</v>
      </c>
      <c r="G313" s="24" t="s">
        <v>513</v>
      </c>
      <c r="H313" s="25">
        <v>42277</v>
      </c>
      <c r="I313" s="29" t="s">
        <v>1328</v>
      </c>
      <c r="J313" s="24" t="s">
        <v>1333</v>
      </c>
      <c r="K313" s="24" t="s">
        <v>525</v>
      </c>
      <c r="L313" s="52" t="s">
        <v>1534</v>
      </c>
      <c r="M313" s="24" t="s">
        <v>1537</v>
      </c>
      <c r="N313" s="24" t="s">
        <v>1707</v>
      </c>
      <c r="O313" s="24" t="s">
        <v>1721</v>
      </c>
      <c r="P313" s="25">
        <v>42277</v>
      </c>
      <c r="Q313" s="25">
        <v>42282</v>
      </c>
      <c r="R313" s="25"/>
      <c r="S313" s="25"/>
      <c r="T313" s="25"/>
      <c r="U313" s="25"/>
      <c r="V313" s="29" t="s">
        <v>2141</v>
      </c>
    </row>
    <row r="314" spans="1:22" ht="33.75" x14ac:dyDescent="0.25">
      <c r="A314" s="23" t="s">
        <v>1334</v>
      </c>
      <c r="B314" s="23" t="s">
        <v>1335</v>
      </c>
      <c r="C314" s="24" t="s">
        <v>721</v>
      </c>
      <c r="D314" s="24" t="s">
        <v>1240</v>
      </c>
      <c r="E314" s="24" t="s">
        <v>495</v>
      </c>
      <c r="F314" s="24" t="s">
        <v>180</v>
      </c>
      <c r="G314" s="24" t="s">
        <v>189</v>
      </c>
      <c r="H314" s="25">
        <v>42276</v>
      </c>
      <c r="I314" s="29" t="s">
        <v>242</v>
      </c>
      <c r="J314" s="24" t="s">
        <v>449</v>
      </c>
      <c r="K314" s="24" t="s">
        <v>562</v>
      </c>
      <c r="L314" s="52" t="s">
        <v>1541</v>
      </c>
      <c r="M314" s="24" t="s">
        <v>1537</v>
      </c>
      <c r="N314" s="24" t="s">
        <v>1707</v>
      </c>
      <c r="O314" s="24" t="s">
        <v>2190</v>
      </c>
      <c r="P314" s="25">
        <v>42278</v>
      </c>
      <c r="Q314" s="25">
        <v>42282</v>
      </c>
      <c r="R314" s="25">
        <v>42282</v>
      </c>
      <c r="S314" s="25"/>
      <c r="T314" s="25"/>
      <c r="U314" s="25">
        <v>42349</v>
      </c>
      <c r="V314" s="29" t="s">
        <v>2197</v>
      </c>
    </row>
    <row r="315" spans="1:22" ht="33.75" x14ac:dyDescent="0.25">
      <c r="A315" s="23" t="s">
        <v>1336</v>
      </c>
      <c r="B315" s="23" t="s">
        <v>1337</v>
      </c>
      <c r="C315" s="24" t="s">
        <v>721</v>
      </c>
      <c r="D315" s="24" t="s">
        <v>1240</v>
      </c>
      <c r="E315" s="24" t="s">
        <v>511</v>
      </c>
      <c r="F315" s="24" t="s">
        <v>512</v>
      </c>
      <c r="G315" s="24" t="s">
        <v>189</v>
      </c>
      <c r="H315" s="25">
        <v>42276</v>
      </c>
      <c r="I315" s="29" t="s">
        <v>242</v>
      </c>
      <c r="J315" s="24" t="s">
        <v>449</v>
      </c>
      <c r="K315" s="24" t="s">
        <v>562</v>
      </c>
      <c r="L315" s="52" t="s">
        <v>1541</v>
      </c>
      <c r="M315" s="24" t="s">
        <v>1537</v>
      </c>
      <c r="N315" s="24" t="s">
        <v>1707</v>
      </c>
      <c r="O315" s="24" t="s">
        <v>2190</v>
      </c>
      <c r="P315" s="25">
        <v>42278</v>
      </c>
      <c r="Q315" s="25">
        <v>42282</v>
      </c>
      <c r="R315" s="25"/>
      <c r="S315" s="25"/>
      <c r="T315" s="25"/>
      <c r="U315" s="25">
        <v>42349</v>
      </c>
      <c r="V315" s="29" t="s">
        <v>2197</v>
      </c>
    </row>
    <row r="316" spans="1:22" ht="30" x14ac:dyDescent="0.25">
      <c r="A316" s="23" t="s">
        <v>1340</v>
      </c>
      <c r="B316" s="23" t="s">
        <v>1341</v>
      </c>
      <c r="C316" s="24" t="s">
        <v>721</v>
      </c>
      <c r="D316" s="24" t="s">
        <v>1240</v>
      </c>
      <c r="E316" s="24" t="s">
        <v>511</v>
      </c>
      <c r="F316" s="24" t="s">
        <v>512</v>
      </c>
      <c r="G316" s="24" t="s">
        <v>1178</v>
      </c>
      <c r="H316" s="25">
        <v>42277</v>
      </c>
      <c r="I316" s="29" t="s">
        <v>523</v>
      </c>
      <c r="J316" s="24" t="s">
        <v>1339</v>
      </c>
      <c r="K316" s="24" t="s">
        <v>562</v>
      </c>
      <c r="L316" s="52" t="s">
        <v>1541</v>
      </c>
      <c r="M316" s="24" t="s">
        <v>1537</v>
      </c>
      <c r="N316" s="24" t="s">
        <v>1707</v>
      </c>
      <c r="O316" s="24" t="s">
        <v>2190</v>
      </c>
      <c r="P316" s="25">
        <v>42278</v>
      </c>
      <c r="Q316" s="25">
        <v>42282</v>
      </c>
      <c r="R316" s="25" t="s">
        <v>264</v>
      </c>
      <c r="S316" s="25"/>
      <c r="T316" s="25"/>
      <c r="U316" s="25"/>
      <c r="V316" s="29" t="s">
        <v>2198</v>
      </c>
    </row>
    <row r="317" spans="1:22" ht="45" x14ac:dyDescent="0.25">
      <c r="A317" s="23" t="s">
        <v>1342</v>
      </c>
      <c r="B317" s="23" t="s">
        <v>1126</v>
      </c>
      <c r="C317" s="24" t="s">
        <v>1290</v>
      </c>
      <c r="D317" s="24" t="s">
        <v>1343</v>
      </c>
      <c r="E317" s="24" t="s">
        <v>511</v>
      </c>
      <c r="F317" s="24" t="s">
        <v>512</v>
      </c>
      <c r="G317" s="24" t="s">
        <v>1178</v>
      </c>
      <c r="H317" s="25">
        <v>42278</v>
      </c>
      <c r="I317" s="29" t="s">
        <v>523</v>
      </c>
      <c r="J317" s="24" t="s">
        <v>1339</v>
      </c>
      <c r="K317" s="24" t="s">
        <v>1344</v>
      </c>
      <c r="L317" s="52" t="s">
        <v>1643</v>
      </c>
      <c r="M317" s="24" t="s">
        <v>1560</v>
      </c>
      <c r="N317" s="24" t="s">
        <v>1707</v>
      </c>
      <c r="O317" s="24" t="s">
        <v>1710</v>
      </c>
      <c r="P317" s="25"/>
      <c r="Q317" s="25"/>
      <c r="R317" s="25"/>
      <c r="S317" s="25"/>
      <c r="T317" s="25"/>
      <c r="U317" s="25"/>
      <c r="V317" s="29" t="s">
        <v>1714</v>
      </c>
    </row>
    <row r="318" spans="1:22" x14ac:dyDescent="0.25">
      <c r="A318" s="28" t="s">
        <v>1345</v>
      </c>
      <c r="B318" s="23" t="s">
        <v>1346</v>
      </c>
      <c r="C318" s="24" t="s">
        <v>1347</v>
      </c>
      <c r="D318" s="24" t="s">
        <v>1348</v>
      </c>
      <c r="E318" s="24" t="s">
        <v>495</v>
      </c>
      <c r="F318" s="24" t="s">
        <v>180</v>
      </c>
      <c r="G318" s="24" t="s">
        <v>188</v>
      </c>
      <c r="H318" s="25">
        <v>42172</v>
      </c>
      <c r="I318" s="29" t="s">
        <v>1349</v>
      </c>
      <c r="J318" s="24" t="s">
        <v>1350</v>
      </c>
      <c r="K318" s="24" t="s">
        <v>1351</v>
      </c>
      <c r="L318" s="24"/>
      <c r="M318" s="24"/>
      <c r="N318" s="52" t="s">
        <v>2182</v>
      </c>
      <c r="O318" s="24"/>
      <c r="P318" s="25">
        <v>42179</v>
      </c>
      <c r="Q318" s="25">
        <v>42182</v>
      </c>
      <c r="R318" s="25">
        <v>42282</v>
      </c>
      <c r="S318" s="25">
        <v>42285</v>
      </c>
      <c r="T318" s="25"/>
      <c r="U318" s="25"/>
      <c r="V318" s="29" t="s">
        <v>1445</v>
      </c>
    </row>
    <row r="319" spans="1:22" ht="33.75" x14ac:dyDescent="0.25">
      <c r="A319" s="23" t="s">
        <v>1352</v>
      </c>
      <c r="B319" s="23" t="s">
        <v>1353</v>
      </c>
      <c r="C319" s="24" t="s">
        <v>1354</v>
      </c>
      <c r="D319" s="24" t="s">
        <v>1355</v>
      </c>
      <c r="E319" s="24" t="s">
        <v>511</v>
      </c>
      <c r="F319" s="24" t="s">
        <v>512</v>
      </c>
      <c r="G319" s="24" t="s">
        <v>1284</v>
      </c>
      <c r="H319" s="25">
        <v>42256</v>
      </c>
      <c r="I319" s="29" t="s">
        <v>1356</v>
      </c>
      <c r="J319" s="24"/>
      <c r="K319" s="24" t="s">
        <v>1631</v>
      </c>
      <c r="L319" s="24"/>
      <c r="M319" s="24"/>
      <c r="N319" s="24" t="s">
        <v>1707</v>
      </c>
      <c r="O319" s="24" t="s">
        <v>1721</v>
      </c>
      <c r="P319" s="25"/>
      <c r="Q319" s="25"/>
      <c r="R319" s="25"/>
      <c r="S319" s="25"/>
      <c r="T319" s="25"/>
      <c r="U319" s="25"/>
      <c r="V319" s="29" t="s">
        <v>1747</v>
      </c>
    </row>
    <row r="320" spans="1:22" ht="22.5" x14ac:dyDescent="0.25">
      <c r="A320" s="23" t="s">
        <v>1357</v>
      </c>
      <c r="B320" s="23" t="s">
        <v>1358</v>
      </c>
      <c r="C320" s="24" t="s">
        <v>529</v>
      </c>
      <c r="D320" s="24" t="s">
        <v>1359</v>
      </c>
      <c r="E320" s="24" t="s">
        <v>511</v>
      </c>
      <c r="F320" s="24" t="s">
        <v>512</v>
      </c>
      <c r="G320" s="24" t="s">
        <v>189</v>
      </c>
      <c r="H320" s="25">
        <v>42277</v>
      </c>
      <c r="I320" s="29" t="s">
        <v>523</v>
      </c>
      <c r="J320" s="24" t="s">
        <v>524</v>
      </c>
      <c r="K320" s="24" t="s">
        <v>1360</v>
      </c>
      <c r="L320" s="24"/>
      <c r="M320" s="24"/>
      <c r="N320" s="52" t="s">
        <v>2182</v>
      </c>
      <c r="O320" s="24"/>
      <c r="P320" s="25"/>
      <c r="Q320" s="25"/>
      <c r="R320" s="25"/>
      <c r="S320" s="25"/>
      <c r="T320" s="25"/>
      <c r="U320" s="25"/>
      <c r="V320" s="29"/>
    </row>
    <row r="321" spans="1:22" ht="22.5" x14ac:dyDescent="0.25">
      <c r="A321" s="23" t="s">
        <v>1363</v>
      </c>
      <c r="B321" s="23" t="s">
        <v>1364</v>
      </c>
      <c r="C321" s="24" t="s">
        <v>1354</v>
      </c>
      <c r="D321" s="24" t="s">
        <v>1355</v>
      </c>
      <c r="E321" s="24" t="s">
        <v>511</v>
      </c>
      <c r="F321" s="24" t="s">
        <v>512</v>
      </c>
      <c r="G321" s="24" t="s">
        <v>1284</v>
      </c>
      <c r="H321" s="25">
        <v>42279</v>
      </c>
      <c r="I321" s="29" t="s">
        <v>523</v>
      </c>
      <c r="J321" s="24" t="s">
        <v>524</v>
      </c>
      <c r="K321" s="24" t="s">
        <v>1365</v>
      </c>
      <c r="L321" s="24"/>
      <c r="M321" s="24"/>
      <c r="N321" s="24" t="s">
        <v>1728</v>
      </c>
      <c r="O321" s="24"/>
      <c r="P321" s="25"/>
      <c r="Q321" s="25"/>
      <c r="R321" s="25"/>
      <c r="S321" s="25"/>
      <c r="T321" s="25"/>
      <c r="U321" s="25"/>
      <c r="V321" s="29" t="s">
        <v>1645</v>
      </c>
    </row>
    <row r="322" spans="1:22" ht="22.5" x14ac:dyDescent="0.25">
      <c r="A322" s="23" t="s">
        <v>1366</v>
      </c>
      <c r="B322" s="23" t="s">
        <v>1367</v>
      </c>
      <c r="C322" s="24" t="s">
        <v>203</v>
      </c>
      <c r="D322" s="24" t="s">
        <v>536</v>
      </c>
      <c r="E322" s="24" t="s">
        <v>511</v>
      </c>
      <c r="F322" s="24" t="s">
        <v>512</v>
      </c>
      <c r="G322" s="24" t="s">
        <v>1284</v>
      </c>
      <c r="H322" s="25">
        <v>42282</v>
      </c>
      <c r="I322" s="29" t="s">
        <v>242</v>
      </c>
      <c r="J322" s="24" t="s">
        <v>502</v>
      </c>
      <c r="K322" s="24" t="s">
        <v>753</v>
      </c>
      <c r="L322" s="24"/>
      <c r="M322" s="24"/>
      <c r="N322" s="24" t="s">
        <v>1728</v>
      </c>
      <c r="O322" s="24"/>
      <c r="P322" s="25"/>
      <c r="Q322" s="25"/>
      <c r="R322" s="25"/>
      <c r="S322" s="25"/>
      <c r="T322" s="25"/>
      <c r="U322" s="25"/>
      <c r="V322" s="23" t="s">
        <v>1644</v>
      </c>
    </row>
    <row r="323" spans="1:22" ht="30" x14ac:dyDescent="0.25">
      <c r="A323" s="23" t="s">
        <v>1368</v>
      </c>
      <c r="B323" s="23" t="s">
        <v>1369</v>
      </c>
      <c r="C323" s="24" t="s">
        <v>203</v>
      </c>
      <c r="D323" s="24" t="s">
        <v>536</v>
      </c>
      <c r="E323" s="24" t="s">
        <v>511</v>
      </c>
      <c r="F323" s="24" t="s">
        <v>512</v>
      </c>
      <c r="G323" s="24" t="s">
        <v>189</v>
      </c>
      <c r="H323" s="25">
        <v>42282</v>
      </c>
      <c r="I323" s="29" t="s">
        <v>523</v>
      </c>
      <c r="J323" s="24" t="s">
        <v>524</v>
      </c>
      <c r="K323" s="24" t="s">
        <v>684</v>
      </c>
      <c r="L323" s="52" t="s">
        <v>1640</v>
      </c>
      <c r="M323" s="24" t="s">
        <v>1578</v>
      </c>
      <c r="N323" s="24" t="s">
        <v>1707</v>
      </c>
      <c r="O323" s="24" t="s">
        <v>2190</v>
      </c>
      <c r="P323" s="25"/>
      <c r="Q323" s="25"/>
      <c r="R323" s="25"/>
      <c r="S323" s="25"/>
      <c r="T323" s="25"/>
      <c r="U323" s="25"/>
      <c r="V323" s="29"/>
    </row>
    <row r="324" spans="1:22" ht="30" x14ac:dyDescent="0.25">
      <c r="A324" s="23" t="s">
        <v>1370</v>
      </c>
      <c r="B324" s="23" t="s">
        <v>1371</v>
      </c>
      <c r="C324" s="24" t="s">
        <v>721</v>
      </c>
      <c r="D324" s="24" t="s">
        <v>1240</v>
      </c>
      <c r="E324" s="24" t="s">
        <v>511</v>
      </c>
      <c r="F324" s="24" t="s">
        <v>512</v>
      </c>
      <c r="G324" s="24" t="s">
        <v>189</v>
      </c>
      <c r="H324" s="25">
        <v>42283</v>
      </c>
      <c r="I324" s="29" t="s">
        <v>242</v>
      </c>
      <c r="J324" s="24" t="s">
        <v>449</v>
      </c>
      <c r="K324" s="24" t="s">
        <v>562</v>
      </c>
      <c r="L324" s="52" t="s">
        <v>1541</v>
      </c>
      <c r="M324" s="24" t="s">
        <v>1537</v>
      </c>
      <c r="N324" s="24" t="s">
        <v>1707</v>
      </c>
      <c r="O324" s="24" t="s">
        <v>2190</v>
      </c>
      <c r="P324" s="25">
        <v>42284</v>
      </c>
      <c r="Q324" s="25">
        <v>42286</v>
      </c>
      <c r="R324" s="25"/>
      <c r="S324" s="25"/>
      <c r="T324" s="25"/>
      <c r="U324" s="25">
        <v>42349</v>
      </c>
      <c r="V324" s="29" t="s">
        <v>2199</v>
      </c>
    </row>
    <row r="325" spans="1:22" ht="22.5" x14ac:dyDescent="0.25">
      <c r="A325" s="23" t="s">
        <v>1372</v>
      </c>
      <c r="B325" s="23" t="s">
        <v>1373</v>
      </c>
      <c r="C325" s="24" t="s">
        <v>721</v>
      </c>
      <c r="D325" s="24" t="s">
        <v>1240</v>
      </c>
      <c r="E325" s="24" t="s">
        <v>511</v>
      </c>
      <c r="F325" s="24" t="s">
        <v>512</v>
      </c>
      <c r="G325" s="24" t="s">
        <v>188</v>
      </c>
      <c r="H325" s="25">
        <v>42283</v>
      </c>
      <c r="I325" s="29" t="s">
        <v>242</v>
      </c>
      <c r="J325" s="24" t="s">
        <v>501</v>
      </c>
      <c r="K325" s="24" t="s">
        <v>562</v>
      </c>
      <c r="L325" s="24"/>
      <c r="M325" s="24"/>
      <c r="N325" s="52" t="s">
        <v>2182</v>
      </c>
      <c r="O325" s="24"/>
      <c r="P325" s="25">
        <v>42284</v>
      </c>
      <c r="Q325" s="25">
        <v>42286</v>
      </c>
      <c r="R325" s="25"/>
      <c r="S325" s="25"/>
      <c r="T325" s="25"/>
      <c r="U325" s="25">
        <v>42321</v>
      </c>
      <c r="V325" s="29"/>
    </row>
    <row r="326" spans="1:22" ht="22.5" x14ac:dyDescent="0.25">
      <c r="A326" s="23" t="s">
        <v>1374</v>
      </c>
      <c r="B326" s="23" t="s">
        <v>1150</v>
      </c>
      <c r="C326" s="24" t="s">
        <v>1354</v>
      </c>
      <c r="D326" s="24" t="s">
        <v>530</v>
      </c>
      <c r="E326" s="24" t="s">
        <v>511</v>
      </c>
      <c r="F326" s="24" t="s">
        <v>512</v>
      </c>
      <c r="G326" s="24" t="s">
        <v>1362</v>
      </c>
      <c r="H326" s="25">
        <v>42283</v>
      </c>
      <c r="I326" s="29" t="s">
        <v>514</v>
      </c>
      <c r="J326" s="24" t="s">
        <v>1280</v>
      </c>
      <c r="K326" s="24" t="s">
        <v>1071</v>
      </c>
      <c r="L326" s="24"/>
      <c r="M326" s="24"/>
      <c r="N326" s="24" t="s">
        <v>1728</v>
      </c>
      <c r="O326" s="24"/>
      <c r="P326" s="25"/>
      <c r="Q326" s="25"/>
      <c r="R326" s="25"/>
      <c r="S326" s="25"/>
      <c r="T326" s="25"/>
      <c r="U326" s="25"/>
      <c r="V326" s="29" t="s">
        <v>1740</v>
      </c>
    </row>
    <row r="327" spans="1:22" ht="101.25" x14ac:dyDescent="0.25">
      <c r="A327" s="23" t="s">
        <v>1375</v>
      </c>
      <c r="B327" s="23" t="s">
        <v>1150</v>
      </c>
      <c r="C327" s="24" t="s">
        <v>203</v>
      </c>
      <c r="D327" s="24" t="s">
        <v>1376</v>
      </c>
      <c r="E327" s="24" t="s">
        <v>511</v>
      </c>
      <c r="F327" s="24" t="s">
        <v>512</v>
      </c>
      <c r="G327" s="24" t="s">
        <v>1362</v>
      </c>
      <c r="H327" s="25">
        <v>42283</v>
      </c>
      <c r="I327" s="29" t="s">
        <v>514</v>
      </c>
      <c r="J327" s="24" t="s">
        <v>1280</v>
      </c>
      <c r="K327" s="24" t="s">
        <v>1004</v>
      </c>
      <c r="L327" s="24"/>
      <c r="M327" s="24"/>
      <c r="N327" s="24" t="s">
        <v>1728</v>
      </c>
      <c r="O327" s="24"/>
      <c r="P327" s="25"/>
      <c r="Q327" s="25"/>
      <c r="R327" s="25"/>
      <c r="S327" s="25"/>
      <c r="T327" s="25"/>
      <c r="U327" s="25"/>
      <c r="V327" s="29" t="s">
        <v>1742</v>
      </c>
    </row>
    <row r="328" spans="1:22" ht="30" x14ac:dyDescent="0.25">
      <c r="A328" s="23" t="s">
        <v>1377</v>
      </c>
      <c r="B328" s="23" t="s">
        <v>1378</v>
      </c>
      <c r="C328" s="24" t="s">
        <v>203</v>
      </c>
      <c r="D328" s="24" t="s">
        <v>94</v>
      </c>
      <c r="E328" s="24" t="s">
        <v>511</v>
      </c>
      <c r="F328" s="24" t="s">
        <v>512</v>
      </c>
      <c r="G328" s="24" t="s">
        <v>189</v>
      </c>
      <c r="H328" s="25">
        <v>42158</v>
      </c>
      <c r="I328" s="29" t="s">
        <v>523</v>
      </c>
      <c r="J328" s="24" t="s">
        <v>524</v>
      </c>
      <c r="K328" s="24" t="s">
        <v>1646</v>
      </c>
      <c r="L328" s="52" t="s">
        <v>1566</v>
      </c>
      <c r="M328" s="24" t="s">
        <v>1537</v>
      </c>
      <c r="N328" s="52" t="s">
        <v>2182</v>
      </c>
      <c r="O328" s="24"/>
      <c r="P328" s="25"/>
      <c r="Q328" s="25"/>
      <c r="R328" s="25"/>
      <c r="S328" s="25"/>
      <c r="T328" s="25"/>
      <c r="U328" s="25"/>
      <c r="V328" s="29"/>
    </row>
    <row r="329" spans="1:22" ht="30" x14ac:dyDescent="0.25">
      <c r="A329" s="23" t="s">
        <v>1379</v>
      </c>
      <c r="B329" s="23" t="s">
        <v>1380</v>
      </c>
      <c r="C329" s="24" t="s">
        <v>203</v>
      </c>
      <c r="D329" s="24" t="s">
        <v>1343</v>
      </c>
      <c r="E329" s="24" t="s">
        <v>511</v>
      </c>
      <c r="F329" s="24" t="s">
        <v>512</v>
      </c>
      <c r="G329" s="24" t="s">
        <v>189</v>
      </c>
      <c r="H329" s="25">
        <v>42157</v>
      </c>
      <c r="I329" s="29" t="s">
        <v>523</v>
      </c>
      <c r="J329" s="24" t="s">
        <v>524</v>
      </c>
      <c r="K329" s="24" t="s">
        <v>1646</v>
      </c>
      <c r="L329" s="52" t="s">
        <v>1566</v>
      </c>
      <c r="M329" s="24" t="s">
        <v>1537</v>
      </c>
      <c r="N329" s="52" t="s">
        <v>2182</v>
      </c>
      <c r="O329" s="24"/>
      <c r="P329" s="25"/>
      <c r="Q329" s="25"/>
      <c r="R329" s="25"/>
      <c r="S329" s="25"/>
      <c r="T329" s="25"/>
      <c r="U329" s="25"/>
      <c r="V329" s="29"/>
    </row>
    <row r="330" spans="1:22" ht="22.5" x14ac:dyDescent="0.25">
      <c r="A330" s="23" t="s">
        <v>1381</v>
      </c>
      <c r="B330" s="23" t="s">
        <v>1382</v>
      </c>
      <c r="C330" s="24" t="s">
        <v>203</v>
      </c>
      <c r="D330" s="24" t="s">
        <v>593</v>
      </c>
      <c r="E330" s="24" t="s">
        <v>511</v>
      </c>
      <c r="F330" s="24" t="s">
        <v>512</v>
      </c>
      <c r="G330" s="24" t="s">
        <v>189</v>
      </c>
      <c r="H330" s="25">
        <v>42170</v>
      </c>
      <c r="I330" s="29" t="s">
        <v>242</v>
      </c>
      <c r="J330" s="24" t="s">
        <v>1321</v>
      </c>
      <c r="K330" s="24" t="s">
        <v>1383</v>
      </c>
      <c r="L330" s="24"/>
      <c r="M330" s="24"/>
      <c r="N330" s="24" t="s">
        <v>1728</v>
      </c>
      <c r="O330" s="24"/>
      <c r="P330" s="25"/>
      <c r="Q330" s="25"/>
      <c r="R330" s="25"/>
      <c r="S330" s="25"/>
      <c r="T330" s="25"/>
      <c r="U330" s="25">
        <v>42383</v>
      </c>
      <c r="V330" s="29" t="s">
        <v>1647</v>
      </c>
    </row>
    <row r="331" spans="1:22" ht="33.75" x14ac:dyDescent="0.25">
      <c r="A331" s="23" t="s">
        <v>1384</v>
      </c>
      <c r="B331" s="23" t="s">
        <v>1385</v>
      </c>
      <c r="C331" s="24" t="s">
        <v>203</v>
      </c>
      <c r="D331" s="24" t="s">
        <v>593</v>
      </c>
      <c r="E331" s="24" t="s">
        <v>511</v>
      </c>
      <c r="F331" s="24" t="s">
        <v>512</v>
      </c>
      <c r="G331" s="24" t="s">
        <v>189</v>
      </c>
      <c r="H331" s="25">
        <v>42166</v>
      </c>
      <c r="I331" s="29" t="s">
        <v>242</v>
      </c>
      <c r="J331" s="24"/>
      <c r="K331" s="24" t="s">
        <v>1386</v>
      </c>
      <c r="L331" s="24"/>
      <c r="M331" s="24"/>
      <c r="N331" s="52" t="s">
        <v>2182</v>
      </c>
      <c r="O331" s="24"/>
      <c r="P331" s="25"/>
      <c r="Q331" s="25"/>
      <c r="R331" s="25"/>
      <c r="S331" s="25"/>
      <c r="T331" s="25"/>
      <c r="U331" s="25"/>
      <c r="V331" s="29"/>
    </row>
    <row r="332" spans="1:22" ht="22.5" x14ac:dyDescent="0.25">
      <c r="A332" s="23" t="s">
        <v>1387</v>
      </c>
      <c r="B332" s="23" t="s">
        <v>1388</v>
      </c>
      <c r="C332" s="24" t="s">
        <v>203</v>
      </c>
      <c r="D332" s="24" t="s">
        <v>1389</v>
      </c>
      <c r="E332" s="24" t="s">
        <v>511</v>
      </c>
      <c r="F332" s="24" t="s">
        <v>512</v>
      </c>
      <c r="G332" s="24" t="s">
        <v>189</v>
      </c>
      <c r="H332" s="25">
        <v>42343</v>
      </c>
      <c r="I332" s="29"/>
      <c r="J332" s="24"/>
      <c r="K332" s="24" t="s">
        <v>1390</v>
      </c>
      <c r="L332" s="24"/>
      <c r="M332" s="24"/>
      <c r="N332" s="24" t="s">
        <v>1728</v>
      </c>
      <c r="O332" s="24"/>
      <c r="P332" s="25"/>
      <c r="Q332" s="25"/>
      <c r="R332" s="25"/>
      <c r="S332" s="25"/>
      <c r="T332" s="25"/>
      <c r="U332" s="25">
        <v>42383</v>
      </c>
      <c r="V332" s="29" t="s">
        <v>1647</v>
      </c>
    </row>
    <row r="333" spans="1:22" x14ac:dyDescent="0.25">
      <c r="A333" s="28" t="s">
        <v>1391</v>
      </c>
      <c r="B333" s="23" t="s">
        <v>1150</v>
      </c>
      <c r="C333" s="24" t="s">
        <v>203</v>
      </c>
      <c r="D333" s="24" t="s">
        <v>1392</v>
      </c>
      <c r="E333" s="24" t="s">
        <v>511</v>
      </c>
      <c r="F333" s="24" t="s">
        <v>512</v>
      </c>
      <c r="G333" s="24" t="s">
        <v>188</v>
      </c>
      <c r="H333" s="25">
        <v>42195</v>
      </c>
      <c r="I333" s="29" t="s">
        <v>514</v>
      </c>
      <c r="J333" s="24" t="s">
        <v>1280</v>
      </c>
      <c r="K333" s="24" t="s">
        <v>1393</v>
      </c>
      <c r="L333" s="24"/>
      <c r="M333" s="24"/>
      <c r="N333" s="52" t="s">
        <v>2182</v>
      </c>
      <c r="O333" s="24"/>
      <c r="P333" s="25"/>
      <c r="Q333" s="25"/>
      <c r="R333" s="25"/>
      <c r="S333" s="25"/>
      <c r="T333" s="25"/>
      <c r="U333" s="25">
        <v>42299</v>
      </c>
      <c r="V333" s="29"/>
    </row>
    <row r="334" spans="1:22" ht="22.5" x14ac:dyDescent="0.25">
      <c r="A334" s="23" t="s">
        <v>1394</v>
      </c>
      <c r="B334" s="23" t="s">
        <v>1395</v>
      </c>
      <c r="C334" s="24" t="s">
        <v>203</v>
      </c>
      <c r="D334" s="24" t="s">
        <v>94</v>
      </c>
      <c r="E334" s="24" t="s">
        <v>511</v>
      </c>
      <c r="F334" s="24" t="s">
        <v>512</v>
      </c>
      <c r="G334" s="24" t="s">
        <v>1284</v>
      </c>
      <c r="H334" s="25">
        <v>42263</v>
      </c>
      <c r="I334" s="29"/>
      <c r="J334" s="24"/>
      <c r="K334" s="24" t="s">
        <v>1396</v>
      </c>
      <c r="L334" s="24"/>
      <c r="M334" s="24"/>
      <c r="N334" s="24" t="s">
        <v>1728</v>
      </c>
      <c r="O334" s="24"/>
      <c r="P334" s="25"/>
      <c r="Q334" s="25"/>
      <c r="R334" s="25"/>
      <c r="S334" s="25"/>
      <c r="T334" s="25"/>
      <c r="U334" s="25"/>
      <c r="V334" s="29" t="s">
        <v>1647</v>
      </c>
    </row>
    <row r="335" spans="1:22" ht="22.5" x14ac:dyDescent="0.25">
      <c r="A335" s="23" t="s">
        <v>1397</v>
      </c>
      <c r="B335" s="23" t="s">
        <v>1398</v>
      </c>
      <c r="C335" s="24" t="s">
        <v>203</v>
      </c>
      <c r="D335" s="24" t="s">
        <v>1399</v>
      </c>
      <c r="E335" s="24" t="s">
        <v>511</v>
      </c>
      <c r="F335" s="24" t="s">
        <v>512</v>
      </c>
      <c r="G335" s="24" t="s">
        <v>1284</v>
      </c>
      <c r="H335" s="25">
        <v>42282</v>
      </c>
      <c r="I335" s="29"/>
      <c r="J335" s="24"/>
      <c r="K335" s="24" t="s">
        <v>1400</v>
      </c>
      <c r="L335" s="24"/>
      <c r="M335" s="24"/>
      <c r="N335" s="24" t="s">
        <v>1728</v>
      </c>
      <c r="O335" s="24"/>
      <c r="P335" s="25"/>
      <c r="Q335" s="25"/>
      <c r="R335" s="25"/>
      <c r="S335" s="25"/>
      <c r="T335" s="25"/>
      <c r="U335" s="25"/>
      <c r="V335" s="29" t="s">
        <v>1647</v>
      </c>
    </row>
    <row r="336" spans="1:22" ht="22.5" x14ac:dyDescent="0.25">
      <c r="A336" s="23" t="s">
        <v>1402</v>
      </c>
      <c r="B336" s="23" t="s">
        <v>1150</v>
      </c>
      <c r="C336" s="24" t="s">
        <v>1347</v>
      </c>
      <c r="D336" s="24" t="s">
        <v>1403</v>
      </c>
      <c r="E336" s="24" t="s">
        <v>511</v>
      </c>
      <c r="F336" s="24" t="s">
        <v>512</v>
      </c>
      <c r="G336" s="24" t="s">
        <v>1284</v>
      </c>
      <c r="H336" s="25">
        <v>42263</v>
      </c>
      <c r="I336" s="29" t="s">
        <v>523</v>
      </c>
      <c r="J336" s="24" t="s">
        <v>524</v>
      </c>
      <c r="K336" s="24" t="s">
        <v>1404</v>
      </c>
      <c r="L336" s="24"/>
      <c r="M336" s="24"/>
      <c r="N336" s="24" t="s">
        <v>1728</v>
      </c>
      <c r="O336" s="24"/>
      <c r="P336" s="25"/>
      <c r="Q336" s="25"/>
      <c r="R336" s="25"/>
      <c r="S336" s="25"/>
      <c r="T336" s="25"/>
      <c r="U336" s="25"/>
      <c r="V336" s="29" t="s">
        <v>1648</v>
      </c>
    </row>
    <row r="337" spans="1:22" ht="22.5" x14ac:dyDescent="0.25">
      <c r="A337" s="23" t="s">
        <v>1405</v>
      </c>
      <c r="B337" s="23" t="s">
        <v>1406</v>
      </c>
      <c r="C337" s="24" t="s">
        <v>203</v>
      </c>
      <c r="D337" s="24" t="s">
        <v>536</v>
      </c>
      <c r="E337" s="24" t="s">
        <v>511</v>
      </c>
      <c r="F337" s="24" t="s">
        <v>512</v>
      </c>
      <c r="G337" s="24" t="s">
        <v>189</v>
      </c>
      <c r="H337" s="25">
        <v>42286</v>
      </c>
      <c r="I337" s="29" t="s">
        <v>242</v>
      </c>
      <c r="J337" s="24" t="s">
        <v>502</v>
      </c>
      <c r="K337" s="24" t="s">
        <v>753</v>
      </c>
      <c r="L337" s="24" t="s">
        <v>1649</v>
      </c>
      <c r="M337" s="24" t="s">
        <v>1568</v>
      </c>
      <c r="N337" s="24" t="s">
        <v>1707</v>
      </c>
      <c r="O337" s="24"/>
      <c r="P337" s="25">
        <v>42286</v>
      </c>
      <c r="Q337" s="25">
        <v>42291</v>
      </c>
      <c r="R337" s="25"/>
      <c r="S337" s="25"/>
      <c r="T337" s="25"/>
      <c r="U337" s="25">
        <v>42383</v>
      </c>
      <c r="V337" s="29"/>
    </row>
    <row r="338" spans="1:22" ht="22.5" x14ac:dyDescent="0.25">
      <c r="A338" s="23" t="s">
        <v>1407</v>
      </c>
      <c r="B338" s="23" t="s">
        <v>1408</v>
      </c>
      <c r="C338" s="24" t="s">
        <v>203</v>
      </c>
      <c r="D338" s="24" t="s">
        <v>593</v>
      </c>
      <c r="E338" s="24" t="s">
        <v>511</v>
      </c>
      <c r="F338" s="24" t="s">
        <v>512</v>
      </c>
      <c r="G338" s="24" t="s">
        <v>189</v>
      </c>
      <c r="H338" s="25">
        <v>42286</v>
      </c>
      <c r="I338" s="29" t="s">
        <v>1409</v>
      </c>
      <c r="J338" s="24" t="s">
        <v>502</v>
      </c>
      <c r="K338" s="24" t="s">
        <v>938</v>
      </c>
      <c r="L338" s="24"/>
      <c r="M338" s="24"/>
      <c r="N338" s="52" t="s">
        <v>2182</v>
      </c>
      <c r="O338" s="24"/>
      <c r="P338" s="25">
        <v>42260</v>
      </c>
      <c r="Q338" s="25">
        <v>42262</v>
      </c>
      <c r="R338" s="25"/>
      <c r="S338" s="25"/>
      <c r="T338" s="25"/>
      <c r="U338" s="25"/>
      <c r="V338" s="29"/>
    </row>
    <row r="339" spans="1:22" ht="22.5" x14ac:dyDescent="0.25">
      <c r="A339" s="28" t="s">
        <v>1428</v>
      </c>
      <c r="B339" s="23" t="s">
        <v>1429</v>
      </c>
      <c r="C339" s="24" t="s">
        <v>1430</v>
      </c>
      <c r="D339" s="24" t="s">
        <v>583</v>
      </c>
      <c r="E339" s="24" t="s">
        <v>511</v>
      </c>
      <c r="F339" s="24" t="s">
        <v>512</v>
      </c>
      <c r="G339" s="24" t="s">
        <v>189</v>
      </c>
      <c r="H339" s="25">
        <v>42296</v>
      </c>
      <c r="I339" s="29"/>
      <c r="J339" s="24"/>
      <c r="K339" s="24" t="s">
        <v>1431</v>
      </c>
      <c r="L339" s="24"/>
      <c r="M339" s="24"/>
      <c r="N339" s="52" t="s">
        <v>2182</v>
      </c>
      <c r="O339" s="24"/>
      <c r="P339" s="25"/>
      <c r="Q339" s="25"/>
      <c r="R339" s="25"/>
      <c r="S339" s="25"/>
      <c r="T339" s="25"/>
      <c r="U339" s="25">
        <v>42299</v>
      </c>
      <c r="V339" s="29"/>
    </row>
    <row r="340" spans="1:22" ht="22.5" x14ac:dyDescent="0.25">
      <c r="A340" s="23" t="s">
        <v>1489</v>
      </c>
      <c r="B340" s="23" t="s">
        <v>1490</v>
      </c>
      <c r="C340" s="24" t="s">
        <v>203</v>
      </c>
      <c r="D340" s="24" t="s">
        <v>95</v>
      </c>
      <c r="E340" s="24" t="s">
        <v>511</v>
      </c>
      <c r="F340" s="24" t="s">
        <v>512</v>
      </c>
      <c r="G340" s="24" t="s">
        <v>189</v>
      </c>
      <c r="H340" s="25">
        <v>42298</v>
      </c>
      <c r="I340" s="29" t="s">
        <v>1492</v>
      </c>
      <c r="J340" s="24" t="s">
        <v>1491</v>
      </c>
      <c r="K340" s="24" t="s">
        <v>1493</v>
      </c>
      <c r="L340" s="24"/>
      <c r="M340" s="24"/>
      <c r="N340" s="52" t="s">
        <v>2182</v>
      </c>
      <c r="O340" s="24"/>
      <c r="P340" s="25">
        <v>42299</v>
      </c>
      <c r="Q340" s="25"/>
      <c r="R340" s="25"/>
      <c r="S340" s="25"/>
      <c r="T340" s="25"/>
      <c r="U340" s="25"/>
      <c r="V340" s="29" t="s">
        <v>1494</v>
      </c>
    </row>
    <row r="341" spans="1:22" ht="22.5" x14ac:dyDescent="0.25">
      <c r="A341" s="23" t="s">
        <v>1651</v>
      </c>
      <c r="B341" s="23" t="s">
        <v>1650</v>
      </c>
      <c r="C341" s="24"/>
      <c r="D341" s="24"/>
      <c r="E341" s="24"/>
      <c r="F341" s="24"/>
      <c r="G341" s="24" t="s">
        <v>513</v>
      </c>
      <c r="H341" s="25"/>
      <c r="I341" s="29"/>
      <c r="J341" s="24"/>
      <c r="K341" s="24" t="s">
        <v>1652</v>
      </c>
      <c r="L341" s="52" t="s">
        <v>1653</v>
      </c>
      <c r="M341" s="24"/>
      <c r="N341" s="24" t="s">
        <v>1728</v>
      </c>
      <c r="O341" s="24"/>
      <c r="P341" s="25"/>
      <c r="Q341" s="25"/>
      <c r="R341" s="25"/>
      <c r="S341" s="25"/>
      <c r="T341" s="25"/>
      <c r="U341" s="25"/>
      <c r="V341" s="29" t="s">
        <v>1654</v>
      </c>
    </row>
    <row r="342" spans="1:22" ht="67.5" x14ac:dyDescent="0.25">
      <c r="A342" s="23" t="s">
        <v>1655</v>
      </c>
      <c r="B342" s="23" t="s">
        <v>1656</v>
      </c>
      <c r="C342" s="24"/>
      <c r="D342" s="24"/>
      <c r="E342" s="24"/>
      <c r="F342" s="24"/>
      <c r="G342" s="24" t="s">
        <v>513</v>
      </c>
      <c r="H342" s="25"/>
      <c r="I342" s="29"/>
      <c r="J342" s="24"/>
      <c r="K342" s="24" t="s">
        <v>574</v>
      </c>
      <c r="L342" s="24"/>
      <c r="M342" s="24"/>
      <c r="N342" s="24" t="s">
        <v>1728</v>
      </c>
      <c r="O342" s="24"/>
      <c r="P342" s="25"/>
      <c r="Q342" s="25"/>
      <c r="R342" s="25"/>
      <c r="S342" s="25"/>
      <c r="T342" s="25"/>
      <c r="U342" s="25"/>
      <c r="V342" s="29" t="s">
        <v>1657</v>
      </c>
    </row>
    <row r="343" spans="1:22" x14ac:dyDescent="0.25">
      <c r="A343" s="23" t="s">
        <v>1658</v>
      </c>
      <c r="B343" s="23" t="s">
        <v>1659</v>
      </c>
      <c r="C343" s="24"/>
      <c r="D343" s="24"/>
      <c r="E343" s="24"/>
      <c r="F343" s="24"/>
      <c r="G343" s="24" t="s">
        <v>188</v>
      </c>
      <c r="H343" s="25"/>
      <c r="I343" s="29"/>
      <c r="J343" s="24"/>
      <c r="K343" s="24" t="s">
        <v>574</v>
      </c>
      <c r="L343" s="24"/>
      <c r="M343" s="24"/>
      <c r="N343" s="24" t="s">
        <v>1743</v>
      </c>
      <c r="O343" s="24"/>
      <c r="P343" s="25"/>
      <c r="Q343" s="25"/>
      <c r="R343" s="25"/>
      <c r="S343" s="25"/>
      <c r="T343" s="25"/>
      <c r="U343" s="25">
        <v>42387</v>
      </c>
      <c r="V343" s="29" t="s">
        <v>1660</v>
      </c>
    </row>
    <row r="344" spans="1:22" ht="22.5" x14ac:dyDescent="0.25">
      <c r="A344" s="23" t="s">
        <v>1661</v>
      </c>
      <c r="B344" s="23" t="s">
        <v>1662</v>
      </c>
      <c r="C344" s="24"/>
      <c r="D344" s="24"/>
      <c r="E344" s="24"/>
      <c r="F344" s="24"/>
      <c r="G344" s="24" t="s">
        <v>188</v>
      </c>
      <c r="H344" s="25"/>
      <c r="I344" s="29"/>
      <c r="J344" s="24"/>
      <c r="K344" s="24" t="s">
        <v>1663</v>
      </c>
      <c r="L344" s="24"/>
      <c r="M344" s="24"/>
      <c r="N344" s="24" t="s">
        <v>1743</v>
      </c>
      <c r="O344" s="24"/>
      <c r="P344" s="25"/>
      <c r="Q344" s="25"/>
      <c r="R344" s="25"/>
      <c r="S344" s="25"/>
      <c r="T344" s="25"/>
      <c r="U344" s="25">
        <v>42387</v>
      </c>
      <c r="V344" s="29" t="s">
        <v>1664</v>
      </c>
    </row>
    <row r="345" spans="1:22" ht="33.75" x14ac:dyDescent="0.25">
      <c r="A345" s="23" t="s">
        <v>1666</v>
      </c>
      <c r="B345" s="23" t="s">
        <v>1665</v>
      </c>
      <c r="C345" s="24"/>
      <c r="D345" s="24"/>
      <c r="E345" s="24"/>
      <c r="F345" s="24"/>
      <c r="G345" s="24" t="s">
        <v>513</v>
      </c>
      <c r="H345" s="34"/>
      <c r="I345" s="29"/>
      <c r="J345" s="24"/>
      <c r="K345" s="24" t="s">
        <v>574</v>
      </c>
      <c r="L345" s="24"/>
      <c r="M345" s="24"/>
      <c r="N345" s="24" t="s">
        <v>1728</v>
      </c>
      <c r="O345" s="24"/>
      <c r="P345" s="25"/>
      <c r="Q345" s="25"/>
      <c r="R345" s="25"/>
      <c r="S345" s="25"/>
      <c r="T345" s="25"/>
      <c r="U345" s="25"/>
      <c r="V345" s="29" t="s">
        <v>1667</v>
      </c>
    </row>
    <row r="346" spans="1:22" ht="33.75" x14ac:dyDescent="0.25">
      <c r="A346" s="57" t="s">
        <v>1749</v>
      </c>
      <c r="B346" s="58" t="s">
        <v>1783</v>
      </c>
      <c r="G346" s="58" t="s">
        <v>513</v>
      </c>
      <c r="K346" s="58" t="s">
        <v>636</v>
      </c>
      <c r="L346" s="24"/>
      <c r="M346" s="24"/>
      <c r="N346" s="24" t="s">
        <v>1728</v>
      </c>
      <c r="O346" s="24"/>
      <c r="P346" s="25"/>
      <c r="Q346" s="25"/>
      <c r="R346" s="25"/>
      <c r="S346" s="25"/>
      <c r="T346" s="25"/>
      <c r="U346" s="25"/>
      <c r="V346" s="29" t="s">
        <v>2147</v>
      </c>
    </row>
    <row r="347" spans="1:22" x14ac:dyDescent="0.25">
      <c r="A347" s="57" t="s">
        <v>1750</v>
      </c>
      <c r="B347" s="58" t="s">
        <v>1170</v>
      </c>
      <c r="G347" s="58" t="s">
        <v>513</v>
      </c>
      <c r="K347" s="58" t="s">
        <v>636</v>
      </c>
      <c r="L347" s="24"/>
      <c r="M347" s="24"/>
      <c r="N347" s="24" t="s">
        <v>1728</v>
      </c>
      <c r="O347" s="24"/>
      <c r="P347" s="25"/>
      <c r="Q347" s="25"/>
      <c r="R347" s="25"/>
      <c r="S347" s="25"/>
      <c r="T347" s="25"/>
      <c r="U347" s="25"/>
      <c r="V347" s="29" t="s">
        <v>2139</v>
      </c>
    </row>
    <row r="348" spans="1:22" ht="25.5" x14ac:dyDescent="0.25">
      <c r="A348" s="57" t="s">
        <v>1751</v>
      </c>
      <c r="B348" s="58" t="s">
        <v>1784</v>
      </c>
      <c r="G348" s="58" t="s">
        <v>1821</v>
      </c>
      <c r="K348" s="58" t="s">
        <v>525</v>
      </c>
      <c r="L348" s="24"/>
      <c r="M348" s="24"/>
      <c r="N348" s="24" t="s">
        <v>1728</v>
      </c>
      <c r="O348" s="24"/>
      <c r="P348" s="25"/>
      <c r="Q348" s="25"/>
      <c r="R348" s="25"/>
      <c r="S348" s="25"/>
      <c r="T348" s="25"/>
      <c r="U348" s="25"/>
      <c r="V348" s="29" t="s">
        <v>2139</v>
      </c>
    </row>
    <row r="349" spans="1:22" ht="33.75" x14ac:dyDescent="0.25">
      <c r="A349" s="57" t="s">
        <v>1752</v>
      </c>
      <c r="B349" s="58" t="s">
        <v>1785</v>
      </c>
      <c r="G349" s="58" t="s">
        <v>1821</v>
      </c>
      <c r="K349" s="58" t="s">
        <v>633</v>
      </c>
      <c r="L349" s="24"/>
      <c r="M349" s="62" t="s">
        <v>2148</v>
      </c>
      <c r="N349" s="24"/>
      <c r="O349" s="24"/>
      <c r="P349" s="25"/>
      <c r="Q349" s="25"/>
      <c r="R349" s="25"/>
      <c r="S349" s="25"/>
      <c r="T349" s="25"/>
      <c r="U349" s="25"/>
      <c r="V349" s="29"/>
    </row>
    <row r="350" spans="1:22" ht="25.5" x14ac:dyDescent="0.25">
      <c r="A350" s="57" t="s">
        <v>1753</v>
      </c>
      <c r="B350" s="58" t="s">
        <v>1786</v>
      </c>
      <c r="G350" s="58" t="s">
        <v>513</v>
      </c>
      <c r="K350" s="58" t="s">
        <v>650</v>
      </c>
      <c r="L350" s="24"/>
      <c r="M350" s="24"/>
      <c r="N350" s="24" t="s">
        <v>1728</v>
      </c>
      <c r="O350" s="24"/>
      <c r="P350" s="25"/>
      <c r="Q350" s="25"/>
      <c r="R350" s="25"/>
      <c r="S350" s="25"/>
      <c r="T350" s="25"/>
      <c r="U350" s="25"/>
      <c r="V350" s="29" t="s">
        <v>2131</v>
      </c>
    </row>
    <row r="351" spans="1:22" ht="25.5" x14ac:dyDescent="0.25">
      <c r="A351" s="57" t="s">
        <v>1754</v>
      </c>
      <c r="B351" s="58" t="s">
        <v>1787</v>
      </c>
      <c r="G351" s="58" t="s">
        <v>188</v>
      </c>
      <c r="K351" s="58" t="s">
        <v>525</v>
      </c>
      <c r="L351" s="24"/>
      <c r="M351" s="24"/>
      <c r="N351" s="24" t="s">
        <v>1728</v>
      </c>
      <c r="O351" s="24"/>
      <c r="P351" s="25"/>
      <c r="Q351" s="25"/>
      <c r="R351" s="25"/>
      <c r="S351" s="25"/>
      <c r="T351" s="25"/>
      <c r="U351" s="25"/>
      <c r="V351" s="29"/>
    </row>
    <row r="352" spans="1:22" ht="25.5" x14ac:dyDescent="0.25">
      <c r="A352" s="57" t="s">
        <v>1755</v>
      </c>
      <c r="B352" s="58" t="s">
        <v>1311</v>
      </c>
      <c r="G352" s="58" t="s">
        <v>1821</v>
      </c>
      <c r="K352" s="58" t="s">
        <v>677</v>
      </c>
      <c r="L352" s="24"/>
      <c r="M352" s="24"/>
      <c r="N352" s="24" t="s">
        <v>1728</v>
      </c>
      <c r="O352" s="24"/>
      <c r="P352" s="25"/>
      <c r="Q352" s="25"/>
      <c r="R352" s="25"/>
      <c r="S352" s="25"/>
      <c r="T352" s="25"/>
      <c r="U352" s="25"/>
      <c r="V352" s="29" t="s">
        <v>2139</v>
      </c>
    </row>
    <row r="353" spans="1:22" ht="56.25" x14ac:dyDescent="0.25">
      <c r="A353" s="57" t="s">
        <v>1756</v>
      </c>
      <c r="B353" s="58" t="s">
        <v>1788</v>
      </c>
      <c r="G353" s="58" t="s">
        <v>1821</v>
      </c>
      <c r="K353" s="58" t="s">
        <v>525</v>
      </c>
      <c r="L353" s="24"/>
      <c r="M353" s="24"/>
      <c r="N353" s="24" t="s">
        <v>1728</v>
      </c>
      <c r="O353" s="24"/>
      <c r="P353" s="25"/>
      <c r="Q353" s="25"/>
      <c r="R353" s="25"/>
      <c r="S353" s="25"/>
      <c r="T353" s="25"/>
      <c r="U353" s="25"/>
      <c r="V353" s="29" t="s">
        <v>2149</v>
      </c>
    </row>
    <row r="354" spans="1:22" ht="25.5" x14ac:dyDescent="0.25">
      <c r="A354" s="57" t="s">
        <v>1757</v>
      </c>
      <c r="B354" s="58" t="s">
        <v>1789</v>
      </c>
      <c r="G354" s="58" t="s">
        <v>513</v>
      </c>
      <c r="K354" s="58" t="s">
        <v>1810</v>
      </c>
      <c r="L354" s="24"/>
      <c r="M354" s="24"/>
      <c r="N354" s="24" t="s">
        <v>1728</v>
      </c>
      <c r="O354" s="24"/>
      <c r="P354" s="25"/>
      <c r="Q354" s="25"/>
      <c r="R354" s="25"/>
      <c r="S354" s="25"/>
      <c r="T354" s="25"/>
      <c r="U354" s="25"/>
      <c r="V354" s="29" t="s">
        <v>2150</v>
      </c>
    </row>
    <row r="355" spans="1:22" ht="25.5" x14ac:dyDescent="0.25">
      <c r="A355" s="57" t="s">
        <v>1758</v>
      </c>
      <c r="B355" s="58" t="s">
        <v>1790</v>
      </c>
      <c r="G355" s="58" t="s">
        <v>188</v>
      </c>
      <c r="K355" s="58" t="s">
        <v>1811</v>
      </c>
      <c r="L355" s="24"/>
      <c r="M355" s="24"/>
      <c r="N355" s="52" t="s">
        <v>2182</v>
      </c>
      <c r="O355" s="24"/>
      <c r="P355" s="25"/>
      <c r="Q355" s="25"/>
      <c r="R355" s="25"/>
      <c r="S355" s="25"/>
      <c r="T355" s="25"/>
      <c r="U355" s="25"/>
      <c r="V355" s="29"/>
    </row>
    <row r="356" spans="1:22" ht="25.5" x14ac:dyDescent="0.25">
      <c r="A356" s="57" t="s">
        <v>1759</v>
      </c>
      <c r="B356" s="58" t="s">
        <v>1791</v>
      </c>
      <c r="G356" s="58" t="s">
        <v>1821</v>
      </c>
      <c r="K356" s="58" t="s">
        <v>1812</v>
      </c>
      <c r="L356" s="24"/>
      <c r="M356" s="24"/>
      <c r="N356" s="24" t="s">
        <v>1728</v>
      </c>
      <c r="O356" s="24"/>
      <c r="P356" s="25"/>
      <c r="Q356" s="25"/>
      <c r="R356" s="25"/>
      <c r="S356" s="25"/>
      <c r="T356" s="25"/>
      <c r="U356" s="25"/>
      <c r="V356" s="29" t="s">
        <v>2139</v>
      </c>
    </row>
    <row r="357" spans="1:22" ht="25.5" x14ac:dyDescent="0.25">
      <c r="A357" s="57" t="s">
        <v>1760</v>
      </c>
      <c r="B357" s="58" t="s">
        <v>1792</v>
      </c>
      <c r="G357" s="58" t="s">
        <v>189</v>
      </c>
      <c r="K357" s="58" t="s">
        <v>1813</v>
      </c>
      <c r="L357" s="24"/>
      <c r="M357" s="24"/>
      <c r="N357" s="52" t="s">
        <v>2182</v>
      </c>
      <c r="O357" s="24"/>
      <c r="P357" s="25"/>
      <c r="Q357" s="25"/>
      <c r="R357" s="25"/>
      <c r="S357" s="25"/>
      <c r="T357" s="25"/>
      <c r="U357" s="25"/>
      <c r="V357" s="29"/>
    </row>
    <row r="358" spans="1:22" ht="25.5" x14ac:dyDescent="0.25">
      <c r="A358" s="57" t="s">
        <v>1761</v>
      </c>
      <c r="B358" s="58" t="s">
        <v>1793</v>
      </c>
      <c r="G358" s="58" t="s">
        <v>513</v>
      </c>
      <c r="K358" s="58" t="s">
        <v>1814</v>
      </c>
      <c r="L358" s="24"/>
      <c r="M358" s="24"/>
      <c r="N358" s="24" t="s">
        <v>1728</v>
      </c>
      <c r="O358" s="24"/>
      <c r="P358" s="25"/>
      <c r="Q358" s="25"/>
      <c r="R358" s="25"/>
      <c r="S358" s="25"/>
      <c r="T358" s="25"/>
      <c r="U358" s="25"/>
      <c r="V358" s="29" t="s">
        <v>2143</v>
      </c>
    </row>
    <row r="359" spans="1:22" ht="25.5" x14ac:dyDescent="0.25">
      <c r="A359" s="57" t="s">
        <v>1762</v>
      </c>
      <c r="B359" s="58" t="s">
        <v>1794</v>
      </c>
      <c r="G359" s="58" t="s">
        <v>513</v>
      </c>
      <c r="K359" s="58" t="s">
        <v>1815</v>
      </c>
      <c r="L359" s="24"/>
      <c r="M359" s="24"/>
      <c r="N359" s="24" t="s">
        <v>1728</v>
      </c>
      <c r="O359" s="24"/>
      <c r="P359" s="25"/>
      <c r="Q359" s="25"/>
      <c r="R359" s="25"/>
      <c r="S359" s="25"/>
      <c r="T359" s="25"/>
      <c r="U359" s="25"/>
      <c r="V359" s="29" t="s">
        <v>2151</v>
      </c>
    </row>
    <row r="360" spans="1:22" ht="25.5" x14ac:dyDescent="0.25">
      <c r="A360" s="57" t="s">
        <v>1763</v>
      </c>
      <c r="B360" s="58" t="s">
        <v>1794</v>
      </c>
      <c r="G360" s="58" t="s">
        <v>513</v>
      </c>
      <c r="K360" s="58" t="s">
        <v>1815</v>
      </c>
      <c r="L360" s="24"/>
      <c r="M360" s="24"/>
      <c r="N360" s="24" t="s">
        <v>1728</v>
      </c>
      <c r="O360" s="24"/>
      <c r="P360" s="25"/>
      <c r="Q360" s="25"/>
      <c r="R360" s="25"/>
      <c r="S360" s="25"/>
      <c r="T360" s="25"/>
      <c r="U360" s="25"/>
      <c r="V360" s="29" t="s">
        <v>2151</v>
      </c>
    </row>
    <row r="361" spans="1:22" ht="25.5" x14ac:dyDescent="0.25">
      <c r="A361" s="57" t="s">
        <v>1764</v>
      </c>
      <c r="B361" s="58" t="s">
        <v>1794</v>
      </c>
      <c r="G361" s="58" t="s">
        <v>513</v>
      </c>
      <c r="K361" s="58" t="s">
        <v>1815</v>
      </c>
      <c r="L361" s="24"/>
      <c r="M361" s="24"/>
      <c r="N361" s="24" t="s">
        <v>1728</v>
      </c>
      <c r="O361" s="24"/>
      <c r="P361" s="25"/>
      <c r="Q361" s="25"/>
      <c r="R361" s="25"/>
      <c r="S361" s="25"/>
      <c r="T361" s="25"/>
      <c r="U361" s="25"/>
      <c r="V361" s="29" t="s">
        <v>2131</v>
      </c>
    </row>
    <row r="362" spans="1:22" x14ac:dyDescent="0.25">
      <c r="A362" s="63" t="s">
        <v>1765</v>
      </c>
      <c r="B362" s="64" t="s">
        <v>1795</v>
      </c>
      <c r="C362" s="65"/>
      <c r="D362" s="65"/>
      <c r="E362" s="65"/>
      <c r="F362" s="65"/>
      <c r="G362" s="58" t="s">
        <v>513</v>
      </c>
      <c r="H362" s="65"/>
      <c r="I362" s="65"/>
      <c r="J362" s="65"/>
      <c r="K362" s="64" t="s">
        <v>633</v>
      </c>
      <c r="L362" s="62"/>
      <c r="M362" s="62"/>
      <c r="N362" s="24"/>
      <c r="O362" s="24"/>
      <c r="P362" s="25"/>
      <c r="Q362" s="25"/>
      <c r="R362" s="25"/>
      <c r="S362" s="25"/>
      <c r="T362" s="25"/>
      <c r="U362" s="25"/>
      <c r="V362" s="29"/>
    </row>
    <row r="363" spans="1:22" ht="38.25" x14ac:dyDescent="0.25">
      <c r="A363" s="57" t="s">
        <v>1766</v>
      </c>
      <c r="B363" s="58" t="s">
        <v>1796</v>
      </c>
      <c r="G363" s="58" t="s">
        <v>513</v>
      </c>
      <c r="K363" s="58" t="s">
        <v>1810</v>
      </c>
      <c r="L363" s="24"/>
      <c r="M363" s="24"/>
      <c r="N363" s="24" t="s">
        <v>1728</v>
      </c>
      <c r="O363" s="24"/>
      <c r="P363" s="25"/>
      <c r="Q363" s="25"/>
      <c r="R363" s="25"/>
      <c r="S363" s="25"/>
      <c r="T363" s="25"/>
      <c r="U363" s="25"/>
      <c r="V363" s="29" t="s">
        <v>2152</v>
      </c>
    </row>
    <row r="364" spans="1:22" ht="33.75" x14ac:dyDescent="0.25">
      <c r="A364" s="57" t="s">
        <v>1767</v>
      </c>
      <c r="B364" s="58" t="s">
        <v>1797</v>
      </c>
      <c r="G364" s="58" t="s">
        <v>513</v>
      </c>
      <c r="K364" s="58" t="s">
        <v>738</v>
      </c>
      <c r="L364" s="24"/>
      <c r="M364" s="62" t="s">
        <v>2148</v>
      </c>
      <c r="N364" s="24"/>
      <c r="O364" s="24"/>
      <c r="P364" s="25"/>
      <c r="Q364" s="25"/>
      <c r="R364" s="25"/>
      <c r="S364" s="25"/>
      <c r="T364" s="25"/>
      <c r="U364" s="25"/>
      <c r="V364" s="29"/>
    </row>
    <row r="365" spans="1:22" ht="25.5" x14ac:dyDescent="0.25">
      <c r="A365" s="57" t="s">
        <v>1768</v>
      </c>
      <c r="B365" s="58" t="s">
        <v>1798</v>
      </c>
      <c r="G365" s="58" t="s">
        <v>513</v>
      </c>
      <c r="K365" s="58" t="s">
        <v>636</v>
      </c>
      <c r="L365" s="24"/>
      <c r="M365" s="24"/>
      <c r="N365" s="24" t="s">
        <v>1728</v>
      </c>
      <c r="O365" s="24"/>
      <c r="P365" s="25"/>
      <c r="Q365" s="25"/>
      <c r="R365" s="25"/>
      <c r="S365" s="25"/>
      <c r="T365" s="25"/>
      <c r="U365" s="25"/>
      <c r="V365" s="29" t="s">
        <v>2139</v>
      </c>
    </row>
    <row r="366" spans="1:22" ht="25.5" x14ac:dyDescent="0.25">
      <c r="A366" s="57" t="s">
        <v>1769</v>
      </c>
      <c r="B366" s="58" t="s">
        <v>1799</v>
      </c>
      <c r="G366" s="58" t="s">
        <v>189</v>
      </c>
      <c r="K366" s="58" t="s">
        <v>636</v>
      </c>
      <c r="L366" s="24"/>
      <c r="M366" s="24"/>
      <c r="N366" s="24" t="s">
        <v>1728</v>
      </c>
      <c r="O366" s="24"/>
      <c r="P366" s="25"/>
      <c r="Q366" s="25"/>
      <c r="R366" s="25"/>
      <c r="S366" s="25"/>
      <c r="T366" s="25"/>
      <c r="U366" s="25">
        <v>42389</v>
      </c>
      <c r="V366" s="29" t="s">
        <v>2153</v>
      </c>
    </row>
    <row r="367" spans="1:22" ht="25.5" x14ac:dyDescent="0.25">
      <c r="A367" s="57" t="s">
        <v>1770</v>
      </c>
      <c r="B367" s="58" t="s">
        <v>1800</v>
      </c>
      <c r="G367" s="58" t="s">
        <v>189</v>
      </c>
      <c r="K367" s="58" t="s">
        <v>636</v>
      </c>
      <c r="L367" s="24"/>
      <c r="M367" s="24"/>
      <c r="N367" s="24" t="s">
        <v>1728</v>
      </c>
      <c r="O367" s="24"/>
      <c r="P367" s="25"/>
      <c r="Q367" s="25"/>
      <c r="R367" s="25"/>
      <c r="S367" s="25"/>
      <c r="T367" s="25"/>
      <c r="U367" s="25">
        <v>42398</v>
      </c>
      <c r="V367" s="29" t="s">
        <v>2154</v>
      </c>
    </row>
    <row r="368" spans="1:22" ht="25.5" x14ac:dyDescent="0.25">
      <c r="A368" s="57" t="s">
        <v>1771</v>
      </c>
      <c r="B368" s="58" t="s">
        <v>1665</v>
      </c>
      <c r="G368" s="58" t="s">
        <v>513</v>
      </c>
      <c r="K368" s="58" t="s">
        <v>574</v>
      </c>
      <c r="L368" s="24"/>
      <c r="M368" s="24"/>
      <c r="N368" s="24" t="s">
        <v>1728</v>
      </c>
      <c r="O368" s="24"/>
      <c r="P368" s="25"/>
      <c r="Q368" s="25"/>
      <c r="R368" s="25"/>
      <c r="S368" s="25"/>
      <c r="T368" s="25"/>
      <c r="U368" s="25"/>
      <c r="V368" s="29" t="s">
        <v>2155</v>
      </c>
    </row>
    <row r="369" spans="1:22" ht="25.5" x14ac:dyDescent="0.25">
      <c r="A369" s="57" t="s">
        <v>1772</v>
      </c>
      <c r="B369" s="58" t="s">
        <v>1801</v>
      </c>
      <c r="G369" s="58" t="s">
        <v>189</v>
      </c>
      <c r="K369" s="58" t="s">
        <v>971</v>
      </c>
      <c r="L369" s="24"/>
      <c r="M369" s="24"/>
      <c r="N369" s="24" t="s">
        <v>1728</v>
      </c>
      <c r="O369" s="24"/>
      <c r="P369" s="25"/>
      <c r="Q369" s="25"/>
      <c r="R369" s="25"/>
      <c r="S369" s="25"/>
      <c r="T369" s="25"/>
      <c r="U369" s="25">
        <v>42383</v>
      </c>
      <c r="V369" s="29" t="s">
        <v>2131</v>
      </c>
    </row>
    <row r="370" spans="1:22" ht="281.25" x14ac:dyDescent="0.25">
      <c r="A370" s="57" t="s">
        <v>1773</v>
      </c>
      <c r="B370" s="58" t="s">
        <v>1802</v>
      </c>
      <c r="G370" s="58" t="s">
        <v>513</v>
      </c>
      <c r="K370" s="58" t="s">
        <v>1816</v>
      </c>
      <c r="L370" s="24"/>
      <c r="M370" s="24"/>
      <c r="N370" s="24" t="s">
        <v>1728</v>
      </c>
      <c r="O370" s="24"/>
      <c r="P370" s="25"/>
      <c r="Q370" s="25"/>
      <c r="R370" s="25"/>
      <c r="S370" s="25"/>
      <c r="T370" s="25"/>
      <c r="U370" s="25"/>
      <c r="V370" s="29" t="s">
        <v>2146</v>
      </c>
    </row>
    <row r="371" spans="1:22" x14ac:dyDescent="0.25">
      <c r="A371" s="63" t="s">
        <v>1774</v>
      </c>
      <c r="B371" s="64" t="s">
        <v>1803</v>
      </c>
      <c r="C371" s="65"/>
      <c r="D371" s="65"/>
      <c r="E371" s="65"/>
      <c r="F371" s="65"/>
      <c r="G371" s="64" t="s">
        <v>513</v>
      </c>
      <c r="H371" s="65"/>
      <c r="I371" s="65"/>
      <c r="J371" s="65"/>
      <c r="K371" s="64" t="s">
        <v>1817</v>
      </c>
      <c r="L371" s="62"/>
      <c r="M371" s="62"/>
      <c r="N371" s="24" t="s">
        <v>1728</v>
      </c>
      <c r="O371" s="24"/>
      <c r="P371" s="25"/>
      <c r="Q371" s="25"/>
      <c r="R371" s="25"/>
      <c r="S371" s="25"/>
      <c r="T371" s="25"/>
      <c r="U371" s="25"/>
      <c r="V371" s="29" t="s">
        <v>2143</v>
      </c>
    </row>
    <row r="372" spans="1:22" ht="25.5" x14ac:dyDescent="0.25">
      <c r="A372" s="63" t="s">
        <v>1775</v>
      </c>
      <c r="B372" s="64" t="s">
        <v>1804</v>
      </c>
      <c r="C372" s="65"/>
      <c r="D372" s="65"/>
      <c r="E372" s="65"/>
      <c r="F372" s="65"/>
      <c r="G372" s="64" t="s">
        <v>513</v>
      </c>
      <c r="H372" s="65"/>
      <c r="I372" s="65"/>
      <c r="J372" s="65"/>
      <c r="K372" s="64" t="s">
        <v>1818</v>
      </c>
      <c r="L372" s="62"/>
      <c r="M372" s="62"/>
      <c r="N372" s="24" t="s">
        <v>1728</v>
      </c>
      <c r="O372" s="24"/>
      <c r="P372" s="25"/>
      <c r="Q372" s="25"/>
      <c r="R372" s="25"/>
      <c r="S372" s="25"/>
      <c r="T372" s="25"/>
      <c r="U372" s="25"/>
      <c r="V372" s="29" t="s">
        <v>2143</v>
      </c>
    </row>
    <row r="373" spans="1:22" ht="38.25" x14ac:dyDescent="0.25">
      <c r="A373" s="57" t="s">
        <v>1776</v>
      </c>
      <c r="B373" s="58" t="s">
        <v>1805</v>
      </c>
      <c r="G373" s="58" t="s">
        <v>513</v>
      </c>
      <c r="K373" s="58" t="s">
        <v>594</v>
      </c>
      <c r="L373" s="24"/>
      <c r="M373" s="24"/>
      <c r="N373" s="24" t="s">
        <v>1728</v>
      </c>
      <c r="O373" s="24"/>
      <c r="P373" s="25"/>
      <c r="Q373" s="25"/>
      <c r="R373" s="25"/>
      <c r="S373" s="25"/>
      <c r="T373" s="25"/>
      <c r="U373" s="25"/>
      <c r="V373" s="29" t="s">
        <v>2131</v>
      </c>
    </row>
    <row r="374" spans="1:22" ht="38.25" x14ac:dyDescent="0.25">
      <c r="A374" s="57" t="s">
        <v>1777</v>
      </c>
      <c r="B374" s="58" t="s">
        <v>1806</v>
      </c>
      <c r="G374" s="58" t="s">
        <v>513</v>
      </c>
      <c r="K374" s="58" t="s">
        <v>594</v>
      </c>
      <c r="L374" s="24"/>
      <c r="M374" s="24"/>
      <c r="N374" s="24" t="s">
        <v>1728</v>
      </c>
      <c r="O374" s="24"/>
      <c r="P374" s="25"/>
      <c r="Q374" s="25"/>
      <c r="R374" s="25"/>
      <c r="S374" s="25"/>
      <c r="T374" s="25"/>
      <c r="U374" s="25"/>
      <c r="V374" s="29" t="s">
        <v>2131</v>
      </c>
    </row>
    <row r="375" spans="1:22" ht="25.5" x14ac:dyDescent="0.25">
      <c r="A375" s="63" t="s">
        <v>1778</v>
      </c>
      <c r="B375" s="64" t="s">
        <v>1801</v>
      </c>
      <c r="C375" s="65"/>
      <c r="D375" s="65"/>
      <c r="E375" s="65"/>
      <c r="F375" s="65"/>
      <c r="G375" s="64" t="s">
        <v>189</v>
      </c>
      <c r="H375" s="65"/>
      <c r="I375" s="65"/>
      <c r="J375" s="65"/>
      <c r="K375" s="64" t="s">
        <v>1004</v>
      </c>
      <c r="L375" s="62"/>
      <c r="M375" s="62"/>
      <c r="N375" s="24" t="s">
        <v>1728</v>
      </c>
      <c r="O375" s="24"/>
      <c r="P375" s="25"/>
      <c r="Q375" s="25"/>
      <c r="R375" s="25"/>
      <c r="S375" s="25"/>
      <c r="T375" s="25"/>
      <c r="U375" s="25">
        <v>42383</v>
      </c>
      <c r="V375" s="29" t="s">
        <v>2143</v>
      </c>
    </row>
    <row r="376" spans="1:22" ht="25.5" x14ac:dyDescent="0.25">
      <c r="A376" s="57" t="s">
        <v>1779</v>
      </c>
      <c r="B376" s="58" t="s">
        <v>358</v>
      </c>
      <c r="G376" s="58" t="s">
        <v>513</v>
      </c>
      <c r="K376" s="58" t="s">
        <v>1819</v>
      </c>
      <c r="L376" s="24"/>
      <c r="M376" s="24"/>
      <c r="N376" s="24" t="s">
        <v>1728</v>
      </c>
      <c r="O376" s="24"/>
      <c r="P376" s="25"/>
      <c r="Q376" s="25"/>
      <c r="R376" s="25"/>
      <c r="S376" s="25"/>
      <c r="T376" s="25"/>
      <c r="U376" s="25"/>
      <c r="V376" s="29" t="s">
        <v>2139</v>
      </c>
    </row>
    <row r="377" spans="1:22" ht="25.5" x14ac:dyDescent="0.25">
      <c r="A377" s="63" t="s">
        <v>1780</v>
      </c>
      <c r="B377" s="64" t="s">
        <v>1807</v>
      </c>
      <c r="C377" s="65"/>
      <c r="D377" s="65"/>
      <c r="E377" s="65"/>
      <c r="F377" s="65"/>
      <c r="G377" s="64" t="s">
        <v>513</v>
      </c>
      <c r="H377" s="65"/>
      <c r="I377" s="65"/>
      <c r="J377" s="65"/>
      <c r="K377" s="64" t="s">
        <v>1820</v>
      </c>
      <c r="L377" s="62"/>
      <c r="M377" s="62"/>
      <c r="N377" s="24" t="s">
        <v>1728</v>
      </c>
      <c r="O377" s="24"/>
      <c r="P377" s="25"/>
      <c r="Q377" s="25"/>
      <c r="R377" s="25"/>
      <c r="S377" s="25"/>
      <c r="T377" s="25"/>
      <c r="U377" s="25"/>
      <c r="V377" s="29" t="s">
        <v>2143</v>
      </c>
    </row>
    <row r="378" spans="1:22" ht="25.5" x14ac:dyDescent="0.25">
      <c r="A378" s="57" t="s">
        <v>1781</v>
      </c>
      <c r="B378" s="58" t="s">
        <v>1808</v>
      </c>
      <c r="G378" s="58" t="s">
        <v>188</v>
      </c>
      <c r="K378" s="58" t="s">
        <v>938</v>
      </c>
      <c r="L378" s="24"/>
      <c r="M378" s="24"/>
      <c r="N378" s="52" t="s">
        <v>2182</v>
      </c>
      <c r="O378" s="24"/>
      <c r="P378" s="25"/>
      <c r="Q378" s="25"/>
      <c r="R378" s="25"/>
      <c r="S378" s="25"/>
      <c r="T378" s="25"/>
      <c r="U378" s="25"/>
      <c r="V378" s="29"/>
    </row>
    <row r="379" spans="1:22" ht="22.5" x14ac:dyDescent="0.25">
      <c r="A379" s="57" t="s">
        <v>1782</v>
      </c>
      <c r="B379" s="58" t="s">
        <v>1809</v>
      </c>
      <c r="G379" s="58" t="s">
        <v>1822</v>
      </c>
      <c r="K379" s="58" t="s">
        <v>1322</v>
      </c>
      <c r="L379" s="24"/>
      <c r="M379" s="24"/>
      <c r="N379" s="24" t="s">
        <v>1728</v>
      </c>
      <c r="O379" s="24"/>
      <c r="P379" s="25"/>
      <c r="Q379" s="25"/>
      <c r="R379" s="25"/>
      <c r="S379" s="25"/>
      <c r="T379" s="25"/>
      <c r="U379" s="25">
        <v>42348</v>
      </c>
      <c r="V379" s="29" t="s">
        <v>2316</v>
      </c>
    </row>
    <row r="380" spans="1:22" x14ac:dyDescent="0.25">
      <c r="A380" s="57" t="s">
        <v>1823</v>
      </c>
      <c r="B380" s="58" t="s">
        <v>1937</v>
      </c>
      <c r="G380" s="58" t="s">
        <v>1822</v>
      </c>
      <c r="K380" s="58" t="s">
        <v>869</v>
      </c>
      <c r="L380" s="24"/>
      <c r="M380" s="24"/>
      <c r="N380" s="24" t="s">
        <v>1728</v>
      </c>
      <c r="O380" s="24"/>
      <c r="P380" s="25"/>
      <c r="Q380" s="25"/>
      <c r="R380" s="25"/>
      <c r="S380" s="25"/>
      <c r="T380" s="25"/>
      <c r="U380" s="25"/>
      <c r="V380" s="29" t="s">
        <v>2131</v>
      </c>
    </row>
    <row r="381" spans="1:22" x14ac:dyDescent="0.25">
      <c r="A381" s="57" t="s">
        <v>1824</v>
      </c>
      <c r="B381" s="58" t="s">
        <v>1938</v>
      </c>
      <c r="G381" s="58" t="s">
        <v>1822</v>
      </c>
      <c r="K381" s="58" t="s">
        <v>869</v>
      </c>
      <c r="L381" s="24"/>
      <c r="M381" s="24"/>
      <c r="N381" s="24" t="s">
        <v>1728</v>
      </c>
      <c r="O381" s="24"/>
      <c r="P381" s="25"/>
      <c r="Q381" s="25"/>
      <c r="R381" s="25"/>
      <c r="S381" s="25"/>
      <c r="T381" s="25"/>
      <c r="U381" s="25"/>
      <c r="V381" s="29" t="s">
        <v>2131</v>
      </c>
    </row>
    <row r="382" spans="1:22" x14ac:dyDescent="0.25">
      <c r="A382" s="57" t="s">
        <v>1825</v>
      </c>
      <c r="B382" s="58" t="s">
        <v>1939</v>
      </c>
      <c r="G382" s="58" t="s">
        <v>1822</v>
      </c>
      <c r="K382" s="58" t="s">
        <v>869</v>
      </c>
      <c r="L382" s="24"/>
      <c r="M382" s="24"/>
      <c r="N382" s="24" t="s">
        <v>1728</v>
      </c>
      <c r="O382" s="24"/>
      <c r="P382" s="25"/>
      <c r="Q382" s="25"/>
      <c r="R382" s="25"/>
      <c r="S382" s="25"/>
      <c r="T382" s="25"/>
      <c r="U382" s="25"/>
      <c r="V382" s="29" t="s">
        <v>2131</v>
      </c>
    </row>
    <row r="383" spans="1:22" ht="25.5" x14ac:dyDescent="0.25">
      <c r="A383" s="57" t="s">
        <v>1826</v>
      </c>
      <c r="B383" s="58" t="s">
        <v>1940</v>
      </c>
      <c r="G383" s="58" t="s">
        <v>1822</v>
      </c>
      <c r="K383" s="58" t="s">
        <v>733</v>
      </c>
      <c r="L383" s="24"/>
      <c r="M383" s="24"/>
      <c r="N383" s="24" t="s">
        <v>1728</v>
      </c>
      <c r="O383" s="24"/>
      <c r="P383" s="25"/>
      <c r="Q383" s="25"/>
      <c r="R383" s="25"/>
      <c r="S383" s="25"/>
      <c r="T383" s="25"/>
      <c r="U383" s="25"/>
      <c r="V383" s="29" t="s">
        <v>2131</v>
      </c>
    </row>
    <row r="384" spans="1:22" x14ac:dyDescent="0.25">
      <c r="A384" s="57" t="s">
        <v>1827</v>
      </c>
      <c r="B384" s="58" t="s">
        <v>1941</v>
      </c>
      <c r="G384" s="58" t="s">
        <v>1822</v>
      </c>
      <c r="K384" s="58" t="s">
        <v>1810</v>
      </c>
      <c r="L384" s="24"/>
      <c r="M384" s="24"/>
      <c r="N384" s="24" t="s">
        <v>1728</v>
      </c>
      <c r="O384" s="24"/>
      <c r="P384" s="25"/>
      <c r="Q384" s="25"/>
      <c r="R384" s="25"/>
      <c r="S384" s="25"/>
      <c r="T384" s="25"/>
      <c r="U384" s="25"/>
      <c r="V384" s="29" t="s">
        <v>2131</v>
      </c>
    </row>
    <row r="385" spans="1:22" ht="25.5" x14ac:dyDescent="0.25">
      <c r="A385" s="57" t="s">
        <v>1828</v>
      </c>
      <c r="B385" s="58" t="s">
        <v>1942</v>
      </c>
      <c r="G385" s="58" t="s">
        <v>1822</v>
      </c>
      <c r="K385" s="58" t="s">
        <v>1810</v>
      </c>
      <c r="L385" s="24"/>
      <c r="M385" s="24"/>
      <c r="N385" s="24" t="s">
        <v>1728</v>
      </c>
      <c r="O385" s="24"/>
      <c r="P385" s="25"/>
      <c r="Q385" s="25"/>
      <c r="R385" s="25"/>
      <c r="S385" s="25"/>
      <c r="T385" s="25"/>
      <c r="U385" s="25"/>
      <c r="V385" s="29" t="s">
        <v>2205</v>
      </c>
    </row>
    <row r="386" spans="1:22" ht="25.5" x14ac:dyDescent="0.25">
      <c r="A386" s="57" t="s">
        <v>1864</v>
      </c>
      <c r="B386" s="58" t="s">
        <v>1977</v>
      </c>
      <c r="G386" s="58" t="s">
        <v>189</v>
      </c>
      <c r="K386" s="58" t="s">
        <v>1810</v>
      </c>
      <c r="L386" s="24"/>
      <c r="M386" s="24"/>
      <c r="N386" s="24" t="s">
        <v>1728</v>
      </c>
      <c r="O386" s="24"/>
      <c r="P386" s="25"/>
      <c r="Q386" s="25"/>
      <c r="R386" s="25"/>
      <c r="S386" s="25"/>
      <c r="T386" s="25"/>
      <c r="U386" s="25">
        <v>42352</v>
      </c>
      <c r="V386" s="29" t="s">
        <v>2342</v>
      </c>
    </row>
    <row r="387" spans="1:22" ht="25.5" x14ac:dyDescent="0.25">
      <c r="A387" s="57" t="s">
        <v>1865</v>
      </c>
      <c r="B387" s="58" t="s">
        <v>1978</v>
      </c>
      <c r="G387" s="58" t="s">
        <v>1822</v>
      </c>
      <c r="K387" s="58" t="s">
        <v>694</v>
      </c>
      <c r="L387" s="24"/>
      <c r="M387" s="24"/>
      <c r="N387" s="24" t="s">
        <v>1728</v>
      </c>
      <c r="O387" s="24"/>
      <c r="P387" s="25"/>
      <c r="Q387" s="25"/>
      <c r="R387" s="25"/>
      <c r="S387" s="25"/>
      <c r="T387" s="25"/>
      <c r="U387" s="25"/>
      <c r="V387" s="29" t="s">
        <v>2203</v>
      </c>
    </row>
    <row r="388" spans="1:22" x14ac:dyDescent="0.25">
      <c r="A388" s="57" t="s">
        <v>1866</v>
      </c>
      <c r="B388" s="58" t="s">
        <v>818</v>
      </c>
      <c r="G388" s="58" t="s">
        <v>1822</v>
      </c>
      <c r="K388" s="58" t="s">
        <v>2032</v>
      </c>
      <c r="L388" s="24"/>
      <c r="M388" s="24"/>
      <c r="N388" s="24"/>
      <c r="O388" s="24"/>
      <c r="P388" s="25"/>
      <c r="Q388" s="25"/>
      <c r="R388" s="25"/>
      <c r="S388" s="25"/>
      <c r="T388" s="25"/>
      <c r="U388" s="25"/>
      <c r="V388" s="29"/>
    </row>
    <row r="389" spans="1:22" ht="25.5" x14ac:dyDescent="0.25">
      <c r="A389" s="57" t="s">
        <v>1867</v>
      </c>
      <c r="B389" s="58" t="s">
        <v>1979</v>
      </c>
      <c r="G389" s="58" t="s">
        <v>1822</v>
      </c>
      <c r="K389" s="58" t="s">
        <v>1814</v>
      </c>
      <c r="L389" s="24"/>
      <c r="M389" s="24"/>
      <c r="N389" s="24" t="s">
        <v>1728</v>
      </c>
      <c r="O389" s="24"/>
      <c r="P389" s="25"/>
      <c r="Q389" s="25"/>
      <c r="R389" s="25"/>
      <c r="S389" s="25"/>
      <c r="T389" s="25"/>
      <c r="U389" s="25"/>
      <c r="V389" s="29" t="s">
        <v>2132</v>
      </c>
    </row>
    <row r="390" spans="1:22" ht="25.5" x14ac:dyDescent="0.25">
      <c r="A390" s="57" t="s">
        <v>1868</v>
      </c>
      <c r="B390" s="58" t="s">
        <v>1980</v>
      </c>
      <c r="G390" s="58" t="s">
        <v>1822</v>
      </c>
      <c r="K390" s="58" t="s">
        <v>1814</v>
      </c>
      <c r="L390" s="24"/>
      <c r="M390" s="24"/>
      <c r="N390" s="24" t="s">
        <v>1728</v>
      </c>
      <c r="O390" s="24"/>
      <c r="P390" s="25"/>
      <c r="Q390" s="25"/>
      <c r="R390" s="25"/>
      <c r="S390" s="25"/>
      <c r="T390" s="25"/>
      <c r="U390" s="25"/>
      <c r="V390" s="29" t="s">
        <v>2131</v>
      </c>
    </row>
    <row r="391" spans="1:22" ht="25.5" x14ac:dyDescent="0.25">
      <c r="A391" s="57" t="s">
        <v>1869</v>
      </c>
      <c r="B391" s="58" t="s">
        <v>1980</v>
      </c>
      <c r="G391" s="58" t="s">
        <v>188</v>
      </c>
      <c r="K391" s="58" t="s">
        <v>1814</v>
      </c>
      <c r="L391" s="24"/>
      <c r="M391" s="24"/>
      <c r="N391" s="52" t="s">
        <v>2182</v>
      </c>
      <c r="O391" s="24"/>
      <c r="P391" s="25"/>
      <c r="Q391" s="25"/>
      <c r="R391" s="25"/>
      <c r="S391" s="25"/>
      <c r="T391" s="25"/>
      <c r="U391" s="25"/>
      <c r="V391" s="29" t="s">
        <v>2133</v>
      </c>
    </row>
    <row r="392" spans="1:22" ht="25.5" x14ac:dyDescent="0.25">
      <c r="A392" s="57" t="s">
        <v>1870</v>
      </c>
      <c r="B392" s="58" t="s">
        <v>1981</v>
      </c>
      <c r="G392" s="58" t="s">
        <v>1822</v>
      </c>
      <c r="K392" s="58" t="s">
        <v>2033</v>
      </c>
      <c r="L392" s="24"/>
      <c r="M392" s="24"/>
      <c r="N392" s="24" t="s">
        <v>1728</v>
      </c>
      <c r="O392" s="24"/>
      <c r="P392" s="25"/>
      <c r="Q392" s="25"/>
      <c r="R392" s="25"/>
      <c r="S392" s="25"/>
      <c r="T392" s="25"/>
      <c r="U392" s="25"/>
      <c r="V392" s="29" t="s">
        <v>2131</v>
      </c>
    </row>
    <row r="393" spans="1:22" ht="25.5" x14ac:dyDescent="0.25">
      <c r="A393" s="57" t="s">
        <v>1871</v>
      </c>
      <c r="B393" s="58" t="s">
        <v>1981</v>
      </c>
      <c r="G393" s="58" t="s">
        <v>1822</v>
      </c>
      <c r="K393" s="58" t="s">
        <v>2033</v>
      </c>
      <c r="L393" s="24"/>
      <c r="M393" s="24"/>
      <c r="N393" s="24" t="s">
        <v>1728</v>
      </c>
      <c r="O393" s="24"/>
      <c r="P393" s="25"/>
      <c r="Q393" s="25"/>
      <c r="R393" s="25"/>
      <c r="S393" s="25"/>
      <c r="T393" s="25"/>
      <c r="U393" s="25"/>
      <c r="V393" s="29" t="s">
        <v>2131</v>
      </c>
    </row>
    <row r="394" spans="1:22" ht="25.5" x14ac:dyDescent="0.25">
      <c r="A394" s="57" t="s">
        <v>1872</v>
      </c>
      <c r="B394" s="58" t="s">
        <v>1982</v>
      </c>
      <c r="G394" s="58" t="s">
        <v>1821</v>
      </c>
      <c r="K394" s="58" t="s">
        <v>2034</v>
      </c>
      <c r="L394" s="24"/>
      <c r="M394" s="24"/>
      <c r="N394" s="24" t="s">
        <v>1707</v>
      </c>
      <c r="O394" s="24" t="s">
        <v>2190</v>
      </c>
      <c r="P394" s="25"/>
      <c r="Q394" s="25"/>
      <c r="R394" s="25"/>
      <c r="S394" s="25"/>
      <c r="T394" s="25"/>
      <c r="U394" s="25"/>
      <c r="V394" s="29" t="s">
        <v>2191</v>
      </c>
    </row>
    <row r="395" spans="1:22" ht="25.5" x14ac:dyDescent="0.25">
      <c r="A395" s="57" t="s">
        <v>1873</v>
      </c>
      <c r="B395" s="58" t="s">
        <v>386</v>
      </c>
      <c r="G395" s="58" t="s">
        <v>1822</v>
      </c>
      <c r="K395" s="58" t="s">
        <v>2035</v>
      </c>
      <c r="L395" s="24"/>
      <c r="M395" s="24"/>
      <c r="N395" s="24" t="s">
        <v>1728</v>
      </c>
      <c r="O395" s="24"/>
      <c r="P395" s="25"/>
      <c r="Q395" s="25"/>
      <c r="R395" s="25"/>
      <c r="S395" s="25"/>
      <c r="T395" s="25"/>
      <c r="U395" s="25"/>
      <c r="V395" s="29" t="s">
        <v>2131</v>
      </c>
    </row>
    <row r="396" spans="1:22" ht="25.5" x14ac:dyDescent="0.25">
      <c r="A396" s="59" t="s">
        <v>1874</v>
      </c>
      <c r="B396" s="60" t="s">
        <v>1983</v>
      </c>
      <c r="C396" s="61"/>
      <c r="D396" s="61"/>
      <c r="E396" s="61"/>
      <c r="F396" s="61"/>
      <c r="G396" s="60" t="s">
        <v>1822</v>
      </c>
      <c r="H396" s="61"/>
      <c r="I396" s="61"/>
      <c r="J396" s="61"/>
      <c r="K396" s="60" t="s">
        <v>2036</v>
      </c>
      <c r="L396" s="24"/>
      <c r="M396" s="24"/>
      <c r="N396" s="24" t="s">
        <v>1728</v>
      </c>
      <c r="O396" s="24"/>
      <c r="P396" s="25"/>
      <c r="Q396" s="25"/>
      <c r="R396" s="25"/>
      <c r="S396" s="25"/>
      <c r="T396" s="25"/>
      <c r="U396" s="25"/>
      <c r="V396" s="29" t="s">
        <v>2134</v>
      </c>
    </row>
    <row r="397" spans="1:22" ht="22.5" x14ac:dyDescent="0.25">
      <c r="A397" s="57" t="s">
        <v>1875</v>
      </c>
      <c r="B397" s="58" t="s">
        <v>1984</v>
      </c>
      <c r="G397" s="58" t="s">
        <v>1822</v>
      </c>
      <c r="K397" s="58" t="s">
        <v>633</v>
      </c>
      <c r="L397" s="24"/>
      <c r="M397" s="24"/>
      <c r="N397" s="24" t="s">
        <v>1728</v>
      </c>
      <c r="O397" s="24"/>
      <c r="P397" s="25"/>
      <c r="Q397" s="25"/>
      <c r="R397" s="25"/>
      <c r="S397" s="25"/>
      <c r="T397" s="25"/>
      <c r="U397" s="25"/>
      <c r="V397" s="29" t="s">
        <v>2136</v>
      </c>
    </row>
    <row r="398" spans="1:22" ht="25.5" x14ac:dyDescent="0.25">
      <c r="A398" s="57" t="s">
        <v>1876</v>
      </c>
      <c r="B398" s="58" t="s">
        <v>1985</v>
      </c>
      <c r="G398" s="58" t="s">
        <v>1822</v>
      </c>
      <c r="K398" s="58" t="s">
        <v>636</v>
      </c>
      <c r="L398" s="24"/>
      <c r="M398" s="24"/>
      <c r="N398" s="24" t="s">
        <v>1728</v>
      </c>
      <c r="O398" s="24"/>
      <c r="P398" s="25"/>
      <c r="Q398" s="25"/>
      <c r="R398" s="25"/>
      <c r="S398" s="25"/>
      <c r="T398" s="25"/>
      <c r="U398" s="25"/>
      <c r="V398" s="29" t="s">
        <v>2135</v>
      </c>
    </row>
    <row r="399" spans="1:22" ht="22.5" x14ac:dyDescent="0.25">
      <c r="A399" s="23" t="s">
        <v>1878</v>
      </c>
      <c r="B399" s="23" t="s">
        <v>1801</v>
      </c>
      <c r="C399" s="24"/>
      <c r="D399" s="24"/>
      <c r="E399" s="61"/>
      <c r="F399" s="61"/>
      <c r="G399" s="24" t="s">
        <v>1822</v>
      </c>
      <c r="H399" s="24"/>
      <c r="I399" s="61"/>
      <c r="J399" s="61"/>
      <c r="K399" s="24" t="s">
        <v>608</v>
      </c>
      <c r="L399" s="24"/>
      <c r="M399" s="24"/>
      <c r="N399" s="24" t="s">
        <v>1707</v>
      </c>
      <c r="O399" s="24"/>
      <c r="P399" s="25"/>
      <c r="Q399" s="25"/>
      <c r="R399" s="25"/>
      <c r="S399" s="25"/>
      <c r="T399" s="25"/>
      <c r="U399" s="25"/>
      <c r="V399" s="29" t="s">
        <v>2188</v>
      </c>
    </row>
    <row r="400" spans="1:22" ht="25.5" x14ac:dyDescent="0.25">
      <c r="A400" s="57" t="s">
        <v>1885</v>
      </c>
      <c r="B400" s="58" t="s">
        <v>1801</v>
      </c>
      <c r="G400" s="58" t="s">
        <v>1822</v>
      </c>
      <c r="K400" s="58" t="s">
        <v>703</v>
      </c>
      <c r="L400" s="24"/>
      <c r="M400" s="24"/>
      <c r="N400" s="24" t="s">
        <v>1728</v>
      </c>
      <c r="O400" s="24"/>
      <c r="P400" s="25"/>
      <c r="Q400" s="25"/>
      <c r="R400" s="25"/>
      <c r="S400" s="25"/>
      <c r="T400" s="25"/>
      <c r="U400" s="25"/>
      <c r="V400" s="29" t="s">
        <v>2131</v>
      </c>
    </row>
    <row r="401" spans="1:22" ht="25.5" x14ac:dyDescent="0.25">
      <c r="A401" s="57" t="s">
        <v>1886</v>
      </c>
      <c r="B401" s="58" t="s">
        <v>1992</v>
      </c>
      <c r="G401" s="58" t="s">
        <v>1822</v>
      </c>
      <c r="K401" s="58" t="s">
        <v>980</v>
      </c>
      <c r="L401" s="24"/>
      <c r="M401" s="24"/>
      <c r="N401" s="24" t="s">
        <v>1728</v>
      </c>
      <c r="O401" s="24"/>
      <c r="P401" s="25"/>
      <c r="Q401" s="25"/>
      <c r="R401" s="25"/>
      <c r="S401" s="25"/>
      <c r="T401" s="25"/>
      <c r="U401" s="25"/>
      <c r="V401" s="29" t="s">
        <v>2135</v>
      </c>
    </row>
    <row r="402" spans="1:22" ht="25.5" x14ac:dyDescent="0.25">
      <c r="A402" s="57" t="s">
        <v>1887</v>
      </c>
      <c r="B402" s="58" t="s">
        <v>1993</v>
      </c>
      <c r="G402" s="58" t="s">
        <v>1822</v>
      </c>
      <c r="K402" s="58" t="s">
        <v>561</v>
      </c>
      <c r="L402" s="24"/>
      <c r="M402" s="24"/>
      <c r="N402" s="24" t="s">
        <v>1728</v>
      </c>
      <c r="O402" s="24"/>
      <c r="P402" s="25"/>
      <c r="Q402" s="25"/>
      <c r="R402" s="25"/>
      <c r="S402" s="25"/>
      <c r="T402" s="25"/>
      <c r="U402" s="25"/>
      <c r="V402" s="29" t="s">
        <v>2131</v>
      </c>
    </row>
    <row r="403" spans="1:22" ht="25.5" x14ac:dyDescent="0.25">
      <c r="A403" s="57" t="s">
        <v>1889</v>
      </c>
      <c r="B403" s="58" t="s">
        <v>1995</v>
      </c>
      <c r="G403" s="58" t="s">
        <v>1822</v>
      </c>
      <c r="K403" s="58" t="s">
        <v>694</v>
      </c>
      <c r="L403" s="24"/>
      <c r="M403" s="24"/>
      <c r="N403" s="24"/>
      <c r="O403" s="24"/>
      <c r="P403" s="25"/>
      <c r="Q403" s="25"/>
      <c r="R403" s="25"/>
      <c r="S403" s="25"/>
      <c r="T403" s="25"/>
      <c r="U403" s="25"/>
      <c r="V403" s="29"/>
    </row>
    <row r="404" spans="1:22" ht="25.5" x14ac:dyDescent="0.25">
      <c r="A404" s="57" t="s">
        <v>1890</v>
      </c>
      <c r="B404" s="58" t="s">
        <v>1996</v>
      </c>
      <c r="G404" s="58" t="s">
        <v>1822</v>
      </c>
      <c r="K404" s="58" t="s">
        <v>2037</v>
      </c>
      <c r="L404" s="24"/>
      <c r="M404" s="24"/>
      <c r="N404" s="24" t="s">
        <v>1728</v>
      </c>
      <c r="O404" s="24"/>
      <c r="P404" s="25"/>
      <c r="Q404" s="25"/>
      <c r="R404" s="25"/>
      <c r="S404" s="25"/>
      <c r="T404" s="25"/>
      <c r="U404" s="25"/>
      <c r="V404" s="29" t="s">
        <v>2131</v>
      </c>
    </row>
    <row r="405" spans="1:22" ht="38.25" x14ac:dyDescent="0.25">
      <c r="A405" s="57" t="s">
        <v>1891</v>
      </c>
      <c r="B405" s="58" t="s">
        <v>1997</v>
      </c>
      <c r="G405" s="58" t="s">
        <v>1822</v>
      </c>
      <c r="K405" s="58" t="s">
        <v>980</v>
      </c>
      <c r="L405" s="24"/>
      <c r="M405" s="24"/>
      <c r="N405" s="24" t="s">
        <v>1728</v>
      </c>
      <c r="O405" s="24"/>
      <c r="P405" s="25"/>
      <c r="Q405" s="25"/>
      <c r="R405" s="25"/>
      <c r="S405" s="25"/>
      <c r="T405" s="25"/>
      <c r="U405" s="25"/>
      <c r="V405" s="29" t="s">
        <v>2131</v>
      </c>
    </row>
    <row r="406" spans="1:22" ht="25.5" x14ac:dyDescent="0.25">
      <c r="A406" s="57" t="s">
        <v>1892</v>
      </c>
      <c r="B406" s="58" t="s">
        <v>1998</v>
      </c>
      <c r="G406" s="58" t="s">
        <v>188</v>
      </c>
      <c r="K406" s="58" t="s">
        <v>562</v>
      </c>
      <c r="L406" s="24"/>
      <c r="M406" s="24"/>
      <c r="N406" s="24"/>
      <c r="O406" s="24"/>
      <c r="P406" s="25"/>
      <c r="Q406" s="25"/>
      <c r="R406" s="25"/>
      <c r="S406" s="25"/>
      <c r="T406" s="25"/>
      <c r="U406" s="25">
        <v>42349</v>
      </c>
      <c r="V406" s="29"/>
    </row>
    <row r="407" spans="1:22" ht="25.5" x14ac:dyDescent="0.25">
      <c r="A407" s="57" t="s">
        <v>1893</v>
      </c>
      <c r="B407" s="58" t="s">
        <v>1999</v>
      </c>
      <c r="G407" s="58" t="s">
        <v>188</v>
      </c>
      <c r="K407" s="58" t="s">
        <v>562</v>
      </c>
      <c r="L407" s="24"/>
      <c r="M407" s="24"/>
      <c r="N407" s="24"/>
      <c r="O407" s="24"/>
      <c r="P407" s="25"/>
      <c r="Q407" s="25"/>
      <c r="R407" s="25"/>
      <c r="S407" s="25"/>
      <c r="T407" s="25"/>
      <c r="U407" s="25">
        <v>42349</v>
      </c>
      <c r="V407" s="29"/>
    </row>
    <row r="408" spans="1:22" ht="25.5" x14ac:dyDescent="0.25">
      <c r="A408" s="66" t="s">
        <v>1894</v>
      </c>
      <c r="B408" s="67" t="s">
        <v>2000</v>
      </c>
      <c r="C408" s="68"/>
      <c r="D408" s="68"/>
      <c r="E408" s="68"/>
      <c r="F408" s="68"/>
      <c r="G408" s="67" t="s">
        <v>189</v>
      </c>
      <c r="H408" s="68"/>
      <c r="I408" s="68"/>
      <c r="J408" s="68"/>
      <c r="K408" s="67" t="s">
        <v>562</v>
      </c>
      <c r="L408" s="24"/>
      <c r="M408" s="24"/>
      <c r="N408" s="24"/>
      <c r="O408" s="24"/>
      <c r="P408" s="25"/>
      <c r="Q408" s="25"/>
      <c r="R408" s="25"/>
      <c r="S408" s="25"/>
      <c r="T408" s="25"/>
      <c r="U408" s="25">
        <v>42349</v>
      </c>
      <c r="V408" s="29" t="s">
        <v>2139</v>
      </c>
    </row>
    <row r="409" spans="1:22" ht="25.5" x14ac:dyDescent="0.25">
      <c r="A409" s="66" t="s">
        <v>1895</v>
      </c>
      <c r="B409" s="67" t="s">
        <v>2001</v>
      </c>
      <c r="C409" s="68"/>
      <c r="D409" s="68"/>
      <c r="E409" s="68"/>
      <c r="F409" s="68"/>
      <c r="G409" s="67" t="s">
        <v>1822</v>
      </c>
      <c r="H409" s="68"/>
      <c r="I409" s="68"/>
      <c r="J409" s="68"/>
      <c r="K409" s="67" t="s">
        <v>562</v>
      </c>
      <c r="L409" s="24"/>
      <c r="M409" s="24"/>
      <c r="N409" s="24"/>
      <c r="O409" s="24"/>
      <c r="P409" s="25"/>
      <c r="Q409" s="25"/>
      <c r="R409" s="25"/>
      <c r="S409" s="25"/>
      <c r="T409" s="25"/>
      <c r="U409" s="25"/>
      <c r="V409" s="29" t="s">
        <v>2139</v>
      </c>
    </row>
    <row r="410" spans="1:22" ht="25.5" x14ac:dyDescent="0.25">
      <c r="A410" s="66" t="s">
        <v>1896</v>
      </c>
      <c r="B410" s="67" t="s">
        <v>2002</v>
      </c>
      <c r="C410" s="68"/>
      <c r="D410" s="68"/>
      <c r="E410" s="68"/>
      <c r="F410" s="68"/>
      <c r="G410" s="67" t="s">
        <v>1822</v>
      </c>
      <c r="H410" s="68"/>
      <c r="I410" s="68"/>
      <c r="J410" s="68"/>
      <c r="K410" s="67" t="s">
        <v>562</v>
      </c>
      <c r="L410" s="24"/>
      <c r="M410" s="24"/>
      <c r="N410" s="24"/>
      <c r="O410" s="24"/>
      <c r="P410" s="25"/>
      <c r="Q410" s="25"/>
      <c r="R410" s="25"/>
      <c r="S410" s="25"/>
      <c r="T410" s="25"/>
      <c r="U410" s="25"/>
      <c r="V410" s="29" t="s">
        <v>2139</v>
      </c>
    </row>
    <row r="411" spans="1:22" ht="25.5" x14ac:dyDescent="0.25">
      <c r="A411" s="57" t="s">
        <v>1897</v>
      </c>
      <c r="B411" s="58" t="s">
        <v>2003</v>
      </c>
      <c r="G411" s="58" t="s">
        <v>1822</v>
      </c>
      <c r="K411" s="58" t="s">
        <v>1029</v>
      </c>
      <c r="L411" s="24"/>
      <c r="M411" s="24"/>
      <c r="N411" s="24" t="s">
        <v>1728</v>
      </c>
      <c r="O411" s="24"/>
      <c r="P411" s="25"/>
      <c r="Q411" s="25"/>
      <c r="R411" s="25"/>
      <c r="S411" s="25"/>
      <c r="T411" s="25"/>
      <c r="U411" s="25"/>
      <c r="V411" s="29" t="s">
        <v>2131</v>
      </c>
    </row>
    <row r="412" spans="1:22" ht="25.5" x14ac:dyDescent="0.25">
      <c r="A412" s="57" t="s">
        <v>1898</v>
      </c>
      <c r="B412" s="58" t="s">
        <v>2004</v>
      </c>
      <c r="G412" s="58" t="s">
        <v>1822</v>
      </c>
      <c r="K412" s="58" t="s">
        <v>1029</v>
      </c>
      <c r="L412" s="24"/>
      <c r="M412" s="24"/>
      <c r="N412" s="24" t="s">
        <v>1728</v>
      </c>
      <c r="O412" s="24"/>
      <c r="P412" s="25"/>
      <c r="Q412" s="25"/>
      <c r="R412" s="25"/>
      <c r="S412" s="25"/>
      <c r="T412" s="25"/>
      <c r="U412" s="25"/>
      <c r="V412" s="29" t="s">
        <v>2131</v>
      </c>
    </row>
    <row r="413" spans="1:22" ht="25.5" x14ac:dyDescent="0.25">
      <c r="A413" s="57" t="s">
        <v>1899</v>
      </c>
      <c r="B413" s="58" t="s">
        <v>2005</v>
      </c>
      <c r="G413" s="58" t="s">
        <v>1822</v>
      </c>
      <c r="K413" s="58" t="s">
        <v>1029</v>
      </c>
      <c r="L413" s="24"/>
      <c r="M413" s="24"/>
      <c r="N413" s="24" t="s">
        <v>1728</v>
      </c>
      <c r="O413" s="24"/>
      <c r="P413" s="25"/>
      <c r="Q413" s="25"/>
      <c r="R413" s="25"/>
      <c r="S413" s="25"/>
      <c r="T413" s="25"/>
      <c r="U413" s="25"/>
      <c r="V413" s="29" t="s">
        <v>2131</v>
      </c>
    </row>
    <row r="414" spans="1:22" ht="25.5" x14ac:dyDescent="0.25">
      <c r="A414" s="57" t="s">
        <v>1900</v>
      </c>
      <c r="B414" s="58" t="s">
        <v>2006</v>
      </c>
      <c r="G414" s="58" t="s">
        <v>1822</v>
      </c>
      <c r="K414" s="58" t="s">
        <v>1029</v>
      </c>
      <c r="L414" s="24"/>
      <c r="M414" s="24"/>
      <c r="N414" s="24" t="s">
        <v>1707</v>
      </c>
      <c r="O414" s="24" t="s">
        <v>2216</v>
      </c>
      <c r="P414" s="25"/>
      <c r="Q414" s="25"/>
      <c r="R414" s="25"/>
      <c r="S414" s="25"/>
      <c r="T414" s="25"/>
      <c r="U414" s="25"/>
      <c r="V414" s="29" t="s">
        <v>2217</v>
      </c>
    </row>
    <row r="415" spans="1:22" ht="25.5" x14ac:dyDescent="0.25">
      <c r="A415" s="57" t="s">
        <v>1901</v>
      </c>
      <c r="B415" s="58" t="s">
        <v>2007</v>
      </c>
      <c r="G415" s="58" t="s">
        <v>1822</v>
      </c>
      <c r="K415" s="58" t="s">
        <v>941</v>
      </c>
      <c r="L415" s="24"/>
      <c r="M415" s="24"/>
      <c r="N415" s="24" t="s">
        <v>1728</v>
      </c>
      <c r="O415" s="24"/>
      <c r="P415" s="25"/>
      <c r="Q415" s="25"/>
      <c r="R415" s="25"/>
      <c r="S415" s="25"/>
      <c r="T415" s="25"/>
      <c r="U415" s="25"/>
      <c r="V415" s="29" t="s">
        <v>1488</v>
      </c>
    </row>
    <row r="416" spans="1:22" ht="25.5" x14ac:dyDescent="0.25">
      <c r="A416" s="57" t="s">
        <v>1902</v>
      </c>
      <c r="B416" s="58" t="s">
        <v>2008</v>
      </c>
      <c r="G416" s="58" t="s">
        <v>1822</v>
      </c>
      <c r="K416" s="58" t="s">
        <v>1029</v>
      </c>
      <c r="L416" s="24"/>
      <c r="M416" s="24"/>
      <c r="N416" s="24" t="s">
        <v>1728</v>
      </c>
      <c r="O416" s="24"/>
      <c r="P416" s="25"/>
      <c r="Q416" s="25"/>
      <c r="R416" s="25"/>
      <c r="S416" s="25"/>
      <c r="T416" s="25"/>
      <c r="U416" s="25"/>
      <c r="V416" s="29" t="s">
        <v>2144</v>
      </c>
    </row>
    <row r="417" spans="1:22" ht="25.5" x14ac:dyDescent="0.25">
      <c r="A417" s="57" t="s">
        <v>1903</v>
      </c>
      <c r="B417" s="58" t="s">
        <v>2009</v>
      </c>
      <c r="G417" s="58" t="s">
        <v>1822</v>
      </c>
      <c r="K417" s="58" t="s">
        <v>1029</v>
      </c>
      <c r="L417" s="24"/>
      <c r="M417" s="24"/>
      <c r="N417" s="24" t="s">
        <v>1728</v>
      </c>
      <c r="O417" s="24"/>
      <c r="P417" s="25"/>
      <c r="Q417" s="25"/>
      <c r="R417" s="25"/>
      <c r="S417" s="25"/>
      <c r="T417" s="25"/>
      <c r="U417" s="25"/>
      <c r="V417" s="29" t="s">
        <v>2144</v>
      </c>
    </row>
    <row r="418" spans="1:22" x14ac:dyDescent="0.25">
      <c r="A418" s="59" t="s">
        <v>1904</v>
      </c>
      <c r="B418" s="60" t="s">
        <v>2010</v>
      </c>
      <c r="C418" s="61"/>
      <c r="D418" s="61"/>
      <c r="E418" s="61"/>
      <c r="F418" s="61"/>
      <c r="G418" s="60" t="s">
        <v>1822</v>
      </c>
      <c r="H418" s="61"/>
      <c r="I418" s="61"/>
      <c r="J418" s="61"/>
      <c r="K418" s="60" t="s">
        <v>838</v>
      </c>
      <c r="L418" s="24"/>
      <c r="M418" s="24"/>
      <c r="N418" s="24"/>
      <c r="O418" s="24"/>
      <c r="P418" s="25"/>
      <c r="Q418" s="25"/>
      <c r="R418" s="25"/>
      <c r="S418" s="25"/>
      <c r="T418" s="25"/>
      <c r="U418" s="25"/>
      <c r="V418" s="29" t="s">
        <v>2145</v>
      </c>
    </row>
    <row r="419" spans="1:22" ht="25.5" x14ac:dyDescent="0.25">
      <c r="A419" s="57" t="s">
        <v>1905</v>
      </c>
      <c r="B419" s="58" t="s">
        <v>2011</v>
      </c>
      <c r="G419" s="58" t="s">
        <v>1822</v>
      </c>
      <c r="K419" s="58" t="s">
        <v>2038</v>
      </c>
      <c r="L419" s="24"/>
      <c r="M419" s="24"/>
      <c r="N419" s="24" t="s">
        <v>1728</v>
      </c>
      <c r="O419" s="24"/>
      <c r="P419" s="25"/>
      <c r="Q419" s="25"/>
      <c r="R419" s="25"/>
      <c r="S419" s="25"/>
      <c r="T419" s="25"/>
      <c r="U419" s="25"/>
      <c r="V419" s="29" t="s">
        <v>2144</v>
      </c>
    </row>
    <row r="420" spans="1:22" x14ac:dyDescent="0.25">
      <c r="A420" s="57" t="s">
        <v>1906</v>
      </c>
      <c r="B420" s="58" t="s">
        <v>2012</v>
      </c>
      <c r="G420" s="58" t="s">
        <v>1822</v>
      </c>
      <c r="K420" s="58" t="s">
        <v>838</v>
      </c>
      <c r="L420" s="24"/>
      <c r="M420" s="24"/>
      <c r="N420" s="24" t="s">
        <v>1728</v>
      </c>
      <c r="O420" s="24"/>
      <c r="P420" s="25"/>
      <c r="Q420" s="25"/>
      <c r="R420" s="25"/>
      <c r="S420" s="25"/>
      <c r="T420" s="25"/>
      <c r="U420" s="25"/>
      <c r="V420" s="29" t="s">
        <v>2131</v>
      </c>
    </row>
    <row r="421" spans="1:22" ht="25.5" x14ac:dyDescent="0.25">
      <c r="A421" s="57" t="s">
        <v>1907</v>
      </c>
      <c r="B421" s="58" t="s">
        <v>2013</v>
      </c>
      <c r="G421" s="58" t="s">
        <v>1822</v>
      </c>
      <c r="K421" s="58" t="s">
        <v>1820</v>
      </c>
      <c r="L421" s="24"/>
      <c r="M421" s="24"/>
      <c r="N421" s="24" t="s">
        <v>1728</v>
      </c>
      <c r="O421" s="24"/>
      <c r="P421" s="25"/>
      <c r="Q421" s="25"/>
      <c r="R421" s="25"/>
      <c r="S421" s="25"/>
      <c r="T421" s="25"/>
      <c r="U421" s="25"/>
      <c r="V421" s="29" t="s">
        <v>2131</v>
      </c>
    </row>
    <row r="422" spans="1:22" x14ac:dyDescent="0.25">
      <c r="A422" s="57" t="s">
        <v>1908</v>
      </c>
      <c r="B422" s="58" t="s">
        <v>358</v>
      </c>
      <c r="G422" s="58" t="s">
        <v>1821</v>
      </c>
      <c r="K422" s="58" t="s">
        <v>929</v>
      </c>
      <c r="L422" s="24"/>
      <c r="M422" s="24"/>
      <c r="N422" s="24" t="s">
        <v>1707</v>
      </c>
      <c r="O422" s="24" t="s">
        <v>2190</v>
      </c>
      <c r="P422" s="25"/>
      <c r="Q422" s="25"/>
      <c r="R422" s="25"/>
      <c r="S422" s="25"/>
      <c r="T422" s="25"/>
      <c r="U422" s="25"/>
      <c r="V422" s="29" t="s">
        <v>2200</v>
      </c>
    </row>
    <row r="423" spans="1:22" x14ac:dyDescent="0.25">
      <c r="A423" s="57" t="s">
        <v>1916</v>
      </c>
      <c r="B423" s="58" t="s">
        <v>2021</v>
      </c>
      <c r="G423" s="58" t="s">
        <v>1822</v>
      </c>
      <c r="K423" s="58" t="s">
        <v>574</v>
      </c>
      <c r="L423" s="24"/>
      <c r="M423" s="24"/>
      <c r="N423" s="24" t="s">
        <v>1728</v>
      </c>
      <c r="O423" s="24"/>
      <c r="P423" s="25"/>
      <c r="Q423" s="25"/>
      <c r="R423" s="25"/>
      <c r="S423" s="25"/>
      <c r="T423" s="25"/>
      <c r="U423" s="25"/>
      <c r="V423" s="29" t="s">
        <v>2131</v>
      </c>
    </row>
    <row r="424" spans="1:22" ht="22.5" x14ac:dyDescent="0.25">
      <c r="A424" s="59" t="s">
        <v>1917</v>
      </c>
      <c r="B424" s="60" t="s">
        <v>2022</v>
      </c>
      <c r="C424" s="61"/>
      <c r="D424" s="61"/>
      <c r="E424" s="61"/>
      <c r="F424" s="61"/>
      <c r="G424" s="60" t="s">
        <v>188</v>
      </c>
      <c r="H424" s="61"/>
      <c r="I424" s="61"/>
      <c r="J424" s="61"/>
      <c r="K424" s="60" t="s">
        <v>934</v>
      </c>
      <c r="L424" s="24"/>
      <c r="M424" s="24"/>
      <c r="N424" s="24"/>
      <c r="O424" s="24"/>
      <c r="P424" s="25"/>
      <c r="Q424" s="25"/>
      <c r="R424" s="25"/>
      <c r="S424" s="25"/>
      <c r="T424" s="25"/>
      <c r="U424" s="25"/>
      <c r="V424" s="29" t="s">
        <v>2354</v>
      </c>
    </row>
    <row r="425" spans="1:22" ht="22.5" x14ac:dyDescent="0.25">
      <c r="A425" s="59" t="s">
        <v>1918</v>
      </c>
      <c r="B425" s="60" t="s">
        <v>2023</v>
      </c>
      <c r="C425" s="61"/>
      <c r="D425" s="61"/>
      <c r="E425" s="61"/>
      <c r="F425" s="61"/>
      <c r="G425" s="60" t="s">
        <v>188</v>
      </c>
      <c r="H425" s="61"/>
      <c r="I425" s="61"/>
      <c r="J425" s="61"/>
      <c r="K425" s="60" t="s">
        <v>934</v>
      </c>
      <c r="L425" s="24"/>
      <c r="M425" s="24"/>
      <c r="N425" s="24"/>
      <c r="O425" s="24"/>
      <c r="P425" s="25"/>
      <c r="Q425" s="25"/>
      <c r="R425" s="25"/>
      <c r="S425" s="25"/>
      <c r="T425" s="25"/>
      <c r="U425" s="25"/>
      <c r="V425" s="29" t="s">
        <v>2354</v>
      </c>
    </row>
    <row r="426" spans="1:22" ht="25.5" x14ac:dyDescent="0.25">
      <c r="A426" s="59" t="s">
        <v>1919</v>
      </c>
      <c r="B426" s="60" t="s">
        <v>2024</v>
      </c>
      <c r="C426" s="61"/>
      <c r="D426" s="61"/>
      <c r="E426" s="61"/>
      <c r="F426" s="61"/>
      <c r="G426" s="60" t="s">
        <v>189</v>
      </c>
      <c r="H426" s="61"/>
      <c r="I426" s="61"/>
      <c r="J426" s="61"/>
      <c r="K426" s="60" t="s">
        <v>538</v>
      </c>
      <c r="L426" s="24"/>
      <c r="M426" s="24"/>
      <c r="N426" s="24"/>
      <c r="O426" s="24"/>
      <c r="P426" s="25"/>
      <c r="Q426" s="25"/>
      <c r="R426" s="25"/>
      <c r="S426" s="25"/>
      <c r="T426" s="25"/>
      <c r="U426" s="25">
        <v>42383</v>
      </c>
      <c r="V426" s="29" t="s">
        <v>2145</v>
      </c>
    </row>
    <row r="427" spans="1:22" x14ac:dyDescent="0.25">
      <c r="A427" s="57" t="s">
        <v>1920</v>
      </c>
      <c r="B427" s="58" t="s">
        <v>2025</v>
      </c>
      <c r="G427" s="58" t="s">
        <v>1822</v>
      </c>
      <c r="K427" s="58" t="s">
        <v>934</v>
      </c>
      <c r="L427" s="24"/>
      <c r="M427" s="24"/>
      <c r="N427" s="24" t="s">
        <v>1728</v>
      </c>
      <c r="O427" s="24"/>
      <c r="P427" s="25"/>
      <c r="Q427" s="25"/>
      <c r="R427" s="25"/>
      <c r="S427" s="25"/>
      <c r="T427" s="25"/>
      <c r="U427" s="25" t="s">
        <v>188</v>
      </c>
      <c r="V427" s="29" t="s">
        <v>2131</v>
      </c>
    </row>
    <row r="428" spans="1:22" x14ac:dyDescent="0.25">
      <c r="A428" s="57" t="s">
        <v>1921</v>
      </c>
      <c r="B428" s="58" t="s">
        <v>2026</v>
      </c>
      <c r="G428" s="58" t="s">
        <v>189</v>
      </c>
      <c r="K428" s="58" t="s">
        <v>934</v>
      </c>
      <c r="L428" s="24"/>
      <c r="M428" s="24"/>
      <c r="N428" s="24" t="s">
        <v>1728</v>
      </c>
      <c r="O428" s="24"/>
      <c r="P428" s="25"/>
      <c r="Q428" s="25"/>
      <c r="R428" s="25"/>
      <c r="S428" s="25"/>
      <c r="T428" s="25"/>
      <c r="U428" s="25">
        <v>42383</v>
      </c>
      <c r="V428" s="29" t="s">
        <v>2144</v>
      </c>
    </row>
    <row r="429" spans="1:22" ht="25.5" x14ac:dyDescent="0.25">
      <c r="A429" s="57" t="s">
        <v>1922</v>
      </c>
      <c r="B429" s="58" t="s">
        <v>1801</v>
      </c>
      <c r="G429" s="58" t="s">
        <v>188</v>
      </c>
      <c r="K429" s="58" t="s">
        <v>934</v>
      </c>
      <c r="L429" s="24"/>
      <c r="M429" s="24"/>
      <c r="N429" s="52" t="s">
        <v>2182</v>
      </c>
      <c r="O429" s="24"/>
      <c r="P429" s="25"/>
      <c r="Q429" s="25"/>
      <c r="R429" s="25"/>
      <c r="S429" s="25"/>
      <c r="T429" s="25"/>
      <c r="U429" s="25"/>
      <c r="V429" s="29"/>
    </row>
    <row r="430" spans="1:22" ht="25.5" x14ac:dyDescent="0.25">
      <c r="A430" s="57" t="s">
        <v>1923</v>
      </c>
      <c r="B430" s="58" t="s">
        <v>2027</v>
      </c>
      <c r="G430" s="58" t="s">
        <v>1822</v>
      </c>
      <c r="K430" s="58" t="s">
        <v>555</v>
      </c>
      <c r="L430" s="24"/>
      <c r="M430" s="24"/>
      <c r="N430" s="24" t="s">
        <v>1728</v>
      </c>
      <c r="O430" s="24"/>
      <c r="P430" s="25"/>
      <c r="Q430" s="25"/>
      <c r="R430" s="25"/>
      <c r="S430" s="25"/>
      <c r="T430" s="25"/>
      <c r="U430" s="25"/>
      <c r="V430" s="29" t="s">
        <v>2139</v>
      </c>
    </row>
    <row r="431" spans="1:22" ht="25.5" x14ac:dyDescent="0.25">
      <c r="A431" s="59" t="s">
        <v>1924</v>
      </c>
      <c r="B431" s="60" t="s">
        <v>1801</v>
      </c>
      <c r="C431" s="61"/>
      <c r="D431" s="61"/>
      <c r="E431" s="61"/>
      <c r="F431" s="61"/>
      <c r="G431" s="60" t="s">
        <v>1822</v>
      </c>
      <c r="H431" s="61"/>
      <c r="I431" s="61"/>
      <c r="J431" s="61"/>
      <c r="K431" s="60" t="s">
        <v>801</v>
      </c>
      <c r="L431" s="24"/>
      <c r="M431" s="24"/>
      <c r="N431" s="24"/>
      <c r="O431" s="24"/>
      <c r="P431" s="25"/>
      <c r="Q431" s="25"/>
      <c r="R431" s="25"/>
      <c r="S431" s="25"/>
      <c r="T431" s="25"/>
      <c r="U431" s="25"/>
      <c r="V431" s="29" t="s">
        <v>2143</v>
      </c>
    </row>
    <row r="432" spans="1:22" ht="25.5" x14ac:dyDescent="0.25">
      <c r="A432" s="57" t="s">
        <v>1925</v>
      </c>
      <c r="B432" s="58" t="s">
        <v>1801</v>
      </c>
      <c r="G432" s="58" t="s">
        <v>1822</v>
      </c>
      <c r="K432" s="58" t="s">
        <v>561</v>
      </c>
      <c r="L432" s="24"/>
      <c r="M432" s="24"/>
      <c r="N432" s="24" t="s">
        <v>1728</v>
      </c>
      <c r="O432" s="24"/>
      <c r="P432" s="25"/>
      <c r="Q432" s="25"/>
      <c r="R432" s="25"/>
      <c r="S432" s="25"/>
      <c r="T432" s="25"/>
      <c r="U432" s="25"/>
      <c r="V432" s="29" t="s">
        <v>2139</v>
      </c>
    </row>
    <row r="433" spans="1:22" ht="25.5" x14ac:dyDescent="0.25">
      <c r="A433" s="57" t="s">
        <v>1926</v>
      </c>
      <c r="B433" s="58" t="s">
        <v>2028</v>
      </c>
      <c r="G433" s="58" t="s">
        <v>1822</v>
      </c>
      <c r="K433" s="58" t="s">
        <v>2039</v>
      </c>
      <c r="L433" s="24"/>
      <c r="M433" s="24"/>
      <c r="N433" s="24" t="s">
        <v>1728</v>
      </c>
      <c r="O433" s="24"/>
      <c r="P433" s="25"/>
      <c r="Q433" s="25"/>
      <c r="R433" s="25"/>
      <c r="S433" s="25"/>
      <c r="T433" s="25"/>
      <c r="U433" s="25"/>
      <c r="V433" s="29" t="s">
        <v>2131</v>
      </c>
    </row>
    <row r="434" spans="1:22" ht="25.5" x14ac:dyDescent="0.25">
      <c r="A434" s="57" t="s">
        <v>1927</v>
      </c>
      <c r="B434" s="58" t="s">
        <v>2029</v>
      </c>
      <c r="G434" s="58" t="s">
        <v>1822</v>
      </c>
      <c r="K434" s="58" t="s">
        <v>980</v>
      </c>
      <c r="L434" s="24"/>
      <c r="M434" s="24"/>
      <c r="N434" s="24" t="s">
        <v>1728</v>
      </c>
      <c r="O434" s="24"/>
      <c r="P434" s="25"/>
      <c r="Q434" s="25"/>
      <c r="R434" s="25"/>
      <c r="S434" s="25"/>
      <c r="T434" s="25"/>
      <c r="U434" s="25"/>
      <c r="V434" s="29" t="s">
        <v>2139</v>
      </c>
    </row>
    <row r="435" spans="1:22" ht="25.5" x14ac:dyDescent="0.25">
      <c r="A435" s="57" t="s">
        <v>1928</v>
      </c>
      <c r="B435" s="58" t="s">
        <v>2030</v>
      </c>
      <c r="G435" s="58" t="s">
        <v>1822</v>
      </c>
      <c r="K435" s="58" t="s">
        <v>941</v>
      </c>
      <c r="L435" s="24"/>
      <c r="M435" s="24"/>
      <c r="N435" s="24" t="s">
        <v>1728</v>
      </c>
      <c r="O435" s="24"/>
      <c r="P435" s="25"/>
      <c r="Q435" s="25"/>
      <c r="R435" s="25"/>
      <c r="S435" s="25"/>
      <c r="T435" s="25"/>
      <c r="U435" s="25"/>
      <c r="V435" s="29" t="s">
        <v>1488</v>
      </c>
    </row>
    <row r="436" spans="1:22" ht="25.5" x14ac:dyDescent="0.25">
      <c r="A436" s="57" t="s">
        <v>1929</v>
      </c>
      <c r="B436" s="58" t="s">
        <v>1003</v>
      </c>
      <c r="G436" s="58" t="s">
        <v>1821</v>
      </c>
      <c r="K436" s="58" t="s">
        <v>1004</v>
      </c>
      <c r="L436" s="24"/>
      <c r="M436" s="24"/>
      <c r="N436" s="24" t="s">
        <v>1728</v>
      </c>
      <c r="O436" s="24"/>
      <c r="P436" s="25"/>
      <c r="Q436" s="25"/>
      <c r="R436" s="25"/>
      <c r="S436" s="25"/>
      <c r="T436" s="25"/>
      <c r="U436" s="25"/>
      <c r="V436" s="29" t="s">
        <v>2131</v>
      </c>
    </row>
    <row r="437" spans="1:22" ht="25.5" x14ac:dyDescent="0.25">
      <c r="A437" s="57" t="s">
        <v>1930</v>
      </c>
      <c r="B437" s="58" t="s">
        <v>358</v>
      </c>
      <c r="G437" s="58" t="s">
        <v>1821</v>
      </c>
      <c r="K437" s="58" t="s">
        <v>1635</v>
      </c>
      <c r="L437" s="24"/>
      <c r="M437" s="24"/>
      <c r="N437" s="24" t="s">
        <v>1707</v>
      </c>
      <c r="O437" s="24"/>
      <c r="P437" s="25"/>
      <c r="Q437" s="25"/>
      <c r="R437" s="25"/>
      <c r="S437" s="25"/>
      <c r="T437" s="25"/>
      <c r="U437" s="25"/>
      <c r="V437" s="29"/>
    </row>
    <row r="438" spans="1:22" ht="25.5" x14ac:dyDescent="0.25">
      <c r="A438" s="57" t="s">
        <v>1931</v>
      </c>
      <c r="B438" s="58" t="s">
        <v>1003</v>
      </c>
      <c r="G438" s="58" t="s">
        <v>1821</v>
      </c>
      <c r="K438" s="58" t="s">
        <v>1635</v>
      </c>
      <c r="L438" s="24"/>
      <c r="M438" s="24"/>
      <c r="N438" s="24" t="s">
        <v>1707</v>
      </c>
      <c r="O438" s="24" t="s">
        <v>2190</v>
      </c>
      <c r="P438" s="25"/>
      <c r="Q438" s="25"/>
      <c r="R438" s="25"/>
      <c r="S438" s="25"/>
      <c r="T438" s="25"/>
      <c r="U438" s="25"/>
      <c r="V438" s="29" t="s">
        <v>2179</v>
      </c>
    </row>
    <row r="439" spans="1:22" ht="25.5" x14ac:dyDescent="0.25">
      <c r="A439" s="57" t="s">
        <v>1932</v>
      </c>
      <c r="B439" s="58" t="s">
        <v>1003</v>
      </c>
      <c r="G439" s="58" t="s">
        <v>2031</v>
      </c>
      <c r="K439" s="58" t="s">
        <v>1635</v>
      </c>
      <c r="L439" s="24"/>
      <c r="M439" s="24"/>
      <c r="N439" s="24" t="s">
        <v>1707</v>
      </c>
      <c r="O439" s="24" t="s">
        <v>2190</v>
      </c>
      <c r="P439" s="25"/>
      <c r="Q439" s="25"/>
      <c r="R439" s="25"/>
      <c r="S439" s="25"/>
      <c r="T439" s="25"/>
      <c r="U439" s="25"/>
      <c r="V439" s="29" t="s">
        <v>2179</v>
      </c>
    </row>
    <row r="440" spans="1:22" ht="25.5" x14ac:dyDescent="0.25">
      <c r="A440" s="57" t="s">
        <v>1933</v>
      </c>
      <c r="B440" s="58" t="s">
        <v>1003</v>
      </c>
      <c r="G440" s="58" t="s">
        <v>189</v>
      </c>
      <c r="K440" s="58" t="s">
        <v>1635</v>
      </c>
      <c r="L440" s="24"/>
      <c r="M440" s="24"/>
      <c r="N440" s="24" t="s">
        <v>1707</v>
      </c>
      <c r="O440" s="24" t="s">
        <v>2190</v>
      </c>
      <c r="P440" s="25"/>
      <c r="Q440" s="25"/>
      <c r="R440" s="25"/>
      <c r="S440" s="25"/>
      <c r="T440" s="25"/>
      <c r="U440" s="25"/>
      <c r="V440" s="29"/>
    </row>
    <row r="441" spans="1:22" x14ac:dyDescent="0.25">
      <c r="A441" s="57" t="s">
        <v>1934</v>
      </c>
      <c r="B441" s="58" t="s">
        <v>358</v>
      </c>
      <c r="G441" s="58" t="s">
        <v>1821</v>
      </c>
      <c r="K441" s="58" t="s">
        <v>929</v>
      </c>
      <c r="L441" s="24"/>
      <c r="M441" s="24"/>
      <c r="N441" s="24" t="s">
        <v>1707</v>
      </c>
      <c r="O441" s="24" t="s">
        <v>2190</v>
      </c>
      <c r="P441" s="25"/>
      <c r="Q441" s="25"/>
      <c r="R441" s="25"/>
      <c r="S441" s="25"/>
      <c r="T441" s="25"/>
      <c r="U441" s="25"/>
      <c r="V441" s="29" t="s">
        <v>2179</v>
      </c>
    </row>
    <row r="442" spans="1:22" x14ac:dyDescent="0.25">
      <c r="A442" s="57" t="s">
        <v>1935</v>
      </c>
      <c r="B442" s="58" t="s">
        <v>358</v>
      </c>
      <c r="G442" s="58" t="s">
        <v>188</v>
      </c>
      <c r="K442" s="58" t="s">
        <v>929</v>
      </c>
      <c r="L442" s="24"/>
      <c r="M442" s="24"/>
      <c r="N442" s="24" t="s">
        <v>1707</v>
      </c>
      <c r="O442" s="24" t="s">
        <v>2190</v>
      </c>
      <c r="P442" s="25"/>
      <c r="Q442" s="25"/>
      <c r="R442" s="25"/>
      <c r="S442" s="25"/>
      <c r="T442" s="25"/>
      <c r="U442" s="25"/>
      <c r="V442" s="29"/>
    </row>
    <row r="443" spans="1:22" ht="25.5" x14ac:dyDescent="0.25">
      <c r="A443" s="57" t="s">
        <v>1936</v>
      </c>
      <c r="B443" s="58" t="s">
        <v>358</v>
      </c>
      <c r="G443" s="58" t="s">
        <v>2031</v>
      </c>
      <c r="K443" s="58" t="s">
        <v>1635</v>
      </c>
      <c r="L443" s="24"/>
      <c r="M443" s="24"/>
      <c r="N443" s="24" t="s">
        <v>1707</v>
      </c>
      <c r="O443" s="24" t="s">
        <v>2190</v>
      </c>
      <c r="P443" s="25"/>
      <c r="Q443" s="25"/>
      <c r="R443" s="25"/>
      <c r="S443" s="25"/>
      <c r="T443" s="25"/>
      <c r="U443" s="25"/>
      <c r="V443" s="29" t="s">
        <v>2179</v>
      </c>
    </row>
    <row r="444" spans="1:22" ht="33.75" x14ac:dyDescent="0.25">
      <c r="A444" s="57" t="s">
        <v>2040</v>
      </c>
      <c r="B444" s="58" t="s">
        <v>2093</v>
      </c>
      <c r="G444" s="58" t="s">
        <v>188</v>
      </c>
      <c r="K444" s="58" t="s">
        <v>764</v>
      </c>
      <c r="L444" s="24"/>
      <c r="M444" s="62" t="s">
        <v>2148</v>
      </c>
      <c r="N444" s="24" t="s">
        <v>1707</v>
      </c>
      <c r="O444" s="24" t="s">
        <v>2190</v>
      </c>
      <c r="P444" s="25"/>
      <c r="Q444" s="25"/>
      <c r="R444" s="25"/>
      <c r="S444" s="25"/>
      <c r="T444" s="25"/>
      <c r="U444" s="25"/>
      <c r="V444" s="29"/>
    </row>
    <row r="445" spans="1:22" ht="33.75" x14ac:dyDescent="0.25">
      <c r="A445" s="57" t="s">
        <v>2041</v>
      </c>
      <c r="B445" s="58" t="s">
        <v>2094</v>
      </c>
      <c r="G445" s="58" t="s">
        <v>188</v>
      </c>
      <c r="K445" s="58" t="s">
        <v>764</v>
      </c>
      <c r="L445" s="24"/>
      <c r="M445" s="62" t="s">
        <v>2148</v>
      </c>
      <c r="N445" s="24" t="s">
        <v>1707</v>
      </c>
      <c r="O445" s="24"/>
      <c r="P445" s="25"/>
      <c r="Q445" s="25"/>
      <c r="R445" s="25"/>
      <c r="S445" s="25"/>
      <c r="T445" s="25"/>
      <c r="U445" s="25"/>
      <c r="V445" s="29"/>
    </row>
    <row r="446" spans="1:22" ht="33.75" x14ac:dyDescent="0.25">
      <c r="A446" s="57" t="s">
        <v>2042</v>
      </c>
      <c r="B446" s="58" t="s">
        <v>2095</v>
      </c>
      <c r="G446" s="58" t="s">
        <v>188</v>
      </c>
      <c r="K446" s="58" t="s">
        <v>764</v>
      </c>
      <c r="L446" s="24"/>
      <c r="M446" s="62" t="s">
        <v>2148</v>
      </c>
      <c r="N446" s="24" t="s">
        <v>1707</v>
      </c>
      <c r="O446" s="24"/>
      <c r="P446" s="25"/>
      <c r="Q446" s="25"/>
      <c r="R446" s="25"/>
      <c r="S446" s="25"/>
      <c r="T446" s="25"/>
      <c r="U446" s="25"/>
      <c r="V446" s="29"/>
    </row>
    <row r="447" spans="1:22" ht="33.75" x14ac:dyDescent="0.25">
      <c r="A447" s="57" t="s">
        <v>2043</v>
      </c>
      <c r="B447" s="58" t="s">
        <v>2096</v>
      </c>
      <c r="G447" s="58" t="s">
        <v>188</v>
      </c>
      <c r="K447" s="58" t="s">
        <v>764</v>
      </c>
      <c r="L447" s="24"/>
      <c r="M447" s="62" t="s">
        <v>2148</v>
      </c>
      <c r="N447" s="24" t="s">
        <v>1707</v>
      </c>
      <c r="O447" s="24"/>
      <c r="P447" s="25"/>
      <c r="Q447" s="25"/>
      <c r="R447" s="25"/>
      <c r="S447" s="25"/>
      <c r="T447" s="25"/>
      <c r="U447" s="25"/>
      <c r="V447" s="29"/>
    </row>
    <row r="448" spans="1:22" ht="25.5" x14ac:dyDescent="0.25">
      <c r="A448" s="59" t="s">
        <v>2044</v>
      </c>
      <c r="B448" s="60" t="s">
        <v>358</v>
      </c>
      <c r="C448" s="61"/>
      <c r="D448" s="61"/>
      <c r="E448" s="61"/>
      <c r="F448" s="61"/>
      <c r="G448" s="60" t="s">
        <v>1178</v>
      </c>
      <c r="H448" s="61"/>
      <c r="I448" s="61"/>
      <c r="J448" s="61"/>
      <c r="K448" s="60" t="s">
        <v>2121</v>
      </c>
      <c r="L448" s="24"/>
      <c r="M448" s="24"/>
      <c r="N448" s="24" t="s">
        <v>1728</v>
      </c>
      <c r="O448" s="24" t="s">
        <v>2190</v>
      </c>
      <c r="P448" s="25"/>
      <c r="Q448" s="25"/>
      <c r="R448" s="25"/>
      <c r="S448" s="25"/>
      <c r="T448" s="25"/>
      <c r="U448" s="25"/>
      <c r="V448" s="29" t="s">
        <v>2204</v>
      </c>
    </row>
    <row r="449" spans="1:22" ht="25.5" x14ac:dyDescent="0.25">
      <c r="A449" s="57" t="s">
        <v>2045</v>
      </c>
      <c r="B449" s="58" t="s">
        <v>1145</v>
      </c>
      <c r="G449" s="58" t="s">
        <v>513</v>
      </c>
      <c r="K449" s="58" t="s">
        <v>636</v>
      </c>
      <c r="L449" s="24"/>
      <c r="M449" s="24"/>
      <c r="N449" s="24" t="s">
        <v>1728</v>
      </c>
      <c r="O449" s="24"/>
      <c r="P449" s="25"/>
      <c r="Q449" s="25"/>
      <c r="R449" s="25"/>
      <c r="S449" s="25"/>
      <c r="T449" s="25"/>
      <c r="U449" s="25"/>
      <c r="V449" s="29" t="s">
        <v>2156</v>
      </c>
    </row>
    <row r="450" spans="1:22" ht="25.5" x14ac:dyDescent="0.25">
      <c r="A450" s="57" t="s">
        <v>2046</v>
      </c>
      <c r="B450" s="58" t="s">
        <v>2097</v>
      </c>
      <c r="G450" s="58" t="s">
        <v>513</v>
      </c>
      <c r="K450" s="58" t="s">
        <v>636</v>
      </c>
      <c r="L450" s="24"/>
      <c r="M450" s="24" t="s">
        <v>2157</v>
      </c>
      <c r="N450" s="24" t="s">
        <v>1707</v>
      </c>
      <c r="O450" s="24"/>
      <c r="P450" s="25"/>
      <c r="Q450" s="25"/>
      <c r="R450" s="25"/>
      <c r="S450" s="25"/>
      <c r="T450" s="25"/>
      <c r="U450" s="25"/>
      <c r="V450" s="29"/>
    </row>
    <row r="451" spans="1:22" x14ac:dyDescent="0.25">
      <c r="A451" s="57" t="s">
        <v>2047</v>
      </c>
      <c r="B451" s="58" t="s">
        <v>2098</v>
      </c>
      <c r="G451" s="58" t="s">
        <v>1821</v>
      </c>
      <c r="K451" s="58" t="s">
        <v>2122</v>
      </c>
      <c r="L451" s="24"/>
      <c r="M451" s="24"/>
      <c r="N451" s="24" t="s">
        <v>1728</v>
      </c>
      <c r="O451" s="24"/>
      <c r="P451" s="25"/>
      <c r="Q451" s="25"/>
      <c r="R451" s="25"/>
      <c r="S451" s="25"/>
      <c r="T451" s="25"/>
      <c r="U451" s="25"/>
      <c r="V451" s="29" t="s">
        <v>2139</v>
      </c>
    </row>
    <row r="452" spans="1:22" ht="25.5" x14ac:dyDescent="0.25">
      <c r="A452" s="57" t="s">
        <v>2048</v>
      </c>
      <c r="B452" s="58" t="s">
        <v>2099</v>
      </c>
      <c r="G452" s="58" t="s">
        <v>188</v>
      </c>
      <c r="K452" s="58" t="s">
        <v>2121</v>
      </c>
      <c r="L452" s="24"/>
      <c r="M452" s="24" t="s">
        <v>2163</v>
      </c>
      <c r="N452" s="24" t="s">
        <v>1707</v>
      </c>
      <c r="O452" s="24" t="s">
        <v>2190</v>
      </c>
      <c r="P452" s="25"/>
      <c r="Q452" s="25"/>
      <c r="R452" s="25"/>
      <c r="S452" s="25"/>
      <c r="T452" s="25"/>
      <c r="U452" s="25"/>
      <c r="V452" s="29"/>
    </row>
    <row r="453" spans="1:22" ht="25.5" x14ac:dyDescent="0.25">
      <c r="A453" s="57" t="s">
        <v>2049</v>
      </c>
      <c r="B453" s="58" t="s">
        <v>1003</v>
      </c>
      <c r="G453" s="58" t="s">
        <v>188</v>
      </c>
      <c r="K453" s="58" t="s">
        <v>2121</v>
      </c>
      <c r="L453" s="24"/>
      <c r="M453" s="24" t="s">
        <v>2163</v>
      </c>
      <c r="N453" s="24" t="s">
        <v>1707</v>
      </c>
      <c r="O453" s="24" t="s">
        <v>2190</v>
      </c>
      <c r="P453" s="25"/>
      <c r="Q453" s="25"/>
      <c r="R453" s="25"/>
      <c r="S453" s="25"/>
      <c r="T453" s="25"/>
      <c r="U453" s="25"/>
      <c r="V453" s="29"/>
    </row>
    <row r="454" spans="1:22" ht="25.5" x14ac:dyDescent="0.25">
      <c r="A454" s="57" t="s">
        <v>2050</v>
      </c>
      <c r="B454" s="58" t="s">
        <v>2100</v>
      </c>
      <c r="G454" s="58" t="s">
        <v>1178</v>
      </c>
      <c r="K454" s="58" t="s">
        <v>2034</v>
      </c>
      <c r="L454" s="24"/>
      <c r="M454" s="24" t="s">
        <v>2163</v>
      </c>
      <c r="N454" s="24" t="s">
        <v>1728</v>
      </c>
      <c r="O454" s="24"/>
      <c r="P454" s="25"/>
      <c r="Q454" s="25"/>
      <c r="R454" s="25"/>
      <c r="S454" s="25"/>
      <c r="T454" s="25"/>
      <c r="U454" s="25"/>
      <c r="V454" s="29" t="s">
        <v>2158</v>
      </c>
    </row>
    <row r="455" spans="1:22" ht="25.5" x14ac:dyDescent="0.25">
      <c r="A455" s="57" t="s">
        <v>2051</v>
      </c>
      <c r="B455" s="58" t="s">
        <v>2101</v>
      </c>
      <c r="G455" s="58" t="s">
        <v>189</v>
      </c>
      <c r="K455" s="58" t="s">
        <v>2034</v>
      </c>
      <c r="L455" s="24"/>
      <c r="M455" s="24"/>
      <c r="N455" s="24" t="s">
        <v>1707</v>
      </c>
      <c r="O455" s="24" t="s">
        <v>2190</v>
      </c>
      <c r="P455" s="25"/>
      <c r="Q455" s="25"/>
      <c r="R455" s="25"/>
      <c r="S455" s="25"/>
      <c r="T455" s="25"/>
      <c r="U455" s="25"/>
      <c r="V455" s="29" t="s">
        <v>348</v>
      </c>
    </row>
    <row r="456" spans="1:22" ht="25.5" x14ac:dyDescent="0.25">
      <c r="A456" s="57" t="s">
        <v>2052</v>
      </c>
      <c r="B456" s="58" t="s">
        <v>2102</v>
      </c>
      <c r="G456" s="58" t="s">
        <v>1821</v>
      </c>
      <c r="K456" s="58" t="s">
        <v>2034</v>
      </c>
      <c r="L456" s="24"/>
      <c r="M456" s="24" t="s">
        <v>2163</v>
      </c>
      <c r="N456" s="24" t="s">
        <v>1707</v>
      </c>
      <c r="O456" s="24" t="s">
        <v>2190</v>
      </c>
      <c r="P456" s="25"/>
      <c r="Q456" s="25"/>
      <c r="R456" s="25"/>
      <c r="S456" s="25"/>
      <c r="T456" s="25"/>
      <c r="U456" s="25"/>
      <c r="V456" s="29" t="s">
        <v>2191</v>
      </c>
    </row>
    <row r="457" spans="1:22" ht="25.5" x14ac:dyDescent="0.25">
      <c r="A457" s="57" t="s">
        <v>2053</v>
      </c>
      <c r="B457" s="58" t="s">
        <v>2103</v>
      </c>
      <c r="G457" s="58" t="s">
        <v>189</v>
      </c>
      <c r="K457" s="58" t="s">
        <v>2034</v>
      </c>
      <c r="L457" s="24"/>
      <c r="M457" s="24" t="s">
        <v>2163</v>
      </c>
      <c r="N457" s="24" t="s">
        <v>1707</v>
      </c>
      <c r="O457" s="24" t="s">
        <v>2190</v>
      </c>
      <c r="P457" s="25"/>
      <c r="Q457" s="25"/>
      <c r="R457" s="25"/>
      <c r="S457" s="25"/>
      <c r="T457" s="25"/>
      <c r="U457" s="25"/>
      <c r="V457" s="29"/>
    </row>
    <row r="458" spans="1:22" ht="25.5" x14ac:dyDescent="0.25">
      <c r="A458" s="57" t="s">
        <v>2054</v>
      </c>
      <c r="B458" s="58" t="s">
        <v>1790</v>
      </c>
      <c r="G458" s="58" t="s">
        <v>188</v>
      </c>
      <c r="K458" s="58" t="s">
        <v>1811</v>
      </c>
      <c r="L458" s="24"/>
      <c r="M458" s="24"/>
      <c r="N458" s="52" t="s">
        <v>2182</v>
      </c>
      <c r="O458" s="24"/>
      <c r="P458" s="25"/>
      <c r="Q458" s="25"/>
      <c r="R458" s="25"/>
      <c r="S458" s="25"/>
      <c r="T458" s="25"/>
      <c r="U458" s="25"/>
      <c r="V458" s="29"/>
    </row>
    <row r="459" spans="1:22" ht="25.5" x14ac:dyDescent="0.25">
      <c r="A459" s="57" t="s">
        <v>2055</v>
      </c>
      <c r="B459" s="58" t="s">
        <v>1790</v>
      </c>
      <c r="G459" s="58" t="s">
        <v>188</v>
      </c>
      <c r="K459" s="58" t="s">
        <v>1811</v>
      </c>
      <c r="L459" s="24"/>
      <c r="M459" s="24"/>
      <c r="N459" s="52" t="s">
        <v>2182</v>
      </c>
      <c r="O459" s="24"/>
      <c r="P459" s="25"/>
      <c r="Q459" s="25"/>
      <c r="R459" s="25"/>
      <c r="S459" s="25"/>
      <c r="T459" s="25"/>
      <c r="U459" s="25"/>
      <c r="V459" s="29"/>
    </row>
    <row r="460" spans="1:22" ht="45" x14ac:dyDescent="0.25">
      <c r="A460" s="57" t="s">
        <v>2056</v>
      </c>
      <c r="B460" s="58" t="s">
        <v>2104</v>
      </c>
      <c r="G460" s="58" t="s">
        <v>1178</v>
      </c>
      <c r="K460" s="58" t="s">
        <v>2123</v>
      </c>
      <c r="L460" s="24"/>
      <c r="M460" s="24" t="s">
        <v>2164</v>
      </c>
      <c r="N460" s="24" t="s">
        <v>1707</v>
      </c>
      <c r="O460" s="24"/>
      <c r="P460" s="25"/>
      <c r="Q460" s="25"/>
      <c r="R460" s="25"/>
      <c r="S460" s="25"/>
      <c r="T460" s="25"/>
      <c r="U460" s="25"/>
      <c r="V460" s="29"/>
    </row>
    <row r="461" spans="1:22" ht="25.5" x14ac:dyDescent="0.25">
      <c r="A461" s="57" t="s">
        <v>2057</v>
      </c>
      <c r="B461" s="58" t="s">
        <v>1003</v>
      </c>
      <c r="G461" s="58" t="s">
        <v>188</v>
      </c>
      <c r="K461" s="58" t="s">
        <v>1811</v>
      </c>
      <c r="L461" s="24"/>
      <c r="M461" s="24"/>
      <c r="N461" s="52" t="s">
        <v>2182</v>
      </c>
      <c r="O461" s="24"/>
      <c r="P461" s="25"/>
      <c r="Q461" s="25"/>
      <c r="R461" s="25"/>
      <c r="S461" s="25"/>
      <c r="T461" s="25"/>
      <c r="U461" s="25"/>
      <c r="V461" s="29"/>
    </row>
    <row r="462" spans="1:22" ht="25.5" x14ac:dyDescent="0.25">
      <c r="A462" s="57" t="s">
        <v>2058</v>
      </c>
      <c r="B462" s="58" t="s">
        <v>2105</v>
      </c>
      <c r="G462" s="58" t="s">
        <v>513</v>
      </c>
      <c r="K462" s="58" t="s">
        <v>2124</v>
      </c>
      <c r="L462" s="24"/>
      <c r="M462" s="24"/>
      <c r="N462" s="24" t="s">
        <v>1707</v>
      </c>
      <c r="O462" s="24" t="s">
        <v>2190</v>
      </c>
      <c r="P462" s="25"/>
      <c r="Q462" s="25"/>
      <c r="R462" s="25"/>
      <c r="S462" s="25"/>
      <c r="T462" s="25"/>
      <c r="U462" s="25"/>
      <c r="V462" s="29" t="s">
        <v>2179</v>
      </c>
    </row>
    <row r="463" spans="1:22" ht="25.5" x14ac:dyDescent="0.25">
      <c r="A463" s="57" t="s">
        <v>2059</v>
      </c>
      <c r="B463" s="58" t="s">
        <v>1003</v>
      </c>
      <c r="G463" s="58" t="s">
        <v>188</v>
      </c>
      <c r="K463" s="58" t="s">
        <v>1811</v>
      </c>
      <c r="L463" s="24"/>
      <c r="M463" s="24"/>
      <c r="N463" s="52" t="s">
        <v>2182</v>
      </c>
      <c r="O463" s="24"/>
      <c r="P463" s="25"/>
      <c r="Q463" s="25"/>
      <c r="R463" s="25"/>
      <c r="S463" s="25"/>
      <c r="T463" s="25"/>
      <c r="U463" s="25"/>
      <c r="V463" s="29"/>
    </row>
    <row r="464" spans="1:22" ht="25.5" x14ac:dyDescent="0.25">
      <c r="A464" s="57" t="s">
        <v>2060</v>
      </c>
      <c r="B464" s="58" t="s">
        <v>1790</v>
      </c>
      <c r="G464" s="58" t="s">
        <v>188</v>
      </c>
      <c r="K464" s="58" t="s">
        <v>1811</v>
      </c>
      <c r="L464" s="24"/>
      <c r="M464" s="24"/>
      <c r="N464" s="52" t="s">
        <v>2182</v>
      </c>
      <c r="O464" s="24"/>
      <c r="P464" s="25"/>
      <c r="Q464" s="25"/>
      <c r="R464" s="25"/>
      <c r="S464" s="25"/>
      <c r="T464" s="25"/>
      <c r="U464" s="25"/>
      <c r="V464" s="29"/>
    </row>
    <row r="465" spans="1:22" ht="25.5" x14ac:dyDescent="0.25">
      <c r="A465" s="57" t="s">
        <v>2061</v>
      </c>
      <c r="B465" s="58" t="s">
        <v>1790</v>
      </c>
      <c r="G465" s="58" t="s">
        <v>188</v>
      </c>
      <c r="K465" s="58" t="s">
        <v>1811</v>
      </c>
      <c r="L465" s="24"/>
      <c r="M465" s="24"/>
      <c r="N465" s="52" t="s">
        <v>2182</v>
      </c>
      <c r="O465" s="24"/>
      <c r="P465" s="25"/>
      <c r="Q465" s="25"/>
      <c r="R465" s="25"/>
      <c r="S465" s="25"/>
      <c r="T465" s="25"/>
      <c r="U465" s="25"/>
      <c r="V465" s="29"/>
    </row>
    <row r="466" spans="1:22" ht="25.5" x14ac:dyDescent="0.25">
      <c r="A466" s="57" t="s">
        <v>2062</v>
      </c>
      <c r="B466" s="58" t="s">
        <v>358</v>
      </c>
      <c r="G466" s="58" t="s">
        <v>188</v>
      </c>
      <c r="K466" s="58" t="s">
        <v>2125</v>
      </c>
      <c r="L466" s="24"/>
      <c r="M466" s="24"/>
      <c r="N466" s="52" t="s">
        <v>2182</v>
      </c>
      <c r="O466" s="24"/>
      <c r="P466" s="25"/>
      <c r="Q466" s="25"/>
      <c r="R466" s="25"/>
      <c r="S466" s="25"/>
      <c r="T466" s="25"/>
      <c r="U466" s="25"/>
      <c r="V466" s="29"/>
    </row>
    <row r="467" spans="1:22" ht="76.5" x14ac:dyDescent="0.25">
      <c r="A467" s="57" t="s">
        <v>2063</v>
      </c>
      <c r="B467" s="58" t="s">
        <v>1242</v>
      </c>
      <c r="G467" s="58" t="s">
        <v>189</v>
      </c>
      <c r="K467" s="58" t="s">
        <v>594</v>
      </c>
      <c r="L467" s="24"/>
      <c r="M467" s="24"/>
      <c r="N467" s="24" t="s">
        <v>1728</v>
      </c>
      <c r="O467" s="24"/>
      <c r="P467" s="25"/>
      <c r="Q467" s="25"/>
      <c r="R467" s="25"/>
      <c r="S467" s="25"/>
      <c r="T467" s="25"/>
      <c r="U467" s="25">
        <v>42383</v>
      </c>
      <c r="V467" s="29" t="s">
        <v>2165</v>
      </c>
    </row>
    <row r="468" spans="1:22" ht="38.25" x14ac:dyDescent="0.25">
      <c r="A468" s="57" t="s">
        <v>2064</v>
      </c>
      <c r="B468" s="58" t="s">
        <v>2106</v>
      </c>
      <c r="G468" s="58" t="s">
        <v>513</v>
      </c>
      <c r="K468" s="58" t="s">
        <v>594</v>
      </c>
      <c r="L468" s="24"/>
      <c r="M468" s="24"/>
      <c r="N468" s="24" t="s">
        <v>1728</v>
      </c>
      <c r="O468" s="24"/>
      <c r="P468" s="25"/>
      <c r="Q468" s="25"/>
      <c r="R468" s="25"/>
      <c r="S468" s="25"/>
      <c r="T468" s="25"/>
      <c r="U468" s="25"/>
      <c r="V468" s="29" t="s">
        <v>2165</v>
      </c>
    </row>
    <row r="469" spans="1:22" ht="25.5" x14ac:dyDescent="0.25">
      <c r="A469" s="57" t="s">
        <v>2065</v>
      </c>
      <c r="B469" s="58" t="s">
        <v>1003</v>
      </c>
      <c r="G469" s="58" t="s">
        <v>188</v>
      </c>
      <c r="K469" s="58" t="s">
        <v>1811</v>
      </c>
      <c r="L469" s="24"/>
      <c r="M469" s="24"/>
      <c r="N469" s="52" t="s">
        <v>2182</v>
      </c>
      <c r="O469" s="24"/>
      <c r="P469" s="25"/>
      <c r="Q469" s="25"/>
      <c r="R469" s="25"/>
      <c r="S469" s="25"/>
      <c r="T469" s="25"/>
      <c r="U469" s="25"/>
      <c r="V469" s="29"/>
    </row>
    <row r="470" spans="1:22" ht="25.5" x14ac:dyDescent="0.25">
      <c r="A470" s="57" t="s">
        <v>2066</v>
      </c>
      <c r="B470" s="58" t="s">
        <v>2107</v>
      </c>
      <c r="G470" s="58" t="s">
        <v>188</v>
      </c>
      <c r="K470" s="58" t="s">
        <v>569</v>
      </c>
      <c r="L470" s="24"/>
      <c r="M470" s="24"/>
      <c r="N470" s="24"/>
      <c r="O470" s="24" t="s">
        <v>2190</v>
      </c>
      <c r="P470" s="25"/>
      <c r="Q470" s="25"/>
      <c r="R470" s="25"/>
      <c r="S470" s="25"/>
      <c r="T470" s="25"/>
      <c r="U470" s="25">
        <v>42383</v>
      </c>
      <c r="V470" s="29"/>
    </row>
    <row r="471" spans="1:22" x14ac:dyDescent="0.25">
      <c r="A471" s="57" t="s">
        <v>2067</v>
      </c>
      <c r="B471" s="58" t="s">
        <v>358</v>
      </c>
      <c r="G471" s="58" t="s">
        <v>1821</v>
      </c>
      <c r="K471" s="58" t="s">
        <v>929</v>
      </c>
      <c r="L471" s="24"/>
      <c r="M471" s="24"/>
      <c r="N471" s="24" t="s">
        <v>1707</v>
      </c>
      <c r="O471" s="24" t="s">
        <v>2190</v>
      </c>
      <c r="P471" s="25"/>
      <c r="Q471" s="25"/>
      <c r="R471" s="25"/>
      <c r="S471" s="25"/>
      <c r="T471" s="25"/>
      <c r="U471" s="25"/>
      <c r="V471" s="29" t="s">
        <v>2179</v>
      </c>
    </row>
    <row r="472" spans="1:22" x14ac:dyDescent="0.25">
      <c r="A472" s="57" t="s">
        <v>2068</v>
      </c>
      <c r="B472" s="58" t="s">
        <v>358</v>
      </c>
      <c r="G472" s="58" t="s">
        <v>188</v>
      </c>
      <c r="K472" s="58" t="s">
        <v>1351</v>
      </c>
      <c r="L472" s="24"/>
      <c r="M472" s="24" t="s">
        <v>2166</v>
      </c>
      <c r="N472" s="24" t="s">
        <v>1707</v>
      </c>
      <c r="O472" s="24" t="s">
        <v>2190</v>
      </c>
      <c r="P472" s="25"/>
      <c r="Q472" s="25"/>
      <c r="R472" s="25"/>
      <c r="S472" s="25"/>
      <c r="T472" s="25"/>
      <c r="U472" s="25"/>
      <c r="V472" s="29"/>
    </row>
    <row r="473" spans="1:22" x14ac:dyDescent="0.25">
      <c r="A473" s="57" t="s">
        <v>2069</v>
      </c>
      <c r="B473" s="58" t="s">
        <v>2108</v>
      </c>
      <c r="G473" s="58" t="s">
        <v>188</v>
      </c>
      <c r="K473" s="58" t="s">
        <v>1351</v>
      </c>
      <c r="L473" s="24"/>
      <c r="M473" s="24" t="s">
        <v>2166</v>
      </c>
      <c r="N473" s="24" t="s">
        <v>1707</v>
      </c>
      <c r="O473" s="24" t="s">
        <v>2190</v>
      </c>
      <c r="P473" s="25"/>
      <c r="Q473" s="25"/>
      <c r="R473" s="25"/>
      <c r="S473" s="25"/>
      <c r="T473" s="25"/>
      <c r="U473" s="25"/>
      <c r="V473" s="29"/>
    </row>
    <row r="474" spans="1:22" ht="25.5" x14ac:dyDescent="0.25">
      <c r="A474" s="57" t="s">
        <v>2070</v>
      </c>
      <c r="B474" s="58" t="s">
        <v>2109</v>
      </c>
      <c r="G474" s="58" t="s">
        <v>1821</v>
      </c>
      <c r="K474" s="58" t="s">
        <v>1819</v>
      </c>
      <c r="L474" s="24"/>
      <c r="M474" s="24" t="s">
        <v>2166</v>
      </c>
      <c r="N474" s="24" t="s">
        <v>1707</v>
      </c>
      <c r="O474" s="24"/>
      <c r="P474" s="25"/>
      <c r="Q474" s="25"/>
      <c r="R474" s="25"/>
      <c r="S474" s="25"/>
      <c r="T474" s="25"/>
      <c r="U474" s="25"/>
      <c r="V474" s="29"/>
    </row>
    <row r="475" spans="1:22" x14ac:dyDescent="0.25">
      <c r="A475" s="57" t="s">
        <v>2071</v>
      </c>
      <c r="B475" s="58" t="s">
        <v>358</v>
      </c>
      <c r="G475" s="58" t="s">
        <v>188</v>
      </c>
      <c r="K475" s="58" t="s">
        <v>2126</v>
      </c>
      <c r="L475" s="24"/>
      <c r="M475" s="24" t="s">
        <v>2166</v>
      </c>
      <c r="N475" s="24" t="s">
        <v>1707</v>
      </c>
      <c r="O475" s="24" t="s">
        <v>2190</v>
      </c>
      <c r="P475" s="25"/>
      <c r="Q475" s="25"/>
      <c r="R475" s="25"/>
      <c r="S475" s="25"/>
      <c r="T475" s="25"/>
      <c r="U475" s="25"/>
      <c r="V475" s="29"/>
    </row>
    <row r="476" spans="1:22" ht="25.5" x14ac:dyDescent="0.25">
      <c r="A476" s="57" t="s">
        <v>2072</v>
      </c>
      <c r="B476" s="58" t="s">
        <v>2110</v>
      </c>
      <c r="G476" s="58" t="s">
        <v>1821</v>
      </c>
      <c r="K476" s="58" t="s">
        <v>2127</v>
      </c>
      <c r="L476" s="24"/>
      <c r="M476" s="24" t="s">
        <v>2166</v>
      </c>
      <c r="N476" s="24" t="s">
        <v>1707</v>
      </c>
      <c r="O476" s="24" t="s">
        <v>2190</v>
      </c>
      <c r="P476" s="25"/>
      <c r="Q476" s="25"/>
      <c r="R476" s="25"/>
      <c r="S476" s="25"/>
      <c r="T476" s="25"/>
      <c r="U476" s="25"/>
      <c r="V476" s="29" t="s">
        <v>2194</v>
      </c>
    </row>
    <row r="477" spans="1:22" x14ac:dyDescent="0.25">
      <c r="A477" s="57" t="s">
        <v>2073</v>
      </c>
      <c r="B477" s="58" t="s">
        <v>2111</v>
      </c>
      <c r="G477" s="58" t="s">
        <v>189</v>
      </c>
      <c r="K477" s="58" t="s">
        <v>605</v>
      </c>
      <c r="L477" s="24"/>
      <c r="M477" s="24" t="s">
        <v>2166</v>
      </c>
      <c r="N477" s="24" t="s">
        <v>1707</v>
      </c>
      <c r="O477" s="24"/>
      <c r="P477" s="25"/>
      <c r="Q477" s="25"/>
      <c r="R477" s="25"/>
      <c r="S477" s="25"/>
      <c r="T477" s="25"/>
      <c r="U477" s="25">
        <v>42383</v>
      </c>
      <c r="V477" s="29"/>
    </row>
    <row r="478" spans="1:22" ht="67.5" x14ac:dyDescent="0.25">
      <c r="A478" s="57" t="s">
        <v>2074</v>
      </c>
      <c r="B478" s="58" t="s">
        <v>358</v>
      </c>
      <c r="G478" s="58" t="s">
        <v>188</v>
      </c>
      <c r="K478" s="58" t="s">
        <v>2128</v>
      </c>
      <c r="L478" s="24"/>
      <c r="M478" s="24" t="s">
        <v>2166</v>
      </c>
      <c r="N478" s="24"/>
      <c r="O478" s="24"/>
      <c r="P478" s="25"/>
      <c r="Q478" s="25"/>
      <c r="R478" s="25"/>
      <c r="S478" s="25"/>
      <c r="T478" s="25"/>
      <c r="U478" s="25">
        <v>42383</v>
      </c>
      <c r="V478" s="29" t="s">
        <v>2167</v>
      </c>
    </row>
    <row r="479" spans="1:22" ht="25.5" x14ac:dyDescent="0.25">
      <c r="A479" s="57" t="s">
        <v>2075</v>
      </c>
      <c r="B479" s="58" t="s">
        <v>358</v>
      </c>
      <c r="G479" s="58" t="s">
        <v>188</v>
      </c>
      <c r="K479" s="58" t="s">
        <v>657</v>
      </c>
      <c r="L479" s="24"/>
      <c r="M479" s="24" t="s">
        <v>2168</v>
      </c>
      <c r="N479" s="24" t="s">
        <v>1707</v>
      </c>
      <c r="O479" s="24" t="s">
        <v>2216</v>
      </c>
      <c r="P479" s="25"/>
      <c r="Q479" s="25"/>
      <c r="R479" s="25"/>
      <c r="S479" s="25"/>
      <c r="T479" s="25"/>
      <c r="U479" s="25"/>
      <c r="V479" s="29"/>
    </row>
    <row r="480" spans="1:22" ht="90" x14ac:dyDescent="0.25">
      <c r="A480" s="57" t="s">
        <v>2076</v>
      </c>
      <c r="B480" s="58" t="s">
        <v>2112</v>
      </c>
      <c r="G480" s="58" t="s">
        <v>2031</v>
      </c>
      <c r="K480" s="58" t="s">
        <v>605</v>
      </c>
      <c r="L480" s="24"/>
      <c r="M480" s="24" t="s">
        <v>2166</v>
      </c>
      <c r="N480" s="24" t="s">
        <v>1707</v>
      </c>
      <c r="O480" s="24"/>
      <c r="P480" s="25"/>
      <c r="Q480" s="25"/>
      <c r="R480" s="25"/>
      <c r="S480" s="25"/>
      <c r="T480" s="25"/>
      <c r="U480" s="25"/>
      <c r="V480" s="29" t="s">
        <v>2169</v>
      </c>
    </row>
    <row r="481" spans="1:22" ht="25.5" x14ac:dyDescent="0.25">
      <c r="A481" s="57" t="s">
        <v>2077</v>
      </c>
      <c r="B481" s="58" t="s">
        <v>1191</v>
      </c>
      <c r="G481" s="58" t="s">
        <v>513</v>
      </c>
      <c r="K481" s="58" t="s">
        <v>657</v>
      </c>
      <c r="L481" s="24"/>
      <c r="M481" s="24"/>
      <c r="N481" s="24" t="s">
        <v>1728</v>
      </c>
      <c r="O481" s="24"/>
      <c r="P481" s="25"/>
      <c r="Q481" s="25"/>
      <c r="R481" s="25"/>
      <c r="S481" s="25"/>
      <c r="T481" s="25"/>
      <c r="U481" s="25"/>
      <c r="V481" s="29" t="s">
        <v>2170</v>
      </c>
    </row>
    <row r="482" spans="1:22" x14ac:dyDescent="0.25">
      <c r="A482" s="57" t="s">
        <v>2078</v>
      </c>
      <c r="B482" s="58" t="s">
        <v>2113</v>
      </c>
      <c r="G482" s="58" t="s">
        <v>1178</v>
      </c>
      <c r="K482" s="58" t="s">
        <v>629</v>
      </c>
      <c r="L482" s="24"/>
      <c r="M482" s="24" t="s">
        <v>2171</v>
      </c>
      <c r="N482" s="24" t="s">
        <v>1707</v>
      </c>
      <c r="O482" s="24"/>
      <c r="P482" s="25"/>
      <c r="Q482" s="25"/>
      <c r="R482" s="25"/>
      <c r="S482" s="25"/>
      <c r="T482" s="25"/>
      <c r="U482" s="25"/>
      <c r="V482" s="29"/>
    </row>
    <row r="483" spans="1:22" ht="25.5" x14ac:dyDescent="0.25">
      <c r="A483" s="57" t="s">
        <v>2079</v>
      </c>
      <c r="B483" s="58" t="s">
        <v>358</v>
      </c>
      <c r="G483" s="58" t="s">
        <v>513</v>
      </c>
      <c r="K483" s="58" t="s">
        <v>1635</v>
      </c>
      <c r="L483" s="24"/>
      <c r="M483" s="24"/>
      <c r="N483" s="24" t="s">
        <v>1728</v>
      </c>
      <c r="O483" s="24"/>
      <c r="P483" s="25"/>
      <c r="Q483" s="25"/>
      <c r="R483" s="25"/>
      <c r="S483" s="25"/>
      <c r="T483" s="25"/>
      <c r="U483" s="25"/>
      <c r="V483" s="29" t="s">
        <v>2172</v>
      </c>
    </row>
    <row r="484" spans="1:22" ht="22.5" x14ac:dyDescent="0.25">
      <c r="A484" s="57" t="s">
        <v>2080</v>
      </c>
      <c r="B484" s="58" t="s">
        <v>2114</v>
      </c>
      <c r="G484" s="58" t="s">
        <v>1821</v>
      </c>
      <c r="K484" s="58" t="s">
        <v>929</v>
      </c>
      <c r="L484" s="24"/>
      <c r="M484" s="24" t="s">
        <v>2173</v>
      </c>
      <c r="N484" s="24" t="s">
        <v>1707</v>
      </c>
      <c r="O484" s="24" t="s">
        <v>2190</v>
      </c>
      <c r="P484" s="25"/>
      <c r="Q484" s="25"/>
      <c r="R484" s="25"/>
      <c r="S484" s="25"/>
      <c r="T484" s="25"/>
      <c r="U484" s="25"/>
      <c r="V484" s="29" t="s">
        <v>2201</v>
      </c>
    </row>
    <row r="485" spans="1:22" ht="25.5" x14ac:dyDescent="0.25">
      <c r="A485" s="57" t="s">
        <v>2081</v>
      </c>
      <c r="B485" s="58" t="s">
        <v>2115</v>
      </c>
      <c r="G485" s="58" t="s">
        <v>1821</v>
      </c>
      <c r="K485" s="58" t="s">
        <v>929</v>
      </c>
      <c r="L485" s="24"/>
      <c r="M485" s="24"/>
      <c r="N485" s="24" t="s">
        <v>1728</v>
      </c>
      <c r="O485" s="24"/>
      <c r="P485" s="25"/>
      <c r="Q485" s="25"/>
      <c r="R485" s="25"/>
      <c r="S485" s="25"/>
      <c r="T485" s="25"/>
      <c r="U485" s="25"/>
      <c r="V485" s="29" t="s">
        <v>2174</v>
      </c>
    </row>
    <row r="486" spans="1:22" x14ac:dyDescent="0.25">
      <c r="A486" s="57" t="s">
        <v>2082</v>
      </c>
      <c r="B486" s="58" t="s">
        <v>358</v>
      </c>
      <c r="G486" s="58" t="s">
        <v>189</v>
      </c>
      <c r="K486" s="58" t="s">
        <v>929</v>
      </c>
      <c r="L486" s="24"/>
      <c r="M486" s="24" t="s">
        <v>2175</v>
      </c>
      <c r="N486" s="24" t="s">
        <v>1707</v>
      </c>
      <c r="O486" s="24" t="s">
        <v>2190</v>
      </c>
      <c r="P486" s="25"/>
      <c r="Q486" s="25"/>
      <c r="R486" s="25"/>
      <c r="S486" s="25"/>
      <c r="T486" s="25"/>
      <c r="U486" s="25"/>
      <c r="V486" s="29"/>
    </row>
    <row r="487" spans="1:22" x14ac:dyDescent="0.25">
      <c r="A487" s="57" t="s">
        <v>2083</v>
      </c>
      <c r="B487" s="58" t="s">
        <v>1388</v>
      </c>
      <c r="G487" s="58" t="s">
        <v>1821</v>
      </c>
      <c r="K487" s="58" t="s">
        <v>646</v>
      </c>
      <c r="L487" s="24"/>
      <c r="M487" s="24"/>
      <c r="N487" s="24" t="s">
        <v>1728</v>
      </c>
      <c r="O487" s="24"/>
      <c r="P487" s="25"/>
      <c r="Q487" s="25"/>
      <c r="R487" s="25"/>
      <c r="S487" s="25"/>
      <c r="T487" s="25"/>
      <c r="U487" s="25"/>
      <c r="V487" s="29" t="s">
        <v>2176</v>
      </c>
    </row>
    <row r="488" spans="1:22" ht="25.5" x14ac:dyDescent="0.25">
      <c r="A488" s="57" t="s">
        <v>2084</v>
      </c>
      <c r="B488" s="58" t="s">
        <v>1003</v>
      </c>
      <c r="G488" s="58" t="s">
        <v>188</v>
      </c>
      <c r="K488" s="58" t="s">
        <v>1811</v>
      </c>
      <c r="L488" s="24"/>
      <c r="M488" s="24"/>
      <c r="N488" s="52" t="s">
        <v>2182</v>
      </c>
      <c r="O488" s="24"/>
      <c r="P488" s="25"/>
      <c r="Q488" s="25"/>
      <c r="R488" s="25"/>
      <c r="S488" s="25"/>
      <c r="T488" s="25"/>
      <c r="U488" s="25"/>
      <c r="V488" s="29"/>
    </row>
    <row r="489" spans="1:22" ht="25.5" x14ac:dyDescent="0.25">
      <c r="A489" s="57" t="s">
        <v>2085</v>
      </c>
      <c r="B489" s="58" t="s">
        <v>1003</v>
      </c>
      <c r="G489" s="58" t="s">
        <v>188</v>
      </c>
      <c r="K489" s="58" t="s">
        <v>1811</v>
      </c>
      <c r="L489" s="24"/>
      <c r="M489" s="24"/>
      <c r="N489" s="52" t="s">
        <v>2182</v>
      </c>
      <c r="O489" s="24"/>
      <c r="P489" s="25"/>
      <c r="Q489" s="25"/>
      <c r="R489" s="25"/>
      <c r="S489" s="25"/>
      <c r="T489" s="25"/>
      <c r="U489" s="25"/>
      <c r="V489" s="29"/>
    </row>
    <row r="490" spans="1:22" ht="25.5" x14ac:dyDescent="0.25">
      <c r="A490" s="57" t="s">
        <v>2086</v>
      </c>
      <c r="B490" s="58" t="s">
        <v>2116</v>
      </c>
      <c r="G490" s="58" t="s">
        <v>189</v>
      </c>
      <c r="K490" s="58" t="s">
        <v>684</v>
      </c>
      <c r="L490" s="24"/>
      <c r="M490" s="24"/>
      <c r="N490" s="24" t="s">
        <v>1728</v>
      </c>
      <c r="O490" s="24"/>
      <c r="P490" s="25"/>
      <c r="Q490" s="25"/>
      <c r="R490" s="25"/>
      <c r="S490" s="25"/>
      <c r="T490" s="25"/>
      <c r="U490" s="25">
        <v>42383</v>
      </c>
      <c r="V490" s="29" t="s">
        <v>2177</v>
      </c>
    </row>
    <row r="491" spans="1:22" x14ac:dyDescent="0.25">
      <c r="A491" s="57" t="s">
        <v>2087</v>
      </c>
      <c r="B491" s="58" t="s">
        <v>2117</v>
      </c>
      <c r="G491" s="58" t="s">
        <v>1822</v>
      </c>
      <c r="K491" s="58" t="s">
        <v>569</v>
      </c>
      <c r="L491" s="24"/>
      <c r="M491" s="24"/>
      <c r="N491" s="24" t="s">
        <v>1728</v>
      </c>
      <c r="O491" s="24"/>
      <c r="P491" s="25"/>
      <c r="Q491" s="25"/>
      <c r="R491" s="25"/>
      <c r="S491" s="25"/>
      <c r="T491" s="25"/>
      <c r="U491" s="25"/>
      <c r="V491" s="29" t="s">
        <v>2177</v>
      </c>
    </row>
    <row r="492" spans="1:22" ht="25.5" x14ac:dyDescent="0.25">
      <c r="A492" s="57" t="s">
        <v>2088</v>
      </c>
      <c r="B492" s="58" t="s">
        <v>1300</v>
      </c>
      <c r="G492" s="58" t="s">
        <v>1178</v>
      </c>
      <c r="K492" s="58" t="s">
        <v>994</v>
      </c>
      <c r="L492" s="24"/>
      <c r="M492" s="24"/>
      <c r="N492" s="24" t="s">
        <v>1728</v>
      </c>
      <c r="O492" s="24"/>
      <c r="P492" s="25"/>
      <c r="Q492" s="25"/>
      <c r="R492" s="25"/>
      <c r="S492" s="25"/>
      <c r="T492" s="25"/>
      <c r="U492" s="25"/>
      <c r="V492" s="29" t="s">
        <v>2178</v>
      </c>
    </row>
    <row r="493" spans="1:22" x14ac:dyDescent="0.25">
      <c r="A493" s="57" t="s">
        <v>2089</v>
      </c>
      <c r="B493" s="58" t="s">
        <v>2118</v>
      </c>
      <c r="G493" s="58" t="s">
        <v>1821</v>
      </c>
      <c r="K493" s="58" t="s">
        <v>569</v>
      </c>
      <c r="L493" s="24"/>
      <c r="M493" s="24"/>
      <c r="N493" s="24" t="s">
        <v>1728</v>
      </c>
      <c r="O493" s="24"/>
      <c r="P493" s="25"/>
      <c r="Q493" s="25"/>
      <c r="R493" s="25"/>
      <c r="S493" s="25"/>
      <c r="T493" s="25"/>
      <c r="U493" s="25"/>
      <c r="V493" s="29" t="s">
        <v>2179</v>
      </c>
    </row>
    <row r="494" spans="1:22" ht="25.5" x14ac:dyDescent="0.25">
      <c r="A494" s="57" t="s">
        <v>2090</v>
      </c>
      <c r="B494" s="58" t="s">
        <v>1395</v>
      </c>
      <c r="G494" s="58" t="s">
        <v>1822</v>
      </c>
      <c r="K494" s="58" t="s">
        <v>555</v>
      </c>
      <c r="L494" s="24"/>
      <c r="M494" s="24"/>
      <c r="N494" s="24" t="s">
        <v>1728</v>
      </c>
      <c r="O494" s="24"/>
      <c r="P494" s="25"/>
      <c r="Q494" s="25"/>
      <c r="R494" s="25"/>
      <c r="S494" s="25"/>
      <c r="T494" s="25"/>
      <c r="U494" s="25"/>
      <c r="V494" s="29" t="s">
        <v>2180</v>
      </c>
    </row>
    <row r="495" spans="1:22" ht="25.5" x14ac:dyDescent="0.25">
      <c r="A495" s="57" t="s">
        <v>2091</v>
      </c>
      <c r="B495" s="58" t="s">
        <v>2119</v>
      </c>
      <c r="G495" s="58" t="s">
        <v>513</v>
      </c>
      <c r="K495" s="58" t="s">
        <v>684</v>
      </c>
      <c r="L495" s="24"/>
      <c r="M495" s="24"/>
      <c r="N495" s="24" t="s">
        <v>1728</v>
      </c>
      <c r="O495" s="24"/>
      <c r="P495" s="25"/>
      <c r="Q495" s="25"/>
      <c r="R495" s="25"/>
      <c r="S495" s="25"/>
      <c r="T495" s="25"/>
      <c r="U495" s="25"/>
      <c r="V495" s="29" t="s">
        <v>2181</v>
      </c>
    </row>
    <row r="496" spans="1:22" ht="25.5" x14ac:dyDescent="0.25">
      <c r="A496" s="57" t="s">
        <v>2092</v>
      </c>
      <c r="B496" s="58" t="s">
        <v>2120</v>
      </c>
      <c r="G496" s="58" t="s">
        <v>188</v>
      </c>
      <c r="K496" s="58" t="s">
        <v>1811</v>
      </c>
      <c r="L496" s="24"/>
      <c r="M496" s="24"/>
      <c r="N496" s="52" t="s">
        <v>2182</v>
      </c>
      <c r="O496" s="24"/>
      <c r="P496" s="25"/>
      <c r="Q496" s="25"/>
      <c r="R496" s="25"/>
      <c r="S496" s="25"/>
      <c r="T496" s="25"/>
      <c r="U496" s="25"/>
      <c r="V496" s="29"/>
    </row>
    <row r="497" spans="1:22" ht="56.25" x14ac:dyDescent="0.25">
      <c r="A497" s="57" t="s">
        <v>2207</v>
      </c>
      <c r="B497" s="58" t="s">
        <v>2208</v>
      </c>
      <c r="G497" s="58" t="s">
        <v>513</v>
      </c>
      <c r="K497" s="58" t="s">
        <v>2033</v>
      </c>
      <c r="L497" s="24"/>
      <c r="M497" s="24"/>
      <c r="N497" s="52" t="s">
        <v>1728</v>
      </c>
      <c r="O497" s="24"/>
      <c r="P497" s="25"/>
      <c r="Q497" s="25"/>
      <c r="R497" s="25"/>
      <c r="S497" s="25"/>
      <c r="T497" s="25"/>
      <c r="U497" s="25"/>
      <c r="V497" s="29" t="s">
        <v>2209</v>
      </c>
    </row>
  </sheetData>
  <autoFilter ref="A1:V497"/>
  <conditionalFormatting sqref="B2">
    <cfRule type="duplicateValues" dxfId="18" priority="16"/>
  </conditionalFormatting>
  <conditionalFormatting sqref="B2">
    <cfRule type="duplicateValues" dxfId="17" priority="17"/>
  </conditionalFormatting>
  <conditionalFormatting sqref="B2">
    <cfRule type="duplicateValues" dxfId="16" priority="18"/>
  </conditionalFormatting>
  <conditionalFormatting sqref="B2">
    <cfRule type="duplicateValues" dxfId="15" priority="15"/>
  </conditionalFormatting>
  <conditionalFormatting sqref="V322">
    <cfRule type="duplicateValues" dxfId="14" priority="9"/>
    <cfRule type="duplicateValues" dxfId="13" priority="10"/>
  </conditionalFormatting>
  <conditionalFormatting sqref="A1">
    <cfRule type="duplicateValues" dxfId="12" priority="2908"/>
  </conditionalFormatting>
  <conditionalFormatting sqref="A341:A345">
    <cfRule type="duplicateValues" dxfId="11" priority="2909"/>
    <cfRule type="duplicateValues" dxfId="10" priority="2910"/>
  </conditionalFormatting>
  <conditionalFormatting sqref="A498:A65373 A346:A350 A1:A5 A9 A15 A19 A25:A50 A52:A340 A400:A496 A386:A398 A352:A384">
    <cfRule type="duplicateValues" dxfId="9" priority="2947"/>
    <cfRule type="duplicateValues" dxfId="8" priority="2948"/>
  </conditionalFormatting>
  <conditionalFormatting sqref="A399">
    <cfRule type="duplicateValues" dxfId="7" priority="7"/>
    <cfRule type="duplicateValues" dxfId="6" priority="8"/>
  </conditionalFormatting>
  <conditionalFormatting sqref="A385">
    <cfRule type="duplicateValues" dxfId="5" priority="5"/>
    <cfRule type="duplicateValues" dxfId="4" priority="6"/>
  </conditionalFormatting>
  <conditionalFormatting sqref="A351">
    <cfRule type="duplicateValues" dxfId="3" priority="3"/>
    <cfRule type="duplicateValues" dxfId="2" priority="4"/>
  </conditionalFormatting>
  <conditionalFormatting sqref="A497">
    <cfRule type="duplicateValues" dxfId="1" priority="1"/>
    <cfRule type="duplicateValues" dxfId="0" priority="2"/>
  </conditionalFormatting>
  <hyperlinks>
    <hyperlink ref="A222" r:id="rId1" display="http://tprocess-contax/browse/CTXSPOLP-109516"/>
    <hyperlink ref="A199" r:id="rId2" display="http://tprocess-contax/browse/CTXSPOLP-108931"/>
    <hyperlink ref="A164" r:id="rId3" display="http://tprocess-contax/browse/CTXSPOLP-108012"/>
    <hyperlink ref="A117" r:id="rId4" display="http://tprocess-contax/browse/CTXSPOLP-105693"/>
    <hyperlink ref="A35" r:id="rId5" display="http://tprocess-contax/browse/CTXSPOLP-102317"/>
    <hyperlink ref="A7" r:id="rId6" display="http://tprocess-contax/browse/CTXSPOLP-99392"/>
    <hyperlink ref="A246" r:id="rId7" display="http://tprocess-contax/browse/CTXSPOBF-124407"/>
    <hyperlink ref="A224" r:id="rId8" display="http://tprocess-contax/browse/CTXSPOBF-123720"/>
    <hyperlink ref="A220" r:id="rId9" display="http://tprocess-contax/browse/CTXSPOBF-123499"/>
    <hyperlink ref="A217" r:id="rId10" display="http://tprocess-contax/browse/CTXSPOBF-123431"/>
    <hyperlink ref="A184" r:id="rId11" display="http://tprocess-contax/browse/CTXSPOBF-122472"/>
    <hyperlink ref="A183" r:id="rId12" display="http://tprocess-contax/browse/CTXSPOBF-122424"/>
    <hyperlink ref="A166" r:id="rId13" display="http://tprocess-contax/browse/CTXSPOBF-122048"/>
    <hyperlink ref="A148" r:id="rId14" display="http://tprocess-contax/browse/CTXSPOBF-121332"/>
    <hyperlink ref="A146" r:id="rId15" display="http://tprocess-contax/browse/CTXSPOBF-121148"/>
    <hyperlink ref="A145" r:id="rId16" display="http://tprocess-contax/browse/CTXSPOBF-121133"/>
    <hyperlink ref="A144" r:id="rId17" display="http://tprocess-contax/browse/CTXSPOBF-121132"/>
    <hyperlink ref="A63" r:id="rId18" display="http://tprocess-contax/browse/CTXSPOBF-117665"/>
    <hyperlink ref="A52" r:id="rId19" display="http://tprocess-contax/browse/CTXSPOBF-116862"/>
    <hyperlink ref="A39" r:id="rId20" display="http://tprocess-contax/browse/CTXSPOBF-116082"/>
    <hyperlink ref="A37" r:id="rId21" display="http://tprocess-contax/browse/CTXSPOBF-115988"/>
    <hyperlink ref="A28" r:id="rId22" display="http://tprocess-contax/browse/CTXSPOBF-115489"/>
    <hyperlink ref="A17" r:id="rId23" display="http://tprocess-contax/browse/CTXSPOBF-114650"/>
    <hyperlink ref="A16" r:id="rId24" display="http://tprocess-contax/browse/CTXSPOBF-114642"/>
    <hyperlink ref="A9" r:id="rId25" display="http://tprocess-contax/browse/CTXSPOBF-114042"/>
    <hyperlink ref="A4" r:id="rId26" display="http://tprocess-contax/browse/CTXSPOBF-100889"/>
    <hyperlink ref="A207" r:id="rId27" display="http://tprocess-contax/browse/CTXSPOAS-4345"/>
    <hyperlink ref="A128" r:id="rId28" display="http://tprocess-contax/browse/CTXSPOAS-4248"/>
    <hyperlink ref="A127" r:id="rId29" display="http://tprocess-contax/browse/CTXSPOAS-4247"/>
    <hyperlink ref="A232" r:id="rId30" display="http://tprocess-contax/browse/CTXSPOAP407-12001"/>
    <hyperlink ref="A228" r:id="rId31" display="http://tprocess-contax/browse/CTXSPOAP407-11965"/>
    <hyperlink ref="A201" r:id="rId32" display="http://tprocess-contax/browse/CTXSPOAP407-11630"/>
    <hyperlink ref="A181" r:id="rId33" display="http://tprocess-contax/browse/CTXSPOAP407-11421"/>
    <hyperlink ref="A159" r:id="rId34" display="http://tprocess-contax/browse/CTXSPOAP407-11140"/>
    <hyperlink ref="A158" r:id="rId35" display="http://tprocess-contax/browse/CTXSPOAP407-11138"/>
    <hyperlink ref="A157" r:id="rId36" display="http://tprocess-contax/browse/CTXSPOAP407-11137"/>
    <hyperlink ref="A150" r:id="rId37" display="http://tprocess-contax/browse/CTXSPOAP407-11089"/>
    <hyperlink ref="A147" r:id="rId38" display="http://tprocess-contax/browse/CTXSPOAP407-11039"/>
    <hyperlink ref="A137" r:id="rId39" display="http://tprocess-contax/browse/CTXSPOAP407-10905"/>
    <hyperlink ref="A136" r:id="rId40" display="http://tprocess-contax/browse/CTXSPOAP407-10900"/>
    <hyperlink ref="A125" r:id="rId41" display="http://tprocess-contax/browse/CTXSPOAP407-10718"/>
    <hyperlink ref="A120" r:id="rId42" display="http://tprocess-contax/browse/CTXSPOAP407-10660"/>
    <hyperlink ref="A116" r:id="rId43" display="http://tprocess-contax/browse/CTXSPOAP407-10552"/>
    <hyperlink ref="A115" r:id="rId44" display="http://tprocess-contax/browse/CTXSPOAP407-10551"/>
    <hyperlink ref="A114" r:id="rId45" display="http://tprocess-contax/browse/CTXSPOAP407-10550"/>
    <hyperlink ref="A113" r:id="rId46" display="http://tprocess-contax/browse/CTXSPOAP407-10546"/>
    <hyperlink ref="A112" r:id="rId47" display="http://tprocess-contax/browse/CTXSPOAP407-10545"/>
    <hyperlink ref="A110" r:id="rId48" display="http://tprocess-contax/browse/CTXSPOAP407-10510"/>
    <hyperlink ref="A109" r:id="rId49" display="http://tprocess-contax/browse/CTXSPOAP407-10496"/>
    <hyperlink ref="A101" r:id="rId50" display="http://tprocess-contax/browse/CTXSPOAP407-10435"/>
    <hyperlink ref="A100" r:id="rId51" display="http://tprocess-contax/browse/CTXSPOAP407-10434"/>
    <hyperlink ref="A99" r:id="rId52" display="http://tprocess-contax/browse/CTXSPOAP407-10432"/>
    <hyperlink ref="A98" r:id="rId53" display="http://tprocess-contax/browse/CTXSPOAP407-10428"/>
    <hyperlink ref="A97" r:id="rId54" display="http://tprocess-contax/browse/CTXSPOAP407-10423"/>
    <hyperlink ref="A96" r:id="rId55" display="http://tprocess-contax/browse/CTXSPOAP407-10422"/>
    <hyperlink ref="A95" r:id="rId56" display="http://tprocess-contax/browse/CTXSPOAP407-10421"/>
    <hyperlink ref="A94" r:id="rId57" display="http://tprocess-contax/browse/CTXSPOAP407-10409"/>
    <hyperlink ref="A93" r:id="rId58" display="http://tprocess-contax/browse/CTXSPOAP407-10408"/>
    <hyperlink ref="A92" r:id="rId59" display="http://tprocess-contax/browse/CTXSPOAP407-10407"/>
    <hyperlink ref="A91" r:id="rId60" display="http://tprocess-contax/browse/CTXSPOAP407-10406"/>
    <hyperlink ref="A90" r:id="rId61" display="http://tprocess-contax/browse/CTXSPOAP407-10405"/>
    <hyperlink ref="A89" r:id="rId62" display="http://tprocess-contax/browse/CTXSPOAP407-10403"/>
    <hyperlink ref="A87" r:id="rId63" display="http://tprocess-contax/browse/CTXSPOAP407-10381"/>
    <hyperlink ref="A85" r:id="rId64" display="http://tprocess-contax/browse/CTXSPOAP407-10335"/>
    <hyperlink ref="A84" r:id="rId65" display="http://tprocess-contax/browse/CTXSPOAP407-10323"/>
    <hyperlink ref="A83" r:id="rId66" display="http://tprocess-contax/browse/CTXSPOAP407-10292"/>
    <hyperlink ref="A82" r:id="rId67" display="http://tprocess-contax/browse/CTXSPOAP407-10291"/>
    <hyperlink ref="A81" r:id="rId68" display="http://tprocess-contax/browse/CTXSPOAP407-10289"/>
    <hyperlink ref="A77" r:id="rId69" display="http://tprocess-contax/browse/CTXSPOAP407-10198"/>
    <hyperlink ref="A76" r:id="rId70" display="http://tprocess-contax/browse/CTXSPOAP407-10180"/>
    <hyperlink ref="A72" r:id="rId71" display="http://tprocess-contax/browse/CTXSPOAP407-10149"/>
    <hyperlink ref="A65" r:id="rId72" display="http://tprocess-contax/browse/CTXSPOAP407-10078"/>
    <hyperlink ref="A64" r:id="rId73" display="http://tprocess-contax/browse/CTXSPOAP407-10077"/>
    <hyperlink ref="A61" r:id="rId74" display="http://tprocess-contax/browse/CTXSPOAP407-10019"/>
    <hyperlink ref="A54" r:id="rId75" display="http://tprocess-contax/browse/CTXSPOAP407-9908"/>
    <hyperlink ref="A43" r:id="rId76" display="http://tprocess-contax/browse/CTXSPOAP407-9711"/>
    <hyperlink ref="A42" r:id="rId77" display="http://tprocess-contax/browse/CTXSPOAP407-9710"/>
    <hyperlink ref="A8" r:id="rId78" display="http://tprocess-contax/browse/CTXSPOAP407-9113"/>
    <hyperlink ref="A242" r:id="rId79" display="http://tprocess-contax/browse/CTXSPOAL-91798"/>
    <hyperlink ref="A241" r:id="rId80" display="http://tprocess-contax/browse/CTXSPOAL-91696"/>
    <hyperlink ref="A239" r:id="rId81" display="http://tprocess-contax/browse/CTXSPOAL-91568"/>
    <hyperlink ref="A238" r:id="rId82" display="http://tprocess-contax/browse/CTXSPOAL-91546"/>
    <hyperlink ref="A223" r:id="rId83" display="http://tprocess-contax/browse/CTXSPOAL-90727"/>
    <hyperlink ref="A205" r:id="rId84" display="http://tprocess-contax/browse/CTXSPOAL-89899"/>
    <hyperlink ref="A189" r:id="rId85" display="http://tprocess-contax/browse/CTXSPOAL-89400"/>
    <hyperlink ref="A182" r:id="rId86" display="http://tprocess-contax/browse/CTXSPOAL-89142"/>
    <hyperlink ref="A161" r:id="rId87" display="http://tprocess-contax/browse/CTXSPOAL-88112"/>
    <hyperlink ref="A102" r:id="rId88" display="http://tprocess-contax/browse/CTXSPOAL-84942"/>
    <hyperlink ref="A34" r:id="rId89" display="http://tprocess-contax/browse/CTXSPOAL-81651"/>
    <hyperlink ref="A33" r:id="rId90" display="http://tprocess-contax/browse/CTXSPOAL-81556"/>
    <hyperlink ref="A3" r:id="rId91" display="http://tprocess-contax/browse/CTXSPOAL-57727"/>
    <hyperlink ref="A2" r:id="rId92" display="http://tprocess-contax/browse/CTXSPOAL-57726"/>
    <hyperlink ref="A177" r:id="rId93" display="http://tprocess-contax/browse/CTXSALSM-79594"/>
    <hyperlink ref="A156" r:id="rId94" display="http://tprocess-contax/browse/CTXSALSM-78825"/>
    <hyperlink ref="A149" r:id="rId95" display="http://tprocess-contax/browse/CTXSALSM-78558"/>
    <hyperlink ref="A30" r:id="rId96" display="http://tprocess-contax/browse/CTXSALSM-75150"/>
    <hyperlink ref="A29" r:id="rId97" display="http://tprocess-contax/browse/CTXSALSM-75110"/>
    <hyperlink ref="A19" r:id="rId98" display="http://tprocess-contax/browse/CTXSALSM-74752"/>
    <hyperlink ref="A18" r:id="rId99" display="http://tprocess-contax/browse/CTXSALSM-74725"/>
    <hyperlink ref="A196" r:id="rId100" display="http://tprocess-contax/browse/CTXSALPB-38928"/>
    <hyperlink ref="A178" r:id="rId101" display="http://tprocess-contax/browse/CTXSALPB-38362"/>
    <hyperlink ref="A186" r:id="rId102" display="http://tprocess-contax/browse/CTXSALLM-113978"/>
    <hyperlink ref="A139" r:id="rId103" display="http://tprocess-contax/browse/CTXSALLM-113330"/>
    <hyperlink ref="A248" r:id="rId104" display="http://tprocess-contax/browse/CTXSALAS-158220"/>
    <hyperlink ref="A202" r:id="rId105" display="http://tprocess-contax/browse/CTXSALAS-156916"/>
    <hyperlink ref="A192" r:id="rId106" display="http://tprocess-contax/browse/CTXSALAS-156730"/>
    <hyperlink ref="A168" r:id="rId107" display="http://tprocess-contax/browse/CTXSALAS-156270"/>
    <hyperlink ref="A123" r:id="rId108" display="http://tprocess-contax/browse/CTXSALAS-154241"/>
    <hyperlink ref="A60" r:id="rId109" display="http://tprocess-contax/browse/CTXSALAS-151508"/>
    <hyperlink ref="A32" r:id="rId110" display="http://tprocess-contax/browse/CTXSALAS-150015"/>
    <hyperlink ref="A24" r:id="rId111" display="http://tprocess-contax/browse/CTXSALAS-149443"/>
    <hyperlink ref="A237" r:id="rId112" display="http://tprocess-contax/browse/CTXRJOPF-65696"/>
    <hyperlink ref="A59" r:id="rId113" display="http://tprocess-contax/browse/CTXRJOPF-60874"/>
    <hyperlink ref="A20" r:id="rId114" display="http://tprocess-contax/browse/CTXRJOPF-58955"/>
    <hyperlink ref="A204" r:id="rId115" display="http://tprocess-contax/browse/CTXRJOMK-119586"/>
    <hyperlink ref="A191" r:id="rId116" display="http://tprocess-contax/browse/CTXRJOMK-119144"/>
    <hyperlink ref="A176" r:id="rId117" display="http://tprocess-contax/browse/CTXRJOMK-118628"/>
    <hyperlink ref="A173" r:id="rId118" display="http://tprocess-contax/browse/CTXRJOMK-118558"/>
    <hyperlink ref="A162" r:id="rId119" display="http://tprocess-contax/browse/CTXRJOMK-118064"/>
    <hyperlink ref="A126" r:id="rId120" display="http://tprocess-contax/browse/CTXRJOMK-116141"/>
    <hyperlink ref="A53" r:id="rId121" display="http://tprocess-contax/browse/CTXRJOMK-112428"/>
    <hyperlink ref="A45" r:id="rId122" display="http://tprocess-contax/browse/CTXRJOMK-111933"/>
    <hyperlink ref="A26" r:id="rId123" display="http://tprocess-contax/browse/CTXRJOMK-110280"/>
    <hyperlink ref="A25" r:id="rId124" display="http://tprocess-contax/browse/CTXRJOMK-110270"/>
    <hyperlink ref="A235" r:id="rId125" display="http://tprocess-contax/browse/CTXRJOMA-74154"/>
    <hyperlink ref="A221" r:id="rId126" display="http://tprocess-contax/browse/CTXRJOMA-73893"/>
    <hyperlink ref="A185" r:id="rId127" display="http://tprocess-contax/browse/CTXRJOMA-73560"/>
    <hyperlink ref="A49" r:id="rId128" display="http://tprocess-contax/browse/CTXRJOMA-71104"/>
    <hyperlink ref="A48" r:id="rId129" display="http://tprocess-contax/browse/CTXRJOMA-71103"/>
    <hyperlink ref="A247" r:id="rId130" display="http://tprocess-contax/browse/CTXRJOED-54357"/>
    <hyperlink ref="A219" r:id="rId131" display="http://tprocess-contax/browse/CTXRJOED-53627"/>
    <hyperlink ref="A40" r:id="rId132" display="http://tprocess-contax/browse/CTXRJOED-49497"/>
    <hyperlink ref="A12" r:id="rId133" display="http://tprocess-contax/browse/CTXRJOED-48383"/>
    <hyperlink ref="A245" r:id="rId134" display="http://tprocess-contax/browse/CTXRECSA-416451"/>
    <hyperlink ref="A214" r:id="rId135" display="http://tprocess-contax/browse/CTXRECSA-410282"/>
    <hyperlink ref="A213" r:id="rId136" display="http://tprocess-contax/browse/CTXRECSA-410251"/>
    <hyperlink ref="A180" r:id="rId137" display="http://tprocess-contax/browse/CTXRECSA-405116"/>
    <hyperlink ref="A155" r:id="rId138" display="http://tprocess-contax/browse/CTXRECSA-401969"/>
    <hyperlink ref="A135" r:id="rId139" display="http://tprocess-contax/browse/CTXRECSA-397929"/>
    <hyperlink ref="A107" r:id="rId140" display="http://tprocess-contax/browse/CTXRECSA-391574"/>
    <hyperlink ref="A105" r:id="rId141" display="http://tprocess-contax/browse/CTXRECSA-391509"/>
    <hyperlink ref="A71" r:id="rId142" display="http://tprocess-contax/browse/CTXRECSA-387599"/>
    <hyperlink ref="A62" r:id="rId143" display="http://tprocess-contax/browse/CTXRECSA-385378"/>
    <hyperlink ref="A15" r:id="rId144" display="http://tprocess-contax/browse/CTXRECSA-371176"/>
    <hyperlink ref="A5" r:id="rId145" display="http://tprocess-contax/browse/CTXRECSA-354556"/>
    <hyperlink ref="A210" r:id="rId146" display="http://tprocess-contax/browse/CTXRECAU-58843"/>
    <hyperlink ref="A195" r:id="rId147" display="http://tprocess-contax/browse/CTXRECAM-54106"/>
    <hyperlink ref="A142" r:id="rId148" display="http://tprocess-contax/browse/CTXRECAM-53258"/>
    <hyperlink ref="A129" r:id="rId149" display="http://tprocess-contax/browse/CTXRECAM-52871"/>
    <hyperlink ref="A124" r:id="rId150" display="http://tprocess-contax/browse/CTXRECAM-52843"/>
    <hyperlink ref="A106" r:id="rId151" display="http://tprocess-contax/browse/CTXRECAM-52332"/>
    <hyperlink ref="A55" r:id="rId152" display="http://tprocess-contax/browse/CTXRECAM-51211"/>
    <hyperlink ref="A218" r:id="rId153" display="http://tprocess-contax/browse/CTXPOARB-92178"/>
    <hyperlink ref="A206" r:id="rId154" display="http://tprocess-contax/browse/CTXPOARB-91944"/>
    <hyperlink ref="A194" r:id="rId155" display="http://tprocess-contax/browse/CTXPOARB-91713"/>
    <hyperlink ref="A193" r:id="rId156" display="http://tprocess-contax/browse/CTXPOARB-91679"/>
    <hyperlink ref="A179" r:id="rId157" display="http://tprocess-contax/browse/CTXPOARB-91371"/>
    <hyperlink ref="A172" r:id="rId158" display="http://tprocess-contax/browse/CTXPOARB-91289"/>
    <hyperlink ref="A134" r:id="rId159" display="http://tprocess-contax/browse/CTXPOARB-90126"/>
    <hyperlink ref="A133" r:id="rId160" display="http://tprocess-contax/browse/CTXPOARB-90125"/>
    <hyperlink ref="A88" r:id="rId161" display="http://tprocess-contax/browse/CTXPOARB-88844"/>
    <hyperlink ref="A86" r:id="rId162" display="http://tprocess-contax/browse/CTXPOARB-88806"/>
    <hyperlink ref="A67" r:id="rId163" display="http://tprocess-contax/browse/CTXPOARB-88045"/>
    <hyperlink ref="A66" r:id="rId164" display="http://tprocess-contax/browse/CTXPOARB-88034"/>
    <hyperlink ref="A50" r:id="rId165" display="http://tprocess-contax/browse/CTXPOARB-87226"/>
    <hyperlink ref="A27" r:id="rId166" display="http://tprocess-contax/browse/CTXPOARB-85969"/>
    <hyperlink ref="A231" r:id="rId167" display="http://tprocess-contax/browse/CTXNITSP-166786"/>
    <hyperlink ref="A229" r:id="rId168" display="http://tprocess-contax/browse/CTXNITSP-166707"/>
    <hyperlink ref="A215" r:id="rId169" display="http://tprocess-contax/browse/CTXNITSP-165986"/>
    <hyperlink ref="A200" r:id="rId170" display="http://tprocess-contax/browse/CTXNITSP-165439"/>
    <hyperlink ref="A198" r:id="rId171" display="http://tprocess-contax/browse/CTXNITSP-165356"/>
    <hyperlink ref="A187" r:id="rId172" display="http://tprocess-contax/browse/CTXNITSP-164920"/>
    <hyperlink ref="A175" r:id="rId173" display="http://tprocess-contax/browse/CTXNITSP-164460"/>
    <hyperlink ref="A171" r:id="rId174" display="http://tprocess-contax/browse/CTXNITSP-164365"/>
    <hyperlink ref="A170" r:id="rId175" display="http://tprocess-contax/browse/CTXNITSP-164357"/>
    <hyperlink ref="A160" r:id="rId176" display="http://tprocess-contax/browse/CTXNITSP-163520"/>
    <hyperlink ref="A153" r:id="rId177" display="http://tprocess-contax/browse/CTXNITSP-163395"/>
    <hyperlink ref="A141" r:id="rId178" display="http://tprocess-contax/browse/CTXNITSP-162696"/>
    <hyperlink ref="A78" r:id="rId179" display="http://tprocess-contax/browse/CTXNITSP-158443"/>
    <hyperlink ref="A36" r:id="rId180" display="http://tprocess-contax/browse/CTXNITSP-155126"/>
    <hyperlink ref="A22" r:id="rId181" display="http://tprocess-contax/browse/CTXNITSP-153179"/>
    <hyperlink ref="A21" r:id="rId182" display="http://tprocess-contax/browse/CTXNITSP-153177"/>
    <hyperlink ref="A243" r:id="rId183" display="http://tprocess-contax/browse/CTXMTZRP-43918"/>
    <hyperlink ref="A230" r:id="rId184" display="http://tprocess-contax/browse/CTXMTZRP-43749"/>
    <hyperlink ref="A227" r:id="rId185" display="http://tprocess-contax/browse/CTXMTZRP-43701"/>
    <hyperlink ref="A226" r:id="rId186" display="http://tprocess-contax/browse/CTXMTZRP-43671"/>
    <hyperlink ref="A190" r:id="rId187" display="http://tprocess-contax/browse/CTXMTZRP-43213"/>
    <hyperlink ref="A188" r:id="rId188" display="http://tprocess-contax/browse/CTXMTZRP-43198"/>
    <hyperlink ref="A174" r:id="rId189" display="http://tprocess-contax/browse/CTXMTZRP-43045"/>
    <hyperlink ref="A163" r:id="rId190" display="http://tprocess-contax/browse/CTXMTZRP-42974"/>
    <hyperlink ref="A140" r:id="rId191" display="http://tprocess-contax/browse/CTXMTZRP-42663"/>
    <hyperlink ref="A130" r:id="rId192" display="http://tprocess-contax/browse/CTXMTZRP-42356"/>
    <hyperlink ref="A122" r:id="rId193" display="http://tprocess-contax/browse/CTXMTZRP-42208"/>
    <hyperlink ref="A121" r:id="rId194" display="http://tprocess-contax/browse/CTXMTZRP-42198"/>
    <hyperlink ref="A119" r:id="rId195" display="http://tprocess-contax/browse/CTXMTZRP-42159"/>
    <hyperlink ref="A118" r:id="rId196" display="http://tprocess-contax/browse/CTXMTZRP-42143"/>
    <hyperlink ref="A75" r:id="rId197" display="http://tprocess-contax/browse/CTXMTZRP-41269"/>
    <hyperlink ref="A74" r:id="rId198" display="http://tprocess-contax/browse/CTXMTZRP-41268"/>
    <hyperlink ref="A44" r:id="rId199" display="http://tprocess-contax/browse/CTXMTZRP-40457"/>
    <hyperlink ref="A41" r:id="rId200" display="http://tprocess-contax/browse/CTXMTZRP-40301"/>
    <hyperlink ref="A23" r:id="rId201" display="http://tprocess-contax/browse/CTXMTZRP-39640"/>
    <hyperlink ref="A14" r:id="rId202" display="http://tprocess-contax/browse/CTXMTZRP-39417"/>
    <hyperlink ref="A216" r:id="rId203" display="http://tprocess-contax/browse/CTXMTZPB-90"/>
    <hyperlink ref="A211" r:id="rId204" display="http://tprocess-contax/browse/CTXMTZPB-88"/>
    <hyperlink ref="A165" r:id="rId205" display="http://tprocess-contax/browse/CTXMLTREG-3862"/>
    <hyperlink ref="A151" r:id="rId206" display="http://tprocess-contax/browse/CTXMLTREG-3841"/>
    <hyperlink ref="A108" r:id="rId207" display="http://tprocess-contax/browse/CTXMLTREG-3757"/>
    <hyperlink ref="A57" r:id="rId208" display="http://tprocess-contax/browse/CTXMLTREG-3703"/>
    <hyperlink ref="A38" r:id="rId209" display="http://tprocess-contax/browse/CTXMLTREG-3663"/>
    <hyperlink ref="A31" r:id="rId210" display="http://tprocess-contax/browse/CTXMLTREG-3647"/>
    <hyperlink ref="A152" r:id="rId211" display="http://tprocess-contax/browse/CTXLONLA-24408"/>
    <hyperlink ref="A132" r:id="rId212" display="http://tprocess-contax/browse/CTXLONLA-23955"/>
    <hyperlink ref="A236" r:id="rId213" display="http://tprocess-contax/browse/CTXFORBM-315247"/>
    <hyperlink ref="A233" r:id="rId214" display="http://tprocess-contax/browse/CTXFORBM-314772"/>
    <hyperlink ref="A225" r:id="rId215" display="http://tprocess-contax/browse/CTXFORBM-314015"/>
    <hyperlink ref="A212" r:id="rId216" display="http://tprocess-contax/browse/CTXFORBM-311916"/>
    <hyperlink ref="A209" r:id="rId217" display="http://tprocess-contax/browse/CTXFORBM-311603"/>
    <hyperlink ref="A169" r:id="rId218" display="http://tprocess-contax/browse/CTXFORBM-307164"/>
    <hyperlink ref="A167" r:id="rId219" display="http://tprocess-contax/browse/CTXFORBM-306968"/>
    <hyperlink ref="A143" r:id="rId220" display="http://tprocess-contax/browse/CTXFORBM-302024"/>
    <hyperlink ref="A104" r:id="rId221" display="http://tprocess-contax/browse/CTXFORBM-294169"/>
    <hyperlink ref="A79" r:id="rId222" display="http://tprocess-contax/browse/CTXFORBM-291757"/>
    <hyperlink ref="A73" r:id="rId223" display="http://tprocess-contax/browse/CTXFORBM-291164"/>
    <hyperlink ref="A58" r:id="rId224" display="http://tprocess-contax/browse/CTXFORBM-288047"/>
    <hyperlink ref="A56" r:id="rId225" display="http://tprocess-contax/browse/CTXFORBM-287648"/>
    <hyperlink ref="A51" r:id="rId226" display="http://tprocess-contax/browse/CTXFORBM-286544"/>
    <hyperlink ref="A47" r:id="rId227" display="http://tprocess-contax/browse/CTXFORBM-286210"/>
    <hyperlink ref="A46" r:id="rId228" display="http://tprocess-contax/browse/CTXFORBM-286122"/>
    <hyperlink ref="A11" r:id="rId229" display="http://tprocess-contax/browse/CTXFORBM-275919"/>
    <hyperlink ref="A10" r:id="rId230" display="http://tprocess-contax/browse/CTXFORBM-275906"/>
    <hyperlink ref="A6" r:id="rId231" display="http://tprocess-contax/browse/CTXFORBM-269983"/>
    <hyperlink ref="A69" r:id="rId232" display="http://tprocess-contax/browse/CTXCASQC-12886"/>
    <hyperlink ref="A131" r:id="rId233" display="http://tprocess-contax/browse/CTXCASEK-1359"/>
    <hyperlink ref="A103" r:id="rId234" display="http://tprocess-contax/browse/CTXCASEK-1292"/>
    <hyperlink ref="A138" r:id="rId235" display="http://tprocess-contax/browse/CTXCASEH-16731"/>
    <hyperlink ref="A111" r:id="rId236" display="http://tprocess-contax/browse/CTXCASEH-16551"/>
    <hyperlink ref="A70" r:id="rId237" display="http://tprocess-contax/browse/CTXCASEH-16343"/>
    <hyperlink ref="A68" r:id="rId238" display="http://tprocess-contax/browse/CTXCASEH-16321"/>
    <hyperlink ref="A244" r:id="rId239" display="http://tprocess-contax/browse/CTXBHZRI-92125"/>
    <hyperlink ref="A240" r:id="rId240" display="http://tprocess-contax/browse/CTXBHZRI-92004"/>
    <hyperlink ref="A234" r:id="rId241" display="http://tprocess-contax/browse/CTXBHZRI-91902"/>
    <hyperlink ref="A203" r:id="rId242" display="http://tprocess-contax/browse/CTXBHZRI-91136"/>
    <hyperlink ref="A154" r:id="rId243" display="http://tprocess-contax/browse/CTXBHZRI-90211"/>
    <hyperlink ref="A80" r:id="rId244" display="http://tprocess-contax/browse/CTXBHZRI-87861"/>
    <hyperlink ref="A13" r:id="rId245" display="http://tprocess-contax/browse/CTXBHZRI-84138"/>
    <hyperlink ref="L2" r:id="rId246"/>
    <hyperlink ref="L3" r:id="rId247"/>
    <hyperlink ref="L4" r:id="rId248"/>
    <hyperlink ref="L9" r:id="rId249"/>
    <hyperlink ref="L10" r:id="rId250"/>
    <hyperlink ref="L12" r:id="rId251"/>
    <hyperlink ref="L13" r:id="rId252"/>
    <hyperlink ref="L14" r:id="rId253"/>
    <hyperlink ref="L16" r:id="rId254"/>
    <hyperlink ref="L17" r:id="rId255"/>
    <hyperlink ref="L18" r:id="rId256"/>
    <hyperlink ref="L28" r:id="rId257"/>
    <hyperlink ref="L26" r:id="rId258"/>
    <hyperlink ref="L24" r:id="rId259"/>
    <hyperlink ref="L22" r:id="rId260"/>
    <hyperlink ref="L31" r:id="rId261"/>
    <hyperlink ref="L32" r:id="rId262"/>
    <hyperlink ref="L33" r:id="rId263"/>
    <hyperlink ref="L37" r:id="rId264"/>
    <hyperlink ref="L38" r:id="rId265"/>
    <hyperlink ref="L40" r:id="rId266"/>
    <hyperlink ref="L44" r:id="rId267"/>
    <hyperlink ref="L47" r:id="rId268"/>
    <hyperlink ref="L50" r:id="rId269"/>
    <hyperlink ref="L54" r:id="rId270"/>
    <hyperlink ref="L57" r:id="rId271"/>
    <hyperlink ref="L60" r:id="rId272"/>
    <hyperlink ref="L61" r:id="rId273"/>
    <hyperlink ref="L64" r:id="rId274"/>
    <hyperlink ref="L68" r:id="rId275"/>
    <hyperlink ref="L71" r:id="rId276"/>
    <hyperlink ref="L72" r:id="rId277"/>
    <hyperlink ref="L74" r:id="rId278"/>
    <hyperlink ref="L75" r:id="rId279"/>
    <hyperlink ref="L76" r:id="rId280"/>
    <hyperlink ref="L77" r:id="rId281"/>
    <hyperlink ref="L78" r:id="rId282"/>
    <hyperlink ref="L79" r:id="rId283"/>
    <hyperlink ref="L80" r:id="rId284"/>
    <hyperlink ref="L81" r:id="rId285"/>
    <hyperlink ref="L82" r:id="rId286"/>
    <hyperlink ref="L83" r:id="rId287"/>
    <hyperlink ref="L87" r:id="rId288"/>
    <hyperlink ref="L90" r:id="rId289"/>
    <hyperlink ref="L91" r:id="rId290"/>
    <hyperlink ref="L92" r:id="rId291"/>
    <hyperlink ref="L93" r:id="rId292"/>
    <hyperlink ref="L94" r:id="rId293"/>
    <hyperlink ref="L95" r:id="rId294"/>
    <hyperlink ref="L96" r:id="rId295"/>
    <hyperlink ref="L97" r:id="rId296"/>
    <hyperlink ref="L98" r:id="rId297"/>
    <hyperlink ref="L99" r:id="rId298"/>
    <hyperlink ref="L100" r:id="rId299"/>
    <hyperlink ref="L101" r:id="rId300"/>
    <hyperlink ref="L104" r:id="rId301"/>
    <hyperlink ref="L105" r:id="rId302"/>
    <hyperlink ref="L109" r:id="rId303"/>
    <hyperlink ref="L111" r:id="rId304"/>
    <hyperlink ref="L112" r:id="rId305"/>
    <hyperlink ref="L113" r:id="rId306"/>
    <hyperlink ref="L114" r:id="rId307"/>
    <hyperlink ref="L115" r:id="rId308"/>
    <hyperlink ref="L116" r:id="rId309"/>
    <hyperlink ref="L117" r:id="rId310"/>
    <hyperlink ref="L118" r:id="rId311"/>
    <hyperlink ref="L119" r:id="rId312"/>
    <hyperlink ref="L120" r:id="rId313"/>
    <hyperlink ref="L121" r:id="rId314"/>
    <hyperlink ref="L122" r:id="rId315"/>
    <hyperlink ref="L123" r:id="rId316"/>
    <hyperlink ref="L125" r:id="rId317"/>
    <hyperlink ref="L126" r:id="rId318"/>
    <hyperlink ref="L127" r:id="rId319"/>
    <hyperlink ref="L130" r:id="rId320"/>
    <hyperlink ref="L131" r:id="rId321"/>
    <hyperlink ref="L132" r:id="rId322"/>
    <hyperlink ref="L133" r:id="rId323"/>
    <hyperlink ref="L134" r:id="rId324"/>
    <hyperlink ref="L136" r:id="rId325"/>
    <hyperlink ref="L137" r:id="rId326"/>
    <hyperlink ref="L139" r:id="rId327"/>
    <hyperlink ref="L140" r:id="rId328"/>
    <hyperlink ref="L141" r:id="rId329"/>
    <hyperlink ref="L142" r:id="rId330"/>
    <hyperlink ref="L143" r:id="rId331"/>
    <hyperlink ref="L144" r:id="rId332"/>
    <hyperlink ref="L145" r:id="rId333"/>
    <hyperlink ref="L147" r:id="rId334"/>
    <hyperlink ref="L148" r:id="rId335"/>
    <hyperlink ref="L149" r:id="rId336"/>
    <hyperlink ref="L150" r:id="rId337"/>
    <hyperlink ref="L151" r:id="rId338"/>
    <hyperlink ref="L152" r:id="rId339"/>
    <hyperlink ref="L153" r:id="rId340"/>
    <hyperlink ref="L154" r:id="rId341"/>
    <hyperlink ref="L155" r:id="rId342"/>
    <hyperlink ref="L156" r:id="rId343"/>
    <hyperlink ref="L158" r:id="rId344"/>
    <hyperlink ref="L160" r:id="rId345"/>
    <hyperlink ref="L161" r:id="rId346"/>
    <hyperlink ref="L162" r:id="rId347"/>
    <hyperlink ref="L163" r:id="rId348"/>
    <hyperlink ref="L165" r:id="rId349"/>
    <hyperlink ref="L166" r:id="rId350"/>
    <hyperlink ref="L168" r:id="rId351"/>
    <hyperlink ref="L170" r:id="rId352"/>
    <hyperlink ref="L171" r:id="rId353"/>
    <hyperlink ref="L173" r:id="rId354"/>
    <hyperlink ref="L174" r:id="rId355"/>
    <hyperlink ref="L175" r:id="rId356"/>
    <hyperlink ref="L176" r:id="rId357"/>
    <hyperlink ref="L178" r:id="rId358"/>
    <hyperlink ref="L179" r:id="rId359"/>
    <hyperlink ref="L181" r:id="rId360"/>
    <hyperlink ref="L182" r:id="rId361"/>
    <hyperlink ref="L185" r:id="rId362"/>
    <hyperlink ref="L186" r:id="rId363"/>
    <hyperlink ref="L187" r:id="rId364"/>
    <hyperlink ref="L188" r:id="rId365"/>
    <hyperlink ref="L190" r:id="rId366"/>
    <hyperlink ref="L191" r:id="rId367"/>
    <hyperlink ref="L192" r:id="rId368"/>
    <hyperlink ref="L195" r:id="rId369"/>
    <hyperlink ref="L196" r:id="rId370"/>
    <hyperlink ref="A197" r:id="rId371" display="http://tprocess-contax/browse/CTXLONLA-24973"/>
    <hyperlink ref="L197" r:id="rId372"/>
    <hyperlink ref="L198" r:id="rId373"/>
    <hyperlink ref="L201" r:id="rId374"/>
    <hyperlink ref="L203" r:id="rId375"/>
    <hyperlink ref="L204" r:id="rId376"/>
    <hyperlink ref="L207" r:id="rId377"/>
    <hyperlink ref="L209" r:id="rId378"/>
    <hyperlink ref="L211" r:id="rId379"/>
    <hyperlink ref="L212" r:id="rId380"/>
    <hyperlink ref="L214" r:id="rId381"/>
    <hyperlink ref="L215" r:id="rId382"/>
    <hyperlink ref="L216" r:id="rId383"/>
    <hyperlink ref="L218" r:id="rId384"/>
    <hyperlink ref="L219" r:id="rId385"/>
    <hyperlink ref="L223" r:id="rId386"/>
    <hyperlink ref="L224" r:id="rId387"/>
    <hyperlink ref="L226" r:id="rId388"/>
    <hyperlink ref="L227" r:id="rId389"/>
    <hyperlink ref="L228" r:id="rId390"/>
    <hyperlink ref="L230" r:id="rId391"/>
    <hyperlink ref="L231" r:id="rId392"/>
    <hyperlink ref="L232" r:id="rId393"/>
    <hyperlink ref="L233" r:id="rId394"/>
    <hyperlink ref="L234" r:id="rId395"/>
    <hyperlink ref="L236" r:id="rId396"/>
    <hyperlink ref="L238" r:id="rId397"/>
    <hyperlink ref="L240" r:id="rId398"/>
    <hyperlink ref="L241" r:id="rId399"/>
    <hyperlink ref="L242" r:id="rId400"/>
    <hyperlink ref="L243" r:id="rId401"/>
    <hyperlink ref="L247" r:id="rId402"/>
    <hyperlink ref="L248" r:id="rId403"/>
    <hyperlink ref="L253" r:id="rId404"/>
    <hyperlink ref="L254" r:id="rId405"/>
    <hyperlink ref="L255" r:id="rId406"/>
    <hyperlink ref="L257" r:id="rId407"/>
    <hyperlink ref="L258" r:id="rId408"/>
    <hyperlink ref="L259" r:id="rId409"/>
    <hyperlink ref="L260" r:id="rId410"/>
    <hyperlink ref="L261" r:id="rId411"/>
    <hyperlink ref="L262" r:id="rId412"/>
    <hyperlink ref="L264" r:id="rId413"/>
    <hyperlink ref="L266" r:id="rId414"/>
    <hyperlink ref="L267" r:id="rId415"/>
    <hyperlink ref="L268" r:id="rId416"/>
    <hyperlink ref="L269" r:id="rId417"/>
    <hyperlink ref="L270" r:id="rId418"/>
    <hyperlink ref="L271" r:id="rId419"/>
    <hyperlink ref="L274" r:id="rId420"/>
    <hyperlink ref="L276" r:id="rId421"/>
    <hyperlink ref="L277" r:id="rId422"/>
    <hyperlink ref="L282" r:id="rId423"/>
    <hyperlink ref="L284" r:id="rId424"/>
    <hyperlink ref="L285" r:id="rId425"/>
    <hyperlink ref="L286" r:id="rId426"/>
    <hyperlink ref="L291" r:id="rId427"/>
    <hyperlink ref="L292" r:id="rId428"/>
    <hyperlink ref="L298" r:id="rId429"/>
    <hyperlink ref="L299" r:id="rId430"/>
    <hyperlink ref="L302" r:id="rId431"/>
    <hyperlink ref="L305" r:id="rId432"/>
    <hyperlink ref="L306" r:id="rId433"/>
    <hyperlink ref="L308" r:id="rId434"/>
    <hyperlink ref="L310" r:id="rId435"/>
    <hyperlink ref="L312" r:id="rId436"/>
    <hyperlink ref="L313" r:id="rId437"/>
    <hyperlink ref="L314" r:id="rId438"/>
    <hyperlink ref="L315" r:id="rId439"/>
    <hyperlink ref="L316" r:id="rId440"/>
    <hyperlink ref="L317" r:id="rId441"/>
    <hyperlink ref="L323" r:id="rId442"/>
    <hyperlink ref="L324" r:id="rId443"/>
    <hyperlink ref="L328" r:id="rId444"/>
    <hyperlink ref="L329" r:id="rId445"/>
    <hyperlink ref="L341" r:id="rId446"/>
    <hyperlink ref="L6" r:id="rId447"/>
    <hyperlink ref="A346" r:id="rId448" display="http://tprocess-contax/browse/CTXSPOLP-111246"/>
    <hyperlink ref="A347" r:id="rId449" display="http://tprocess-contax/browse/CTXSPOLP-110808"/>
    <hyperlink ref="A348" r:id="rId450" display="http://tprocess-contax/browse/CTXSPOLP-104419"/>
    <hyperlink ref="A349" r:id="rId451" display="http://tprocess-contax/browse/CTXSPOLP-102656"/>
    <hyperlink ref="A350" r:id="rId452" display="http://tprocess-contax/browse/CTXSPOBF-128884"/>
    <hyperlink ref="A351" r:id="rId453" display="http://tprocess-contax/browse/CTXSPOBF-126376"/>
    <hyperlink ref="A352" r:id="rId454" display="http://tprocess-contax/browse/CTXSPOBF-126223"/>
    <hyperlink ref="A353" r:id="rId455" display="http://tprocess-contax/browse/CTXSPOBF-126151"/>
    <hyperlink ref="A354" r:id="rId456" display="http://tprocess-contax/browse/CTXSPOBF-125417"/>
    <hyperlink ref="A355" r:id="rId457" display="http://tprocess-contax/browse/CTXSPOBF-124658"/>
    <hyperlink ref="A356" r:id="rId458" display="http://tprocess-contax/browse/CTXSPOAS-4623"/>
    <hyperlink ref="A357" r:id="rId459" display="http://tprocess-contax/browse/CTXSPOAS-4482"/>
    <hyperlink ref="A358" r:id="rId460" display="http://tprocess-contax/browse/CTXSPOAP407-13610"/>
    <hyperlink ref="A359" r:id="rId461" display="http://tprocess-contax/browse/CTXSPOAP407-13592"/>
    <hyperlink ref="A360" r:id="rId462" display="http://tprocess-contax/browse/CTXSPOAP407-13561"/>
    <hyperlink ref="A361" r:id="rId463" display="http://tprocess-contax/browse/CTXSPOAP407-13280"/>
    <hyperlink ref="A362" r:id="rId464" display="http://tprocess-contax/browse/CTXSPOAP407-13114"/>
    <hyperlink ref="A363" r:id="rId465" display="http://tprocess-contax/browse/CTXSPOAP407-12458"/>
    <hyperlink ref="A364" r:id="rId466" display="http://tprocess-contax/browse/CTXSPOAP407-10513"/>
    <hyperlink ref="A365" r:id="rId467" display="http://tprocess-contax/browse/CTXSPOAL-96427"/>
    <hyperlink ref="A366" r:id="rId468" display="http://tprocess-contax/browse/CTXSPOAL-96174"/>
    <hyperlink ref="A367" r:id="rId469" display="http://tprocess-contax/browse/CTXSPOAL-96094"/>
    <hyperlink ref="A368" r:id="rId470" display="http://tprocess-contax/browse/CTXSALSM-83159"/>
    <hyperlink ref="A369" r:id="rId471" display="http://tprocess-contax/browse/CTXRJOMK-125309"/>
    <hyperlink ref="A370" r:id="rId472" display="http://tprocess-contax/browse/CTXRECSA-438942"/>
    <hyperlink ref="A371" r:id="rId473" display="http://tprocess-contax/browse/CTXRECAU-61345"/>
    <hyperlink ref="A372" r:id="rId474" display="http://tprocess-contax/browse/CTXNITSP-172611"/>
    <hyperlink ref="A373" r:id="rId475" display="http://tprocess-contax/browse/CTXNITSP-172461"/>
    <hyperlink ref="A374" r:id="rId476" display="http://tprocess-contax/browse/CTXNITSP-172449"/>
    <hyperlink ref="A375" r:id="rId477" display="http://tprocess-contax/browse/CTXNITSP-170972"/>
    <hyperlink ref="A376" r:id="rId478" display="http://tprocess-contax/browse/CTXMTZPB-758"/>
    <hyperlink ref="A377" r:id="rId479" display="http://tprocess-contax/browse/CTXMLTREG-4375"/>
    <hyperlink ref="A378" r:id="rId480" display="http://tprocess-contax/browse/CTXFORBM-327360"/>
    <hyperlink ref="A379" r:id="rId481" display="http://tprocess-contax/browse/CTXBHZRI-93698"/>
    <hyperlink ref="A380" r:id="rId482" display="http://tprocess-contax/browse/CTXSPOLP-115119"/>
    <hyperlink ref="A381" r:id="rId483" display="http://tprocess-contax/browse/CTXSPOLP-115117"/>
    <hyperlink ref="A382" r:id="rId484" display="http://tprocess-contax/browse/CTXSPOLP-115114"/>
    <hyperlink ref="A383" r:id="rId485" display="http://tprocess-contax/browse/CTXSPOLP-113720"/>
    <hyperlink ref="A384" r:id="rId486" display="http://tprocess-contax/browse/CTXSPOBF-129991"/>
    <hyperlink ref="A385" r:id="rId487" display="http://tprocess-contax/browse/CTXSPOBF-129499"/>
    <hyperlink ref="A412" r:id="rId488" display="http://tprocess-contax/browse/CTXNITSP-172870"/>
    <hyperlink ref="A413" r:id="rId489" display="http://tprocess-contax/browse/CTXNITSP-172869"/>
    <hyperlink ref="A414" r:id="rId490" display="http://tprocess-contax/browse/CTXNITSP-172868"/>
    <hyperlink ref="A415" r:id="rId491" display="http://tprocess-contax/browse/CTXNITSP-172614"/>
    <hyperlink ref="A416" r:id="rId492" display="http://tprocess-contax/browse/CTXNITSP-172566"/>
    <hyperlink ref="A417" r:id="rId493" display="http://tprocess-contax/browse/CTXNITSP-172565"/>
    <hyperlink ref="A418" r:id="rId494" display="http://tprocess-contax/browse/CTXMTZPB-1044"/>
    <hyperlink ref="A419" r:id="rId495" display="http://tprocess-contax/browse/CTXMTZPB-1001"/>
    <hyperlink ref="A420" r:id="rId496" display="http://tprocess-contax/browse/CTXMTZPB-944"/>
    <hyperlink ref="A421" r:id="rId497" display="http://tprocess-contax/browse/CTXMLTREG-4553"/>
    <hyperlink ref="A422" r:id="rId498" display="http://tprocess-contax/browse/CTXMLTREG-3815"/>
    <hyperlink ref="A423" r:id="rId499" display="http://tprocess-contax/browse/CTXFORNA-26367"/>
    <hyperlink ref="A424" r:id="rId500" display="http://tprocess-contax/browse/CTXFORBM-335280"/>
    <hyperlink ref="A425" r:id="rId501" display="http://tprocess-contax/browse/CTXFORBM-335279"/>
    <hyperlink ref="A426" r:id="rId502" display="http://tprocess-contax/browse/CTXFORBM-335112"/>
    <hyperlink ref="A427" r:id="rId503" display="http://tprocess-contax/browse/CTXFORBM-333926"/>
    <hyperlink ref="A428" r:id="rId504" display="http://tprocess-contax/browse/CTXFORBM-332803"/>
    <hyperlink ref="A429" r:id="rId505" display="http://tprocess-contax/browse/CTXFORBM-332802"/>
    <hyperlink ref="A430" r:id="rId506" display="http://tprocess-contax/browse/CTXFORBM-332092"/>
    <hyperlink ref="A431" r:id="rId507" display="http://tprocess-contax/browse/CTXCASEK-1528"/>
    <hyperlink ref="A432" r:id="rId508" display="http://tprocess-contax/browse/CTXBHZRP-217019"/>
    <hyperlink ref="A433" r:id="rId509" display="http://tprocess-contax/browse/CTXBHZRI-94988"/>
    <hyperlink ref="A434" r:id="rId510" display="http://tprocess-contax/browse/CTXBHZRI-94859"/>
    <hyperlink ref="A435" r:id="rId511" display="http://tprocess-contax/browse/CTXBHZRI-94837"/>
    <hyperlink ref="A436" r:id="rId512" display="http://tprocess-contax/browse/CTXBHZRI-91131"/>
    <hyperlink ref="A437" r:id="rId513" display="http://tprocess-contax/browse/CLIORBSAN-81"/>
    <hyperlink ref="A438" r:id="rId514" display="http://tprocess-contax/browse/CLIORBCG-190"/>
    <hyperlink ref="A439" r:id="rId515" display="http://tprocess-contax/browse/CLIORBCG-189"/>
    <hyperlink ref="A440" r:id="rId516" display="http://tprocess-contax/browse/CLIORBCG-188"/>
    <hyperlink ref="A441" r:id="rId517" display="http://tprocess-contax/browse/CLIORBCG-187"/>
    <hyperlink ref="A442" r:id="rId518" display="http://tprocess-contax/browse/CLIORBCG-186"/>
    <hyperlink ref="A443" r:id="rId519" display="http://tprocess-contax/browse/CLIORBCG-174"/>
    <hyperlink ref="A455" r:id="rId520" display="http://tprocess-contax/browse/CTXSPOAL-87292"/>
    <hyperlink ref="A456" r:id="rId521" display="http://tprocess-contax/browse/CTXSPOAL-85839"/>
    <hyperlink ref="A457" r:id="rId522" display="http://tprocess-contax/browse/CTXSPOAL-84132"/>
    <hyperlink ref="A458" r:id="rId523" display="http://tprocess-contax/browse/CTXSALSM-81391"/>
    <hyperlink ref="A459" r:id="rId524" display="http://tprocess-contax/browse/CTXSALPB-41571"/>
    <hyperlink ref="A460" r:id="rId525" display="http://tprocess-contax/browse/CTXSALAS-158774"/>
    <hyperlink ref="A461" r:id="rId526" display="http://tprocess-contax/browse/CTXRJOMK-121563"/>
    <hyperlink ref="A462" r:id="rId527" display="http://tprocess-contax/browse/CTXRECSA-426219"/>
    <hyperlink ref="A463" r:id="rId528" display="http://tprocess-contax/browse/CTXRECSA-418499"/>
    <hyperlink ref="A464" r:id="rId529" display="http://tprocess-contax/browse/CTXRECAM-54756"/>
    <hyperlink ref="A465" r:id="rId530" display="http://tprocess-contax/browse/CTXRBRSA-32"/>
    <hyperlink ref="A466" r:id="rId531" display="http://tprocess-contax/browse/CTXPOARB-92544"/>
    <hyperlink ref="A467" r:id="rId532" display="http://tprocess-contax/browse/CTXNITSP-168713"/>
    <hyperlink ref="A468" r:id="rId533" display="http://tprocess-contax/browse/CTXNITSP-167961"/>
    <hyperlink ref="A469" r:id="rId534" display="http://tprocess-contax/browse/CTXNITSP-167678"/>
    <hyperlink ref="A470" r:id="rId535" display="http://tprocess-contax/browse/CTXNITSP-154454"/>
    <hyperlink ref="A471" r:id="rId536" display="http://tprocess-contax/browse/CTXMTZRP-43087"/>
    <hyperlink ref="A472" r:id="rId537" display="http://tprocess-contax/browse/CTXMTZRP-42426"/>
    <hyperlink ref="A473" r:id="rId538" display="http://tprocess-contax/browse/CTXMTZRP-42369"/>
    <hyperlink ref="A474" r:id="rId539" display="http://tprocess-contax/browse/CTXMTZRP-42203"/>
    <hyperlink ref="A475" r:id="rId540" display="http://tprocess-contax/browse/CTXMTZRP-42057"/>
    <hyperlink ref="A476" r:id="rId541" display="http://tprocess-contax/browse/CTXMTZRP-41358"/>
    <hyperlink ref="A477" r:id="rId542" display="http://tprocess-contax/browse/CTXMTZRP-41157"/>
    <hyperlink ref="A478" r:id="rId543" display="http://tprocess-contax/browse/CTXMTZRP-40787"/>
    <hyperlink ref="A479" r:id="rId544" display="http://tprocess-contax/browse/CTXMTZRP-38234"/>
    <hyperlink ref="A480" r:id="rId545" display="http://tprocess-contax/browse/CTXMTZRP-35937"/>
    <hyperlink ref="A481" r:id="rId546" display="http://tprocess-contax/browse/CTXMTZPB-307"/>
    <hyperlink ref="A482" r:id="rId547" display="http://tprocess-contax/browse/CTXMLTREG-4207"/>
    <hyperlink ref="A483" r:id="rId548" display="http://tprocess-contax/browse/CTXMLTREG-4086"/>
    <hyperlink ref="A484" r:id="rId549" display="http://tprocess-contax/browse/CTXMLTREG-3867"/>
    <hyperlink ref="A485" r:id="rId550" display="http://tprocess-contax/browse/CTXMLTREG-3795"/>
    <hyperlink ref="A486" r:id="rId551" display="http://tprocess-contax/browse/CTXMLTREG-3790"/>
    <hyperlink ref="A487" r:id="rId552" display="http://tprocess-contax/browse/CTXMLTREG-3442"/>
    <hyperlink ref="A488" r:id="rId553" display="http://tprocess-contax/browse/CTXLONLA-26023"/>
    <hyperlink ref="A489" r:id="rId554" display="http://tprocess-contax/browse/CTXJPASA-1589"/>
    <hyperlink ref="A490" r:id="rId555" display="http://tprocess-contax/browse/CTXFORBM-326935"/>
    <hyperlink ref="A491" r:id="rId556" display="http://tprocess-contax/browse/CTXFORBM-326889"/>
    <hyperlink ref="A492" r:id="rId557" display="http://tprocess-contax/browse/CTXFORBM-322126"/>
    <hyperlink ref="A493" r:id="rId558" display="http://tprocess-contax/browse/CTXFORBM-321427"/>
    <hyperlink ref="A494" r:id="rId559" display="http://tprocess-contax/browse/CTXFORBM-320922"/>
    <hyperlink ref="A495" r:id="rId560" display="http://tprocess-contax/browse/CTXFORBM-320915"/>
    <hyperlink ref="A496" r:id="rId561" display="http://tprocess-contax/browse/CTXCASEH-17406"/>
    <hyperlink ref="A454" r:id="rId562" display="http://tprocess-contax/browse/CTXSPOAL-88513"/>
    <hyperlink ref="A453" r:id="rId563" display="http://tprocess-contax/browse/CTXSPOAL-89100"/>
    <hyperlink ref="A452" r:id="rId564" display="http://tprocess-contax/browse/CTXSPOAL-89332"/>
    <hyperlink ref="A451" r:id="rId565" display="http://tprocess-contax/browse/CTXSPOAL-89741"/>
    <hyperlink ref="A450" r:id="rId566" display="http://tprocess-contax/browse/CTXSPOAL-92107"/>
    <hyperlink ref="A449" r:id="rId567" display="http://tprocess-contax/browse/CTXSPOAL-92422"/>
    <hyperlink ref="A448" r:id="rId568" display="http://tprocess-contax/browse/CTXSPOAL-92544"/>
    <hyperlink ref="A447" r:id="rId569" display="http://tprocess-contax/browse/CTXSPOAP407-9796"/>
    <hyperlink ref="A446" r:id="rId570" display="http://tprocess-contax/browse/CTXSPOAP407-9799"/>
    <hyperlink ref="A445" r:id="rId571" display="http://tprocess-contax/browse/CTXSPOAP407-9838"/>
    <hyperlink ref="A444" r:id="rId572" display="http://tprocess-contax/browse/CTXSPOAP407-10248"/>
  </hyperlinks>
  <pageMargins left="0.511811024" right="0.511811024" top="0.78740157499999996" bottom="0.78740157499999996" header="0.31496062000000002" footer="0.31496062000000002"/>
  <pageSetup paperSize="9" orientation="portrait" r:id="rId573"/>
  <legacyDrawing r:id="rId57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9"/>
  <dimension ref="A1:P17"/>
  <sheetViews>
    <sheetView workbookViewId="0">
      <selection activeCell="C17" sqref="C17"/>
    </sheetView>
  </sheetViews>
  <sheetFormatPr defaultRowHeight="15" x14ac:dyDescent="0.25"/>
  <cols>
    <col min="1" max="1" width="32" customWidth="1"/>
    <col min="2" max="5" width="14.140625" customWidth="1"/>
    <col min="6" max="6" width="14.140625" style="1" customWidth="1"/>
    <col min="7" max="7" width="14.140625" customWidth="1"/>
    <col min="8" max="8" width="14.140625" style="1" customWidth="1"/>
    <col min="9" max="10" width="14.140625" customWidth="1"/>
  </cols>
  <sheetData>
    <row r="1" spans="1:16" s="74" customFormat="1" ht="73.5" customHeight="1" x14ac:dyDescent="0.25">
      <c r="A1" s="71" t="s">
        <v>2253</v>
      </c>
      <c r="B1" s="76" t="s">
        <v>2275</v>
      </c>
      <c r="C1" s="76" t="s">
        <v>2260</v>
      </c>
      <c r="D1" s="76" t="s">
        <v>2263</v>
      </c>
      <c r="E1" s="76" t="s">
        <v>2264</v>
      </c>
      <c r="F1" s="76" t="s">
        <v>2270</v>
      </c>
      <c r="G1" s="76" t="s">
        <v>2269</v>
      </c>
      <c r="H1" s="76" t="s">
        <v>2265</v>
      </c>
      <c r="I1" s="76" t="s">
        <v>2261</v>
      </c>
      <c r="J1" s="77" t="s">
        <v>2262</v>
      </c>
      <c r="K1" s="72"/>
      <c r="L1" s="72"/>
      <c r="M1" s="72"/>
      <c r="N1" s="72"/>
      <c r="O1" s="73"/>
      <c r="P1" s="73"/>
    </row>
    <row r="2" spans="1:16" x14ac:dyDescent="0.25">
      <c r="A2" s="70" t="s">
        <v>2266</v>
      </c>
      <c r="B2" s="70">
        <f t="shared" ref="B2:B10" si="0">C2+LARGE(D2:G2,1)+H2+I2</f>
        <v>8</v>
      </c>
      <c r="C2" s="70">
        <v>2</v>
      </c>
      <c r="D2" s="70">
        <v>3</v>
      </c>
      <c r="E2" s="70">
        <v>1</v>
      </c>
      <c r="F2" s="70">
        <v>1</v>
      </c>
      <c r="G2" s="70">
        <v>1</v>
      </c>
      <c r="H2" s="70">
        <v>2</v>
      </c>
      <c r="I2" s="70">
        <v>1</v>
      </c>
      <c r="J2" s="75">
        <v>1</v>
      </c>
    </row>
    <row r="3" spans="1:16" s="1" customFormat="1" x14ac:dyDescent="0.25">
      <c r="A3" s="70" t="s">
        <v>2267</v>
      </c>
      <c r="B3" s="70">
        <f t="shared" si="0"/>
        <v>12</v>
      </c>
      <c r="C3" s="70">
        <v>2</v>
      </c>
      <c r="D3" s="70">
        <v>3</v>
      </c>
      <c r="E3" s="70">
        <v>1</v>
      </c>
      <c r="F3" s="70">
        <v>1</v>
      </c>
      <c r="G3" s="70">
        <v>1</v>
      </c>
      <c r="H3" s="70">
        <v>5</v>
      </c>
      <c r="I3" s="70">
        <v>2</v>
      </c>
      <c r="J3" s="75">
        <v>3</v>
      </c>
    </row>
    <row r="4" spans="1:16" s="1" customFormat="1" x14ac:dyDescent="0.25">
      <c r="A4" s="70" t="s">
        <v>2268</v>
      </c>
      <c r="B4" s="70">
        <f t="shared" si="0"/>
        <v>19</v>
      </c>
      <c r="C4" s="70">
        <v>2</v>
      </c>
      <c r="D4" s="70">
        <v>3</v>
      </c>
      <c r="E4" s="70">
        <v>1</v>
      </c>
      <c r="F4" s="70">
        <v>1</v>
      </c>
      <c r="G4" s="70">
        <v>1</v>
      </c>
      <c r="H4" s="70">
        <v>10</v>
      </c>
      <c r="I4" s="70">
        <v>4</v>
      </c>
      <c r="J4" s="75">
        <v>5</v>
      </c>
    </row>
    <row r="5" spans="1:16" x14ac:dyDescent="0.25">
      <c r="A5" s="70" t="s">
        <v>2254</v>
      </c>
      <c r="B5" s="70">
        <f t="shared" si="0"/>
        <v>16</v>
      </c>
      <c r="C5" s="70">
        <v>3</v>
      </c>
      <c r="D5" s="70">
        <v>3</v>
      </c>
      <c r="E5" s="70">
        <v>5</v>
      </c>
      <c r="F5" s="70">
        <v>5</v>
      </c>
      <c r="G5" s="70">
        <v>5</v>
      </c>
      <c r="H5" s="70">
        <v>3</v>
      </c>
      <c r="I5" s="70">
        <v>5</v>
      </c>
      <c r="J5" s="75">
        <v>5</v>
      </c>
    </row>
    <row r="6" spans="1:16" x14ac:dyDescent="0.25">
      <c r="A6" s="70" t="s">
        <v>2255</v>
      </c>
      <c r="B6" s="70">
        <f t="shared" si="0"/>
        <v>30</v>
      </c>
      <c r="C6" s="70">
        <v>5</v>
      </c>
      <c r="D6" s="70">
        <v>5</v>
      </c>
      <c r="E6" s="70">
        <v>3</v>
      </c>
      <c r="F6" s="70">
        <v>3</v>
      </c>
      <c r="G6" s="70">
        <v>5</v>
      </c>
      <c r="H6" s="70">
        <v>20</v>
      </c>
      <c r="I6" s="70">
        <v>0</v>
      </c>
      <c r="J6" s="75">
        <v>0</v>
      </c>
    </row>
    <row r="7" spans="1:16" x14ac:dyDescent="0.25">
      <c r="A7" s="70" t="s">
        <v>2256</v>
      </c>
      <c r="B7" s="70">
        <f t="shared" si="0"/>
        <v>15</v>
      </c>
      <c r="C7" s="70">
        <v>2</v>
      </c>
      <c r="D7" s="70">
        <v>3</v>
      </c>
      <c r="E7" s="70">
        <v>5</v>
      </c>
      <c r="F7" s="70">
        <v>5</v>
      </c>
      <c r="G7" s="70">
        <v>5</v>
      </c>
      <c r="H7" s="70">
        <v>3</v>
      </c>
      <c r="I7" s="70">
        <v>5</v>
      </c>
      <c r="J7" s="75">
        <v>5</v>
      </c>
    </row>
    <row r="8" spans="1:16" x14ac:dyDescent="0.25">
      <c r="A8" s="70" t="s">
        <v>2257</v>
      </c>
      <c r="B8" s="70">
        <f t="shared" si="0"/>
        <v>9</v>
      </c>
      <c r="C8" s="70">
        <v>1</v>
      </c>
      <c r="D8" s="70">
        <v>2</v>
      </c>
      <c r="E8" s="70">
        <v>0</v>
      </c>
      <c r="F8" s="70">
        <v>0</v>
      </c>
      <c r="G8" s="70">
        <v>3</v>
      </c>
      <c r="H8" s="70">
        <v>3</v>
      </c>
      <c r="I8" s="70">
        <v>2</v>
      </c>
      <c r="J8" s="75">
        <v>2</v>
      </c>
    </row>
    <row r="9" spans="1:16" x14ac:dyDescent="0.25">
      <c r="A9" s="70" t="s">
        <v>2258</v>
      </c>
      <c r="B9" s="70">
        <f t="shared" si="0"/>
        <v>5</v>
      </c>
      <c r="C9" s="70">
        <v>1</v>
      </c>
      <c r="D9" s="70">
        <v>2</v>
      </c>
      <c r="E9" s="70">
        <v>0</v>
      </c>
      <c r="F9" s="70">
        <v>0</v>
      </c>
      <c r="G9" s="70">
        <v>0</v>
      </c>
      <c r="H9" s="70">
        <v>1</v>
      </c>
      <c r="I9" s="70">
        <v>1</v>
      </c>
      <c r="J9" s="75">
        <v>1</v>
      </c>
    </row>
    <row r="10" spans="1:16" x14ac:dyDescent="0.25">
      <c r="A10" s="70" t="s">
        <v>2259</v>
      </c>
      <c r="B10" s="70">
        <f t="shared" si="0"/>
        <v>9</v>
      </c>
      <c r="C10" s="70">
        <v>4</v>
      </c>
      <c r="D10" s="70">
        <v>3</v>
      </c>
      <c r="E10" s="70">
        <v>5</v>
      </c>
      <c r="F10" s="70">
        <v>5</v>
      </c>
      <c r="G10" s="70">
        <v>5</v>
      </c>
      <c r="H10" s="70">
        <v>0</v>
      </c>
      <c r="I10" s="70">
        <v>0</v>
      </c>
      <c r="J10" s="75">
        <v>0</v>
      </c>
    </row>
    <row r="11" spans="1:16" x14ac:dyDescent="0.25">
      <c r="A11" s="70"/>
      <c r="B11" s="70"/>
      <c r="C11" s="70"/>
      <c r="D11" s="70"/>
      <c r="E11" s="70"/>
      <c r="F11" s="70"/>
      <c r="G11" s="70"/>
      <c r="H11" s="70"/>
      <c r="I11" s="70"/>
      <c r="J11" s="75"/>
    </row>
    <row r="14" spans="1:16" x14ac:dyDescent="0.25">
      <c r="A14" t="s">
        <v>2271</v>
      </c>
    </row>
    <row r="15" spans="1:16" x14ac:dyDescent="0.25">
      <c r="A15" t="s">
        <v>2272</v>
      </c>
    </row>
    <row r="16" spans="1:16" x14ac:dyDescent="0.25">
      <c r="A16" t="s">
        <v>2274</v>
      </c>
    </row>
    <row r="17" spans="1:1" customFormat="1" x14ac:dyDescent="0.25">
      <c r="A17" t="s">
        <v>2273</v>
      </c>
    </row>
  </sheetData>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R10"/>
  <sheetViews>
    <sheetView zoomScale="80" zoomScaleNormal="80" workbookViewId="0">
      <selection activeCell="A6" sqref="A6:XFD10"/>
    </sheetView>
  </sheetViews>
  <sheetFormatPr defaultRowHeight="15" x14ac:dyDescent="0.25"/>
  <sheetData>
    <row r="2" spans="1:44" s="101" customFormat="1" ht="225" x14ac:dyDescent="0.25">
      <c r="A2" s="2" t="s">
        <v>2381</v>
      </c>
      <c r="B2" s="2" t="s">
        <v>0</v>
      </c>
      <c r="C2" s="2" t="s">
        <v>180</v>
      </c>
      <c r="D2" s="2" t="s">
        <v>2278</v>
      </c>
      <c r="E2" s="2" t="s">
        <v>105</v>
      </c>
      <c r="F2" s="2" t="s">
        <v>2343</v>
      </c>
      <c r="G2" s="98" t="s">
        <v>2533</v>
      </c>
      <c r="H2" s="2" t="s">
        <v>2279</v>
      </c>
      <c r="I2" s="2" t="s">
        <v>1</v>
      </c>
      <c r="J2" s="97" t="s">
        <v>247</v>
      </c>
      <c r="K2" s="2" t="s">
        <v>178</v>
      </c>
      <c r="L2" s="97" t="s">
        <v>346</v>
      </c>
      <c r="M2" s="97" t="s">
        <v>2280</v>
      </c>
      <c r="N2" s="2" t="s">
        <v>2281</v>
      </c>
      <c r="O2" s="97" t="s">
        <v>2351</v>
      </c>
      <c r="P2" s="2" t="s">
        <v>296</v>
      </c>
      <c r="Q2" s="2" t="s">
        <v>2283</v>
      </c>
      <c r="R2" s="2" t="s">
        <v>2291</v>
      </c>
      <c r="S2" s="97" t="s">
        <v>2292</v>
      </c>
      <c r="T2" s="2" t="s">
        <v>2293</v>
      </c>
      <c r="U2" s="2" t="s">
        <v>2294</v>
      </c>
      <c r="V2" s="97" t="s">
        <v>2295</v>
      </c>
      <c r="W2" s="2" t="s">
        <v>2296</v>
      </c>
      <c r="X2" s="2" t="s">
        <v>2297</v>
      </c>
      <c r="Y2" s="97" t="s">
        <v>2298</v>
      </c>
      <c r="Z2" s="2" t="s">
        <v>2299</v>
      </c>
      <c r="AA2" s="2" t="s">
        <v>2300</v>
      </c>
      <c r="AB2" s="97" t="s">
        <v>2301</v>
      </c>
      <c r="AC2" s="2" t="s">
        <v>2302</v>
      </c>
      <c r="AD2" s="2" t="s">
        <v>2303</v>
      </c>
      <c r="AE2" s="97" t="s">
        <v>2304</v>
      </c>
      <c r="AF2" s="2" t="s">
        <v>2305</v>
      </c>
      <c r="AG2" s="2" t="s">
        <v>248</v>
      </c>
      <c r="AH2" s="2" t="s">
        <v>2372</v>
      </c>
      <c r="AI2" s="97" t="s">
        <v>249</v>
      </c>
      <c r="AJ2" s="2" t="s">
        <v>2284</v>
      </c>
      <c r="AK2" s="2" t="s">
        <v>2285</v>
      </c>
      <c r="AL2" s="2" t="s">
        <v>1425</v>
      </c>
      <c r="AM2" s="2" t="s">
        <v>2286</v>
      </c>
      <c r="AN2" s="2" t="s">
        <v>2287</v>
      </c>
      <c r="AO2" s="127" t="s">
        <v>2578</v>
      </c>
      <c r="AP2" s="127" t="s">
        <v>2580</v>
      </c>
      <c r="AQ2" s="127" t="s">
        <v>2579</v>
      </c>
      <c r="AR2" s="127" t="s">
        <v>2584</v>
      </c>
    </row>
    <row r="3" spans="1:44" s="103" customFormat="1" ht="409.5" x14ac:dyDescent="0.25">
      <c r="A3" s="103" t="s">
        <v>2383</v>
      </c>
      <c r="B3" s="101" t="s">
        <v>84</v>
      </c>
      <c r="C3" s="103" t="s">
        <v>256</v>
      </c>
      <c r="D3" s="103" t="s">
        <v>154</v>
      </c>
      <c r="E3" s="103" t="s">
        <v>108</v>
      </c>
      <c r="F3" s="103" t="s">
        <v>154</v>
      </c>
      <c r="G3" s="111" t="s">
        <v>2248</v>
      </c>
      <c r="H3" s="103" t="s">
        <v>2282</v>
      </c>
      <c r="I3" s="103" t="s">
        <v>100</v>
      </c>
      <c r="J3" s="108">
        <v>42136.785416666666</v>
      </c>
      <c r="K3" s="11">
        <f t="shared" ref="K3:K10" ca="1" si="0">IFERROR(IF(AND(AG3&lt;&gt;"Concluído",AG3&lt;&gt;"Cancelado"),TODAY()-J3+1,AI3-J3),"")</f>
        <v>386.2145833333343</v>
      </c>
      <c r="L3" s="108">
        <v>42217</v>
      </c>
      <c r="M3" s="108">
        <v>42338</v>
      </c>
      <c r="O3" s="108" t="s">
        <v>348</v>
      </c>
      <c r="P3" s="44"/>
      <c r="Q3" s="109" t="s">
        <v>2632</v>
      </c>
      <c r="R3" s="109"/>
      <c r="S3" s="110"/>
      <c r="T3" s="109"/>
      <c r="U3" s="109"/>
      <c r="V3" s="110"/>
      <c r="W3" s="109"/>
      <c r="X3" s="109"/>
      <c r="Y3" s="110"/>
      <c r="Z3" s="109"/>
      <c r="AA3" s="109"/>
      <c r="AB3" s="110"/>
      <c r="AC3" s="109"/>
      <c r="AD3" s="109"/>
      <c r="AE3" s="110"/>
      <c r="AF3" s="109"/>
      <c r="AG3" s="109" t="s">
        <v>107</v>
      </c>
      <c r="AH3" s="109" t="s">
        <v>107</v>
      </c>
      <c r="AI3" s="110"/>
      <c r="AJ3" s="109"/>
      <c r="AK3" s="109"/>
      <c r="AL3" s="109"/>
      <c r="AM3" s="109"/>
      <c r="AN3" s="109"/>
      <c r="AO3" s="108" t="s">
        <v>273</v>
      </c>
      <c r="AP3" s="108" t="s">
        <v>2282</v>
      </c>
      <c r="AQ3" s="103" t="s">
        <v>2282</v>
      </c>
      <c r="AR3" s="103" t="s">
        <v>2282</v>
      </c>
    </row>
    <row r="4" spans="1:44" s="103" customFormat="1" ht="409.5" x14ac:dyDescent="0.25">
      <c r="A4" s="103" t="s">
        <v>2383</v>
      </c>
      <c r="B4" s="101" t="s">
        <v>133</v>
      </c>
      <c r="C4" s="103" t="s">
        <v>382</v>
      </c>
      <c r="D4" s="103" t="s">
        <v>154</v>
      </c>
      <c r="E4" s="103" t="s">
        <v>108</v>
      </c>
      <c r="F4" s="103" t="s">
        <v>154</v>
      </c>
      <c r="G4" s="111" t="s">
        <v>2248</v>
      </c>
      <c r="H4" s="103" t="s">
        <v>2282</v>
      </c>
      <c r="I4" s="103" t="s">
        <v>100</v>
      </c>
      <c r="J4" s="108">
        <v>42235.630555555559</v>
      </c>
      <c r="K4" s="11">
        <f t="shared" ca="1" si="0"/>
        <v>287.36944444444089</v>
      </c>
      <c r="L4" s="108">
        <v>42217</v>
      </c>
      <c r="M4" s="108">
        <v>42338</v>
      </c>
      <c r="O4" s="108" t="s">
        <v>348</v>
      </c>
      <c r="P4" s="44"/>
      <c r="Q4" s="109" t="s">
        <v>2633</v>
      </c>
      <c r="R4" s="109" t="s">
        <v>2547</v>
      </c>
      <c r="S4" s="110"/>
      <c r="T4" s="109"/>
      <c r="U4" s="109"/>
      <c r="V4" s="110"/>
      <c r="W4" s="109"/>
      <c r="X4" s="109"/>
      <c r="Y4" s="110"/>
      <c r="Z4" s="109"/>
      <c r="AA4" s="109"/>
      <c r="AB4" s="110"/>
      <c r="AC4" s="109"/>
      <c r="AD4" s="109"/>
      <c r="AE4" s="110"/>
      <c r="AF4" s="109"/>
      <c r="AG4" s="109" t="s">
        <v>107</v>
      </c>
      <c r="AH4" s="109" t="s">
        <v>107</v>
      </c>
      <c r="AI4" s="110"/>
      <c r="AJ4" s="109" t="s">
        <v>348</v>
      </c>
      <c r="AK4" s="109"/>
      <c r="AL4" s="109"/>
      <c r="AM4" s="109"/>
      <c r="AN4" s="109"/>
      <c r="AO4" s="108" t="s">
        <v>273</v>
      </c>
      <c r="AP4" s="108" t="s">
        <v>2282</v>
      </c>
      <c r="AQ4" s="103" t="s">
        <v>2282</v>
      </c>
      <c r="AR4" s="103" t="s">
        <v>2282</v>
      </c>
    </row>
    <row r="5" spans="1:44" s="103" customFormat="1" ht="409.5" x14ac:dyDescent="0.25">
      <c r="A5" s="103" t="s">
        <v>2322</v>
      </c>
      <c r="B5" s="101" t="s">
        <v>132</v>
      </c>
      <c r="C5" s="103" t="s">
        <v>146</v>
      </c>
      <c r="D5" s="103" t="s">
        <v>154</v>
      </c>
      <c r="E5" s="103" t="s">
        <v>108</v>
      </c>
      <c r="F5" s="103" t="s">
        <v>154</v>
      </c>
      <c r="G5" s="111" t="s">
        <v>2248</v>
      </c>
      <c r="H5" s="103" t="s">
        <v>2282</v>
      </c>
      <c r="I5" s="103" t="s">
        <v>100</v>
      </c>
      <c r="J5" s="108">
        <v>42235.628472222219</v>
      </c>
      <c r="K5" s="11">
        <f t="shared" ca="1" si="0"/>
        <v>287.37152777778101</v>
      </c>
      <c r="L5" s="108">
        <v>42217</v>
      </c>
      <c r="M5" s="108">
        <v>42307</v>
      </c>
      <c r="O5" s="108"/>
      <c r="P5" s="125"/>
      <c r="Q5" s="109" t="s">
        <v>2634</v>
      </c>
      <c r="R5" s="109" t="s">
        <v>156</v>
      </c>
      <c r="S5" s="110">
        <v>42333</v>
      </c>
      <c r="T5" s="109" t="s">
        <v>177</v>
      </c>
      <c r="U5" s="109" t="s">
        <v>2321</v>
      </c>
      <c r="V5" s="110"/>
      <c r="W5" s="109"/>
      <c r="X5" s="109"/>
      <c r="Y5" s="110"/>
      <c r="Z5" s="109"/>
      <c r="AA5" s="109"/>
      <c r="AB5" s="110"/>
      <c r="AC5" s="109"/>
      <c r="AD5" s="109"/>
      <c r="AE5" s="110"/>
      <c r="AF5" s="109"/>
      <c r="AG5" s="109" t="s">
        <v>2339</v>
      </c>
      <c r="AH5" s="109" t="s">
        <v>2373</v>
      </c>
      <c r="AI5" s="110" t="s">
        <v>264</v>
      </c>
      <c r="AJ5" s="109">
        <v>250</v>
      </c>
      <c r="AK5" s="109"/>
      <c r="AL5" s="109"/>
      <c r="AM5" s="109"/>
      <c r="AN5" s="109"/>
      <c r="AO5" s="108" t="s">
        <v>273</v>
      </c>
      <c r="AP5" s="108" t="s">
        <v>2282</v>
      </c>
      <c r="AQ5" s="103" t="s">
        <v>2282</v>
      </c>
      <c r="AR5" s="103" t="s">
        <v>2282</v>
      </c>
    </row>
    <row r="6" spans="1:44" s="103" customFormat="1" ht="30" x14ac:dyDescent="0.25">
      <c r="A6" s="103" t="s">
        <v>2383</v>
      </c>
      <c r="B6" s="101" t="s">
        <v>2581</v>
      </c>
      <c r="C6" s="103" t="s">
        <v>2539</v>
      </c>
      <c r="D6" s="103" t="s">
        <v>154</v>
      </c>
      <c r="E6" s="103" t="s">
        <v>154</v>
      </c>
      <c r="F6" s="103" t="s">
        <v>154</v>
      </c>
      <c r="G6" s="111" t="s">
        <v>2248</v>
      </c>
      <c r="I6" s="103" t="s">
        <v>154</v>
      </c>
      <c r="J6" s="108">
        <v>42395</v>
      </c>
      <c r="K6" s="11">
        <f t="shared" ca="1" si="0"/>
        <v>128</v>
      </c>
      <c r="L6" s="108">
        <v>42395</v>
      </c>
      <c r="M6" s="108"/>
      <c r="O6" s="108"/>
      <c r="P6" s="44"/>
      <c r="Q6" s="109" t="s">
        <v>2636</v>
      </c>
      <c r="R6" s="109"/>
      <c r="S6" s="110"/>
      <c r="T6" s="109"/>
      <c r="U6" s="109"/>
      <c r="V6" s="110"/>
      <c r="W6" s="109"/>
      <c r="X6" s="109"/>
      <c r="Y6" s="110"/>
      <c r="Z6" s="109"/>
      <c r="AA6" s="109"/>
      <c r="AB6" s="110"/>
      <c r="AC6" s="109"/>
      <c r="AD6" s="109"/>
      <c r="AE6" s="110"/>
      <c r="AF6" s="109"/>
      <c r="AG6" s="109" t="s">
        <v>107</v>
      </c>
      <c r="AH6" s="109"/>
      <c r="AI6" s="110"/>
      <c r="AJ6" s="109"/>
      <c r="AK6" s="109"/>
      <c r="AL6" s="109"/>
      <c r="AM6" s="109"/>
      <c r="AN6" s="109"/>
      <c r="AO6" s="108" t="s">
        <v>273</v>
      </c>
      <c r="AP6" s="108" t="s">
        <v>2282</v>
      </c>
      <c r="AQ6" s="103" t="s">
        <v>2282</v>
      </c>
      <c r="AR6" s="103" t="s">
        <v>2282</v>
      </c>
    </row>
    <row r="7" spans="1:44" s="103" customFormat="1" ht="180" x14ac:dyDescent="0.25">
      <c r="A7" s="103" t="s">
        <v>2322</v>
      </c>
      <c r="B7" s="101" t="s">
        <v>2581</v>
      </c>
      <c r="C7" s="103" t="s">
        <v>2540</v>
      </c>
      <c r="D7" s="103" t="s">
        <v>154</v>
      </c>
      <c r="E7" s="103" t="s">
        <v>154</v>
      </c>
      <c r="F7" s="103" t="s">
        <v>154</v>
      </c>
      <c r="G7" s="111" t="s">
        <v>2248</v>
      </c>
      <c r="I7" s="103" t="s">
        <v>154</v>
      </c>
      <c r="J7" s="108">
        <v>42395</v>
      </c>
      <c r="K7" s="11">
        <f t="shared" ca="1" si="0"/>
        <v>128</v>
      </c>
      <c r="L7" s="108">
        <v>42395</v>
      </c>
      <c r="M7" s="108"/>
      <c r="O7" s="108"/>
      <c r="P7" s="125"/>
      <c r="Q7" s="109" t="s">
        <v>2637</v>
      </c>
      <c r="R7" s="109"/>
      <c r="S7" s="110"/>
      <c r="T7" s="109"/>
      <c r="U7" s="109"/>
      <c r="V7" s="110"/>
      <c r="W7" s="109"/>
      <c r="X7" s="109"/>
      <c r="Y7" s="110"/>
      <c r="Z7" s="109"/>
      <c r="AA7" s="109"/>
      <c r="AB7" s="110"/>
      <c r="AC7" s="109"/>
      <c r="AD7" s="109" t="s">
        <v>2541</v>
      </c>
      <c r="AE7" s="110"/>
      <c r="AF7" s="109"/>
      <c r="AG7" s="109" t="s">
        <v>107</v>
      </c>
      <c r="AH7" s="109" t="s">
        <v>107</v>
      </c>
      <c r="AI7" s="110"/>
      <c r="AJ7" s="109"/>
      <c r="AK7" s="109"/>
      <c r="AL7" s="109"/>
      <c r="AM7" s="109"/>
      <c r="AN7" s="109"/>
      <c r="AO7" s="108" t="s">
        <v>273</v>
      </c>
      <c r="AP7" s="108" t="s">
        <v>2282</v>
      </c>
      <c r="AQ7" s="103" t="s">
        <v>2282</v>
      </c>
      <c r="AR7" s="103" t="s">
        <v>2282</v>
      </c>
    </row>
    <row r="8" spans="1:44" s="103" customFormat="1" ht="120" x14ac:dyDescent="0.25">
      <c r="A8" s="103" t="s">
        <v>2383</v>
      </c>
      <c r="B8" s="101" t="s">
        <v>2581</v>
      </c>
      <c r="C8" s="103" t="s">
        <v>2542</v>
      </c>
      <c r="D8" s="103" t="s">
        <v>154</v>
      </c>
      <c r="E8" s="103" t="s">
        <v>154</v>
      </c>
      <c r="F8" s="103" t="s">
        <v>154</v>
      </c>
      <c r="G8" s="111" t="s">
        <v>2248</v>
      </c>
      <c r="I8" s="103" t="s">
        <v>154</v>
      </c>
      <c r="J8" s="108">
        <v>42395</v>
      </c>
      <c r="K8" s="11">
        <f t="shared" ca="1" si="0"/>
        <v>128</v>
      </c>
      <c r="L8" s="108">
        <v>42395</v>
      </c>
      <c r="M8" s="108">
        <v>42551</v>
      </c>
      <c r="O8" s="108"/>
      <c r="P8" s="44"/>
      <c r="Q8" s="109" t="s">
        <v>2638</v>
      </c>
      <c r="R8" s="109"/>
      <c r="S8" s="110"/>
      <c r="T8" s="109"/>
      <c r="U8" s="109"/>
      <c r="V8" s="110"/>
      <c r="W8" s="109"/>
      <c r="X8" s="109"/>
      <c r="Y8" s="110"/>
      <c r="Z8" s="109"/>
      <c r="AA8" s="109"/>
      <c r="AB8" s="110"/>
      <c r="AC8" s="109"/>
      <c r="AD8" s="109"/>
      <c r="AE8" s="110"/>
      <c r="AF8" s="109"/>
      <c r="AG8" s="109" t="s">
        <v>2317</v>
      </c>
      <c r="AH8" s="109" t="s">
        <v>2373</v>
      </c>
      <c r="AI8" s="110"/>
      <c r="AJ8" s="109"/>
      <c r="AK8" s="109"/>
      <c r="AL8" s="109"/>
      <c r="AM8" s="109"/>
      <c r="AN8" s="109"/>
      <c r="AO8" s="108" t="s">
        <v>273</v>
      </c>
      <c r="AP8" s="108" t="s">
        <v>2282</v>
      </c>
      <c r="AQ8" s="103" t="s">
        <v>2282</v>
      </c>
      <c r="AR8" s="103" t="s">
        <v>2282</v>
      </c>
    </row>
    <row r="9" spans="1:44" s="103" customFormat="1" ht="120" x14ac:dyDescent="0.25">
      <c r="A9" s="103" t="s">
        <v>2322</v>
      </c>
      <c r="B9" s="101" t="s">
        <v>2581</v>
      </c>
      <c r="C9" s="103" t="s">
        <v>2543</v>
      </c>
      <c r="D9" s="103" t="s">
        <v>154</v>
      </c>
      <c r="E9" s="103" t="s">
        <v>154</v>
      </c>
      <c r="F9" s="103" t="s">
        <v>154</v>
      </c>
      <c r="G9" s="111" t="s">
        <v>2248</v>
      </c>
      <c r="I9" s="103" t="s">
        <v>154</v>
      </c>
      <c r="J9" s="108">
        <v>42395</v>
      </c>
      <c r="K9" s="11">
        <f t="shared" ca="1" si="0"/>
        <v>128</v>
      </c>
      <c r="L9" s="108">
        <v>42395</v>
      </c>
      <c r="M9" s="108">
        <v>42551</v>
      </c>
      <c r="O9" s="108"/>
      <c r="P9" s="44"/>
      <c r="Q9" s="109" t="s">
        <v>2638</v>
      </c>
      <c r="R9" s="109"/>
      <c r="S9" s="110"/>
      <c r="T9" s="109"/>
      <c r="U9" s="109"/>
      <c r="V9" s="110"/>
      <c r="W9" s="109"/>
      <c r="X9" s="109"/>
      <c r="Y9" s="110"/>
      <c r="Z9" s="109"/>
      <c r="AA9" s="109"/>
      <c r="AB9" s="110"/>
      <c r="AC9" s="109"/>
      <c r="AD9" s="109"/>
      <c r="AE9" s="110"/>
      <c r="AF9" s="109"/>
      <c r="AG9" s="109" t="s">
        <v>2317</v>
      </c>
      <c r="AH9" s="109" t="s">
        <v>2373</v>
      </c>
      <c r="AI9" s="110"/>
      <c r="AJ9" s="109"/>
      <c r="AK9" s="109"/>
      <c r="AL9" s="109"/>
      <c r="AM9" s="109"/>
      <c r="AN9" s="109"/>
      <c r="AO9" s="108" t="s">
        <v>273</v>
      </c>
      <c r="AP9" s="108" t="s">
        <v>2282</v>
      </c>
      <c r="AQ9" s="103" t="s">
        <v>2282</v>
      </c>
      <c r="AR9" s="103" t="s">
        <v>2282</v>
      </c>
    </row>
    <row r="10" spans="1:44" s="103" customFormat="1" ht="120" x14ac:dyDescent="0.25">
      <c r="A10" s="103" t="s">
        <v>2383</v>
      </c>
      <c r="B10" s="101" t="s">
        <v>2581</v>
      </c>
      <c r="C10" s="103" t="s">
        <v>2544</v>
      </c>
      <c r="D10" s="103" t="s">
        <v>154</v>
      </c>
      <c r="E10" s="103" t="s">
        <v>154</v>
      </c>
      <c r="F10" s="103" t="s">
        <v>154</v>
      </c>
      <c r="G10" s="111" t="s">
        <v>2248</v>
      </c>
      <c r="I10" s="103" t="s">
        <v>154</v>
      </c>
      <c r="J10" s="108">
        <v>42395</v>
      </c>
      <c r="K10" s="11">
        <f t="shared" ca="1" si="0"/>
        <v>128</v>
      </c>
      <c r="L10" s="108">
        <v>42395</v>
      </c>
      <c r="M10" s="108">
        <v>42551</v>
      </c>
      <c r="O10" s="108"/>
      <c r="P10" s="125"/>
      <c r="Q10" s="109" t="s">
        <v>2638</v>
      </c>
      <c r="R10" s="109"/>
      <c r="S10" s="110"/>
      <c r="T10" s="109"/>
      <c r="U10" s="109"/>
      <c r="V10" s="110"/>
      <c r="W10" s="109"/>
      <c r="X10" s="109"/>
      <c r="Y10" s="110"/>
      <c r="Z10" s="109"/>
      <c r="AA10" s="109"/>
      <c r="AB10" s="110"/>
      <c r="AC10" s="109"/>
      <c r="AD10" s="109"/>
      <c r="AE10" s="110"/>
      <c r="AF10" s="109"/>
      <c r="AG10" s="109" t="s">
        <v>2317</v>
      </c>
      <c r="AH10" s="109" t="s">
        <v>2373</v>
      </c>
      <c r="AI10" s="110"/>
      <c r="AJ10" s="109"/>
      <c r="AK10" s="109"/>
      <c r="AL10" s="109"/>
      <c r="AM10" s="109"/>
      <c r="AN10" s="109"/>
      <c r="AO10" s="108" t="s">
        <v>273</v>
      </c>
      <c r="AP10" s="108" t="s">
        <v>2282</v>
      </c>
      <c r="AQ10" s="103" t="s">
        <v>2282</v>
      </c>
      <c r="AR10" s="103" t="s">
        <v>2282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Filtro</vt:lpstr>
      <vt:lpstr>#projetos</vt:lpstr>
      <vt:lpstr>C ou S crono</vt:lpstr>
      <vt:lpstr>Plan1</vt:lpstr>
      <vt:lpstr>Priorizados</vt:lpstr>
      <vt:lpstr>Fechados Priorizados</vt:lpstr>
      <vt:lpstr>Despriorizados</vt:lpstr>
      <vt:lpstr>Não prioritários</vt:lpstr>
      <vt:lpstr>Plan3</vt:lpstr>
      <vt:lpstr>POP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Crisantemo De Jesus</dc:creator>
  <cp:lastModifiedBy>Bruno Guerra Ferreira</cp:lastModifiedBy>
  <cp:lastPrinted>2015-12-14T19:47:08Z</cp:lastPrinted>
  <dcterms:created xsi:type="dcterms:W3CDTF">2015-08-11T13:10:10Z</dcterms:created>
  <dcterms:modified xsi:type="dcterms:W3CDTF">2016-06-01T12:39:38Z</dcterms:modified>
</cp:coreProperties>
</file>